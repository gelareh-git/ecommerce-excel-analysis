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C:\Users\crati\Desktop\"/>
    </mc:Choice>
  </mc:AlternateContent>
  <xr:revisionPtr revIDLastSave="0" documentId="13_ncr:1_{59AC37C0-35E2-4E51-B30D-25842536FE77}" xr6:coauthVersionLast="47" xr6:coauthVersionMax="47" xr10:uidLastSave="{00000000-0000-0000-0000-000000000000}"/>
  <bookViews>
    <workbookView xWindow="-98" yWindow="-98" windowWidth="19396" windowHeight="11475" firstSheet="24" activeTab="26" xr2:uid="{32C07FF0-7E75-45E5-B7A0-A1BF3EE95C74}"/>
  </bookViews>
  <sheets>
    <sheet name="fashion_store_campaigns" sheetId="1" r:id="rId1"/>
    <sheet name="fashion_store_channels" sheetId="2" r:id="rId2"/>
    <sheet name="fashion_store_customers" sheetId="3" r:id="rId3"/>
    <sheet name="fashion_store_products" sheetId="4" r:id="rId4"/>
    <sheet name="fashion_store_sales" sheetId="5" r:id="rId5"/>
    <sheet name="fashion_store_salesitems" sheetId="6" r:id="rId6"/>
    <sheet name="fashion_store_stock" sheetId="7" r:id="rId7"/>
    <sheet name="kPI_sheet" sheetId="8" r:id="rId8"/>
    <sheet name="monthly_revenue_pivot" sheetId="9" r:id="rId9"/>
    <sheet name="weekday revenue pivot" sheetId="12" r:id="rId10"/>
    <sheet name="campaign_perfomance_pivot" sheetId="14" r:id="rId11"/>
    <sheet name="campaign_by_channel_pivot" sheetId="16" r:id="rId12"/>
    <sheet name="channel_perfomance_pivot" sheetId="18" r:id="rId13"/>
    <sheet name="customer_revenue_pivot" sheetId="19" r:id="rId14"/>
    <sheet name="customer_country_pivot" sheetId="21" r:id="rId15"/>
    <sheet name="customer_channel_pivot" sheetId="22" r:id="rId16"/>
    <sheet name="RFM_base" sheetId="23" r:id="rId17"/>
    <sheet name="product_perfomance_pivot" sheetId="26" r:id="rId18"/>
    <sheet name="bottom_products_pivot" sheetId="28" r:id="rId19"/>
    <sheet name="country_sales_pivot" sheetId="30" r:id="rId20"/>
    <sheet name="basket Analysis pivot" sheetId="31" r:id="rId21"/>
    <sheet name="time_analysis_pivot" sheetId="32" r:id="rId22"/>
    <sheet name="customer_performance_pivot" sheetId="33" r:id="rId23"/>
    <sheet name="age_range_performance_pivot" sheetId="35" r:id="rId24"/>
    <sheet name="age_range&amp;customer_type" sheetId="37" r:id="rId25"/>
    <sheet name="General_Pivot" sheetId="39" r:id="rId26"/>
    <sheet name="Dashboared" sheetId="38" r:id="rId27"/>
  </sheets>
  <definedNames>
    <definedName name="NativeTimeline_sale_date">#N/A</definedName>
    <definedName name="Slicer_category">#N/A</definedName>
    <definedName name="Slicer_channel">#N/A</definedName>
    <definedName name="Slicer_customer_type">#N/A</definedName>
  </definedNames>
  <calcPr calcId="191029"/>
  <pivotCaches>
    <pivotCache cacheId="0" r:id="rId28"/>
    <pivotCache cacheId="1" r:id="rId29"/>
    <pivotCache cacheId="2" r:id="rId30"/>
  </pivotCaches>
  <extLst>
    <ext xmlns:x14="http://schemas.microsoft.com/office/spreadsheetml/2009/9/main" uri="{BBE1A952-AA13-448e-AADC-164F8A28A991}">
      <x14:slicerCaches>
        <x14:slicerCache r:id="rId31"/>
        <x14:slicerCache r:id="rId32"/>
        <x14:slicerCache r:id="rId3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3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38" l="1"/>
  <c r="F4" i="32"/>
  <c r="E4" i="32"/>
  <c r="D4" i="32"/>
  <c r="E4" i="31"/>
  <c r="B50" i="8" s="1"/>
  <c r="D4" i="31"/>
  <c r="D5" i="30"/>
  <c r="B38" i="8" s="1"/>
  <c r="D4" i="30"/>
  <c r="B37" i="8" s="1"/>
  <c r="E584" i="23"/>
  <c r="E583" i="23"/>
  <c r="E582" i="23"/>
  <c r="E581" i="23"/>
  <c r="E580" i="23"/>
  <c r="E579" i="23"/>
  <c r="E578" i="23"/>
  <c r="E577" i="23"/>
  <c r="E576" i="23"/>
  <c r="E575" i="23"/>
  <c r="E574" i="23"/>
  <c r="E573" i="23"/>
  <c r="E572" i="23"/>
  <c r="E571" i="23"/>
  <c r="E570" i="23"/>
  <c r="E569" i="23"/>
  <c r="E568" i="23"/>
  <c r="E567" i="23"/>
  <c r="E566" i="23"/>
  <c r="E565" i="23"/>
  <c r="E564" i="23"/>
  <c r="E563" i="23"/>
  <c r="E562" i="23"/>
  <c r="E561" i="23"/>
  <c r="E560" i="23"/>
  <c r="E559" i="23"/>
  <c r="E558" i="23"/>
  <c r="E557" i="23"/>
  <c r="E556" i="23"/>
  <c r="E555" i="23"/>
  <c r="E554" i="23"/>
  <c r="E553" i="23"/>
  <c r="E552" i="23"/>
  <c r="E551" i="23"/>
  <c r="E550" i="23"/>
  <c r="E549" i="23"/>
  <c r="E548" i="23"/>
  <c r="E547" i="23"/>
  <c r="E546" i="23"/>
  <c r="E545" i="23"/>
  <c r="E544" i="23"/>
  <c r="E543" i="23"/>
  <c r="E542" i="23"/>
  <c r="E541" i="23"/>
  <c r="E540" i="23"/>
  <c r="E539" i="23"/>
  <c r="E538" i="23"/>
  <c r="E537" i="23"/>
  <c r="E536" i="23"/>
  <c r="E535" i="23"/>
  <c r="E534" i="23"/>
  <c r="E533" i="23"/>
  <c r="E532" i="23"/>
  <c r="E531" i="23"/>
  <c r="E530" i="23"/>
  <c r="E529" i="23"/>
  <c r="E528" i="23"/>
  <c r="E527" i="23"/>
  <c r="E526" i="23"/>
  <c r="E525" i="23"/>
  <c r="E524" i="23"/>
  <c r="E523" i="23"/>
  <c r="E522" i="23"/>
  <c r="E521" i="23"/>
  <c r="E520" i="23"/>
  <c r="E519" i="23"/>
  <c r="E518" i="23"/>
  <c r="E517" i="23"/>
  <c r="E516" i="23"/>
  <c r="E515" i="23"/>
  <c r="E514" i="23"/>
  <c r="E513" i="23"/>
  <c r="E512" i="23"/>
  <c r="E511" i="23"/>
  <c r="E510" i="23"/>
  <c r="E509" i="23"/>
  <c r="E508" i="23"/>
  <c r="E507" i="23"/>
  <c r="E506" i="23"/>
  <c r="E505" i="23"/>
  <c r="E504" i="23"/>
  <c r="E503" i="23"/>
  <c r="E502" i="23"/>
  <c r="E501" i="23"/>
  <c r="E500" i="23"/>
  <c r="E499" i="23"/>
  <c r="E498" i="23"/>
  <c r="E497" i="23"/>
  <c r="E496" i="23"/>
  <c r="E495" i="23"/>
  <c r="E494" i="23"/>
  <c r="E493" i="23"/>
  <c r="E492" i="23"/>
  <c r="E491" i="23"/>
  <c r="E490" i="23"/>
  <c r="E489" i="23"/>
  <c r="E488" i="23"/>
  <c r="E487" i="23"/>
  <c r="E486" i="23"/>
  <c r="E485" i="23"/>
  <c r="E484" i="23"/>
  <c r="E483" i="23"/>
  <c r="E482" i="23"/>
  <c r="E481" i="23"/>
  <c r="E480" i="23"/>
  <c r="E479" i="23"/>
  <c r="E478" i="23"/>
  <c r="E477" i="23"/>
  <c r="E476" i="23"/>
  <c r="E475" i="23"/>
  <c r="E474" i="23"/>
  <c r="E473" i="23"/>
  <c r="E472" i="23"/>
  <c r="E471" i="23"/>
  <c r="E470" i="23"/>
  <c r="E469" i="23"/>
  <c r="E468" i="23"/>
  <c r="E467" i="23"/>
  <c r="E466" i="23"/>
  <c r="E465" i="23"/>
  <c r="E464" i="23"/>
  <c r="E463" i="23"/>
  <c r="E462" i="23"/>
  <c r="E461" i="23"/>
  <c r="E460" i="23"/>
  <c r="E459" i="23"/>
  <c r="E458" i="23"/>
  <c r="E457" i="23"/>
  <c r="E456" i="23"/>
  <c r="E455" i="23"/>
  <c r="E454" i="23"/>
  <c r="E453" i="23"/>
  <c r="E452" i="23"/>
  <c r="E451" i="23"/>
  <c r="E450" i="23"/>
  <c r="E449" i="23"/>
  <c r="E448" i="23"/>
  <c r="E447" i="23"/>
  <c r="E446" i="23"/>
  <c r="E445" i="23"/>
  <c r="E444" i="23"/>
  <c r="E443" i="23"/>
  <c r="E442" i="23"/>
  <c r="E441" i="23"/>
  <c r="E440" i="23"/>
  <c r="E439" i="23"/>
  <c r="E438" i="23"/>
  <c r="E437" i="23"/>
  <c r="E436" i="23"/>
  <c r="E435" i="23"/>
  <c r="E434" i="23"/>
  <c r="E433" i="23"/>
  <c r="E432" i="23"/>
  <c r="E431" i="23"/>
  <c r="E430" i="23"/>
  <c r="E429" i="23"/>
  <c r="E428" i="23"/>
  <c r="E427" i="23"/>
  <c r="E426" i="23"/>
  <c r="E425" i="23"/>
  <c r="E424" i="23"/>
  <c r="E423" i="23"/>
  <c r="E422" i="23"/>
  <c r="E421" i="23"/>
  <c r="E420" i="23"/>
  <c r="E419" i="23"/>
  <c r="E418" i="23"/>
  <c r="E417" i="23"/>
  <c r="E416" i="23"/>
  <c r="E415" i="23"/>
  <c r="E414" i="23"/>
  <c r="E413" i="23"/>
  <c r="E412" i="23"/>
  <c r="E411" i="23"/>
  <c r="E410" i="23"/>
  <c r="E409" i="23"/>
  <c r="E408" i="23"/>
  <c r="E407" i="23"/>
  <c r="E406" i="23"/>
  <c r="E405" i="23"/>
  <c r="E404" i="23"/>
  <c r="E403" i="23"/>
  <c r="E402" i="23"/>
  <c r="E401" i="23"/>
  <c r="E400" i="23"/>
  <c r="E399" i="23"/>
  <c r="E398" i="23"/>
  <c r="E397" i="23"/>
  <c r="E396" i="23"/>
  <c r="E395" i="23"/>
  <c r="E394" i="23"/>
  <c r="E393" i="23"/>
  <c r="E392" i="23"/>
  <c r="E391" i="23"/>
  <c r="E390" i="23"/>
  <c r="E389" i="23"/>
  <c r="E388" i="23"/>
  <c r="E387" i="23"/>
  <c r="E386" i="23"/>
  <c r="E385" i="23"/>
  <c r="E384" i="23"/>
  <c r="E383" i="23"/>
  <c r="E382" i="23"/>
  <c r="E381" i="23"/>
  <c r="E380" i="23"/>
  <c r="E379" i="23"/>
  <c r="E378" i="23"/>
  <c r="E377" i="23"/>
  <c r="E376" i="23"/>
  <c r="E375" i="23"/>
  <c r="E374" i="23"/>
  <c r="E373" i="23"/>
  <c r="E372" i="23"/>
  <c r="E371" i="23"/>
  <c r="E370" i="23"/>
  <c r="E369" i="23"/>
  <c r="E368" i="23"/>
  <c r="E367" i="23"/>
  <c r="E366" i="23"/>
  <c r="E365" i="23"/>
  <c r="E364" i="23"/>
  <c r="E363" i="23"/>
  <c r="E362" i="23"/>
  <c r="E361" i="23"/>
  <c r="E360" i="23"/>
  <c r="E359" i="23"/>
  <c r="E358" i="23"/>
  <c r="E357" i="23"/>
  <c r="E356" i="23"/>
  <c r="E355" i="23"/>
  <c r="E354" i="23"/>
  <c r="E353" i="23"/>
  <c r="E352" i="23"/>
  <c r="E351" i="23"/>
  <c r="E350" i="23"/>
  <c r="E349" i="23"/>
  <c r="E348" i="23"/>
  <c r="E347" i="23"/>
  <c r="E346" i="23"/>
  <c r="E345" i="23"/>
  <c r="E344" i="23"/>
  <c r="E343" i="23"/>
  <c r="E342" i="23"/>
  <c r="E341" i="23"/>
  <c r="E340" i="23"/>
  <c r="E339" i="23"/>
  <c r="E338" i="23"/>
  <c r="E337" i="23"/>
  <c r="E336" i="23"/>
  <c r="E335" i="23"/>
  <c r="E334" i="23"/>
  <c r="E333" i="23"/>
  <c r="E332" i="23"/>
  <c r="E331" i="23"/>
  <c r="E330" i="23"/>
  <c r="E329" i="23"/>
  <c r="E328" i="23"/>
  <c r="E327" i="23"/>
  <c r="E326" i="23"/>
  <c r="E325" i="23"/>
  <c r="E324" i="23"/>
  <c r="E323" i="23"/>
  <c r="E322" i="23"/>
  <c r="E321" i="23"/>
  <c r="E320" i="23"/>
  <c r="E319" i="23"/>
  <c r="E318" i="23"/>
  <c r="E317" i="23"/>
  <c r="E316" i="23"/>
  <c r="E315" i="23"/>
  <c r="E314" i="23"/>
  <c r="E313" i="23"/>
  <c r="E312" i="23"/>
  <c r="E311" i="23"/>
  <c r="E310" i="23"/>
  <c r="E309" i="23"/>
  <c r="E308" i="23"/>
  <c r="E307" i="23"/>
  <c r="E306" i="23"/>
  <c r="E305" i="23"/>
  <c r="E304" i="23"/>
  <c r="E303" i="23"/>
  <c r="E302" i="23"/>
  <c r="E301" i="23"/>
  <c r="E300" i="23"/>
  <c r="E299" i="23"/>
  <c r="E298" i="23"/>
  <c r="E297" i="23"/>
  <c r="E296" i="23"/>
  <c r="E295" i="23"/>
  <c r="E294" i="23"/>
  <c r="E293" i="23"/>
  <c r="E292" i="23"/>
  <c r="E291" i="23"/>
  <c r="E290" i="23"/>
  <c r="E289" i="23"/>
  <c r="E288" i="23"/>
  <c r="E287" i="23"/>
  <c r="E286" i="23"/>
  <c r="E285" i="23"/>
  <c r="E284" i="23"/>
  <c r="E283" i="23"/>
  <c r="E282" i="23"/>
  <c r="E281" i="23"/>
  <c r="E280" i="23"/>
  <c r="E279" i="23"/>
  <c r="E278" i="23"/>
  <c r="E277" i="23"/>
  <c r="E276" i="23"/>
  <c r="E275" i="23"/>
  <c r="E274" i="23"/>
  <c r="E273" i="23"/>
  <c r="E272" i="23"/>
  <c r="E271" i="23"/>
  <c r="E270" i="23"/>
  <c r="E269" i="23"/>
  <c r="E268" i="23"/>
  <c r="E267" i="23"/>
  <c r="E266" i="23"/>
  <c r="E265" i="23"/>
  <c r="E264" i="23"/>
  <c r="E263" i="23"/>
  <c r="E262" i="23"/>
  <c r="E261" i="23"/>
  <c r="E260" i="23"/>
  <c r="E259" i="23"/>
  <c r="E258" i="23"/>
  <c r="E257" i="23"/>
  <c r="E256" i="23"/>
  <c r="E255" i="23"/>
  <c r="E254" i="23"/>
  <c r="E253" i="23"/>
  <c r="E252" i="23"/>
  <c r="E251" i="23"/>
  <c r="E250" i="23"/>
  <c r="E249" i="23"/>
  <c r="E248" i="23"/>
  <c r="E247" i="23"/>
  <c r="E246" i="23"/>
  <c r="E245" i="23"/>
  <c r="E244" i="23"/>
  <c r="E243" i="23"/>
  <c r="E242" i="23"/>
  <c r="E241" i="23"/>
  <c r="E240" i="23"/>
  <c r="E239" i="23"/>
  <c r="E238" i="23"/>
  <c r="E237" i="23"/>
  <c r="E236" i="23"/>
  <c r="E235" i="23"/>
  <c r="E234" i="23"/>
  <c r="E233" i="23"/>
  <c r="E232" i="23"/>
  <c r="E231" i="23"/>
  <c r="E230" i="23"/>
  <c r="E229" i="23"/>
  <c r="E228" i="23"/>
  <c r="E227" i="23"/>
  <c r="E226" i="23"/>
  <c r="E225" i="23"/>
  <c r="E224" i="23"/>
  <c r="E223" i="23"/>
  <c r="E222" i="23"/>
  <c r="E221" i="23"/>
  <c r="E220" i="23"/>
  <c r="E219" i="23"/>
  <c r="E218" i="23"/>
  <c r="E217" i="23"/>
  <c r="E216" i="23"/>
  <c r="E215" i="23"/>
  <c r="E214" i="23"/>
  <c r="E213" i="23"/>
  <c r="E212" i="23"/>
  <c r="E211" i="23"/>
  <c r="E210" i="23"/>
  <c r="E209" i="23"/>
  <c r="E208" i="23"/>
  <c r="E207" i="23"/>
  <c r="E206" i="23"/>
  <c r="E205" i="23"/>
  <c r="E204" i="23"/>
  <c r="E203" i="23"/>
  <c r="E202" i="23"/>
  <c r="E201" i="23"/>
  <c r="E200" i="23"/>
  <c r="E199" i="23"/>
  <c r="E198" i="23"/>
  <c r="E197" i="23"/>
  <c r="E196" i="23"/>
  <c r="E195" i="23"/>
  <c r="E194" i="23"/>
  <c r="E193" i="23"/>
  <c r="E192" i="23"/>
  <c r="E191" i="23"/>
  <c r="E190" i="23"/>
  <c r="E189" i="23"/>
  <c r="E188" i="23"/>
  <c r="E187" i="23"/>
  <c r="E186" i="23"/>
  <c r="E185" i="23"/>
  <c r="E184" i="23"/>
  <c r="E183" i="23"/>
  <c r="E182" i="23"/>
  <c r="E181" i="23"/>
  <c r="E180" i="23"/>
  <c r="E179" i="23"/>
  <c r="E178" i="23"/>
  <c r="E177" i="23"/>
  <c r="E176" i="23"/>
  <c r="E175" i="23"/>
  <c r="E174" i="23"/>
  <c r="E173" i="23"/>
  <c r="E172" i="23"/>
  <c r="E171" i="23"/>
  <c r="E170" i="23"/>
  <c r="E169" i="23"/>
  <c r="E168" i="23"/>
  <c r="E167" i="23"/>
  <c r="E166" i="23"/>
  <c r="E165" i="23"/>
  <c r="E164" i="23"/>
  <c r="E163" i="23"/>
  <c r="E162" i="23"/>
  <c r="E161" i="23"/>
  <c r="E160" i="23"/>
  <c r="E159" i="23"/>
  <c r="E158" i="23"/>
  <c r="E157" i="23"/>
  <c r="E156" i="23"/>
  <c r="E155" i="23"/>
  <c r="E154" i="23"/>
  <c r="E153" i="23"/>
  <c r="E152" i="23"/>
  <c r="E151" i="23"/>
  <c r="E150" i="23"/>
  <c r="E149" i="23"/>
  <c r="E148" i="23"/>
  <c r="E147" i="23"/>
  <c r="E146" i="23"/>
  <c r="E145" i="23"/>
  <c r="E144" i="23"/>
  <c r="E143" i="23"/>
  <c r="E142" i="23"/>
  <c r="E141" i="23"/>
  <c r="E140" i="23"/>
  <c r="E139" i="23"/>
  <c r="E138" i="23"/>
  <c r="E137" i="23"/>
  <c r="E136" i="23"/>
  <c r="E135" i="23"/>
  <c r="E134" i="23"/>
  <c r="E133" i="23"/>
  <c r="E132" i="23"/>
  <c r="E131" i="23"/>
  <c r="E130" i="23"/>
  <c r="E129" i="23"/>
  <c r="E128" i="23"/>
  <c r="E127" i="23"/>
  <c r="E126" i="23"/>
  <c r="E125" i="23"/>
  <c r="E124" i="23"/>
  <c r="E123" i="23"/>
  <c r="E122" i="23"/>
  <c r="E121" i="23"/>
  <c r="E120" i="23"/>
  <c r="E119" i="23"/>
  <c r="E118" i="23"/>
  <c r="E117" i="23"/>
  <c r="E116" i="23"/>
  <c r="E115" i="23"/>
  <c r="E114" i="23"/>
  <c r="E113" i="23"/>
  <c r="E112" i="23"/>
  <c r="E111" i="23"/>
  <c r="E110" i="23"/>
  <c r="E109" i="23"/>
  <c r="E108" i="23"/>
  <c r="E107" i="23"/>
  <c r="E106" i="23"/>
  <c r="E105" i="23"/>
  <c r="E104" i="23"/>
  <c r="E103" i="23"/>
  <c r="E102" i="23"/>
  <c r="E101" i="23"/>
  <c r="E100" i="23"/>
  <c r="E99" i="23"/>
  <c r="E98" i="23"/>
  <c r="E97" i="23"/>
  <c r="E96" i="23"/>
  <c r="E95" i="23"/>
  <c r="E94" i="23"/>
  <c r="E93" i="23"/>
  <c r="E92" i="23"/>
  <c r="E91" i="23"/>
  <c r="E90" i="23"/>
  <c r="E89" i="23"/>
  <c r="E88" i="23"/>
  <c r="E87" i="23"/>
  <c r="E86" i="23"/>
  <c r="E85" i="23"/>
  <c r="E84" i="23"/>
  <c r="E83" i="23"/>
  <c r="E82" i="23"/>
  <c r="E81" i="23"/>
  <c r="E80" i="23"/>
  <c r="E79" i="23"/>
  <c r="E78" i="23"/>
  <c r="E77" i="23"/>
  <c r="E76" i="23"/>
  <c r="E75" i="23"/>
  <c r="E74" i="23"/>
  <c r="E73" i="23"/>
  <c r="E72" i="23"/>
  <c r="E71" i="23"/>
  <c r="E70" i="23"/>
  <c r="E69" i="23"/>
  <c r="E68" i="23"/>
  <c r="E67" i="23"/>
  <c r="E66" i="23"/>
  <c r="E65" i="23"/>
  <c r="E64" i="23"/>
  <c r="E63" i="23"/>
  <c r="E62" i="23"/>
  <c r="E61" i="23"/>
  <c r="E60" i="23"/>
  <c r="E59" i="23"/>
  <c r="E58" i="23"/>
  <c r="E57" i="23"/>
  <c r="E56" i="23"/>
  <c r="E55" i="23"/>
  <c r="E54" i="23"/>
  <c r="E53" i="23"/>
  <c r="E52" i="23"/>
  <c r="E51" i="23"/>
  <c r="E50" i="23"/>
  <c r="E49" i="23"/>
  <c r="E48" i="23"/>
  <c r="E47" i="23"/>
  <c r="E46" i="23"/>
  <c r="E45" i="23"/>
  <c r="E44" i="23"/>
  <c r="E43" i="23"/>
  <c r="E42" i="23"/>
  <c r="E41" i="23"/>
  <c r="E40" i="23"/>
  <c r="E39" i="23"/>
  <c r="E38" i="23"/>
  <c r="E37" i="23"/>
  <c r="E36" i="23"/>
  <c r="E35" i="23"/>
  <c r="E34" i="23"/>
  <c r="E33" i="23"/>
  <c r="E32" i="23"/>
  <c r="E31" i="23"/>
  <c r="E30" i="23"/>
  <c r="E29" i="23"/>
  <c r="E28" i="23"/>
  <c r="E27" i="23"/>
  <c r="E26" i="23"/>
  <c r="E25" i="23"/>
  <c r="E24" i="23"/>
  <c r="E23" i="23"/>
  <c r="E22" i="23"/>
  <c r="E21" i="23"/>
  <c r="E20" i="23"/>
  <c r="E19" i="23"/>
  <c r="E18" i="23"/>
  <c r="E17" i="23"/>
  <c r="E16" i="23"/>
  <c r="E15" i="23"/>
  <c r="E14" i="23"/>
  <c r="E13" i="23"/>
  <c r="E12" i="23"/>
  <c r="E11" i="23"/>
  <c r="E10" i="23"/>
  <c r="E9" i="23"/>
  <c r="E8" i="23"/>
  <c r="E7" i="23"/>
  <c r="E6" i="23"/>
  <c r="E5" i="23"/>
  <c r="E4" i="23"/>
  <c r="D6" i="9"/>
  <c r="D5" i="9"/>
  <c r="B67" i="8"/>
  <c r="B66" i="8"/>
  <c r="B65" i="8"/>
  <c r="B64" i="8"/>
  <c r="B63" i="8" a="1"/>
  <c r="B63" i="8" s="1"/>
  <c r="B62" i="8" a="1"/>
  <c r="B62" i="8" s="1"/>
  <c r="B60" i="8"/>
  <c r="B56" i="8"/>
  <c r="B55" i="8"/>
  <c r="B54" i="8"/>
  <c r="B49" i="8"/>
  <c r="B6" i="8"/>
  <c r="B5" i="8"/>
  <c r="D2" i="38" s="1"/>
  <c r="B4" i="8"/>
  <c r="C2" i="38" s="1"/>
  <c r="B3" i="8"/>
  <c r="P2254" i="6"/>
  <c r="O2254" i="6"/>
  <c r="N2254" i="6"/>
  <c r="P2253" i="6"/>
  <c r="O2253" i="6"/>
  <c r="N2253" i="6"/>
  <c r="P2252" i="6"/>
  <c r="O2252" i="6"/>
  <c r="N2252" i="6"/>
  <c r="P2251" i="6"/>
  <c r="O2251" i="6"/>
  <c r="N2251" i="6"/>
  <c r="P2250" i="6"/>
  <c r="O2250" i="6"/>
  <c r="N2250" i="6"/>
  <c r="P2249" i="6"/>
  <c r="O2249" i="6"/>
  <c r="N2249" i="6"/>
  <c r="P2248" i="6"/>
  <c r="O2248" i="6"/>
  <c r="N2248" i="6"/>
  <c r="P2247" i="6"/>
  <c r="O2247" i="6"/>
  <c r="N2247" i="6"/>
  <c r="P2246" i="6"/>
  <c r="O2246" i="6"/>
  <c r="N2246" i="6"/>
  <c r="P2245" i="6"/>
  <c r="O2245" i="6"/>
  <c r="N2245" i="6"/>
  <c r="P2244" i="6"/>
  <c r="O2244" i="6"/>
  <c r="N2244" i="6"/>
  <c r="P2243" i="6"/>
  <c r="O2243" i="6"/>
  <c r="N2243" i="6"/>
  <c r="P2242" i="6"/>
  <c r="O2242" i="6"/>
  <c r="N2242" i="6"/>
  <c r="P2241" i="6"/>
  <c r="O2241" i="6"/>
  <c r="N2241" i="6"/>
  <c r="P2240" i="6"/>
  <c r="O2240" i="6"/>
  <c r="N2240" i="6"/>
  <c r="P2239" i="6"/>
  <c r="O2239" i="6"/>
  <c r="N2239" i="6"/>
  <c r="P2238" i="6"/>
  <c r="O2238" i="6"/>
  <c r="N2238" i="6"/>
  <c r="P2237" i="6"/>
  <c r="O2237" i="6"/>
  <c r="N2237" i="6"/>
  <c r="P2236" i="6"/>
  <c r="O2236" i="6"/>
  <c r="N2236" i="6"/>
  <c r="P2235" i="6"/>
  <c r="O2235" i="6"/>
  <c r="N2235" i="6"/>
  <c r="P2234" i="6"/>
  <c r="O2234" i="6"/>
  <c r="N2234" i="6"/>
  <c r="P2233" i="6"/>
  <c r="O2233" i="6"/>
  <c r="N2233" i="6"/>
  <c r="P2232" i="6"/>
  <c r="O2232" i="6"/>
  <c r="N2232" i="6"/>
  <c r="P2231" i="6"/>
  <c r="O2231" i="6"/>
  <c r="N2231" i="6"/>
  <c r="P2230" i="6"/>
  <c r="O2230" i="6"/>
  <c r="N2230" i="6"/>
  <c r="P2229" i="6"/>
  <c r="O2229" i="6"/>
  <c r="N2229" i="6"/>
  <c r="P2228" i="6"/>
  <c r="O2228" i="6"/>
  <c r="N2228" i="6"/>
  <c r="P2227" i="6"/>
  <c r="O2227" i="6"/>
  <c r="N2227" i="6"/>
  <c r="P2226" i="6"/>
  <c r="O2226" i="6"/>
  <c r="N2226" i="6"/>
  <c r="P2225" i="6"/>
  <c r="O2225" i="6"/>
  <c r="N2225" i="6"/>
  <c r="P2224" i="6"/>
  <c r="O2224" i="6"/>
  <c r="N2224" i="6"/>
  <c r="P2223" i="6"/>
  <c r="O2223" i="6"/>
  <c r="N2223" i="6"/>
  <c r="P2222" i="6"/>
  <c r="O2222" i="6"/>
  <c r="N2222" i="6"/>
  <c r="P2221" i="6"/>
  <c r="O2221" i="6"/>
  <c r="N2221" i="6"/>
  <c r="P2220" i="6"/>
  <c r="O2220" i="6"/>
  <c r="N2220" i="6"/>
  <c r="P2219" i="6"/>
  <c r="O2219" i="6"/>
  <c r="N2219" i="6"/>
  <c r="P2218" i="6"/>
  <c r="O2218" i="6"/>
  <c r="N2218" i="6"/>
  <c r="P2217" i="6"/>
  <c r="O2217" i="6"/>
  <c r="N2217" i="6"/>
  <c r="P2216" i="6"/>
  <c r="O2216" i="6"/>
  <c r="N2216" i="6"/>
  <c r="P2215" i="6"/>
  <c r="O2215" i="6"/>
  <c r="N2215" i="6"/>
  <c r="P2214" i="6"/>
  <c r="O2214" i="6"/>
  <c r="N2214" i="6"/>
  <c r="P2213" i="6"/>
  <c r="O2213" i="6"/>
  <c r="N2213" i="6"/>
  <c r="P2212" i="6"/>
  <c r="O2212" i="6"/>
  <c r="N2212" i="6"/>
  <c r="P2211" i="6"/>
  <c r="O2211" i="6"/>
  <c r="N2211" i="6"/>
  <c r="P2210" i="6"/>
  <c r="O2210" i="6"/>
  <c r="N2210" i="6"/>
  <c r="P2209" i="6"/>
  <c r="O2209" i="6"/>
  <c r="N2209" i="6"/>
  <c r="P2208" i="6"/>
  <c r="O2208" i="6"/>
  <c r="N2208" i="6"/>
  <c r="P2207" i="6"/>
  <c r="O2207" i="6"/>
  <c r="N2207" i="6"/>
  <c r="P2206" i="6"/>
  <c r="O2206" i="6"/>
  <c r="N2206" i="6"/>
  <c r="P2205" i="6"/>
  <c r="O2205" i="6"/>
  <c r="N2205" i="6"/>
  <c r="P2204" i="6"/>
  <c r="O2204" i="6"/>
  <c r="N2204" i="6"/>
  <c r="P2203" i="6"/>
  <c r="O2203" i="6"/>
  <c r="N2203" i="6"/>
  <c r="P2202" i="6"/>
  <c r="O2202" i="6"/>
  <c r="N2202" i="6"/>
  <c r="P2201" i="6"/>
  <c r="O2201" i="6"/>
  <c r="N2201" i="6"/>
  <c r="P2200" i="6"/>
  <c r="O2200" i="6"/>
  <c r="N2200" i="6"/>
  <c r="P2199" i="6"/>
  <c r="O2199" i="6"/>
  <c r="N2199" i="6"/>
  <c r="P2198" i="6"/>
  <c r="O2198" i="6"/>
  <c r="N2198" i="6"/>
  <c r="P2197" i="6"/>
  <c r="O2197" i="6"/>
  <c r="N2197" i="6"/>
  <c r="P2196" i="6"/>
  <c r="O2196" i="6"/>
  <c r="N2196" i="6"/>
  <c r="P2195" i="6"/>
  <c r="O2195" i="6"/>
  <c r="N2195" i="6"/>
  <c r="P2194" i="6"/>
  <c r="O2194" i="6"/>
  <c r="N2194" i="6"/>
  <c r="P2193" i="6"/>
  <c r="O2193" i="6"/>
  <c r="N2193" i="6"/>
  <c r="P2192" i="6"/>
  <c r="O2192" i="6"/>
  <c r="N2192" i="6"/>
  <c r="P2191" i="6"/>
  <c r="O2191" i="6"/>
  <c r="N2191" i="6"/>
  <c r="P2190" i="6"/>
  <c r="O2190" i="6"/>
  <c r="N2190" i="6"/>
  <c r="P2189" i="6"/>
  <c r="O2189" i="6"/>
  <c r="N2189" i="6"/>
  <c r="P2188" i="6"/>
  <c r="O2188" i="6"/>
  <c r="N2188" i="6"/>
  <c r="P2187" i="6"/>
  <c r="O2187" i="6"/>
  <c r="N2187" i="6"/>
  <c r="P2186" i="6"/>
  <c r="O2186" i="6"/>
  <c r="N2186" i="6"/>
  <c r="P2185" i="6"/>
  <c r="O2185" i="6"/>
  <c r="N2185" i="6"/>
  <c r="P2184" i="6"/>
  <c r="O2184" i="6"/>
  <c r="N2184" i="6"/>
  <c r="P2183" i="6"/>
  <c r="O2183" i="6"/>
  <c r="N2183" i="6"/>
  <c r="P2182" i="6"/>
  <c r="O2182" i="6"/>
  <c r="N2182" i="6"/>
  <c r="P2181" i="6"/>
  <c r="O2181" i="6"/>
  <c r="N2181" i="6"/>
  <c r="P2180" i="6"/>
  <c r="O2180" i="6"/>
  <c r="N2180" i="6"/>
  <c r="P2179" i="6"/>
  <c r="O2179" i="6"/>
  <c r="N2179" i="6"/>
  <c r="P2178" i="6"/>
  <c r="O2178" i="6"/>
  <c r="N2178" i="6"/>
  <c r="P2177" i="6"/>
  <c r="O2177" i="6"/>
  <c r="N2177" i="6"/>
  <c r="P2176" i="6"/>
  <c r="O2176" i="6"/>
  <c r="N2176" i="6"/>
  <c r="P2175" i="6"/>
  <c r="O2175" i="6"/>
  <c r="N2175" i="6"/>
  <c r="P2174" i="6"/>
  <c r="O2174" i="6"/>
  <c r="N2174" i="6"/>
  <c r="P2173" i="6"/>
  <c r="O2173" i="6"/>
  <c r="N2173" i="6"/>
  <c r="P2172" i="6"/>
  <c r="O2172" i="6"/>
  <c r="N2172" i="6"/>
  <c r="P2171" i="6"/>
  <c r="O2171" i="6"/>
  <c r="N2171" i="6"/>
  <c r="P2170" i="6"/>
  <c r="O2170" i="6"/>
  <c r="N2170" i="6"/>
  <c r="P2169" i="6"/>
  <c r="O2169" i="6"/>
  <c r="N2169" i="6"/>
  <c r="P2168" i="6"/>
  <c r="O2168" i="6"/>
  <c r="N2168" i="6"/>
  <c r="P2167" i="6"/>
  <c r="O2167" i="6"/>
  <c r="N2167" i="6"/>
  <c r="P2166" i="6"/>
  <c r="O2166" i="6"/>
  <c r="N2166" i="6"/>
  <c r="P2165" i="6"/>
  <c r="O2165" i="6"/>
  <c r="N2165" i="6"/>
  <c r="P2164" i="6"/>
  <c r="O2164" i="6"/>
  <c r="N2164" i="6"/>
  <c r="P2163" i="6"/>
  <c r="O2163" i="6"/>
  <c r="N2163" i="6"/>
  <c r="P2162" i="6"/>
  <c r="O2162" i="6"/>
  <c r="N2162" i="6"/>
  <c r="P2161" i="6"/>
  <c r="O2161" i="6"/>
  <c r="N2161" i="6"/>
  <c r="P2160" i="6"/>
  <c r="O2160" i="6"/>
  <c r="N2160" i="6"/>
  <c r="P2159" i="6"/>
  <c r="O2159" i="6"/>
  <c r="N2159" i="6"/>
  <c r="P2158" i="6"/>
  <c r="O2158" i="6"/>
  <c r="N2158" i="6"/>
  <c r="P2157" i="6"/>
  <c r="O2157" i="6"/>
  <c r="N2157" i="6"/>
  <c r="P2156" i="6"/>
  <c r="O2156" i="6"/>
  <c r="N2156" i="6"/>
  <c r="P2155" i="6"/>
  <c r="O2155" i="6"/>
  <c r="N2155" i="6"/>
  <c r="P2154" i="6"/>
  <c r="O2154" i="6"/>
  <c r="N2154" i="6"/>
  <c r="P2153" i="6"/>
  <c r="O2153" i="6"/>
  <c r="N2153" i="6"/>
  <c r="P2152" i="6"/>
  <c r="O2152" i="6"/>
  <c r="N2152" i="6"/>
  <c r="P2151" i="6"/>
  <c r="O2151" i="6"/>
  <c r="N2151" i="6"/>
  <c r="P2150" i="6"/>
  <c r="O2150" i="6"/>
  <c r="N2150" i="6"/>
  <c r="P2149" i="6"/>
  <c r="O2149" i="6"/>
  <c r="N2149" i="6"/>
  <c r="P2148" i="6"/>
  <c r="O2148" i="6"/>
  <c r="N2148" i="6"/>
  <c r="P2147" i="6"/>
  <c r="O2147" i="6"/>
  <c r="N2147" i="6"/>
  <c r="P2146" i="6"/>
  <c r="O2146" i="6"/>
  <c r="N2146" i="6"/>
  <c r="P2145" i="6"/>
  <c r="O2145" i="6"/>
  <c r="N2145" i="6"/>
  <c r="P2144" i="6"/>
  <c r="O2144" i="6"/>
  <c r="N2144" i="6"/>
  <c r="P2143" i="6"/>
  <c r="O2143" i="6"/>
  <c r="N2143" i="6"/>
  <c r="P2142" i="6"/>
  <c r="O2142" i="6"/>
  <c r="N2142" i="6"/>
  <c r="P2141" i="6"/>
  <c r="O2141" i="6"/>
  <c r="N2141" i="6"/>
  <c r="P2140" i="6"/>
  <c r="O2140" i="6"/>
  <c r="N2140" i="6"/>
  <c r="P2139" i="6"/>
  <c r="O2139" i="6"/>
  <c r="N2139" i="6"/>
  <c r="P2138" i="6"/>
  <c r="O2138" i="6"/>
  <c r="N2138" i="6"/>
  <c r="P2137" i="6"/>
  <c r="O2137" i="6"/>
  <c r="N2137" i="6"/>
  <c r="P2136" i="6"/>
  <c r="O2136" i="6"/>
  <c r="N2136" i="6"/>
  <c r="P2135" i="6"/>
  <c r="O2135" i="6"/>
  <c r="N2135" i="6"/>
  <c r="P2134" i="6"/>
  <c r="O2134" i="6"/>
  <c r="N2134" i="6"/>
  <c r="P2133" i="6"/>
  <c r="O2133" i="6"/>
  <c r="N2133" i="6"/>
  <c r="P2132" i="6"/>
  <c r="O2132" i="6"/>
  <c r="N2132" i="6"/>
  <c r="P2131" i="6"/>
  <c r="O2131" i="6"/>
  <c r="N2131" i="6"/>
  <c r="P2130" i="6"/>
  <c r="O2130" i="6"/>
  <c r="N2130" i="6"/>
  <c r="P2129" i="6"/>
  <c r="O2129" i="6"/>
  <c r="N2129" i="6"/>
  <c r="P2128" i="6"/>
  <c r="O2128" i="6"/>
  <c r="N2128" i="6"/>
  <c r="P2127" i="6"/>
  <c r="O2127" i="6"/>
  <c r="N2127" i="6"/>
  <c r="P2126" i="6"/>
  <c r="O2126" i="6"/>
  <c r="N2126" i="6"/>
  <c r="P2125" i="6"/>
  <c r="O2125" i="6"/>
  <c r="N2125" i="6"/>
  <c r="P2124" i="6"/>
  <c r="O2124" i="6"/>
  <c r="N2124" i="6"/>
  <c r="P2123" i="6"/>
  <c r="O2123" i="6"/>
  <c r="N2123" i="6"/>
  <c r="P2122" i="6"/>
  <c r="O2122" i="6"/>
  <c r="N2122" i="6"/>
  <c r="P2121" i="6"/>
  <c r="O2121" i="6"/>
  <c r="N2121" i="6"/>
  <c r="P2120" i="6"/>
  <c r="O2120" i="6"/>
  <c r="N2120" i="6"/>
  <c r="P2119" i="6"/>
  <c r="O2119" i="6"/>
  <c r="N2119" i="6"/>
  <c r="P2118" i="6"/>
  <c r="O2118" i="6"/>
  <c r="N2118" i="6"/>
  <c r="P2117" i="6"/>
  <c r="O2117" i="6"/>
  <c r="N2117" i="6"/>
  <c r="P2116" i="6"/>
  <c r="O2116" i="6"/>
  <c r="N2116" i="6"/>
  <c r="P2115" i="6"/>
  <c r="O2115" i="6"/>
  <c r="N2115" i="6"/>
  <c r="P2114" i="6"/>
  <c r="O2114" i="6"/>
  <c r="N2114" i="6"/>
  <c r="P2113" i="6"/>
  <c r="O2113" i="6"/>
  <c r="N2113" i="6"/>
  <c r="P2112" i="6"/>
  <c r="O2112" i="6"/>
  <c r="N2112" i="6"/>
  <c r="P2111" i="6"/>
  <c r="O2111" i="6"/>
  <c r="N2111" i="6"/>
  <c r="P2110" i="6"/>
  <c r="O2110" i="6"/>
  <c r="N2110" i="6"/>
  <c r="P2109" i="6"/>
  <c r="O2109" i="6"/>
  <c r="N2109" i="6"/>
  <c r="P2108" i="6"/>
  <c r="O2108" i="6"/>
  <c r="N2108" i="6"/>
  <c r="P2107" i="6"/>
  <c r="O2107" i="6"/>
  <c r="N2107" i="6"/>
  <c r="P2106" i="6"/>
  <c r="O2106" i="6"/>
  <c r="N2106" i="6"/>
  <c r="P2105" i="6"/>
  <c r="O2105" i="6"/>
  <c r="N2105" i="6"/>
  <c r="P2104" i="6"/>
  <c r="O2104" i="6"/>
  <c r="N2104" i="6"/>
  <c r="P2103" i="6"/>
  <c r="O2103" i="6"/>
  <c r="N2103" i="6"/>
  <c r="P2102" i="6"/>
  <c r="O2102" i="6"/>
  <c r="N2102" i="6"/>
  <c r="P2101" i="6"/>
  <c r="O2101" i="6"/>
  <c r="N2101" i="6"/>
  <c r="P2100" i="6"/>
  <c r="O2100" i="6"/>
  <c r="N2100" i="6"/>
  <c r="P2099" i="6"/>
  <c r="O2099" i="6"/>
  <c r="N2099" i="6"/>
  <c r="P2098" i="6"/>
  <c r="O2098" i="6"/>
  <c r="N2098" i="6"/>
  <c r="P2097" i="6"/>
  <c r="O2097" i="6"/>
  <c r="N2097" i="6"/>
  <c r="P2096" i="6"/>
  <c r="O2096" i="6"/>
  <c r="N2096" i="6"/>
  <c r="P2095" i="6"/>
  <c r="O2095" i="6"/>
  <c r="N2095" i="6"/>
  <c r="P2094" i="6"/>
  <c r="O2094" i="6"/>
  <c r="N2094" i="6"/>
  <c r="P2093" i="6"/>
  <c r="O2093" i="6"/>
  <c r="N2093" i="6"/>
  <c r="P2092" i="6"/>
  <c r="O2092" i="6"/>
  <c r="N2092" i="6"/>
  <c r="P2091" i="6"/>
  <c r="O2091" i="6"/>
  <c r="N2091" i="6"/>
  <c r="P2090" i="6"/>
  <c r="O2090" i="6"/>
  <c r="N2090" i="6"/>
  <c r="P2089" i="6"/>
  <c r="O2089" i="6"/>
  <c r="N2089" i="6"/>
  <c r="P2088" i="6"/>
  <c r="O2088" i="6"/>
  <c r="N2088" i="6"/>
  <c r="P2087" i="6"/>
  <c r="O2087" i="6"/>
  <c r="N2087" i="6"/>
  <c r="P2086" i="6"/>
  <c r="O2086" i="6"/>
  <c r="N2086" i="6"/>
  <c r="P2085" i="6"/>
  <c r="O2085" i="6"/>
  <c r="N2085" i="6"/>
  <c r="P2084" i="6"/>
  <c r="O2084" i="6"/>
  <c r="N2084" i="6"/>
  <c r="P2083" i="6"/>
  <c r="O2083" i="6"/>
  <c r="N2083" i="6"/>
  <c r="P2082" i="6"/>
  <c r="O2082" i="6"/>
  <c r="N2082" i="6"/>
  <c r="P2081" i="6"/>
  <c r="O2081" i="6"/>
  <c r="N2081" i="6"/>
  <c r="P2080" i="6"/>
  <c r="O2080" i="6"/>
  <c r="N2080" i="6"/>
  <c r="P2079" i="6"/>
  <c r="O2079" i="6"/>
  <c r="N2079" i="6"/>
  <c r="P2078" i="6"/>
  <c r="O2078" i="6"/>
  <c r="N2078" i="6"/>
  <c r="P2077" i="6"/>
  <c r="O2077" i="6"/>
  <c r="N2077" i="6"/>
  <c r="P2076" i="6"/>
  <c r="O2076" i="6"/>
  <c r="N2076" i="6"/>
  <c r="P2075" i="6"/>
  <c r="O2075" i="6"/>
  <c r="N2075" i="6"/>
  <c r="P2074" i="6"/>
  <c r="O2074" i="6"/>
  <c r="N2074" i="6"/>
  <c r="P2073" i="6"/>
  <c r="O2073" i="6"/>
  <c r="N2073" i="6"/>
  <c r="P2072" i="6"/>
  <c r="O2072" i="6"/>
  <c r="N2072" i="6"/>
  <c r="P2071" i="6"/>
  <c r="O2071" i="6"/>
  <c r="N2071" i="6"/>
  <c r="P2070" i="6"/>
  <c r="O2070" i="6"/>
  <c r="N2070" i="6"/>
  <c r="P2069" i="6"/>
  <c r="O2069" i="6"/>
  <c r="N2069" i="6"/>
  <c r="P2068" i="6"/>
  <c r="O2068" i="6"/>
  <c r="N2068" i="6"/>
  <c r="P2067" i="6"/>
  <c r="O2067" i="6"/>
  <c r="N2067" i="6"/>
  <c r="P2066" i="6"/>
  <c r="O2066" i="6"/>
  <c r="N2066" i="6"/>
  <c r="P2065" i="6"/>
  <c r="O2065" i="6"/>
  <c r="N2065" i="6"/>
  <c r="P2064" i="6"/>
  <c r="O2064" i="6"/>
  <c r="N2064" i="6"/>
  <c r="P2063" i="6"/>
  <c r="O2063" i="6"/>
  <c r="N2063" i="6"/>
  <c r="P2062" i="6"/>
  <c r="O2062" i="6"/>
  <c r="N2062" i="6"/>
  <c r="P2061" i="6"/>
  <c r="O2061" i="6"/>
  <c r="N2061" i="6"/>
  <c r="P2060" i="6"/>
  <c r="O2060" i="6"/>
  <c r="N2060" i="6"/>
  <c r="P2059" i="6"/>
  <c r="O2059" i="6"/>
  <c r="N2059" i="6"/>
  <c r="P2058" i="6"/>
  <c r="O2058" i="6"/>
  <c r="N2058" i="6"/>
  <c r="P2057" i="6"/>
  <c r="O2057" i="6"/>
  <c r="N2057" i="6"/>
  <c r="P2056" i="6"/>
  <c r="O2056" i="6"/>
  <c r="N2056" i="6"/>
  <c r="P2055" i="6"/>
  <c r="O2055" i="6"/>
  <c r="N2055" i="6"/>
  <c r="P2054" i="6"/>
  <c r="O2054" i="6"/>
  <c r="N2054" i="6"/>
  <c r="P2053" i="6"/>
  <c r="O2053" i="6"/>
  <c r="N2053" i="6"/>
  <c r="P2052" i="6"/>
  <c r="O2052" i="6"/>
  <c r="N2052" i="6"/>
  <c r="P2051" i="6"/>
  <c r="O2051" i="6"/>
  <c r="N2051" i="6"/>
  <c r="P2050" i="6"/>
  <c r="O2050" i="6"/>
  <c r="N2050" i="6"/>
  <c r="P2049" i="6"/>
  <c r="O2049" i="6"/>
  <c r="N2049" i="6"/>
  <c r="P2048" i="6"/>
  <c r="O2048" i="6"/>
  <c r="N2048" i="6"/>
  <c r="P2047" i="6"/>
  <c r="O2047" i="6"/>
  <c r="N2047" i="6"/>
  <c r="P2046" i="6"/>
  <c r="O2046" i="6"/>
  <c r="N2046" i="6"/>
  <c r="P2045" i="6"/>
  <c r="O2045" i="6"/>
  <c r="N2045" i="6"/>
  <c r="P2044" i="6"/>
  <c r="O2044" i="6"/>
  <c r="N2044" i="6"/>
  <c r="P2043" i="6"/>
  <c r="O2043" i="6"/>
  <c r="N2043" i="6"/>
  <c r="P2042" i="6"/>
  <c r="O2042" i="6"/>
  <c r="N2042" i="6"/>
  <c r="P2041" i="6"/>
  <c r="O2041" i="6"/>
  <c r="N2041" i="6"/>
  <c r="P2040" i="6"/>
  <c r="O2040" i="6"/>
  <c r="N2040" i="6"/>
  <c r="P2039" i="6"/>
  <c r="O2039" i="6"/>
  <c r="N2039" i="6"/>
  <c r="P2038" i="6"/>
  <c r="O2038" i="6"/>
  <c r="N2038" i="6"/>
  <c r="P2037" i="6"/>
  <c r="O2037" i="6"/>
  <c r="N2037" i="6"/>
  <c r="P2036" i="6"/>
  <c r="O2036" i="6"/>
  <c r="N2036" i="6"/>
  <c r="P2035" i="6"/>
  <c r="O2035" i="6"/>
  <c r="N2035" i="6"/>
  <c r="P2034" i="6"/>
  <c r="O2034" i="6"/>
  <c r="N2034" i="6"/>
  <c r="P2033" i="6"/>
  <c r="O2033" i="6"/>
  <c r="N2033" i="6"/>
  <c r="P2032" i="6"/>
  <c r="O2032" i="6"/>
  <c r="N2032" i="6"/>
  <c r="P2031" i="6"/>
  <c r="O2031" i="6"/>
  <c r="N2031" i="6"/>
  <c r="P2030" i="6"/>
  <c r="O2030" i="6"/>
  <c r="N2030" i="6"/>
  <c r="P2029" i="6"/>
  <c r="O2029" i="6"/>
  <c r="N2029" i="6"/>
  <c r="P2028" i="6"/>
  <c r="O2028" i="6"/>
  <c r="N2028" i="6"/>
  <c r="P2027" i="6"/>
  <c r="O2027" i="6"/>
  <c r="N2027" i="6"/>
  <c r="P2026" i="6"/>
  <c r="O2026" i="6"/>
  <c r="N2026" i="6"/>
  <c r="P2025" i="6"/>
  <c r="O2025" i="6"/>
  <c r="N2025" i="6"/>
  <c r="P2024" i="6"/>
  <c r="O2024" i="6"/>
  <c r="N2024" i="6"/>
  <c r="P2023" i="6"/>
  <c r="O2023" i="6"/>
  <c r="N2023" i="6"/>
  <c r="P2022" i="6"/>
  <c r="O2022" i="6"/>
  <c r="N2022" i="6"/>
  <c r="P2021" i="6"/>
  <c r="O2021" i="6"/>
  <c r="N2021" i="6"/>
  <c r="P2020" i="6"/>
  <c r="O2020" i="6"/>
  <c r="N2020" i="6"/>
  <c r="P2019" i="6"/>
  <c r="O2019" i="6"/>
  <c r="N2019" i="6"/>
  <c r="P2018" i="6"/>
  <c r="O2018" i="6"/>
  <c r="N2018" i="6"/>
  <c r="P2017" i="6"/>
  <c r="O2017" i="6"/>
  <c r="N2017" i="6"/>
  <c r="P2016" i="6"/>
  <c r="O2016" i="6"/>
  <c r="N2016" i="6"/>
  <c r="P2015" i="6"/>
  <c r="O2015" i="6"/>
  <c r="N2015" i="6"/>
  <c r="P2014" i="6"/>
  <c r="O2014" i="6"/>
  <c r="N2014" i="6"/>
  <c r="P2013" i="6"/>
  <c r="O2013" i="6"/>
  <c r="N2013" i="6"/>
  <c r="P2012" i="6"/>
  <c r="O2012" i="6"/>
  <c r="N2012" i="6"/>
  <c r="P2011" i="6"/>
  <c r="O2011" i="6"/>
  <c r="N2011" i="6"/>
  <c r="P2010" i="6"/>
  <c r="O2010" i="6"/>
  <c r="N2010" i="6"/>
  <c r="P2009" i="6"/>
  <c r="O2009" i="6"/>
  <c r="N2009" i="6"/>
  <c r="P2008" i="6"/>
  <c r="O2008" i="6"/>
  <c r="N2008" i="6"/>
  <c r="P2007" i="6"/>
  <c r="O2007" i="6"/>
  <c r="N2007" i="6"/>
  <c r="P2006" i="6"/>
  <c r="O2006" i="6"/>
  <c r="N2006" i="6"/>
  <c r="P2005" i="6"/>
  <c r="O2005" i="6"/>
  <c r="N2005" i="6"/>
  <c r="P2004" i="6"/>
  <c r="O2004" i="6"/>
  <c r="N2004" i="6"/>
  <c r="P2003" i="6"/>
  <c r="O2003" i="6"/>
  <c r="N2003" i="6"/>
  <c r="P2002" i="6"/>
  <c r="O2002" i="6"/>
  <c r="N2002" i="6"/>
  <c r="P2001" i="6"/>
  <c r="O2001" i="6"/>
  <c r="N2001" i="6"/>
  <c r="P2000" i="6"/>
  <c r="O2000" i="6"/>
  <c r="N2000" i="6"/>
  <c r="P1999" i="6"/>
  <c r="O1999" i="6"/>
  <c r="N1999" i="6"/>
  <c r="P1998" i="6"/>
  <c r="O1998" i="6"/>
  <c r="N1998" i="6"/>
  <c r="P1997" i="6"/>
  <c r="O1997" i="6"/>
  <c r="N1997" i="6"/>
  <c r="P1996" i="6"/>
  <c r="O1996" i="6"/>
  <c r="N1996" i="6"/>
  <c r="P1995" i="6"/>
  <c r="O1995" i="6"/>
  <c r="N1995" i="6"/>
  <c r="P1994" i="6"/>
  <c r="O1994" i="6"/>
  <c r="N1994" i="6"/>
  <c r="P1993" i="6"/>
  <c r="O1993" i="6"/>
  <c r="N1993" i="6"/>
  <c r="P1992" i="6"/>
  <c r="O1992" i="6"/>
  <c r="N1992" i="6"/>
  <c r="P1991" i="6"/>
  <c r="O1991" i="6"/>
  <c r="N1991" i="6"/>
  <c r="P1990" i="6"/>
  <c r="O1990" i="6"/>
  <c r="N1990" i="6"/>
  <c r="P1989" i="6"/>
  <c r="O1989" i="6"/>
  <c r="N1989" i="6"/>
  <c r="P1988" i="6"/>
  <c r="O1988" i="6"/>
  <c r="N1988" i="6"/>
  <c r="P1987" i="6"/>
  <c r="O1987" i="6"/>
  <c r="N1987" i="6"/>
  <c r="P1986" i="6"/>
  <c r="O1986" i="6"/>
  <c r="N1986" i="6"/>
  <c r="P1985" i="6"/>
  <c r="O1985" i="6"/>
  <c r="N1985" i="6"/>
  <c r="P1984" i="6"/>
  <c r="O1984" i="6"/>
  <c r="N1984" i="6"/>
  <c r="P1983" i="6"/>
  <c r="O1983" i="6"/>
  <c r="N1983" i="6"/>
  <c r="P1982" i="6"/>
  <c r="O1982" i="6"/>
  <c r="N1982" i="6"/>
  <c r="P1981" i="6"/>
  <c r="O1981" i="6"/>
  <c r="N1981" i="6"/>
  <c r="P1980" i="6"/>
  <c r="O1980" i="6"/>
  <c r="N1980" i="6"/>
  <c r="P1979" i="6"/>
  <c r="O1979" i="6"/>
  <c r="N1979" i="6"/>
  <c r="P1978" i="6"/>
  <c r="O1978" i="6"/>
  <c r="N1978" i="6"/>
  <c r="P1977" i="6"/>
  <c r="O1977" i="6"/>
  <c r="N1977" i="6"/>
  <c r="P1976" i="6"/>
  <c r="O1976" i="6"/>
  <c r="N1976" i="6"/>
  <c r="P1975" i="6"/>
  <c r="O1975" i="6"/>
  <c r="N1975" i="6"/>
  <c r="P1974" i="6"/>
  <c r="O1974" i="6"/>
  <c r="N1974" i="6"/>
  <c r="P1973" i="6"/>
  <c r="O1973" i="6"/>
  <c r="N1973" i="6"/>
  <c r="P1972" i="6"/>
  <c r="O1972" i="6"/>
  <c r="N1972" i="6"/>
  <c r="P1971" i="6"/>
  <c r="O1971" i="6"/>
  <c r="N1971" i="6"/>
  <c r="P1970" i="6"/>
  <c r="O1970" i="6"/>
  <c r="N1970" i="6"/>
  <c r="P1969" i="6"/>
  <c r="O1969" i="6"/>
  <c r="N1969" i="6"/>
  <c r="P1968" i="6"/>
  <c r="O1968" i="6"/>
  <c r="N1968" i="6"/>
  <c r="P1967" i="6"/>
  <c r="O1967" i="6"/>
  <c r="N1967" i="6"/>
  <c r="P1966" i="6"/>
  <c r="O1966" i="6"/>
  <c r="N1966" i="6"/>
  <c r="P1965" i="6"/>
  <c r="O1965" i="6"/>
  <c r="N1965" i="6"/>
  <c r="P1964" i="6"/>
  <c r="O1964" i="6"/>
  <c r="N1964" i="6"/>
  <c r="P1963" i="6"/>
  <c r="O1963" i="6"/>
  <c r="N1963" i="6"/>
  <c r="P1962" i="6"/>
  <c r="O1962" i="6"/>
  <c r="N1962" i="6"/>
  <c r="P1961" i="6"/>
  <c r="O1961" i="6"/>
  <c r="N1961" i="6"/>
  <c r="P1960" i="6"/>
  <c r="O1960" i="6"/>
  <c r="N1960" i="6"/>
  <c r="P1959" i="6"/>
  <c r="O1959" i="6"/>
  <c r="N1959" i="6"/>
  <c r="P1958" i="6"/>
  <c r="O1958" i="6"/>
  <c r="N1958" i="6"/>
  <c r="P1957" i="6"/>
  <c r="O1957" i="6"/>
  <c r="N1957" i="6"/>
  <c r="P1956" i="6"/>
  <c r="O1956" i="6"/>
  <c r="N1956" i="6"/>
  <c r="P1955" i="6"/>
  <c r="O1955" i="6"/>
  <c r="N1955" i="6"/>
  <c r="P1954" i="6"/>
  <c r="O1954" i="6"/>
  <c r="N1954" i="6"/>
  <c r="P1953" i="6"/>
  <c r="O1953" i="6"/>
  <c r="N1953" i="6"/>
  <c r="P1952" i="6"/>
  <c r="O1952" i="6"/>
  <c r="N1952" i="6"/>
  <c r="P1951" i="6"/>
  <c r="O1951" i="6"/>
  <c r="N1951" i="6"/>
  <c r="P1950" i="6"/>
  <c r="O1950" i="6"/>
  <c r="N1950" i="6"/>
  <c r="P1949" i="6"/>
  <c r="O1949" i="6"/>
  <c r="N1949" i="6"/>
  <c r="P1948" i="6"/>
  <c r="O1948" i="6"/>
  <c r="N1948" i="6"/>
  <c r="P1947" i="6"/>
  <c r="O1947" i="6"/>
  <c r="N1947" i="6"/>
  <c r="P1946" i="6"/>
  <c r="O1946" i="6"/>
  <c r="N1946" i="6"/>
  <c r="P1945" i="6"/>
  <c r="O1945" i="6"/>
  <c r="N1945" i="6"/>
  <c r="P1944" i="6"/>
  <c r="O1944" i="6"/>
  <c r="N1944" i="6"/>
  <c r="P1943" i="6"/>
  <c r="O1943" i="6"/>
  <c r="N1943" i="6"/>
  <c r="P1942" i="6"/>
  <c r="O1942" i="6"/>
  <c r="N1942" i="6"/>
  <c r="P1941" i="6"/>
  <c r="O1941" i="6"/>
  <c r="N1941" i="6"/>
  <c r="P1940" i="6"/>
  <c r="O1940" i="6"/>
  <c r="N1940" i="6"/>
  <c r="P1939" i="6"/>
  <c r="O1939" i="6"/>
  <c r="N1939" i="6"/>
  <c r="P1938" i="6"/>
  <c r="O1938" i="6"/>
  <c r="N1938" i="6"/>
  <c r="P1937" i="6"/>
  <c r="O1937" i="6"/>
  <c r="N1937" i="6"/>
  <c r="P1936" i="6"/>
  <c r="O1936" i="6"/>
  <c r="N1936" i="6"/>
  <c r="P1935" i="6"/>
  <c r="O1935" i="6"/>
  <c r="N1935" i="6"/>
  <c r="P1934" i="6"/>
  <c r="O1934" i="6"/>
  <c r="N1934" i="6"/>
  <c r="P1933" i="6"/>
  <c r="O1933" i="6"/>
  <c r="N1933" i="6"/>
  <c r="P1932" i="6"/>
  <c r="O1932" i="6"/>
  <c r="N1932" i="6"/>
  <c r="P1931" i="6"/>
  <c r="O1931" i="6"/>
  <c r="N1931" i="6"/>
  <c r="P1930" i="6"/>
  <c r="O1930" i="6"/>
  <c r="N1930" i="6"/>
  <c r="P1929" i="6"/>
  <c r="O1929" i="6"/>
  <c r="N1929" i="6"/>
  <c r="P1928" i="6"/>
  <c r="O1928" i="6"/>
  <c r="N1928" i="6"/>
  <c r="P1927" i="6"/>
  <c r="O1927" i="6"/>
  <c r="N1927" i="6"/>
  <c r="P1926" i="6"/>
  <c r="O1926" i="6"/>
  <c r="N1926" i="6"/>
  <c r="P1925" i="6"/>
  <c r="O1925" i="6"/>
  <c r="N1925" i="6"/>
  <c r="P1924" i="6"/>
  <c r="O1924" i="6"/>
  <c r="N1924" i="6"/>
  <c r="P1923" i="6"/>
  <c r="O1923" i="6"/>
  <c r="N1923" i="6"/>
  <c r="P1922" i="6"/>
  <c r="O1922" i="6"/>
  <c r="N1922" i="6"/>
  <c r="P1921" i="6"/>
  <c r="O1921" i="6"/>
  <c r="N1921" i="6"/>
  <c r="P1920" i="6"/>
  <c r="O1920" i="6"/>
  <c r="N1920" i="6"/>
  <c r="P1919" i="6"/>
  <c r="O1919" i="6"/>
  <c r="N1919" i="6"/>
  <c r="P1918" i="6"/>
  <c r="O1918" i="6"/>
  <c r="N1918" i="6"/>
  <c r="P1917" i="6"/>
  <c r="O1917" i="6"/>
  <c r="N1917" i="6"/>
  <c r="P1916" i="6"/>
  <c r="O1916" i="6"/>
  <c r="N1916" i="6"/>
  <c r="P1915" i="6"/>
  <c r="O1915" i="6"/>
  <c r="N1915" i="6"/>
  <c r="P1914" i="6"/>
  <c r="O1914" i="6"/>
  <c r="N1914" i="6"/>
  <c r="P1913" i="6"/>
  <c r="O1913" i="6"/>
  <c r="N1913" i="6"/>
  <c r="P1912" i="6"/>
  <c r="O1912" i="6"/>
  <c r="N1912" i="6"/>
  <c r="P1911" i="6"/>
  <c r="O1911" i="6"/>
  <c r="N1911" i="6"/>
  <c r="P1910" i="6"/>
  <c r="O1910" i="6"/>
  <c r="N1910" i="6"/>
  <c r="P1909" i="6"/>
  <c r="O1909" i="6"/>
  <c r="N1909" i="6"/>
  <c r="P1908" i="6"/>
  <c r="O1908" i="6"/>
  <c r="N1908" i="6"/>
  <c r="P1907" i="6"/>
  <c r="O1907" i="6"/>
  <c r="N1907" i="6"/>
  <c r="P1906" i="6"/>
  <c r="O1906" i="6"/>
  <c r="N1906" i="6"/>
  <c r="P1905" i="6"/>
  <c r="O1905" i="6"/>
  <c r="N1905" i="6"/>
  <c r="P1904" i="6"/>
  <c r="O1904" i="6"/>
  <c r="N1904" i="6"/>
  <c r="P1903" i="6"/>
  <c r="O1903" i="6"/>
  <c r="N1903" i="6"/>
  <c r="P1902" i="6"/>
  <c r="O1902" i="6"/>
  <c r="N1902" i="6"/>
  <c r="P1901" i="6"/>
  <c r="O1901" i="6"/>
  <c r="N1901" i="6"/>
  <c r="P1900" i="6"/>
  <c r="O1900" i="6"/>
  <c r="N1900" i="6"/>
  <c r="P1899" i="6"/>
  <c r="O1899" i="6"/>
  <c r="N1899" i="6"/>
  <c r="P1898" i="6"/>
  <c r="O1898" i="6"/>
  <c r="N1898" i="6"/>
  <c r="P1897" i="6"/>
  <c r="O1897" i="6"/>
  <c r="N1897" i="6"/>
  <c r="P1896" i="6"/>
  <c r="O1896" i="6"/>
  <c r="N1896" i="6"/>
  <c r="P1895" i="6"/>
  <c r="O1895" i="6"/>
  <c r="N1895" i="6"/>
  <c r="P1894" i="6"/>
  <c r="O1894" i="6"/>
  <c r="N1894" i="6"/>
  <c r="P1893" i="6"/>
  <c r="O1893" i="6"/>
  <c r="N1893" i="6"/>
  <c r="P1892" i="6"/>
  <c r="O1892" i="6"/>
  <c r="N1892" i="6"/>
  <c r="P1891" i="6"/>
  <c r="O1891" i="6"/>
  <c r="N1891" i="6"/>
  <c r="P1890" i="6"/>
  <c r="O1890" i="6"/>
  <c r="N1890" i="6"/>
  <c r="P1889" i="6"/>
  <c r="O1889" i="6"/>
  <c r="N1889" i="6"/>
  <c r="P1888" i="6"/>
  <c r="O1888" i="6"/>
  <c r="N1888" i="6"/>
  <c r="P1887" i="6"/>
  <c r="O1887" i="6"/>
  <c r="N1887" i="6"/>
  <c r="P1886" i="6"/>
  <c r="O1886" i="6"/>
  <c r="N1886" i="6"/>
  <c r="P1885" i="6"/>
  <c r="O1885" i="6"/>
  <c r="N1885" i="6"/>
  <c r="P1884" i="6"/>
  <c r="O1884" i="6"/>
  <c r="N1884" i="6"/>
  <c r="P1883" i="6"/>
  <c r="O1883" i="6"/>
  <c r="N1883" i="6"/>
  <c r="P1882" i="6"/>
  <c r="O1882" i="6"/>
  <c r="N1882" i="6"/>
  <c r="P1881" i="6"/>
  <c r="O1881" i="6"/>
  <c r="N1881" i="6"/>
  <c r="P1880" i="6"/>
  <c r="O1880" i="6"/>
  <c r="N1880" i="6"/>
  <c r="P1879" i="6"/>
  <c r="O1879" i="6"/>
  <c r="N1879" i="6"/>
  <c r="P1878" i="6"/>
  <c r="O1878" i="6"/>
  <c r="N1878" i="6"/>
  <c r="P1877" i="6"/>
  <c r="O1877" i="6"/>
  <c r="N1877" i="6"/>
  <c r="P1876" i="6"/>
  <c r="O1876" i="6"/>
  <c r="N1876" i="6"/>
  <c r="P1875" i="6"/>
  <c r="O1875" i="6"/>
  <c r="N1875" i="6"/>
  <c r="P1874" i="6"/>
  <c r="O1874" i="6"/>
  <c r="N1874" i="6"/>
  <c r="P1873" i="6"/>
  <c r="O1873" i="6"/>
  <c r="N1873" i="6"/>
  <c r="P1872" i="6"/>
  <c r="O1872" i="6"/>
  <c r="N1872" i="6"/>
  <c r="P1871" i="6"/>
  <c r="O1871" i="6"/>
  <c r="N1871" i="6"/>
  <c r="P1870" i="6"/>
  <c r="O1870" i="6"/>
  <c r="N1870" i="6"/>
  <c r="P1869" i="6"/>
  <c r="O1869" i="6"/>
  <c r="N1869" i="6"/>
  <c r="P1868" i="6"/>
  <c r="O1868" i="6"/>
  <c r="N1868" i="6"/>
  <c r="P1867" i="6"/>
  <c r="O1867" i="6"/>
  <c r="N1867" i="6"/>
  <c r="P1866" i="6"/>
  <c r="O1866" i="6"/>
  <c r="N1866" i="6"/>
  <c r="P1865" i="6"/>
  <c r="O1865" i="6"/>
  <c r="N1865" i="6"/>
  <c r="P1864" i="6"/>
  <c r="O1864" i="6"/>
  <c r="N1864" i="6"/>
  <c r="P1863" i="6"/>
  <c r="O1863" i="6"/>
  <c r="N1863" i="6"/>
  <c r="P1862" i="6"/>
  <c r="O1862" i="6"/>
  <c r="N1862" i="6"/>
  <c r="P1861" i="6"/>
  <c r="O1861" i="6"/>
  <c r="N1861" i="6"/>
  <c r="P1860" i="6"/>
  <c r="O1860" i="6"/>
  <c r="N1860" i="6"/>
  <c r="P1859" i="6"/>
  <c r="O1859" i="6"/>
  <c r="N1859" i="6"/>
  <c r="P1858" i="6"/>
  <c r="O1858" i="6"/>
  <c r="N1858" i="6"/>
  <c r="P1857" i="6"/>
  <c r="O1857" i="6"/>
  <c r="N1857" i="6"/>
  <c r="P1856" i="6"/>
  <c r="O1856" i="6"/>
  <c r="N1856" i="6"/>
  <c r="P1855" i="6"/>
  <c r="O1855" i="6"/>
  <c r="N1855" i="6"/>
  <c r="P1854" i="6"/>
  <c r="O1854" i="6"/>
  <c r="N1854" i="6"/>
  <c r="P1853" i="6"/>
  <c r="O1853" i="6"/>
  <c r="N1853" i="6"/>
  <c r="P1852" i="6"/>
  <c r="O1852" i="6"/>
  <c r="N1852" i="6"/>
  <c r="P1851" i="6"/>
  <c r="O1851" i="6"/>
  <c r="N1851" i="6"/>
  <c r="P1850" i="6"/>
  <c r="O1850" i="6"/>
  <c r="N1850" i="6"/>
  <c r="P1849" i="6"/>
  <c r="O1849" i="6"/>
  <c r="N1849" i="6"/>
  <c r="P1848" i="6"/>
  <c r="O1848" i="6"/>
  <c r="N1848" i="6"/>
  <c r="P1847" i="6"/>
  <c r="O1847" i="6"/>
  <c r="N1847" i="6"/>
  <c r="P1846" i="6"/>
  <c r="O1846" i="6"/>
  <c r="N1846" i="6"/>
  <c r="P1845" i="6"/>
  <c r="O1845" i="6"/>
  <c r="N1845" i="6"/>
  <c r="P1844" i="6"/>
  <c r="O1844" i="6"/>
  <c r="N1844" i="6"/>
  <c r="P1843" i="6"/>
  <c r="O1843" i="6"/>
  <c r="N1843" i="6"/>
  <c r="P1842" i="6"/>
  <c r="O1842" i="6"/>
  <c r="N1842" i="6"/>
  <c r="P1841" i="6"/>
  <c r="O1841" i="6"/>
  <c r="N1841" i="6"/>
  <c r="P1840" i="6"/>
  <c r="O1840" i="6"/>
  <c r="N1840" i="6"/>
  <c r="P1839" i="6"/>
  <c r="O1839" i="6"/>
  <c r="N1839" i="6"/>
  <c r="P1838" i="6"/>
  <c r="O1838" i="6"/>
  <c r="N1838" i="6"/>
  <c r="P1837" i="6"/>
  <c r="O1837" i="6"/>
  <c r="N1837" i="6"/>
  <c r="P1836" i="6"/>
  <c r="O1836" i="6"/>
  <c r="N1836" i="6"/>
  <c r="P1835" i="6"/>
  <c r="O1835" i="6"/>
  <c r="N1835" i="6"/>
  <c r="P1834" i="6"/>
  <c r="O1834" i="6"/>
  <c r="N1834" i="6"/>
  <c r="P1833" i="6"/>
  <c r="O1833" i="6"/>
  <c r="N1833" i="6"/>
  <c r="P1832" i="6"/>
  <c r="O1832" i="6"/>
  <c r="N1832" i="6"/>
  <c r="P1831" i="6"/>
  <c r="O1831" i="6"/>
  <c r="N1831" i="6"/>
  <c r="P1830" i="6"/>
  <c r="O1830" i="6"/>
  <c r="N1830" i="6"/>
  <c r="P1829" i="6"/>
  <c r="O1829" i="6"/>
  <c r="N1829" i="6"/>
  <c r="P1828" i="6"/>
  <c r="O1828" i="6"/>
  <c r="N1828" i="6"/>
  <c r="P1827" i="6"/>
  <c r="O1827" i="6"/>
  <c r="N1827" i="6"/>
  <c r="P1826" i="6"/>
  <c r="O1826" i="6"/>
  <c r="N1826" i="6"/>
  <c r="P1825" i="6"/>
  <c r="O1825" i="6"/>
  <c r="N1825" i="6"/>
  <c r="P1824" i="6"/>
  <c r="O1824" i="6"/>
  <c r="N1824" i="6"/>
  <c r="P1823" i="6"/>
  <c r="O1823" i="6"/>
  <c r="N1823" i="6"/>
  <c r="P1822" i="6"/>
  <c r="O1822" i="6"/>
  <c r="N1822" i="6"/>
  <c r="P1821" i="6"/>
  <c r="O1821" i="6"/>
  <c r="N1821" i="6"/>
  <c r="P1820" i="6"/>
  <c r="O1820" i="6"/>
  <c r="N1820" i="6"/>
  <c r="P1819" i="6"/>
  <c r="O1819" i="6"/>
  <c r="N1819" i="6"/>
  <c r="P1818" i="6"/>
  <c r="O1818" i="6"/>
  <c r="N1818" i="6"/>
  <c r="P1817" i="6"/>
  <c r="O1817" i="6"/>
  <c r="N1817" i="6"/>
  <c r="P1816" i="6"/>
  <c r="O1816" i="6"/>
  <c r="N1816" i="6"/>
  <c r="P1815" i="6"/>
  <c r="O1815" i="6"/>
  <c r="N1815" i="6"/>
  <c r="P1814" i="6"/>
  <c r="O1814" i="6"/>
  <c r="N1814" i="6"/>
  <c r="P1813" i="6"/>
  <c r="O1813" i="6"/>
  <c r="N1813" i="6"/>
  <c r="P1812" i="6"/>
  <c r="O1812" i="6"/>
  <c r="N1812" i="6"/>
  <c r="P1811" i="6"/>
  <c r="O1811" i="6"/>
  <c r="N1811" i="6"/>
  <c r="P1810" i="6"/>
  <c r="O1810" i="6"/>
  <c r="N1810" i="6"/>
  <c r="P1809" i="6"/>
  <c r="O1809" i="6"/>
  <c r="N1809" i="6"/>
  <c r="P1808" i="6"/>
  <c r="O1808" i="6"/>
  <c r="N1808" i="6"/>
  <c r="P1807" i="6"/>
  <c r="O1807" i="6"/>
  <c r="N1807" i="6"/>
  <c r="P1806" i="6"/>
  <c r="O1806" i="6"/>
  <c r="N1806" i="6"/>
  <c r="P1805" i="6"/>
  <c r="O1805" i="6"/>
  <c r="N1805" i="6"/>
  <c r="P1804" i="6"/>
  <c r="O1804" i="6"/>
  <c r="N1804" i="6"/>
  <c r="P1803" i="6"/>
  <c r="O1803" i="6"/>
  <c r="N1803" i="6"/>
  <c r="P1802" i="6"/>
  <c r="O1802" i="6"/>
  <c r="N1802" i="6"/>
  <c r="P1801" i="6"/>
  <c r="O1801" i="6"/>
  <c r="N1801" i="6"/>
  <c r="P1800" i="6"/>
  <c r="O1800" i="6"/>
  <c r="N1800" i="6"/>
  <c r="P1799" i="6"/>
  <c r="O1799" i="6"/>
  <c r="N1799" i="6"/>
  <c r="P1798" i="6"/>
  <c r="O1798" i="6"/>
  <c r="N1798" i="6"/>
  <c r="P1797" i="6"/>
  <c r="O1797" i="6"/>
  <c r="N1797" i="6"/>
  <c r="P1796" i="6"/>
  <c r="O1796" i="6"/>
  <c r="N1796" i="6"/>
  <c r="P1795" i="6"/>
  <c r="O1795" i="6"/>
  <c r="N1795" i="6"/>
  <c r="P1794" i="6"/>
  <c r="O1794" i="6"/>
  <c r="N1794" i="6"/>
  <c r="P1793" i="6"/>
  <c r="O1793" i="6"/>
  <c r="N1793" i="6"/>
  <c r="P1792" i="6"/>
  <c r="O1792" i="6"/>
  <c r="N1792" i="6"/>
  <c r="P1791" i="6"/>
  <c r="O1791" i="6"/>
  <c r="N1791" i="6"/>
  <c r="P1790" i="6"/>
  <c r="O1790" i="6"/>
  <c r="N1790" i="6"/>
  <c r="P1789" i="6"/>
  <c r="O1789" i="6"/>
  <c r="N1789" i="6"/>
  <c r="P1788" i="6"/>
  <c r="O1788" i="6"/>
  <c r="N1788" i="6"/>
  <c r="P1787" i="6"/>
  <c r="O1787" i="6"/>
  <c r="N1787" i="6"/>
  <c r="P1786" i="6"/>
  <c r="O1786" i="6"/>
  <c r="N1786" i="6"/>
  <c r="P1785" i="6"/>
  <c r="O1785" i="6"/>
  <c r="N1785" i="6"/>
  <c r="P1784" i="6"/>
  <c r="O1784" i="6"/>
  <c r="N1784" i="6"/>
  <c r="P1783" i="6"/>
  <c r="O1783" i="6"/>
  <c r="N1783" i="6"/>
  <c r="P1782" i="6"/>
  <c r="O1782" i="6"/>
  <c r="N1782" i="6"/>
  <c r="P1781" i="6"/>
  <c r="O1781" i="6"/>
  <c r="N1781" i="6"/>
  <c r="P1780" i="6"/>
  <c r="O1780" i="6"/>
  <c r="N1780" i="6"/>
  <c r="P1779" i="6"/>
  <c r="O1779" i="6"/>
  <c r="N1779" i="6"/>
  <c r="P1778" i="6"/>
  <c r="O1778" i="6"/>
  <c r="N1778" i="6"/>
  <c r="P1777" i="6"/>
  <c r="O1777" i="6"/>
  <c r="N1777" i="6"/>
  <c r="P1776" i="6"/>
  <c r="O1776" i="6"/>
  <c r="N1776" i="6"/>
  <c r="P1775" i="6"/>
  <c r="O1775" i="6"/>
  <c r="N1775" i="6"/>
  <c r="P1774" i="6"/>
  <c r="O1774" i="6"/>
  <c r="N1774" i="6"/>
  <c r="P1773" i="6"/>
  <c r="O1773" i="6"/>
  <c r="N1773" i="6"/>
  <c r="P1772" i="6"/>
  <c r="O1772" i="6"/>
  <c r="N1772" i="6"/>
  <c r="P1771" i="6"/>
  <c r="O1771" i="6"/>
  <c r="N1771" i="6"/>
  <c r="P1770" i="6"/>
  <c r="O1770" i="6"/>
  <c r="N1770" i="6"/>
  <c r="P1769" i="6"/>
  <c r="O1769" i="6"/>
  <c r="N1769" i="6"/>
  <c r="P1768" i="6"/>
  <c r="O1768" i="6"/>
  <c r="N1768" i="6"/>
  <c r="P1767" i="6"/>
  <c r="O1767" i="6"/>
  <c r="N1767" i="6"/>
  <c r="P1766" i="6"/>
  <c r="O1766" i="6"/>
  <c r="N1766" i="6"/>
  <c r="P1765" i="6"/>
  <c r="O1765" i="6"/>
  <c r="N1765" i="6"/>
  <c r="P1764" i="6"/>
  <c r="O1764" i="6"/>
  <c r="N1764" i="6"/>
  <c r="P1763" i="6"/>
  <c r="O1763" i="6"/>
  <c r="N1763" i="6"/>
  <c r="P1762" i="6"/>
  <c r="O1762" i="6"/>
  <c r="N1762" i="6"/>
  <c r="P1761" i="6"/>
  <c r="O1761" i="6"/>
  <c r="N1761" i="6"/>
  <c r="P1760" i="6"/>
  <c r="O1760" i="6"/>
  <c r="N1760" i="6"/>
  <c r="P1759" i="6"/>
  <c r="O1759" i="6"/>
  <c r="N1759" i="6"/>
  <c r="P1758" i="6"/>
  <c r="O1758" i="6"/>
  <c r="N1758" i="6"/>
  <c r="P1757" i="6"/>
  <c r="O1757" i="6"/>
  <c r="N1757" i="6"/>
  <c r="P1756" i="6"/>
  <c r="O1756" i="6"/>
  <c r="N1756" i="6"/>
  <c r="P1755" i="6"/>
  <c r="O1755" i="6"/>
  <c r="N1755" i="6"/>
  <c r="P1754" i="6"/>
  <c r="O1754" i="6"/>
  <c r="N1754" i="6"/>
  <c r="P1753" i="6"/>
  <c r="O1753" i="6"/>
  <c r="N1753" i="6"/>
  <c r="P1752" i="6"/>
  <c r="O1752" i="6"/>
  <c r="N1752" i="6"/>
  <c r="P1751" i="6"/>
  <c r="O1751" i="6"/>
  <c r="N1751" i="6"/>
  <c r="P1750" i="6"/>
  <c r="O1750" i="6"/>
  <c r="N1750" i="6"/>
  <c r="P1749" i="6"/>
  <c r="O1749" i="6"/>
  <c r="N1749" i="6"/>
  <c r="P1748" i="6"/>
  <c r="O1748" i="6"/>
  <c r="N1748" i="6"/>
  <c r="P1747" i="6"/>
  <c r="O1747" i="6"/>
  <c r="N1747" i="6"/>
  <c r="P1746" i="6"/>
  <c r="O1746" i="6"/>
  <c r="N1746" i="6"/>
  <c r="P1745" i="6"/>
  <c r="O1745" i="6"/>
  <c r="N1745" i="6"/>
  <c r="P1744" i="6"/>
  <c r="O1744" i="6"/>
  <c r="N1744" i="6"/>
  <c r="P1743" i="6"/>
  <c r="O1743" i="6"/>
  <c r="N1743" i="6"/>
  <c r="P1742" i="6"/>
  <c r="O1742" i="6"/>
  <c r="N1742" i="6"/>
  <c r="P1741" i="6"/>
  <c r="O1741" i="6"/>
  <c r="N1741" i="6"/>
  <c r="P1740" i="6"/>
  <c r="O1740" i="6"/>
  <c r="N1740" i="6"/>
  <c r="P1739" i="6"/>
  <c r="O1739" i="6"/>
  <c r="N1739" i="6"/>
  <c r="P1738" i="6"/>
  <c r="O1738" i="6"/>
  <c r="N1738" i="6"/>
  <c r="P1737" i="6"/>
  <c r="O1737" i="6"/>
  <c r="N1737" i="6"/>
  <c r="P1736" i="6"/>
  <c r="O1736" i="6"/>
  <c r="N1736" i="6"/>
  <c r="P1735" i="6"/>
  <c r="O1735" i="6"/>
  <c r="N1735" i="6"/>
  <c r="P1734" i="6"/>
  <c r="O1734" i="6"/>
  <c r="N1734" i="6"/>
  <c r="P1733" i="6"/>
  <c r="O1733" i="6"/>
  <c r="N1733" i="6"/>
  <c r="P1732" i="6"/>
  <c r="O1732" i="6"/>
  <c r="N1732" i="6"/>
  <c r="P1731" i="6"/>
  <c r="O1731" i="6"/>
  <c r="N1731" i="6"/>
  <c r="P1730" i="6"/>
  <c r="O1730" i="6"/>
  <c r="N1730" i="6"/>
  <c r="P1729" i="6"/>
  <c r="O1729" i="6"/>
  <c r="N1729" i="6"/>
  <c r="P1728" i="6"/>
  <c r="O1728" i="6"/>
  <c r="N1728" i="6"/>
  <c r="P1727" i="6"/>
  <c r="O1727" i="6"/>
  <c r="N1727" i="6"/>
  <c r="P1726" i="6"/>
  <c r="O1726" i="6"/>
  <c r="N1726" i="6"/>
  <c r="P1725" i="6"/>
  <c r="O1725" i="6"/>
  <c r="N1725" i="6"/>
  <c r="P1724" i="6"/>
  <c r="O1724" i="6"/>
  <c r="N1724" i="6"/>
  <c r="P1723" i="6"/>
  <c r="O1723" i="6"/>
  <c r="N1723" i="6"/>
  <c r="P1722" i="6"/>
  <c r="O1722" i="6"/>
  <c r="N1722" i="6"/>
  <c r="P1721" i="6"/>
  <c r="O1721" i="6"/>
  <c r="N1721" i="6"/>
  <c r="P1720" i="6"/>
  <c r="O1720" i="6"/>
  <c r="N1720" i="6"/>
  <c r="P1719" i="6"/>
  <c r="O1719" i="6"/>
  <c r="N1719" i="6"/>
  <c r="P1718" i="6"/>
  <c r="O1718" i="6"/>
  <c r="N1718" i="6"/>
  <c r="P1717" i="6"/>
  <c r="O1717" i="6"/>
  <c r="N1717" i="6"/>
  <c r="P1716" i="6"/>
  <c r="O1716" i="6"/>
  <c r="N1716" i="6"/>
  <c r="P1715" i="6"/>
  <c r="O1715" i="6"/>
  <c r="N1715" i="6"/>
  <c r="P1714" i="6"/>
  <c r="O1714" i="6"/>
  <c r="N1714" i="6"/>
  <c r="P1713" i="6"/>
  <c r="O1713" i="6"/>
  <c r="N1713" i="6"/>
  <c r="P1712" i="6"/>
  <c r="O1712" i="6"/>
  <c r="N1712" i="6"/>
  <c r="P1711" i="6"/>
  <c r="O1711" i="6"/>
  <c r="N1711" i="6"/>
  <c r="P1710" i="6"/>
  <c r="O1710" i="6"/>
  <c r="N1710" i="6"/>
  <c r="P1709" i="6"/>
  <c r="O1709" i="6"/>
  <c r="N1709" i="6"/>
  <c r="P1708" i="6"/>
  <c r="O1708" i="6"/>
  <c r="N1708" i="6"/>
  <c r="P1707" i="6"/>
  <c r="O1707" i="6"/>
  <c r="N1707" i="6"/>
  <c r="P1706" i="6"/>
  <c r="O1706" i="6"/>
  <c r="N1706" i="6"/>
  <c r="P1705" i="6"/>
  <c r="O1705" i="6"/>
  <c r="N1705" i="6"/>
  <c r="P1704" i="6"/>
  <c r="O1704" i="6"/>
  <c r="N1704" i="6"/>
  <c r="P1703" i="6"/>
  <c r="O1703" i="6"/>
  <c r="N1703" i="6"/>
  <c r="P1702" i="6"/>
  <c r="O1702" i="6"/>
  <c r="N1702" i="6"/>
  <c r="P1701" i="6"/>
  <c r="O1701" i="6"/>
  <c r="N1701" i="6"/>
  <c r="P1700" i="6"/>
  <c r="O1700" i="6"/>
  <c r="N1700" i="6"/>
  <c r="P1699" i="6"/>
  <c r="O1699" i="6"/>
  <c r="N1699" i="6"/>
  <c r="P1698" i="6"/>
  <c r="O1698" i="6"/>
  <c r="N1698" i="6"/>
  <c r="P1697" i="6"/>
  <c r="O1697" i="6"/>
  <c r="N1697" i="6"/>
  <c r="P1696" i="6"/>
  <c r="O1696" i="6"/>
  <c r="N1696" i="6"/>
  <c r="P1695" i="6"/>
  <c r="O1695" i="6"/>
  <c r="N1695" i="6"/>
  <c r="P1694" i="6"/>
  <c r="O1694" i="6"/>
  <c r="N1694" i="6"/>
  <c r="P1693" i="6"/>
  <c r="O1693" i="6"/>
  <c r="N1693" i="6"/>
  <c r="P1692" i="6"/>
  <c r="O1692" i="6"/>
  <c r="N1692" i="6"/>
  <c r="P1691" i="6"/>
  <c r="O1691" i="6"/>
  <c r="N1691" i="6"/>
  <c r="P1690" i="6"/>
  <c r="O1690" i="6"/>
  <c r="N1690" i="6"/>
  <c r="P1689" i="6"/>
  <c r="O1689" i="6"/>
  <c r="N1689" i="6"/>
  <c r="P1688" i="6"/>
  <c r="O1688" i="6"/>
  <c r="N1688" i="6"/>
  <c r="P1687" i="6"/>
  <c r="O1687" i="6"/>
  <c r="N1687" i="6"/>
  <c r="P1686" i="6"/>
  <c r="O1686" i="6"/>
  <c r="N1686" i="6"/>
  <c r="P1685" i="6"/>
  <c r="O1685" i="6"/>
  <c r="N1685" i="6"/>
  <c r="P1684" i="6"/>
  <c r="O1684" i="6"/>
  <c r="N1684" i="6"/>
  <c r="P1683" i="6"/>
  <c r="O1683" i="6"/>
  <c r="N1683" i="6"/>
  <c r="P1682" i="6"/>
  <c r="O1682" i="6"/>
  <c r="N1682" i="6"/>
  <c r="P1681" i="6"/>
  <c r="O1681" i="6"/>
  <c r="N1681" i="6"/>
  <c r="P1680" i="6"/>
  <c r="O1680" i="6"/>
  <c r="N1680" i="6"/>
  <c r="P1679" i="6"/>
  <c r="O1679" i="6"/>
  <c r="N1679" i="6"/>
  <c r="P1678" i="6"/>
  <c r="O1678" i="6"/>
  <c r="N1678" i="6"/>
  <c r="P1677" i="6"/>
  <c r="O1677" i="6"/>
  <c r="N1677" i="6"/>
  <c r="P1676" i="6"/>
  <c r="O1676" i="6"/>
  <c r="N1676" i="6"/>
  <c r="P1675" i="6"/>
  <c r="O1675" i="6"/>
  <c r="N1675" i="6"/>
  <c r="P1674" i="6"/>
  <c r="O1674" i="6"/>
  <c r="N1674" i="6"/>
  <c r="P1673" i="6"/>
  <c r="O1673" i="6"/>
  <c r="N1673" i="6"/>
  <c r="P1672" i="6"/>
  <c r="O1672" i="6"/>
  <c r="N1672" i="6"/>
  <c r="P1671" i="6"/>
  <c r="O1671" i="6"/>
  <c r="N1671" i="6"/>
  <c r="P1670" i="6"/>
  <c r="O1670" i="6"/>
  <c r="N1670" i="6"/>
  <c r="P1669" i="6"/>
  <c r="O1669" i="6"/>
  <c r="N1669" i="6"/>
  <c r="P1668" i="6"/>
  <c r="O1668" i="6"/>
  <c r="N1668" i="6"/>
  <c r="P1667" i="6"/>
  <c r="O1667" i="6"/>
  <c r="N1667" i="6"/>
  <c r="P1666" i="6"/>
  <c r="O1666" i="6"/>
  <c r="N1666" i="6"/>
  <c r="P1665" i="6"/>
  <c r="O1665" i="6"/>
  <c r="N1665" i="6"/>
  <c r="P1664" i="6"/>
  <c r="O1664" i="6"/>
  <c r="N1664" i="6"/>
  <c r="P1663" i="6"/>
  <c r="O1663" i="6"/>
  <c r="N1663" i="6"/>
  <c r="P1662" i="6"/>
  <c r="O1662" i="6"/>
  <c r="N1662" i="6"/>
  <c r="P1661" i="6"/>
  <c r="O1661" i="6"/>
  <c r="N1661" i="6"/>
  <c r="P1660" i="6"/>
  <c r="O1660" i="6"/>
  <c r="N1660" i="6"/>
  <c r="P1659" i="6"/>
  <c r="O1659" i="6"/>
  <c r="N1659" i="6"/>
  <c r="P1658" i="6"/>
  <c r="O1658" i="6"/>
  <c r="N1658" i="6"/>
  <c r="P1657" i="6"/>
  <c r="O1657" i="6"/>
  <c r="N1657" i="6"/>
  <c r="P1656" i="6"/>
  <c r="O1656" i="6"/>
  <c r="N1656" i="6"/>
  <c r="P1655" i="6"/>
  <c r="O1655" i="6"/>
  <c r="N1655" i="6"/>
  <c r="P1654" i="6"/>
  <c r="O1654" i="6"/>
  <c r="N1654" i="6"/>
  <c r="P1653" i="6"/>
  <c r="O1653" i="6"/>
  <c r="N1653" i="6"/>
  <c r="P1652" i="6"/>
  <c r="O1652" i="6"/>
  <c r="N1652" i="6"/>
  <c r="P1651" i="6"/>
  <c r="O1651" i="6"/>
  <c r="N1651" i="6"/>
  <c r="P1650" i="6"/>
  <c r="O1650" i="6"/>
  <c r="N1650" i="6"/>
  <c r="P1649" i="6"/>
  <c r="O1649" i="6"/>
  <c r="N1649" i="6"/>
  <c r="P1648" i="6"/>
  <c r="O1648" i="6"/>
  <c r="N1648" i="6"/>
  <c r="P1647" i="6"/>
  <c r="O1647" i="6"/>
  <c r="N1647" i="6"/>
  <c r="P1646" i="6"/>
  <c r="O1646" i="6"/>
  <c r="N1646" i="6"/>
  <c r="P1645" i="6"/>
  <c r="O1645" i="6"/>
  <c r="N1645" i="6"/>
  <c r="P1644" i="6"/>
  <c r="O1644" i="6"/>
  <c r="N1644" i="6"/>
  <c r="P1643" i="6"/>
  <c r="O1643" i="6"/>
  <c r="N1643" i="6"/>
  <c r="P1642" i="6"/>
  <c r="O1642" i="6"/>
  <c r="N1642" i="6"/>
  <c r="P1641" i="6"/>
  <c r="O1641" i="6"/>
  <c r="N1641" i="6"/>
  <c r="P1640" i="6"/>
  <c r="O1640" i="6"/>
  <c r="N1640" i="6"/>
  <c r="P1639" i="6"/>
  <c r="O1639" i="6"/>
  <c r="N1639" i="6"/>
  <c r="P1638" i="6"/>
  <c r="O1638" i="6"/>
  <c r="N1638" i="6"/>
  <c r="P1637" i="6"/>
  <c r="O1637" i="6"/>
  <c r="N1637" i="6"/>
  <c r="P1636" i="6"/>
  <c r="O1636" i="6"/>
  <c r="N1636" i="6"/>
  <c r="P1635" i="6"/>
  <c r="O1635" i="6"/>
  <c r="N1635" i="6"/>
  <c r="P1634" i="6"/>
  <c r="O1634" i="6"/>
  <c r="N1634" i="6"/>
  <c r="P1633" i="6"/>
  <c r="O1633" i="6"/>
  <c r="N1633" i="6"/>
  <c r="P1632" i="6"/>
  <c r="O1632" i="6"/>
  <c r="N1632" i="6"/>
  <c r="P1631" i="6"/>
  <c r="O1631" i="6"/>
  <c r="N1631" i="6"/>
  <c r="P1630" i="6"/>
  <c r="O1630" i="6"/>
  <c r="N1630" i="6"/>
  <c r="P1629" i="6"/>
  <c r="O1629" i="6"/>
  <c r="N1629" i="6"/>
  <c r="P1628" i="6"/>
  <c r="O1628" i="6"/>
  <c r="N1628" i="6"/>
  <c r="P1627" i="6"/>
  <c r="O1627" i="6"/>
  <c r="N1627" i="6"/>
  <c r="P1626" i="6"/>
  <c r="O1626" i="6"/>
  <c r="N1626" i="6"/>
  <c r="P1625" i="6"/>
  <c r="O1625" i="6"/>
  <c r="N1625" i="6"/>
  <c r="P1624" i="6"/>
  <c r="O1624" i="6"/>
  <c r="N1624" i="6"/>
  <c r="P1623" i="6"/>
  <c r="O1623" i="6"/>
  <c r="N1623" i="6"/>
  <c r="P1622" i="6"/>
  <c r="O1622" i="6"/>
  <c r="N1622" i="6"/>
  <c r="P1621" i="6"/>
  <c r="O1621" i="6"/>
  <c r="N1621" i="6"/>
  <c r="P1620" i="6"/>
  <c r="O1620" i="6"/>
  <c r="N1620" i="6"/>
  <c r="P1619" i="6"/>
  <c r="O1619" i="6"/>
  <c r="N1619" i="6"/>
  <c r="P1618" i="6"/>
  <c r="O1618" i="6"/>
  <c r="N1618" i="6"/>
  <c r="P1617" i="6"/>
  <c r="O1617" i="6"/>
  <c r="N1617" i="6"/>
  <c r="P1616" i="6"/>
  <c r="O1616" i="6"/>
  <c r="N1616" i="6"/>
  <c r="P1615" i="6"/>
  <c r="O1615" i="6"/>
  <c r="N1615" i="6"/>
  <c r="P1614" i="6"/>
  <c r="O1614" i="6"/>
  <c r="N1614" i="6"/>
  <c r="P1613" i="6"/>
  <c r="O1613" i="6"/>
  <c r="N1613" i="6"/>
  <c r="P1612" i="6"/>
  <c r="O1612" i="6"/>
  <c r="N1612" i="6"/>
  <c r="P1611" i="6"/>
  <c r="O1611" i="6"/>
  <c r="N1611" i="6"/>
  <c r="P1610" i="6"/>
  <c r="O1610" i="6"/>
  <c r="N1610" i="6"/>
  <c r="P1609" i="6"/>
  <c r="O1609" i="6"/>
  <c r="N1609" i="6"/>
  <c r="P1608" i="6"/>
  <c r="O1608" i="6"/>
  <c r="N1608" i="6"/>
  <c r="P1607" i="6"/>
  <c r="O1607" i="6"/>
  <c r="N1607" i="6"/>
  <c r="P1606" i="6"/>
  <c r="O1606" i="6"/>
  <c r="N1606" i="6"/>
  <c r="P1605" i="6"/>
  <c r="O1605" i="6"/>
  <c r="N1605" i="6"/>
  <c r="P1604" i="6"/>
  <c r="O1604" i="6"/>
  <c r="N1604" i="6"/>
  <c r="P1603" i="6"/>
  <c r="O1603" i="6"/>
  <c r="N1603" i="6"/>
  <c r="P1602" i="6"/>
  <c r="O1602" i="6"/>
  <c r="N1602" i="6"/>
  <c r="P1601" i="6"/>
  <c r="O1601" i="6"/>
  <c r="N1601" i="6"/>
  <c r="P1600" i="6"/>
  <c r="O1600" i="6"/>
  <c r="N1600" i="6"/>
  <c r="P1599" i="6"/>
  <c r="O1599" i="6"/>
  <c r="N1599" i="6"/>
  <c r="P1598" i="6"/>
  <c r="O1598" i="6"/>
  <c r="N1598" i="6"/>
  <c r="P1597" i="6"/>
  <c r="O1597" i="6"/>
  <c r="N1597" i="6"/>
  <c r="P1596" i="6"/>
  <c r="O1596" i="6"/>
  <c r="N1596" i="6"/>
  <c r="P1595" i="6"/>
  <c r="O1595" i="6"/>
  <c r="N1595" i="6"/>
  <c r="P1594" i="6"/>
  <c r="O1594" i="6"/>
  <c r="N1594" i="6"/>
  <c r="P1593" i="6"/>
  <c r="O1593" i="6"/>
  <c r="N1593" i="6"/>
  <c r="P1592" i="6"/>
  <c r="O1592" i="6"/>
  <c r="N1592" i="6"/>
  <c r="P1591" i="6"/>
  <c r="O1591" i="6"/>
  <c r="N1591" i="6"/>
  <c r="P1590" i="6"/>
  <c r="O1590" i="6"/>
  <c r="N1590" i="6"/>
  <c r="P1589" i="6"/>
  <c r="O1589" i="6"/>
  <c r="N1589" i="6"/>
  <c r="P1588" i="6"/>
  <c r="O1588" i="6"/>
  <c r="N1588" i="6"/>
  <c r="P1587" i="6"/>
  <c r="O1587" i="6"/>
  <c r="N1587" i="6"/>
  <c r="P1586" i="6"/>
  <c r="O1586" i="6"/>
  <c r="N1586" i="6"/>
  <c r="P1585" i="6"/>
  <c r="O1585" i="6"/>
  <c r="N1585" i="6"/>
  <c r="P1584" i="6"/>
  <c r="O1584" i="6"/>
  <c r="N1584" i="6"/>
  <c r="P1583" i="6"/>
  <c r="O1583" i="6"/>
  <c r="N1583" i="6"/>
  <c r="P1582" i="6"/>
  <c r="O1582" i="6"/>
  <c r="N1582" i="6"/>
  <c r="P1581" i="6"/>
  <c r="O1581" i="6"/>
  <c r="N1581" i="6"/>
  <c r="P1580" i="6"/>
  <c r="O1580" i="6"/>
  <c r="N1580" i="6"/>
  <c r="P1579" i="6"/>
  <c r="O1579" i="6"/>
  <c r="N1579" i="6"/>
  <c r="P1578" i="6"/>
  <c r="O1578" i="6"/>
  <c r="N1578" i="6"/>
  <c r="P1577" i="6"/>
  <c r="O1577" i="6"/>
  <c r="N1577" i="6"/>
  <c r="P1576" i="6"/>
  <c r="O1576" i="6"/>
  <c r="N1576" i="6"/>
  <c r="P1575" i="6"/>
  <c r="O1575" i="6"/>
  <c r="N1575" i="6"/>
  <c r="P1574" i="6"/>
  <c r="O1574" i="6"/>
  <c r="N1574" i="6"/>
  <c r="P1573" i="6"/>
  <c r="O1573" i="6"/>
  <c r="N1573" i="6"/>
  <c r="P1572" i="6"/>
  <c r="O1572" i="6"/>
  <c r="N1572" i="6"/>
  <c r="P1571" i="6"/>
  <c r="O1571" i="6"/>
  <c r="N1571" i="6"/>
  <c r="P1570" i="6"/>
  <c r="O1570" i="6"/>
  <c r="N1570" i="6"/>
  <c r="P1569" i="6"/>
  <c r="O1569" i="6"/>
  <c r="N1569" i="6"/>
  <c r="P1568" i="6"/>
  <c r="O1568" i="6"/>
  <c r="N1568" i="6"/>
  <c r="P1567" i="6"/>
  <c r="O1567" i="6"/>
  <c r="N1567" i="6"/>
  <c r="P1566" i="6"/>
  <c r="O1566" i="6"/>
  <c r="N1566" i="6"/>
  <c r="P1565" i="6"/>
  <c r="O1565" i="6"/>
  <c r="N1565" i="6"/>
  <c r="P1564" i="6"/>
  <c r="O1564" i="6"/>
  <c r="N1564" i="6"/>
  <c r="P1563" i="6"/>
  <c r="O1563" i="6"/>
  <c r="N1563" i="6"/>
  <c r="P1562" i="6"/>
  <c r="O1562" i="6"/>
  <c r="N1562" i="6"/>
  <c r="P1561" i="6"/>
  <c r="O1561" i="6"/>
  <c r="N1561" i="6"/>
  <c r="P1560" i="6"/>
  <c r="O1560" i="6"/>
  <c r="N1560" i="6"/>
  <c r="P1559" i="6"/>
  <c r="O1559" i="6"/>
  <c r="N1559" i="6"/>
  <c r="P1558" i="6"/>
  <c r="O1558" i="6"/>
  <c r="N1558" i="6"/>
  <c r="P1557" i="6"/>
  <c r="O1557" i="6"/>
  <c r="N1557" i="6"/>
  <c r="P1556" i="6"/>
  <c r="O1556" i="6"/>
  <c r="N1556" i="6"/>
  <c r="P1555" i="6"/>
  <c r="O1555" i="6"/>
  <c r="N1555" i="6"/>
  <c r="P1554" i="6"/>
  <c r="O1554" i="6"/>
  <c r="N1554" i="6"/>
  <c r="P1553" i="6"/>
  <c r="O1553" i="6"/>
  <c r="N1553" i="6"/>
  <c r="P1552" i="6"/>
  <c r="O1552" i="6"/>
  <c r="N1552" i="6"/>
  <c r="P1551" i="6"/>
  <c r="O1551" i="6"/>
  <c r="N1551" i="6"/>
  <c r="P1550" i="6"/>
  <c r="O1550" i="6"/>
  <c r="N1550" i="6"/>
  <c r="P1549" i="6"/>
  <c r="O1549" i="6"/>
  <c r="N1549" i="6"/>
  <c r="P1548" i="6"/>
  <c r="O1548" i="6"/>
  <c r="N1548" i="6"/>
  <c r="P1547" i="6"/>
  <c r="O1547" i="6"/>
  <c r="N1547" i="6"/>
  <c r="P1546" i="6"/>
  <c r="O1546" i="6"/>
  <c r="N1546" i="6"/>
  <c r="P1545" i="6"/>
  <c r="O1545" i="6"/>
  <c r="N1545" i="6"/>
  <c r="P1544" i="6"/>
  <c r="O1544" i="6"/>
  <c r="N1544" i="6"/>
  <c r="P1543" i="6"/>
  <c r="O1543" i="6"/>
  <c r="N1543" i="6"/>
  <c r="P1542" i="6"/>
  <c r="O1542" i="6"/>
  <c r="N1542" i="6"/>
  <c r="P1541" i="6"/>
  <c r="O1541" i="6"/>
  <c r="N1541" i="6"/>
  <c r="P1540" i="6"/>
  <c r="O1540" i="6"/>
  <c r="N1540" i="6"/>
  <c r="P1539" i="6"/>
  <c r="O1539" i="6"/>
  <c r="N1539" i="6"/>
  <c r="P1538" i="6"/>
  <c r="O1538" i="6"/>
  <c r="N1538" i="6"/>
  <c r="P1537" i="6"/>
  <c r="O1537" i="6"/>
  <c r="N1537" i="6"/>
  <c r="P1536" i="6"/>
  <c r="O1536" i="6"/>
  <c r="N1536" i="6"/>
  <c r="P1535" i="6"/>
  <c r="O1535" i="6"/>
  <c r="N1535" i="6"/>
  <c r="P1534" i="6"/>
  <c r="O1534" i="6"/>
  <c r="N1534" i="6"/>
  <c r="P1533" i="6"/>
  <c r="O1533" i="6"/>
  <c r="N1533" i="6"/>
  <c r="P1532" i="6"/>
  <c r="O1532" i="6"/>
  <c r="N1532" i="6"/>
  <c r="P1531" i="6"/>
  <c r="O1531" i="6"/>
  <c r="N1531" i="6"/>
  <c r="P1530" i="6"/>
  <c r="O1530" i="6"/>
  <c r="N1530" i="6"/>
  <c r="P1529" i="6"/>
  <c r="O1529" i="6"/>
  <c r="N1529" i="6"/>
  <c r="P1528" i="6"/>
  <c r="O1528" i="6"/>
  <c r="N1528" i="6"/>
  <c r="P1527" i="6"/>
  <c r="O1527" i="6"/>
  <c r="N1527" i="6"/>
  <c r="P1526" i="6"/>
  <c r="O1526" i="6"/>
  <c r="N1526" i="6"/>
  <c r="P1525" i="6"/>
  <c r="O1525" i="6"/>
  <c r="N1525" i="6"/>
  <c r="P1524" i="6"/>
  <c r="O1524" i="6"/>
  <c r="N1524" i="6"/>
  <c r="P1523" i="6"/>
  <c r="O1523" i="6"/>
  <c r="N1523" i="6"/>
  <c r="P1522" i="6"/>
  <c r="O1522" i="6"/>
  <c r="N1522" i="6"/>
  <c r="P1521" i="6"/>
  <c r="O1521" i="6"/>
  <c r="N1521" i="6"/>
  <c r="P1520" i="6"/>
  <c r="O1520" i="6"/>
  <c r="N1520" i="6"/>
  <c r="P1519" i="6"/>
  <c r="O1519" i="6"/>
  <c r="N1519" i="6"/>
  <c r="P1518" i="6"/>
  <c r="O1518" i="6"/>
  <c r="N1518" i="6"/>
  <c r="P1517" i="6"/>
  <c r="O1517" i="6"/>
  <c r="N1517" i="6"/>
  <c r="P1516" i="6"/>
  <c r="O1516" i="6"/>
  <c r="N1516" i="6"/>
  <c r="P1515" i="6"/>
  <c r="O1515" i="6"/>
  <c r="N1515" i="6"/>
  <c r="P1514" i="6"/>
  <c r="O1514" i="6"/>
  <c r="N1514" i="6"/>
  <c r="P1513" i="6"/>
  <c r="O1513" i="6"/>
  <c r="N1513" i="6"/>
  <c r="P1512" i="6"/>
  <c r="O1512" i="6"/>
  <c r="N1512" i="6"/>
  <c r="P1511" i="6"/>
  <c r="O1511" i="6"/>
  <c r="N1511" i="6"/>
  <c r="P1510" i="6"/>
  <c r="O1510" i="6"/>
  <c r="N1510" i="6"/>
  <c r="P1509" i="6"/>
  <c r="O1509" i="6"/>
  <c r="N1509" i="6"/>
  <c r="P1508" i="6"/>
  <c r="O1508" i="6"/>
  <c r="N1508" i="6"/>
  <c r="P1507" i="6"/>
  <c r="O1507" i="6"/>
  <c r="N1507" i="6"/>
  <c r="P1506" i="6"/>
  <c r="O1506" i="6"/>
  <c r="N1506" i="6"/>
  <c r="P1505" i="6"/>
  <c r="O1505" i="6"/>
  <c r="N1505" i="6"/>
  <c r="P1504" i="6"/>
  <c r="O1504" i="6"/>
  <c r="N1504" i="6"/>
  <c r="P1503" i="6"/>
  <c r="O1503" i="6"/>
  <c r="N1503" i="6"/>
  <c r="P1502" i="6"/>
  <c r="O1502" i="6"/>
  <c r="N1502" i="6"/>
  <c r="P1501" i="6"/>
  <c r="O1501" i="6"/>
  <c r="N1501" i="6"/>
  <c r="P1500" i="6"/>
  <c r="O1500" i="6"/>
  <c r="N1500" i="6"/>
  <c r="P1499" i="6"/>
  <c r="O1499" i="6"/>
  <c r="N1499" i="6"/>
  <c r="P1498" i="6"/>
  <c r="O1498" i="6"/>
  <c r="N1498" i="6"/>
  <c r="P1497" i="6"/>
  <c r="O1497" i="6"/>
  <c r="N1497" i="6"/>
  <c r="P1496" i="6"/>
  <c r="O1496" i="6"/>
  <c r="N1496" i="6"/>
  <c r="P1495" i="6"/>
  <c r="O1495" i="6"/>
  <c r="N1495" i="6"/>
  <c r="P1494" i="6"/>
  <c r="O1494" i="6"/>
  <c r="N1494" i="6"/>
  <c r="P1493" i="6"/>
  <c r="O1493" i="6"/>
  <c r="N1493" i="6"/>
  <c r="P1492" i="6"/>
  <c r="O1492" i="6"/>
  <c r="N1492" i="6"/>
  <c r="P1491" i="6"/>
  <c r="O1491" i="6"/>
  <c r="N1491" i="6"/>
  <c r="P1490" i="6"/>
  <c r="O1490" i="6"/>
  <c r="N1490" i="6"/>
  <c r="P1489" i="6"/>
  <c r="O1489" i="6"/>
  <c r="N1489" i="6"/>
  <c r="P1488" i="6"/>
  <c r="O1488" i="6"/>
  <c r="N1488" i="6"/>
  <c r="P1487" i="6"/>
  <c r="O1487" i="6"/>
  <c r="N1487" i="6"/>
  <c r="P1486" i="6"/>
  <c r="O1486" i="6"/>
  <c r="N1486" i="6"/>
  <c r="P1485" i="6"/>
  <c r="O1485" i="6"/>
  <c r="N1485" i="6"/>
  <c r="P1484" i="6"/>
  <c r="O1484" i="6"/>
  <c r="N1484" i="6"/>
  <c r="P1483" i="6"/>
  <c r="O1483" i="6"/>
  <c r="N1483" i="6"/>
  <c r="P1482" i="6"/>
  <c r="O1482" i="6"/>
  <c r="N1482" i="6"/>
  <c r="P1481" i="6"/>
  <c r="O1481" i="6"/>
  <c r="N1481" i="6"/>
  <c r="P1480" i="6"/>
  <c r="O1480" i="6"/>
  <c r="N1480" i="6"/>
  <c r="P1479" i="6"/>
  <c r="O1479" i="6"/>
  <c r="N1479" i="6"/>
  <c r="P1478" i="6"/>
  <c r="O1478" i="6"/>
  <c r="N1478" i="6"/>
  <c r="P1477" i="6"/>
  <c r="O1477" i="6"/>
  <c r="N1477" i="6"/>
  <c r="P1476" i="6"/>
  <c r="O1476" i="6"/>
  <c r="N1476" i="6"/>
  <c r="P1475" i="6"/>
  <c r="O1475" i="6"/>
  <c r="N1475" i="6"/>
  <c r="P1474" i="6"/>
  <c r="O1474" i="6"/>
  <c r="N1474" i="6"/>
  <c r="P1473" i="6"/>
  <c r="O1473" i="6"/>
  <c r="N1473" i="6"/>
  <c r="P1472" i="6"/>
  <c r="O1472" i="6"/>
  <c r="N1472" i="6"/>
  <c r="P1471" i="6"/>
  <c r="O1471" i="6"/>
  <c r="N1471" i="6"/>
  <c r="P1470" i="6"/>
  <c r="O1470" i="6"/>
  <c r="N1470" i="6"/>
  <c r="P1469" i="6"/>
  <c r="O1469" i="6"/>
  <c r="N1469" i="6"/>
  <c r="P1468" i="6"/>
  <c r="O1468" i="6"/>
  <c r="N1468" i="6"/>
  <c r="P1467" i="6"/>
  <c r="O1467" i="6"/>
  <c r="N1467" i="6"/>
  <c r="P1466" i="6"/>
  <c r="O1466" i="6"/>
  <c r="N1466" i="6"/>
  <c r="P1465" i="6"/>
  <c r="O1465" i="6"/>
  <c r="N1465" i="6"/>
  <c r="P1464" i="6"/>
  <c r="O1464" i="6"/>
  <c r="N1464" i="6"/>
  <c r="P1463" i="6"/>
  <c r="O1463" i="6"/>
  <c r="N1463" i="6"/>
  <c r="P1462" i="6"/>
  <c r="O1462" i="6"/>
  <c r="N1462" i="6"/>
  <c r="P1461" i="6"/>
  <c r="O1461" i="6"/>
  <c r="N1461" i="6"/>
  <c r="P1460" i="6"/>
  <c r="O1460" i="6"/>
  <c r="N1460" i="6"/>
  <c r="P1459" i="6"/>
  <c r="O1459" i="6"/>
  <c r="N1459" i="6"/>
  <c r="P1458" i="6"/>
  <c r="O1458" i="6"/>
  <c r="N1458" i="6"/>
  <c r="P1457" i="6"/>
  <c r="O1457" i="6"/>
  <c r="N1457" i="6"/>
  <c r="P1456" i="6"/>
  <c r="O1456" i="6"/>
  <c r="N1456" i="6"/>
  <c r="P1455" i="6"/>
  <c r="O1455" i="6"/>
  <c r="N1455" i="6"/>
  <c r="P1454" i="6"/>
  <c r="O1454" i="6"/>
  <c r="N1454" i="6"/>
  <c r="P1453" i="6"/>
  <c r="O1453" i="6"/>
  <c r="N1453" i="6"/>
  <c r="P1452" i="6"/>
  <c r="O1452" i="6"/>
  <c r="N1452" i="6"/>
  <c r="P1451" i="6"/>
  <c r="O1451" i="6"/>
  <c r="N1451" i="6"/>
  <c r="P1450" i="6"/>
  <c r="O1450" i="6"/>
  <c r="N1450" i="6"/>
  <c r="P1449" i="6"/>
  <c r="O1449" i="6"/>
  <c r="N1449" i="6"/>
  <c r="P1448" i="6"/>
  <c r="O1448" i="6"/>
  <c r="N1448" i="6"/>
  <c r="P1447" i="6"/>
  <c r="O1447" i="6"/>
  <c r="N1447" i="6"/>
  <c r="P1446" i="6"/>
  <c r="O1446" i="6"/>
  <c r="N1446" i="6"/>
  <c r="P1445" i="6"/>
  <c r="O1445" i="6"/>
  <c r="N1445" i="6"/>
  <c r="P1444" i="6"/>
  <c r="O1444" i="6"/>
  <c r="N1444" i="6"/>
  <c r="P1443" i="6"/>
  <c r="O1443" i="6"/>
  <c r="N1443" i="6"/>
  <c r="P1442" i="6"/>
  <c r="O1442" i="6"/>
  <c r="N1442" i="6"/>
  <c r="P1441" i="6"/>
  <c r="O1441" i="6"/>
  <c r="N1441" i="6"/>
  <c r="P1440" i="6"/>
  <c r="O1440" i="6"/>
  <c r="N1440" i="6"/>
  <c r="P1439" i="6"/>
  <c r="O1439" i="6"/>
  <c r="N1439" i="6"/>
  <c r="P1438" i="6"/>
  <c r="O1438" i="6"/>
  <c r="N1438" i="6"/>
  <c r="P1437" i="6"/>
  <c r="O1437" i="6"/>
  <c r="N1437" i="6"/>
  <c r="P1436" i="6"/>
  <c r="O1436" i="6"/>
  <c r="N1436" i="6"/>
  <c r="P1435" i="6"/>
  <c r="O1435" i="6"/>
  <c r="N1435" i="6"/>
  <c r="P1434" i="6"/>
  <c r="O1434" i="6"/>
  <c r="N1434" i="6"/>
  <c r="P1433" i="6"/>
  <c r="O1433" i="6"/>
  <c r="N1433" i="6"/>
  <c r="P1432" i="6"/>
  <c r="O1432" i="6"/>
  <c r="N1432" i="6"/>
  <c r="P1431" i="6"/>
  <c r="O1431" i="6"/>
  <c r="N1431" i="6"/>
  <c r="P1430" i="6"/>
  <c r="O1430" i="6"/>
  <c r="N1430" i="6"/>
  <c r="P1429" i="6"/>
  <c r="O1429" i="6"/>
  <c r="N1429" i="6"/>
  <c r="P1428" i="6"/>
  <c r="O1428" i="6"/>
  <c r="N1428" i="6"/>
  <c r="P1427" i="6"/>
  <c r="O1427" i="6"/>
  <c r="N1427" i="6"/>
  <c r="P1426" i="6"/>
  <c r="O1426" i="6"/>
  <c r="N1426" i="6"/>
  <c r="P1425" i="6"/>
  <c r="O1425" i="6"/>
  <c r="N1425" i="6"/>
  <c r="P1424" i="6"/>
  <c r="O1424" i="6"/>
  <c r="N1424" i="6"/>
  <c r="P1423" i="6"/>
  <c r="O1423" i="6"/>
  <c r="N1423" i="6"/>
  <c r="P1422" i="6"/>
  <c r="O1422" i="6"/>
  <c r="N1422" i="6"/>
  <c r="P1421" i="6"/>
  <c r="O1421" i="6"/>
  <c r="N1421" i="6"/>
  <c r="P1420" i="6"/>
  <c r="O1420" i="6"/>
  <c r="N1420" i="6"/>
  <c r="P1419" i="6"/>
  <c r="O1419" i="6"/>
  <c r="N1419" i="6"/>
  <c r="P1418" i="6"/>
  <c r="O1418" i="6"/>
  <c r="N1418" i="6"/>
  <c r="P1417" i="6"/>
  <c r="O1417" i="6"/>
  <c r="N1417" i="6"/>
  <c r="P1416" i="6"/>
  <c r="O1416" i="6"/>
  <c r="N1416" i="6"/>
  <c r="P1415" i="6"/>
  <c r="O1415" i="6"/>
  <c r="N1415" i="6"/>
  <c r="P1414" i="6"/>
  <c r="O1414" i="6"/>
  <c r="N1414" i="6"/>
  <c r="P1413" i="6"/>
  <c r="O1413" i="6"/>
  <c r="N1413" i="6"/>
  <c r="P1412" i="6"/>
  <c r="O1412" i="6"/>
  <c r="N1412" i="6"/>
  <c r="P1411" i="6"/>
  <c r="O1411" i="6"/>
  <c r="N1411" i="6"/>
  <c r="P1410" i="6"/>
  <c r="O1410" i="6"/>
  <c r="N1410" i="6"/>
  <c r="P1409" i="6"/>
  <c r="O1409" i="6"/>
  <c r="N1409" i="6"/>
  <c r="P1408" i="6"/>
  <c r="O1408" i="6"/>
  <c r="N1408" i="6"/>
  <c r="P1407" i="6"/>
  <c r="O1407" i="6"/>
  <c r="N1407" i="6"/>
  <c r="P1406" i="6"/>
  <c r="O1406" i="6"/>
  <c r="N1406" i="6"/>
  <c r="P1405" i="6"/>
  <c r="O1405" i="6"/>
  <c r="N1405" i="6"/>
  <c r="P1404" i="6"/>
  <c r="O1404" i="6"/>
  <c r="N1404" i="6"/>
  <c r="P1403" i="6"/>
  <c r="O1403" i="6"/>
  <c r="N1403" i="6"/>
  <c r="P1402" i="6"/>
  <c r="O1402" i="6"/>
  <c r="N1402" i="6"/>
  <c r="P1401" i="6"/>
  <c r="O1401" i="6"/>
  <c r="N1401" i="6"/>
  <c r="P1400" i="6"/>
  <c r="O1400" i="6"/>
  <c r="N1400" i="6"/>
  <c r="P1399" i="6"/>
  <c r="O1399" i="6"/>
  <c r="N1399" i="6"/>
  <c r="P1398" i="6"/>
  <c r="O1398" i="6"/>
  <c r="N1398" i="6"/>
  <c r="P1397" i="6"/>
  <c r="O1397" i="6"/>
  <c r="N1397" i="6"/>
  <c r="P1396" i="6"/>
  <c r="O1396" i="6"/>
  <c r="N1396" i="6"/>
  <c r="P1395" i="6"/>
  <c r="O1395" i="6"/>
  <c r="N1395" i="6"/>
  <c r="P1394" i="6"/>
  <c r="O1394" i="6"/>
  <c r="N1394" i="6"/>
  <c r="P1393" i="6"/>
  <c r="O1393" i="6"/>
  <c r="N1393" i="6"/>
  <c r="P1392" i="6"/>
  <c r="O1392" i="6"/>
  <c r="N1392" i="6"/>
  <c r="P1391" i="6"/>
  <c r="O1391" i="6"/>
  <c r="N1391" i="6"/>
  <c r="P1390" i="6"/>
  <c r="O1390" i="6"/>
  <c r="N1390" i="6"/>
  <c r="P1389" i="6"/>
  <c r="O1389" i="6"/>
  <c r="N1389" i="6"/>
  <c r="P1388" i="6"/>
  <c r="O1388" i="6"/>
  <c r="N1388" i="6"/>
  <c r="P1387" i="6"/>
  <c r="O1387" i="6"/>
  <c r="N1387" i="6"/>
  <c r="P1386" i="6"/>
  <c r="O1386" i="6"/>
  <c r="N1386" i="6"/>
  <c r="P1385" i="6"/>
  <c r="O1385" i="6"/>
  <c r="N1385" i="6"/>
  <c r="P1384" i="6"/>
  <c r="O1384" i="6"/>
  <c r="N1384" i="6"/>
  <c r="P1383" i="6"/>
  <c r="O1383" i="6"/>
  <c r="N1383" i="6"/>
  <c r="P1382" i="6"/>
  <c r="O1382" i="6"/>
  <c r="N1382" i="6"/>
  <c r="P1381" i="6"/>
  <c r="O1381" i="6"/>
  <c r="N1381" i="6"/>
  <c r="P1380" i="6"/>
  <c r="O1380" i="6"/>
  <c r="N1380" i="6"/>
  <c r="P1379" i="6"/>
  <c r="O1379" i="6"/>
  <c r="N1379" i="6"/>
  <c r="P1378" i="6"/>
  <c r="O1378" i="6"/>
  <c r="N1378" i="6"/>
  <c r="P1377" i="6"/>
  <c r="O1377" i="6"/>
  <c r="N1377" i="6"/>
  <c r="P1376" i="6"/>
  <c r="O1376" i="6"/>
  <c r="N1376" i="6"/>
  <c r="P1375" i="6"/>
  <c r="O1375" i="6"/>
  <c r="N1375" i="6"/>
  <c r="P1374" i="6"/>
  <c r="O1374" i="6"/>
  <c r="N1374" i="6"/>
  <c r="P1373" i="6"/>
  <c r="O1373" i="6"/>
  <c r="N1373" i="6"/>
  <c r="P1372" i="6"/>
  <c r="O1372" i="6"/>
  <c r="N1372" i="6"/>
  <c r="P1371" i="6"/>
  <c r="O1371" i="6"/>
  <c r="N1371" i="6"/>
  <c r="P1370" i="6"/>
  <c r="O1370" i="6"/>
  <c r="N1370" i="6"/>
  <c r="P1369" i="6"/>
  <c r="O1369" i="6"/>
  <c r="N1369" i="6"/>
  <c r="P1368" i="6"/>
  <c r="O1368" i="6"/>
  <c r="N1368" i="6"/>
  <c r="P1367" i="6"/>
  <c r="O1367" i="6"/>
  <c r="N1367" i="6"/>
  <c r="P1366" i="6"/>
  <c r="O1366" i="6"/>
  <c r="N1366" i="6"/>
  <c r="P1365" i="6"/>
  <c r="O1365" i="6"/>
  <c r="N1365" i="6"/>
  <c r="P1364" i="6"/>
  <c r="O1364" i="6"/>
  <c r="N1364" i="6"/>
  <c r="P1363" i="6"/>
  <c r="O1363" i="6"/>
  <c r="N1363" i="6"/>
  <c r="P1362" i="6"/>
  <c r="O1362" i="6"/>
  <c r="N1362" i="6"/>
  <c r="P1361" i="6"/>
  <c r="O1361" i="6"/>
  <c r="N1361" i="6"/>
  <c r="P1360" i="6"/>
  <c r="O1360" i="6"/>
  <c r="N1360" i="6"/>
  <c r="P1359" i="6"/>
  <c r="O1359" i="6"/>
  <c r="N1359" i="6"/>
  <c r="P1358" i="6"/>
  <c r="O1358" i="6"/>
  <c r="N1358" i="6"/>
  <c r="P1357" i="6"/>
  <c r="O1357" i="6"/>
  <c r="N1357" i="6"/>
  <c r="P1356" i="6"/>
  <c r="O1356" i="6"/>
  <c r="N1356" i="6"/>
  <c r="P1355" i="6"/>
  <c r="O1355" i="6"/>
  <c r="N1355" i="6"/>
  <c r="P1354" i="6"/>
  <c r="O1354" i="6"/>
  <c r="N1354" i="6"/>
  <c r="P1353" i="6"/>
  <c r="O1353" i="6"/>
  <c r="N1353" i="6"/>
  <c r="P1352" i="6"/>
  <c r="O1352" i="6"/>
  <c r="N1352" i="6"/>
  <c r="P1351" i="6"/>
  <c r="O1351" i="6"/>
  <c r="N1351" i="6"/>
  <c r="P1350" i="6"/>
  <c r="O1350" i="6"/>
  <c r="N1350" i="6"/>
  <c r="P1349" i="6"/>
  <c r="O1349" i="6"/>
  <c r="N1349" i="6"/>
  <c r="P1348" i="6"/>
  <c r="O1348" i="6"/>
  <c r="N1348" i="6"/>
  <c r="P1347" i="6"/>
  <c r="O1347" i="6"/>
  <c r="N1347" i="6"/>
  <c r="P1346" i="6"/>
  <c r="O1346" i="6"/>
  <c r="N1346" i="6"/>
  <c r="P1345" i="6"/>
  <c r="O1345" i="6"/>
  <c r="N1345" i="6"/>
  <c r="P1344" i="6"/>
  <c r="O1344" i="6"/>
  <c r="N1344" i="6"/>
  <c r="P1343" i="6"/>
  <c r="O1343" i="6"/>
  <c r="N1343" i="6"/>
  <c r="P1342" i="6"/>
  <c r="O1342" i="6"/>
  <c r="N1342" i="6"/>
  <c r="P1341" i="6"/>
  <c r="O1341" i="6"/>
  <c r="N1341" i="6"/>
  <c r="P1340" i="6"/>
  <c r="O1340" i="6"/>
  <c r="N1340" i="6"/>
  <c r="P1339" i="6"/>
  <c r="O1339" i="6"/>
  <c r="N1339" i="6"/>
  <c r="P1338" i="6"/>
  <c r="O1338" i="6"/>
  <c r="N1338" i="6"/>
  <c r="P1337" i="6"/>
  <c r="O1337" i="6"/>
  <c r="N1337" i="6"/>
  <c r="P1336" i="6"/>
  <c r="O1336" i="6"/>
  <c r="N1336" i="6"/>
  <c r="P1335" i="6"/>
  <c r="O1335" i="6"/>
  <c r="N1335" i="6"/>
  <c r="P1334" i="6"/>
  <c r="O1334" i="6"/>
  <c r="N1334" i="6"/>
  <c r="P1333" i="6"/>
  <c r="O1333" i="6"/>
  <c r="N1333" i="6"/>
  <c r="P1332" i="6"/>
  <c r="O1332" i="6"/>
  <c r="N1332" i="6"/>
  <c r="P1331" i="6"/>
  <c r="O1331" i="6"/>
  <c r="N1331" i="6"/>
  <c r="P1330" i="6"/>
  <c r="O1330" i="6"/>
  <c r="N1330" i="6"/>
  <c r="P1329" i="6"/>
  <c r="O1329" i="6"/>
  <c r="N1329" i="6"/>
  <c r="P1328" i="6"/>
  <c r="O1328" i="6"/>
  <c r="N1328" i="6"/>
  <c r="P1327" i="6"/>
  <c r="O1327" i="6"/>
  <c r="N1327" i="6"/>
  <c r="P1326" i="6"/>
  <c r="O1326" i="6"/>
  <c r="N1326" i="6"/>
  <c r="P1325" i="6"/>
  <c r="O1325" i="6"/>
  <c r="N1325" i="6"/>
  <c r="P1324" i="6"/>
  <c r="O1324" i="6"/>
  <c r="N1324" i="6"/>
  <c r="P1323" i="6"/>
  <c r="O1323" i="6"/>
  <c r="N1323" i="6"/>
  <c r="P1322" i="6"/>
  <c r="O1322" i="6"/>
  <c r="N1322" i="6"/>
  <c r="P1321" i="6"/>
  <c r="O1321" i="6"/>
  <c r="N1321" i="6"/>
  <c r="P1320" i="6"/>
  <c r="O1320" i="6"/>
  <c r="N1320" i="6"/>
  <c r="P1319" i="6"/>
  <c r="O1319" i="6"/>
  <c r="N1319" i="6"/>
  <c r="P1318" i="6"/>
  <c r="O1318" i="6"/>
  <c r="N1318" i="6"/>
  <c r="P1317" i="6"/>
  <c r="O1317" i="6"/>
  <c r="N1317" i="6"/>
  <c r="P1316" i="6"/>
  <c r="O1316" i="6"/>
  <c r="N1316" i="6"/>
  <c r="P1315" i="6"/>
  <c r="O1315" i="6"/>
  <c r="N1315" i="6"/>
  <c r="P1314" i="6"/>
  <c r="O1314" i="6"/>
  <c r="N1314" i="6"/>
  <c r="P1313" i="6"/>
  <c r="O1313" i="6"/>
  <c r="N1313" i="6"/>
  <c r="P1312" i="6"/>
  <c r="O1312" i="6"/>
  <c r="N1312" i="6"/>
  <c r="P1311" i="6"/>
  <c r="O1311" i="6"/>
  <c r="N1311" i="6"/>
  <c r="P1310" i="6"/>
  <c r="O1310" i="6"/>
  <c r="N1310" i="6"/>
  <c r="P1309" i="6"/>
  <c r="O1309" i="6"/>
  <c r="N1309" i="6"/>
  <c r="P1308" i="6"/>
  <c r="O1308" i="6"/>
  <c r="N1308" i="6"/>
  <c r="P1307" i="6"/>
  <c r="O1307" i="6"/>
  <c r="N1307" i="6"/>
  <c r="P1306" i="6"/>
  <c r="O1306" i="6"/>
  <c r="N1306" i="6"/>
  <c r="P1305" i="6"/>
  <c r="O1305" i="6"/>
  <c r="N1305" i="6"/>
  <c r="P1304" i="6"/>
  <c r="O1304" i="6"/>
  <c r="N1304" i="6"/>
  <c r="P1303" i="6"/>
  <c r="O1303" i="6"/>
  <c r="N1303" i="6"/>
  <c r="P1302" i="6"/>
  <c r="O1302" i="6"/>
  <c r="N1302" i="6"/>
  <c r="P1301" i="6"/>
  <c r="O1301" i="6"/>
  <c r="N1301" i="6"/>
  <c r="P1300" i="6"/>
  <c r="O1300" i="6"/>
  <c r="N1300" i="6"/>
  <c r="P1299" i="6"/>
  <c r="O1299" i="6"/>
  <c r="N1299" i="6"/>
  <c r="P1298" i="6"/>
  <c r="O1298" i="6"/>
  <c r="N1298" i="6"/>
  <c r="P1297" i="6"/>
  <c r="O1297" i="6"/>
  <c r="N1297" i="6"/>
  <c r="P1296" i="6"/>
  <c r="O1296" i="6"/>
  <c r="N1296" i="6"/>
  <c r="P1295" i="6"/>
  <c r="O1295" i="6"/>
  <c r="N1295" i="6"/>
  <c r="P1294" i="6"/>
  <c r="O1294" i="6"/>
  <c r="N1294" i="6"/>
  <c r="P1293" i="6"/>
  <c r="O1293" i="6"/>
  <c r="N1293" i="6"/>
  <c r="P1292" i="6"/>
  <c r="O1292" i="6"/>
  <c r="N1292" i="6"/>
  <c r="P1291" i="6"/>
  <c r="O1291" i="6"/>
  <c r="N1291" i="6"/>
  <c r="P1290" i="6"/>
  <c r="O1290" i="6"/>
  <c r="N1290" i="6"/>
  <c r="P1289" i="6"/>
  <c r="O1289" i="6"/>
  <c r="N1289" i="6"/>
  <c r="P1288" i="6"/>
  <c r="O1288" i="6"/>
  <c r="N1288" i="6"/>
  <c r="P1287" i="6"/>
  <c r="O1287" i="6"/>
  <c r="N1287" i="6"/>
  <c r="P1286" i="6"/>
  <c r="O1286" i="6"/>
  <c r="N1286" i="6"/>
  <c r="P1285" i="6"/>
  <c r="O1285" i="6"/>
  <c r="N1285" i="6"/>
  <c r="P1284" i="6"/>
  <c r="O1284" i="6"/>
  <c r="N1284" i="6"/>
  <c r="P1283" i="6"/>
  <c r="O1283" i="6"/>
  <c r="N1283" i="6"/>
  <c r="P1282" i="6"/>
  <c r="O1282" i="6"/>
  <c r="N1282" i="6"/>
  <c r="P1281" i="6"/>
  <c r="O1281" i="6"/>
  <c r="N1281" i="6"/>
  <c r="P1280" i="6"/>
  <c r="O1280" i="6"/>
  <c r="N1280" i="6"/>
  <c r="P1279" i="6"/>
  <c r="O1279" i="6"/>
  <c r="N1279" i="6"/>
  <c r="P1278" i="6"/>
  <c r="O1278" i="6"/>
  <c r="N1278" i="6"/>
  <c r="P1277" i="6"/>
  <c r="O1277" i="6"/>
  <c r="N1277" i="6"/>
  <c r="P1276" i="6"/>
  <c r="O1276" i="6"/>
  <c r="N1276" i="6"/>
  <c r="P1275" i="6"/>
  <c r="O1275" i="6"/>
  <c r="N1275" i="6"/>
  <c r="P1274" i="6"/>
  <c r="O1274" i="6"/>
  <c r="N1274" i="6"/>
  <c r="P1273" i="6"/>
  <c r="O1273" i="6"/>
  <c r="N1273" i="6"/>
  <c r="P1272" i="6"/>
  <c r="O1272" i="6"/>
  <c r="N1272" i="6"/>
  <c r="P1271" i="6"/>
  <c r="O1271" i="6"/>
  <c r="N1271" i="6"/>
  <c r="P1270" i="6"/>
  <c r="O1270" i="6"/>
  <c r="N1270" i="6"/>
  <c r="P1269" i="6"/>
  <c r="O1269" i="6"/>
  <c r="N1269" i="6"/>
  <c r="P1268" i="6"/>
  <c r="O1268" i="6"/>
  <c r="N1268" i="6"/>
  <c r="P1267" i="6"/>
  <c r="O1267" i="6"/>
  <c r="N1267" i="6"/>
  <c r="P1266" i="6"/>
  <c r="O1266" i="6"/>
  <c r="N1266" i="6"/>
  <c r="P1265" i="6"/>
  <c r="O1265" i="6"/>
  <c r="N1265" i="6"/>
  <c r="P1264" i="6"/>
  <c r="O1264" i="6"/>
  <c r="N1264" i="6"/>
  <c r="P1263" i="6"/>
  <c r="O1263" i="6"/>
  <c r="N1263" i="6"/>
  <c r="P1262" i="6"/>
  <c r="O1262" i="6"/>
  <c r="N1262" i="6"/>
  <c r="P1261" i="6"/>
  <c r="O1261" i="6"/>
  <c r="N1261" i="6"/>
  <c r="P1260" i="6"/>
  <c r="O1260" i="6"/>
  <c r="N1260" i="6"/>
  <c r="P1259" i="6"/>
  <c r="O1259" i="6"/>
  <c r="N1259" i="6"/>
  <c r="P1258" i="6"/>
  <c r="O1258" i="6"/>
  <c r="N1258" i="6"/>
  <c r="P1257" i="6"/>
  <c r="O1257" i="6"/>
  <c r="N1257" i="6"/>
  <c r="P1256" i="6"/>
  <c r="O1256" i="6"/>
  <c r="N1256" i="6"/>
  <c r="P1255" i="6"/>
  <c r="O1255" i="6"/>
  <c r="N1255" i="6"/>
  <c r="P1254" i="6"/>
  <c r="O1254" i="6"/>
  <c r="N1254" i="6"/>
  <c r="P1253" i="6"/>
  <c r="O1253" i="6"/>
  <c r="N1253" i="6"/>
  <c r="P1252" i="6"/>
  <c r="O1252" i="6"/>
  <c r="N1252" i="6"/>
  <c r="P1251" i="6"/>
  <c r="O1251" i="6"/>
  <c r="N1251" i="6"/>
  <c r="P1250" i="6"/>
  <c r="O1250" i="6"/>
  <c r="N1250" i="6"/>
  <c r="P1249" i="6"/>
  <c r="O1249" i="6"/>
  <c r="N1249" i="6"/>
  <c r="P1248" i="6"/>
  <c r="O1248" i="6"/>
  <c r="N1248" i="6"/>
  <c r="P1247" i="6"/>
  <c r="O1247" i="6"/>
  <c r="N1247" i="6"/>
  <c r="P1246" i="6"/>
  <c r="O1246" i="6"/>
  <c r="N1246" i="6"/>
  <c r="P1245" i="6"/>
  <c r="O1245" i="6"/>
  <c r="N1245" i="6"/>
  <c r="P1244" i="6"/>
  <c r="O1244" i="6"/>
  <c r="N1244" i="6"/>
  <c r="P1243" i="6"/>
  <c r="O1243" i="6"/>
  <c r="N1243" i="6"/>
  <c r="P1242" i="6"/>
  <c r="O1242" i="6"/>
  <c r="N1242" i="6"/>
  <c r="P1241" i="6"/>
  <c r="O1241" i="6"/>
  <c r="N1241" i="6"/>
  <c r="P1240" i="6"/>
  <c r="O1240" i="6"/>
  <c r="N1240" i="6"/>
  <c r="P1239" i="6"/>
  <c r="O1239" i="6"/>
  <c r="N1239" i="6"/>
  <c r="P1238" i="6"/>
  <c r="O1238" i="6"/>
  <c r="N1238" i="6"/>
  <c r="P1237" i="6"/>
  <c r="O1237" i="6"/>
  <c r="N1237" i="6"/>
  <c r="P1236" i="6"/>
  <c r="O1236" i="6"/>
  <c r="N1236" i="6"/>
  <c r="P1235" i="6"/>
  <c r="O1235" i="6"/>
  <c r="N1235" i="6"/>
  <c r="P1234" i="6"/>
  <c r="O1234" i="6"/>
  <c r="N1234" i="6"/>
  <c r="P1233" i="6"/>
  <c r="O1233" i="6"/>
  <c r="N1233" i="6"/>
  <c r="P1232" i="6"/>
  <c r="O1232" i="6"/>
  <c r="N1232" i="6"/>
  <c r="P1231" i="6"/>
  <c r="O1231" i="6"/>
  <c r="N1231" i="6"/>
  <c r="P1230" i="6"/>
  <c r="O1230" i="6"/>
  <c r="N1230" i="6"/>
  <c r="P1229" i="6"/>
  <c r="O1229" i="6"/>
  <c r="N1229" i="6"/>
  <c r="P1228" i="6"/>
  <c r="O1228" i="6"/>
  <c r="N1228" i="6"/>
  <c r="P1227" i="6"/>
  <c r="O1227" i="6"/>
  <c r="N1227" i="6"/>
  <c r="P1226" i="6"/>
  <c r="O1226" i="6"/>
  <c r="N1226" i="6"/>
  <c r="P1225" i="6"/>
  <c r="O1225" i="6"/>
  <c r="N1225" i="6"/>
  <c r="P1224" i="6"/>
  <c r="O1224" i="6"/>
  <c r="N1224" i="6"/>
  <c r="P1223" i="6"/>
  <c r="O1223" i="6"/>
  <c r="N1223" i="6"/>
  <c r="P1222" i="6"/>
  <c r="O1222" i="6"/>
  <c r="N1222" i="6"/>
  <c r="P1221" i="6"/>
  <c r="O1221" i="6"/>
  <c r="N1221" i="6"/>
  <c r="P1220" i="6"/>
  <c r="O1220" i="6"/>
  <c r="N1220" i="6"/>
  <c r="P1219" i="6"/>
  <c r="O1219" i="6"/>
  <c r="N1219" i="6"/>
  <c r="P1218" i="6"/>
  <c r="O1218" i="6"/>
  <c r="N1218" i="6"/>
  <c r="P1217" i="6"/>
  <c r="O1217" i="6"/>
  <c r="N1217" i="6"/>
  <c r="P1216" i="6"/>
  <c r="O1216" i="6"/>
  <c r="N1216" i="6"/>
  <c r="P1215" i="6"/>
  <c r="O1215" i="6"/>
  <c r="N1215" i="6"/>
  <c r="P1214" i="6"/>
  <c r="O1214" i="6"/>
  <c r="N1214" i="6"/>
  <c r="P1213" i="6"/>
  <c r="O1213" i="6"/>
  <c r="N1213" i="6"/>
  <c r="P1212" i="6"/>
  <c r="O1212" i="6"/>
  <c r="N1212" i="6"/>
  <c r="P1211" i="6"/>
  <c r="O1211" i="6"/>
  <c r="N1211" i="6"/>
  <c r="P1210" i="6"/>
  <c r="O1210" i="6"/>
  <c r="N1210" i="6"/>
  <c r="P1209" i="6"/>
  <c r="O1209" i="6"/>
  <c r="N1209" i="6"/>
  <c r="P1208" i="6"/>
  <c r="O1208" i="6"/>
  <c r="N1208" i="6"/>
  <c r="P1207" i="6"/>
  <c r="O1207" i="6"/>
  <c r="N1207" i="6"/>
  <c r="P1206" i="6"/>
  <c r="O1206" i="6"/>
  <c r="N1206" i="6"/>
  <c r="P1205" i="6"/>
  <c r="O1205" i="6"/>
  <c r="N1205" i="6"/>
  <c r="P1204" i="6"/>
  <c r="O1204" i="6"/>
  <c r="N1204" i="6"/>
  <c r="P1203" i="6"/>
  <c r="O1203" i="6"/>
  <c r="N1203" i="6"/>
  <c r="P1202" i="6"/>
  <c r="O1202" i="6"/>
  <c r="N1202" i="6"/>
  <c r="P1201" i="6"/>
  <c r="O1201" i="6"/>
  <c r="N1201" i="6"/>
  <c r="P1200" i="6"/>
  <c r="O1200" i="6"/>
  <c r="N1200" i="6"/>
  <c r="P1199" i="6"/>
  <c r="O1199" i="6"/>
  <c r="N1199" i="6"/>
  <c r="P1198" i="6"/>
  <c r="O1198" i="6"/>
  <c r="N1198" i="6"/>
  <c r="P1197" i="6"/>
  <c r="O1197" i="6"/>
  <c r="N1197" i="6"/>
  <c r="P1196" i="6"/>
  <c r="O1196" i="6"/>
  <c r="N1196" i="6"/>
  <c r="P1195" i="6"/>
  <c r="O1195" i="6"/>
  <c r="N1195" i="6"/>
  <c r="P1194" i="6"/>
  <c r="O1194" i="6"/>
  <c r="N1194" i="6"/>
  <c r="P1193" i="6"/>
  <c r="O1193" i="6"/>
  <c r="N1193" i="6"/>
  <c r="P1192" i="6"/>
  <c r="O1192" i="6"/>
  <c r="N1192" i="6"/>
  <c r="P1191" i="6"/>
  <c r="O1191" i="6"/>
  <c r="N1191" i="6"/>
  <c r="P1190" i="6"/>
  <c r="O1190" i="6"/>
  <c r="N1190" i="6"/>
  <c r="P1189" i="6"/>
  <c r="O1189" i="6"/>
  <c r="N1189" i="6"/>
  <c r="P1188" i="6"/>
  <c r="O1188" i="6"/>
  <c r="N1188" i="6"/>
  <c r="P1187" i="6"/>
  <c r="O1187" i="6"/>
  <c r="N1187" i="6"/>
  <c r="P1186" i="6"/>
  <c r="O1186" i="6"/>
  <c r="N1186" i="6"/>
  <c r="P1185" i="6"/>
  <c r="O1185" i="6"/>
  <c r="N1185" i="6"/>
  <c r="P1184" i="6"/>
  <c r="O1184" i="6"/>
  <c r="N1184" i="6"/>
  <c r="P1183" i="6"/>
  <c r="O1183" i="6"/>
  <c r="N1183" i="6"/>
  <c r="P1182" i="6"/>
  <c r="O1182" i="6"/>
  <c r="N1182" i="6"/>
  <c r="P1181" i="6"/>
  <c r="O1181" i="6"/>
  <c r="N1181" i="6"/>
  <c r="P1180" i="6"/>
  <c r="O1180" i="6"/>
  <c r="N1180" i="6"/>
  <c r="P1179" i="6"/>
  <c r="O1179" i="6"/>
  <c r="N1179" i="6"/>
  <c r="P1178" i="6"/>
  <c r="O1178" i="6"/>
  <c r="N1178" i="6"/>
  <c r="P1177" i="6"/>
  <c r="O1177" i="6"/>
  <c r="N1177" i="6"/>
  <c r="P1176" i="6"/>
  <c r="O1176" i="6"/>
  <c r="N1176" i="6"/>
  <c r="P1175" i="6"/>
  <c r="O1175" i="6"/>
  <c r="N1175" i="6"/>
  <c r="P1174" i="6"/>
  <c r="O1174" i="6"/>
  <c r="N1174" i="6"/>
  <c r="P1173" i="6"/>
  <c r="O1173" i="6"/>
  <c r="N1173" i="6"/>
  <c r="P1172" i="6"/>
  <c r="O1172" i="6"/>
  <c r="N1172" i="6"/>
  <c r="P1171" i="6"/>
  <c r="O1171" i="6"/>
  <c r="N1171" i="6"/>
  <c r="P1170" i="6"/>
  <c r="O1170" i="6"/>
  <c r="N1170" i="6"/>
  <c r="P1169" i="6"/>
  <c r="O1169" i="6"/>
  <c r="N1169" i="6"/>
  <c r="P1168" i="6"/>
  <c r="O1168" i="6"/>
  <c r="N1168" i="6"/>
  <c r="P1167" i="6"/>
  <c r="O1167" i="6"/>
  <c r="N1167" i="6"/>
  <c r="P1166" i="6"/>
  <c r="O1166" i="6"/>
  <c r="N1166" i="6"/>
  <c r="P1165" i="6"/>
  <c r="O1165" i="6"/>
  <c r="N1165" i="6"/>
  <c r="P1164" i="6"/>
  <c r="O1164" i="6"/>
  <c r="N1164" i="6"/>
  <c r="P1163" i="6"/>
  <c r="O1163" i="6"/>
  <c r="N1163" i="6"/>
  <c r="P1162" i="6"/>
  <c r="O1162" i="6"/>
  <c r="N1162" i="6"/>
  <c r="P1161" i="6"/>
  <c r="O1161" i="6"/>
  <c r="N1161" i="6"/>
  <c r="P1160" i="6"/>
  <c r="O1160" i="6"/>
  <c r="N1160" i="6"/>
  <c r="P1159" i="6"/>
  <c r="O1159" i="6"/>
  <c r="N1159" i="6"/>
  <c r="P1158" i="6"/>
  <c r="O1158" i="6"/>
  <c r="N1158" i="6"/>
  <c r="P1157" i="6"/>
  <c r="O1157" i="6"/>
  <c r="N1157" i="6"/>
  <c r="P1156" i="6"/>
  <c r="O1156" i="6"/>
  <c r="N1156" i="6"/>
  <c r="P1155" i="6"/>
  <c r="O1155" i="6"/>
  <c r="N1155" i="6"/>
  <c r="P1154" i="6"/>
  <c r="O1154" i="6"/>
  <c r="N1154" i="6"/>
  <c r="P1153" i="6"/>
  <c r="O1153" i="6"/>
  <c r="N1153" i="6"/>
  <c r="P1152" i="6"/>
  <c r="O1152" i="6"/>
  <c r="N1152" i="6"/>
  <c r="P1151" i="6"/>
  <c r="O1151" i="6"/>
  <c r="N1151" i="6"/>
  <c r="P1150" i="6"/>
  <c r="O1150" i="6"/>
  <c r="N1150" i="6"/>
  <c r="P1149" i="6"/>
  <c r="O1149" i="6"/>
  <c r="N1149" i="6"/>
  <c r="P1148" i="6"/>
  <c r="O1148" i="6"/>
  <c r="N1148" i="6"/>
  <c r="P1147" i="6"/>
  <c r="O1147" i="6"/>
  <c r="N1147" i="6"/>
  <c r="P1146" i="6"/>
  <c r="O1146" i="6"/>
  <c r="N1146" i="6"/>
  <c r="P1145" i="6"/>
  <c r="O1145" i="6"/>
  <c r="N1145" i="6"/>
  <c r="P1144" i="6"/>
  <c r="O1144" i="6"/>
  <c r="N1144" i="6"/>
  <c r="P1143" i="6"/>
  <c r="O1143" i="6"/>
  <c r="N1143" i="6"/>
  <c r="P1142" i="6"/>
  <c r="O1142" i="6"/>
  <c r="N1142" i="6"/>
  <c r="P1141" i="6"/>
  <c r="O1141" i="6"/>
  <c r="N1141" i="6"/>
  <c r="P1140" i="6"/>
  <c r="O1140" i="6"/>
  <c r="N1140" i="6"/>
  <c r="P1139" i="6"/>
  <c r="O1139" i="6"/>
  <c r="N1139" i="6"/>
  <c r="P1138" i="6"/>
  <c r="O1138" i="6"/>
  <c r="N1138" i="6"/>
  <c r="P1137" i="6"/>
  <c r="O1137" i="6"/>
  <c r="N1137" i="6"/>
  <c r="P1136" i="6"/>
  <c r="O1136" i="6"/>
  <c r="N1136" i="6"/>
  <c r="P1135" i="6"/>
  <c r="O1135" i="6"/>
  <c r="N1135" i="6"/>
  <c r="P1134" i="6"/>
  <c r="O1134" i="6"/>
  <c r="N1134" i="6"/>
  <c r="P1133" i="6"/>
  <c r="O1133" i="6"/>
  <c r="N1133" i="6"/>
  <c r="P1132" i="6"/>
  <c r="O1132" i="6"/>
  <c r="N1132" i="6"/>
  <c r="P1131" i="6"/>
  <c r="O1131" i="6"/>
  <c r="N1131" i="6"/>
  <c r="P1130" i="6"/>
  <c r="O1130" i="6"/>
  <c r="N1130" i="6"/>
  <c r="P1129" i="6"/>
  <c r="O1129" i="6"/>
  <c r="N1129" i="6"/>
  <c r="P1128" i="6"/>
  <c r="O1128" i="6"/>
  <c r="N1128" i="6"/>
  <c r="P1127" i="6"/>
  <c r="O1127" i="6"/>
  <c r="N1127" i="6"/>
  <c r="P1126" i="6"/>
  <c r="O1126" i="6"/>
  <c r="N1126" i="6"/>
  <c r="P1125" i="6"/>
  <c r="O1125" i="6"/>
  <c r="N1125" i="6"/>
  <c r="P1124" i="6"/>
  <c r="O1124" i="6"/>
  <c r="N1124" i="6"/>
  <c r="P1123" i="6"/>
  <c r="O1123" i="6"/>
  <c r="N1123" i="6"/>
  <c r="P1122" i="6"/>
  <c r="O1122" i="6"/>
  <c r="N1122" i="6"/>
  <c r="P1121" i="6"/>
  <c r="O1121" i="6"/>
  <c r="N1121" i="6"/>
  <c r="P1120" i="6"/>
  <c r="O1120" i="6"/>
  <c r="N1120" i="6"/>
  <c r="P1119" i="6"/>
  <c r="O1119" i="6"/>
  <c r="N1119" i="6"/>
  <c r="P1118" i="6"/>
  <c r="O1118" i="6"/>
  <c r="N1118" i="6"/>
  <c r="P1117" i="6"/>
  <c r="O1117" i="6"/>
  <c r="N1117" i="6"/>
  <c r="P1116" i="6"/>
  <c r="O1116" i="6"/>
  <c r="N1116" i="6"/>
  <c r="P1115" i="6"/>
  <c r="O1115" i="6"/>
  <c r="N1115" i="6"/>
  <c r="P1114" i="6"/>
  <c r="O1114" i="6"/>
  <c r="N1114" i="6"/>
  <c r="P1113" i="6"/>
  <c r="O1113" i="6"/>
  <c r="N1113" i="6"/>
  <c r="P1112" i="6"/>
  <c r="O1112" i="6"/>
  <c r="N1112" i="6"/>
  <c r="P1111" i="6"/>
  <c r="O1111" i="6"/>
  <c r="N1111" i="6"/>
  <c r="P1110" i="6"/>
  <c r="O1110" i="6"/>
  <c r="N1110" i="6"/>
  <c r="P1109" i="6"/>
  <c r="O1109" i="6"/>
  <c r="N1109" i="6"/>
  <c r="P1108" i="6"/>
  <c r="O1108" i="6"/>
  <c r="N1108" i="6"/>
  <c r="P1107" i="6"/>
  <c r="O1107" i="6"/>
  <c r="N1107" i="6"/>
  <c r="P1106" i="6"/>
  <c r="O1106" i="6"/>
  <c r="N1106" i="6"/>
  <c r="P1105" i="6"/>
  <c r="O1105" i="6"/>
  <c r="N1105" i="6"/>
  <c r="P1104" i="6"/>
  <c r="O1104" i="6"/>
  <c r="N1104" i="6"/>
  <c r="P1103" i="6"/>
  <c r="O1103" i="6"/>
  <c r="N1103" i="6"/>
  <c r="P1102" i="6"/>
  <c r="O1102" i="6"/>
  <c r="N1102" i="6"/>
  <c r="P1101" i="6"/>
  <c r="O1101" i="6"/>
  <c r="N1101" i="6"/>
  <c r="P1100" i="6"/>
  <c r="O1100" i="6"/>
  <c r="N1100" i="6"/>
  <c r="P1099" i="6"/>
  <c r="O1099" i="6"/>
  <c r="N1099" i="6"/>
  <c r="P1098" i="6"/>
  <c r="O1098" i="6"/>
  <c r="N1098" i="6"/>
  <c r="P1097" i="6"/>
  <c r="O1097" i="6"/>
  <c r="N1097" i="6"/>
  <c r="P1096" i="6"/>
  <c r="O1096" i="6"/>
  <c r="N1096" i="6"/>
  <c r="P1095" i="6"/>
  <c r="O1095" i="6"/>
  <c r="N1095" i="6"/>
  <c r="P1094" i="6"/>
  <c r="O1094" i="6"/>
  <c r="N1094" i="6"/>
  <c r="P1093" i="6"/>
  <c r="O1093" i="6"/>
  <c r="N1093" i="6"/>
  <c r="P1092" i="6"/>
  <c r="O1092" i="6"/>
  <c r="N1092" i="6"/>
  <c r="P1091" i="6"/>
  <c r="O1091" i="6"/>
  <c r="N1091" i="6"/>
  <c r="P1090" i="6"/>
  <c r="O1090" i="6"/>
  <c r="N1090" i="6"/>
  <c r="P1089" i="6"/>
  <c r="O1089" i="6"/>
  <c r="N1089" i="6"/>
  <c r="P1088" i="6"/>
  <c r="O1088" i="6"/>
  <c r="N1088" i="6"/>
  <c r="P1087" i="6"/>
  <c r="O1087" i="6"/>
  <c r="N1087" i="6"/>
  <c r="P1086" i="6"/>
  <c r="O1086" i="6"/>
  <c r="N1086" i="6"/>
  <c r="P1085" i="6"/>
  <c r="O1085" i="6"/>
  <c r="N1085" i="6"/>
  <c r="P1084" i="6"/>
  <c r="O1084" i="6"/>
  <c r="N1084" i="6"/>
  <c r="P1083" i="6"/>
  <c r="O1083" i="6"/>
  <c r="N1083" i="6"/>
  <c r="P1082" i="6"/>
  <c r="O1082" i="6"/>
  <c r="N1082" i="6"/>
  <c r="P1081" i="6"/>
  <c r="O1081" i="6"/>
  <c r="N1081" i="6"/>
  <c r="P1080" i="6"/>
  <c r="O1080" i="6"/>
  <c r="N1080" i="6"/>
  <c r="P1079" i="6"/>
  <c r="O1079" i="6"/>
  <c r="N1079" i="6"/>
  <c r="P1078" i="6"/>
  <c r="O1078" i="6"/>
  <c r="N1078" i="6"/>
  <c r="P1077" i="6"/>
  <c r="O1077" i="6"/>
  <c r="N1077" i="6"/>
  <c r="P1076" i="6"/>
  <c r="O1076" i="6"/>
  <c r="N1076" i="6"/>
  <c r="P1075" i="6"/>
  <c r="O1075" i="6"/>
  <c r="N1075" i="6"/>
  <c r="P1074" i="6"/>
  <c r="O1074" i="6"/>
  <c r="N1074" i="6"/>
  <c r="P1073" i="6"/>
  <c r="O1073" i="6"/>
  <c r="N1073" i="6"/>
  <c r="P1072" i="6"/>
  <c r="O1072" i="6"/>
  <c r="N1072" i="6"/>
  <c r="P1071" i="6"/>
  <c r="O1071" i="6"/>
  <c r="N1071" i="6"/>
  <c r="P1070" i="6"/>
  <c r="O1070" i="6"/>
  <c r="N1070" i="6"/>
  <c r="P1069" i="6"/>
  <c r="O1069" i="6"/>
  <c r="N1069" i="6"/>
  <c r="P1068" i="6"/>
  <c r="O1068" i="6"/>
  <c r="N1068" i="6"/>
  <c r="P1067" i="6"/>
  <c r="O1067" i="6"/>
  <c r="N1067" i="6"/>
  <c r="P1066" i="6"/>
  <c r="O1066" i="6"/>
  <c r="N1066" i="6"/>
  <c r="P1065" i="6"/>
  <c r="O1065" i="6"/>
  <c r="N1065" i="6"/>
  <c r="P1064" i="6"/>
  <c r="O1064" i="6"/>
  <c r="N1064" i="6"/>
  <c r="P1063" i="6"/>
  <c r="O1063" i="6"/>
  <c r="N1063" i="6"/>
  <c r="P1062" i="6"/>
  <c r="O1062" i="6"/>
  <c r="N1062" i="6"/>
  <c r="P1061" i="6"/>
  <c r="O1061" i="6"/>
  <c r="N1061" i="6"/>
  <c r="P1060" i="6"/>
  <c r="O1060" i="6"/>
  <c r="N1060" i="6"/>
  <c r="P1059" i="6"/>
  <c r="O1059" i="6"/>
  <c r="N1059" i="6"/>
  <c r="P1058" i="6"/>
  <c r="O1058" i="6"/>
  <c r="N1058" i="6"/>
  <c r="P1057" i="6"/>
  <c r="O1057" i="6"/>
  <c r="N1057" i="6"/>
  <c r="P1056" i="6"/>
  <c r="O1056" i="6"/>
  <c r="N1056" i="6"/>
  <c r="P1055" i="6"/>
  <c r="O1055" i="6"/>
  <c r="N1055" i="6"/>
  <c r="P1054" i="6"/>
  <c r="O1054" i="6"/>
  <c r="N1054" i="6"/>
  <c r="P1053" i="6"/>
  <c r="O1053" i="6"/>
  <c r="N1053" i="6"/>
  <c r="P1052" i="6"/>
  <c r="O1052" i="6"/>
  <c r="N1052" i="6"/>
  <c r="P1051" i="6"/>
  <c r="O1051" i="6"/>
  <c r="N1051" i="6"/>
  <c r="P1050" i="6"/>
  <c r="O1050" i="6"/>
  <c r="N1050" i="6"/>
  <c r="P1049" i="6"/>
  <c r="O1049" i="6"/>
  <c r="N1049" i="6"/>
  <c r="P1048" i="6"/>
  <c r="O1048" i="6"/>
  <c r="N1048" i="6"/>
  <c r="P1047" i="6"/>
  <c r="O1047" i="6"/>
  <c r="N1047" i="6"/>
  <c r="P1046" i="6"/>
  <c r="O1046" i="6"/>
  <c r="N1046" i="6"/>
  <c r="P1045" i="6"/>
  <c r="O1045" i="6"/>
  <c r="N1045" i="6"/>
  <c r="P1044" i="6"/>
  <c r="O1044" i="6"/>
  <c r="N1044" i="6"/>
  <c r="P1043" i="6"/>
  <c r="O1043" i="6"/>
  <c r="N1043" i="6"/>
  <c r="P1042" i="6"/>
  <c r="O1042" i="6"/>
  <c r="N1042" i="6"/>
  <c r="P1041" i="6"/>
  <c r="O1041" i="6"/>
  <c r="N1041" i="6"/>
  <c r="P1040" i="6"/>
  <c r="O1040" i="6"/>
  <c r="N1040" i="6"/>
  <c r="P1039" i="6"/>
  <c r="O1039" i="6"/>
  <c r="N1039" i="6"/>
  <c r="P1038" i="6"/>
  <c r="O1038" i="6"/>
  <c r="N1038" i="6"/>
  <c r="P1037" i="6"/>
  <c r="O1037" i="6"/>
  <c r="N1037" i="6"/>
  <c r="P1036" i="6"/>
  <c r="O1036" i="6"/>
  <c r="N1036" i="6"/>
  <c r="P1035" i="6"/>
  <c r="O1035" i="6"/>
  <c r="N1035" i="6"/>
  <c r="P1034" i="6"/>
  <c r="O1034" i="6"/>
  <c r="N1034" i="6"/>
  <c r="P1033" i="6"/>
  <c r="O1033" i="6"/>
  <c r="N1033" i="6"/>
  <c r="P1032" i="6"/>
  <c r="O1032" i="6"/>
  <c r="N1032" i="6"/>
  <c r="P1031" i="6"/>
  <c r="O1031" i="6"/>
  <c r="N1031" i="6"/>
  <c r="P1030" i="6"/>
  <c r="O1030" i="6"/>
  <c r="N1030" i="6"/>
  <c r="P1029" i="6"/>
  <c r="O1029" i="6"/>
  <c r="N1029" i="6"/>
  <c r="P1028" i="6"/>
  <c r="O1028" i="6"/>
  <c r="N1028" i="6"/>
  <c r="P1027" i="6"/>
  <c r="O1027" i="6"/>
  <c r="N1027" i="6"/>
  <c r="P1026" i="6"/>
  <c r="O1026" i="6"/>
  <c r="N1026" i="6"/>
  <c r="P1025" i="6"/>
  <c r="O1025" i="6"/>
  <c r="N1025" i="6"/>
  <c r="P1024" i="6"/>
  <c r="O1024" i="6"/>
  <c r="N1024" i="6"/>
  <c r="P1023" i="6"/>
  <c r="O1023" i="6"/>
  <c r="N1023" i="6"/>
  <c r="P1022" i="6"/>
  <c r="O1022" i="6"/>
  <c r="N1022" i="6"/>
  <c r="P1021" i="6"/>
  <c r="O1021" i="6"/>
  <c r="N1021" i="6"/>
  <c r="P1020" i="6"/>
  <c r="O1020" i="6"/>
  <c r="N1020" i="6"/>
  <c r="P1019" i="6"/>
  <c r="O1019" i="6"/>
  <c r="N1019" i="6"/>
  <c r="P1018" i="6"/>
  <c r="O1018" i="6"/>
  <c r="N1018" i="6"/>
  <c r="P1017" i="6"/>
  <c r="O1017" i="6"/>
  <c r="N1017" i="6"/>
  <c r="P1016" i="6"/>
  <c r="O1016" i="6"/>
  <c r="N1016" i="6"/>
  <c r="P1015" i="6"/>
  <c r="O1015" i="6"/>
  <c r="N1015" i="6"/>
  <c r="P1014" i="6"/>
  <c r="O1014" i="6"/>
  <c r="N1014" i="6"/>
  <c r="P1013" i="6"/>
  <c r="O1013" i="6"/>
  <c r="N1013" i="6"/>
  <c r="P1012" i="6"/>
  <c r="O1012" i="6"/>
  <c r="N1012" i="6"/>
  <c r="P1011" i="6"/>
  <c r="O1011" i="6"/>
  <c r="N1011" i="6"/>
  <c r="P1010" i="6"/>
  <c r="O1010" i="6"/>
  <c r="N1010" i="6"/>
  <c r="P1009" i="6"/>
  <c r="O1009" i="6"/>
  <c r="N1009" i="6"/>
  <c r="P1008" i="6"/>
  <c r="O1008" i="6"/>
  <c r="N1008" i="6"/>
  <c r="P1007" i="6"/>
  <c r="O1007" i="6"/>
  <c r="N1007" i="6"/>
  <c r="P1006" i="6"/>
  <c r="O1006" i="6"/>
  <c r="N1006" i="6"/>
  <c r="P1005" i="6"/>
  <c r="O1005" i="6"/>
  <c r="N1005" i="6"/>
  <c r="P1004" i="6"/>
  <c r="O1004" i="6"/>
  <c r="N1004" i="6"/>
  <c r="P1003" i="6"/>
  <c r="O1003" i="6"/>
  <c r="N1003" i="6"/>
  <c r="P1002" i="6"/>
  <c r="O1002" i="6"/>
  <c r="N1002" i="6"/>
  <c r="P1001" i="6"/>
  <c r="O1001" i="6"/>
  <c r="N1001" i="6"/>
  <c r="P1000" i="6"/>
  <c r="O1000" i="6"/>
  <c r="N1000" i="6"/>
  <c r="P999" i="6"/>
  <c r="O999" i="6"/>
  <c r="N999" i="6"/>
  <c r="P998" i="6"/>
  <c r="O998" i="6"/>
  <c r="N998" i="6"/>
  <c r="P997" i="6"/>
  <c r="O997" i="6"/>
  <c r="N997" i="6"/>
  <c r="P996" i="6"/>
  <c r="O996" i="6"/>
  <c r="N996" i="6"/>
  <c r="P995" i="6"/>
  <c r="O995" i="6"/>
  <c r="N995" i="6"/>
  <c r="P994" i="6"/>
  <c r="O994" i="6"/>
  <c r="N994" i="6"/>
  <c r="P993" i="6"/>
  <c r="O993" i="6"/>
  <c r="N993" i="6"/>
  <c r="P992" i="6"/>
  <c r="O992" i="6"/>
  <c r="N992" i="6"/>
  <c r="P991" i="6"/>
  <c r="O991" i="6"/>
  <c r="N991" i="6"/>
  <c r="P990" i="6"/>
  <c r="O990" i="6"/>
  <c r="N990" i="6"/>
  <c r="P989" i="6"/>
  <c r="O989" i="6"/>
  <c r="N989" i="6"/>
  <c r="P988" i="6"/>
  <c r="O988" i="6"/>
  <c r="N988" i="6"/>
  <c r="P987" i="6"/>
  <c r="O987" i="6"/>
  <c r="N987" i="6"/>
  <c r="P986" i="6"/>
  <c r="O986" i="6"/>
  <c r="N986" i="6"/>
  <c r="P985" i="6"/>
  <c r="O985" i="6"/>
  <c r="N985" i="6"/>
  <c r="P984" i="6"/>
  <c r="O984" i="6"/>
  <c r="N984" i="6"/>
  <c r="P983" i="6"/>
  <c r="O983" i="6"/>
  <c r="N983" i="6"/>
  <c r="P982" i="6"/>
  <c r="O982" i="6"/>
  <c r="N982" i="6"/>
  <c r="P981" i="6"/>
  <c r="O981" i="6"/>
  <c r="N981" i="6"/>
  <c r="P980" i="6"/>
  <c r="O980" i="6"/>
  <c r="N980" i="6"/>
  <c r="P979" i="6"/>
  <c r="O979" i="6"/>
  <c r="N979" i="6"/>
  <c r="P978" i="6"/>
  <c r="O978" i="6"/>
  <c r="N978" i="6"/>
  <c r="P977" i="6"/>
  <c r="O977" i="6"/>
  <c r="N977" i="6"/>
  <c r="P976" i="6"/>
  <c r="O976" i="6"/>
  <c r="N976" i="6"/>
  <c r="P975" i="6"/>
  <c r="O975" i="6"/>
  <c r="N975" i="6"/>
  <c r="P974" i="6"/>
  <c r="O974" i="6"/>
  <c r="N974" i="6"/>
  <c r="P973" i="6"/>
  <c r="O973" i="6"/>
  <c r="N973" i="6"/>
  <c r="P972" i="6"/>
  <c r="O972" i="6"/>
  <c r="N972" i="6"/>
  <c r="P971" i="6"/>
  <c r="O971" i="6"/>
  <c r="N971" i="6"/>
  <c r="P970" i="6"/>
  <c r="O970" i="6"/>
  <c r="N970" i="6"/>
  <c r="P969" i="6"/>
  <c r="O969" i="6"/>
  <c r="N969" i="6"/>
  <c r="P968" i="6"/>
  <c r="O968" i="6"/>
  <c r="N968" i="6"/>
  <c r="P967" i="6"/>
  <c r="O967" i="6"/>
  <c r="N967" i="6"/>
  <c r="P966" i="6"/>
  <c r="O966" i="6"/>
  <c r="N966" i="6"/>
  <c r="P965" i="6"/>
  <c r="O965" i="6"/>
  <c r="N965" i="6"/>
  <c r="P964" i="6"/>
  <c r="O964" i="6"/>
  <c r="N964" i="6"/>
  <c r="P963" i="6"/>
  <c r="O963" i="6"/>
  <c r="N963" i="6"/>
  <c r="P962" i="6"/>
  <c r="O962" i="6"/>
  <c r="N962" i="6"/>
  <c r="P961" i="6"/>
  <c r="O961" i="6"/>
  <c r="N961" i="6"/>
  <c r="P960" i="6"/>
  <c r="O960" i="6"/>
  <c r="N960" i="6"/>
  <c r="P959" i="6"/>
  <c r="O959" i="6"/>
  <c r="N959" i="6"/>
  <c r="P958" i="6"/>
  <c r="O958" i="6"/>
  <c r="N958" i="6"/>
  <c r="P957" i="6"/>
  <c r="O957" i="6"/>
  <c r="N957" i="6"/>
  <c r="P956" i="6"/>
  <c r="O956" i="6"/>
  <c r="N956" i="6"/>
  <c r="P955" i="6"/>
  <c r="O955" i="6"/>
  <c r="N955" i="6"/>
  <c r="P954" i="6"/>
  <c r="O954" i="6"/>
  <c r="N954" i="6"/>
  <c r="P953" i="6"/>
  <c r="O953" i="6"/>
  <c r="N953" i="6"/>
  <c r="P952" i="6"/>
  <c r="O952" i="6"/>
  <c r="N952" i="6"/>
  <c r="P951" i="6"/>
  <c r="O951" i="6"/>
  <c r="N951" i="6"/>
  <c r="P950" i="6"/>
  <c r="O950" i="6"/>
  <c r="N950" i="6"/>
  <c r="P949" i="6"/>
  <c r="O949" i="6"/>
  <c r="N949" i="6"/>
  <c r="P948" i="6"/>
  <c r="O948" i="6"/>
  <c r="N948" i="6"/>
  <c r="P947" i="6"/>
  <c r="O947" i="6"/>
  <c r="N947" i="6"/>
  <c r="P946" i="6"/>
  <c r="O946" i="6"/>
  <c r="N946" i="6"/>
  <c r="P945" i="6"/>
  <c r="O945" i="6"/>
  <c r="N945" i="6"/>
  <c r="P944" i="6"/>
  <c r="O944" i="6"/>
  <c r="N944" i="6"/>
  <c r="P943" i="6"/>
  <c r="O943" i="6"/>
  <c r="N943" i="6"/>
  <c r="P942" i="6"/>
  <c r="O942" i="6"/>
  <c r="N942" i="6"/>
  <c r="P941" i="6"/>
  <c r="O941" i="6"/>
  <c r="N941" i="6"/>
  <c r="P940" i="6"/>
  <c r="O940" i="6"/>
  <c r="N940" i="6"/>
  <c r="P939" i="6"/>
  <c r="O939" i="6"/>
  <c r="N939" i="6"/>
  <c r="P938" i="6"/>
  <c r="O938" i="6"/>
  <c r="N938" i="6"/>
  <c r="P937" i="6"/>
  <c r="O937" i="6"/>
  <c r="N937" i="6"/>
  <c r="P936" i="6"/>
  <c r="O936" i="6"/>
  <c r="N936" i="6"/>
  <c r="P935" i="6"/>
  <c r="O935" i="6"/>
  <c r="N935" i="6"/>
  <c r="P934" i="6"/>
  <c r="O934" i="6"/>
  <c r="N934" i="6"/>
  <c r="P933" i="6"/>
  <c r="O933" i="6"/>
  <c r="N933" i="6"/>
  <c r="P932" i="6"/>
  <c r="O932" i="6"/>
  <c r="N932" i="6"/>
  <c r="P931" i="6"/>
  <c r="O931" i="6"/>
  <c r="N931" i="6"/>
  <c r="P930" i="6"/>
  <c r="O930" i="6"/>
  <c r="N930" i="6"/>
  <c r="P929" i="6"/>
  <c r="O929" i="6"/>
  <c r="N929" i="6"/>
  <c r="P928" i="6"/>
  <c r="O928" i="6"/>
  <c r="N928" i="6"/>
  <c r="P927" i="6"/>
  <c r="O927" i="6"/>
  <c r="N927" i="6"/>
  <c r="P926" i="6"/>
  <c r="O926" i="6"/>
  <c r="N926" i="6"/>
  <c r="P925" i="6"/>
  <c r="O925" i="6"/>
  <c r="N925" i="6"/>
  <c r="P924" i="6"/>
  <c r="O924" i="6"/>
  <c r="N924" i="6"/>
  <c r="P923" i="6"/>
  <c r="O923" i="6"/>
  <c r="N923" i="6"/>
  <c r="P922" i="6"/>
  <c r="O922" i="6"/>
  <c r="N922" i="6"/>
  <c r="P921" i="6"/>
  <c r="O921" i="6"/>
  <c r="N921" i="6"/>
  <c r="P920" i="6"/>
  <c r="O920" i="6"/>
  <c r="N920" i="6"/>
  <c r="P919" i="6"/>
  <c r="O919" i="6"/>
  <c r="N919" i="6"/>
  <c r="P918" i="6"/>
  <c r="O918" i="6"/>
  <c r="N918" i="6"/>
  <c r="P917" i="6"/>
  <c r="O917" i="6"/>
  <c r="N917" i="6"/>
  <c r="P916" i="6"/>
  <c r="O916" i="6"/>
  <c r="N916" i="6"/>
  <c r="P915" i="6"/>
  <c r="O915" i="6"/>
  <c r="N915" i="6"/>
  <c r="P914" i="6"/>
  <c r="O914" i="6"/>
  <c r="N914" i="6"/>
  <c r="P913" i="6"/>
  <c r="O913" i="6"/>
  <c r="N913" i="6"/>
  <c r="P912" i="6"/>
  <c r="O912" i="6"/>
  <c r="N912" i="6"/>
  <c r="P911" i="6"/>
  <c r="O911" i="6"/>
  <c r="N911" i="6"/>
  <c r="P910" i="6"/>
  <c r="O910" i="6"/>
  <c r="N910" i="6"/>
  <c r="P909" i="6"/>
  <c r="O909" i="6"/>
  <c r="N909" i="6"/>
  <c r="P908" i="6"/>
  <c r="O908" i="6"/>
  <c r="N908" i="6"/>
  <c r="P907" i="6"/>
  <c r="O907" i="6"/>
  <c r="N907" i="6"/>
  <c r="P906" i="6"/>
  <c r="O906" i="6"/>
  <c r="N906" i="6"/>
  <c r="P905" i="6"/>
  <c r="O905" i="6"/>
  <c r="N905" i="6"/>
  <c r="P904" i="6"/>
  <c r="O904" i="6"/>
  <c r="N904" i="6"/>
  <c r="P903" i="6"/>
  <c r="O903" i="6"/>
  <c r="N903" i="6"/>
  <c r="P902" i="6"/>
  <c r="O902" i="6"/>
  <c r="N902" i="6"/>
  <c r="P901" i="6"/>
  <c r="O901" i="6"/>
  <c r="N901" i="6"/>
  <c r="P900" i="6"/>
  <c r="O900" i="6"/>
  <c r="N900" i="6"/>
  <c r="P899" i="6"/>
  <c r="O899" i="6"/>
  <c r="N899" i="6"/>
  <c r="P898" i="6"/>
  <c r="O898" i="6"/>
  <c r="N898" i="6"/>
  <c r="P897" i="6"/>
  <c r="O897" i="6"/>
  <c r="N897" i="6"/>
  <c r="P896" i="6"/>
  <c r="O896" i="6"/>
  <c r="N896" i="6"/>
  <c r="P895" i="6"/>
  <c r="O895" i="6"/>
  <c r="N895" i="6"/>
  <c r="P894" i="6"/>
  <c r="O894" i="6"/>
  <c r="N894" i="6"/>
  <c r="P893" i="6"/>
  <c r="O893" i="6"/>
  <c r="N893" i="6"/>
  <c r="P892" i="6"/>
  <c r="O892" i="6"/>
  <c r="N892" i="6"/>
  <c r="P891" i="6"/>
  <c r="O891" i="6"/>
  <c r="N891" i="6"/>
  <c r="P890" i="6"/>
  <c r="O890" i="6"/>
  <c r="N890" i="6"/>
  <c r="P889" i="6"/>
  <c r="O889" i="6"/>
  <c r="N889" i="6"/>
  <c r="P888" i="6"/>
  <c r="O888" i="6"/>
  <c r="N888" i="6"/>
  <c r="P887" i="6"/>
  <c r="O887" i="6"/>
  <c r="N887" i="6"/>
  <c r="P886" i="6"/>
  <c r="O886" i="6"/>
  <c r="N886" i="6"/>
  <c r="P885" i="6"/>
  <c r="O885" i="6"/>
  <c r="N885" i="6"/>
  <c r="P884" i="6"/>
  <c r="O884" i="6"/>
  <c r="N884" i="6"/>
  <c r="P883" i="6"/>
  <c r="O883" i="6"/>
  <c r="N883" i="6"/>
  <c r="P882" i="6"/>
  <c r="O882" i="6"/>
  <c r="N882" i="6"/>
  <c r="P881" i="6"/>
  <c r="O881" i="6"/>
  <c r="N881" i="6"/>
  <c r="P880" i="6"/>
  <c r="O880" i="6"/>
  <c r="N880" i="6"/>
  <c r="P879" i="6"/>
  <c r="O879" i="6"/>
  <c r="N879" i="6"/>
  <c r="P878" i="6"/>
  <c r="O878" i="6"/>
  <c r="N878" i="6"/>
  <c r="P877" i="6"/>
  <c r="O877" i="6"/>
  <c r="N877" i="6"/>
  <c r="P876" i="6"/>
  <c r="O876" i="6"/>
  <c r="N876" i="6"/>
  <c r="P875" i="6"/>
  <c r="O875" i="6"/>
  <c r="N875" i="6"/>
  <c r="P874" i="6"/>
  <c r="O874" i="6"/>
  <c r="N874" i="6"/>
  <c r="P873" i="6"/>
  <c r="O873" i="6"/>
  <c r="N873" i="6"/>
  <c r="P872" i="6"/>
  <c r="O872" i="6"/>
  <c r="N872" i="6"/>
  <c r="P871" i="6"/>
  <c r="O871" i="6"/>
  <c r="N871" i="6"/>
  <c r="P870" i="6"/>
  <c r="O870" i="6"/>
  <c r="N870" i="6"/>
  <c r="P869" i="6"/>
  <c r="O869" i="6"/>
  <c r="N869" i="6"/>
  <c r="P868" i="6"/>
  <c r="O868" i="6"/>
  <c r="N868" i="6"/>
  <c r="P867" i="6"/>
  <c r="O867" i="6"/>
  <c r="N867" i="6"/>
  <c r="P866" i="6"/>
  <c r="O866" i="6"/>
  <c r="N866" i="6"/>
  <c r="P865" i="6"/>
  <c r="O865" i="6"/>
  <c r="N865" i="6"/>
  <c r="P864" i="6"/>
  <c r="O864" i="6"/>
  <c r="N864" i="6"/>
  <c r="P863" i="6"/>
  <c r="O863" i="6"/>
  <c r="N863" i="6"/>
  <c r="P862" i="6"/>
  <c r="O862" i="6"/>
  <c r="N862" i="6"/>
  <c r="P861" i="6"/>
  <c r="O861" i="6"/>
  <c r="N861" i="6"/>
  <c r="P860" i="6"/>
  <c r="O860" i="6"/>
  <c r="N860" i="6"/>
  <c r="P859" i="6"/>
  <c r="O859" i="6"/>
  <c r="N859" i="6"/>
  <c r="P858" i="6"/>
  <c r="O858" i="6"/>
  <c r="N858" i="6"/>
  <c r="P857" i="6"/>
  <c r="O857" i="6"/>
  <c r="N857" i="6"/>
  <c r="P856" i="6"/>
  <c r="O856" i="6"/>
  <c r="N856" i="6"/>
  <c r="P855" i="6"/>
  <c r="O855" i="6"/>
  <c r="N855" i="6"/>
  <c r="P854" i="6"/>
  <c r="O854" i="6"/>
  <c r="N854" i="6"/>
  <c r="P853" i="6"/>
  <c r="O853" i="6"/>
  <c r="N853" i="6"/>
  <c r="P852" i="6"/>
  <c r="O852" i="6"/>
  <c r="N852" i="6"/>
  <c r="P851" i="6"/>
  <c r="O851" i="6"/>
  <c r="N851" i="6"/>
  <c r="P850" i="6"/>
  <c r="O850" i="6"/>
  <c r="N850" i="6"/>
  <c r="P849" i="6"/>
  <c r="O849" i="6"/>
  <c r="N849" i="6"/>
  <c r="P848" i="6"/>
  <c r="O848" i="6"/>
  <c r="N848" i="6"/>
  <c r="P847" i="6"/>
  <c r="O847" i="6"/>
  <c r="N847" i="6"/>
  <c r="P846" i="6"/>
  <c r="O846" i="6"/>
  <c r="N846" i="6"/>
  <c r="P845" i="6"/>
  <c r="O845" i="6"/>
  <c r="N845" i="6"/>
  <c r="P844" i="6"/>
  <c r="O844" i="6"/>
  <c r="N844" i="6"/>
  <c r="P843" i="6"/>
  <c r="O843" i="6"/>
  <c r="N843" i="6"/>
  <c r="P842" i="6"/>
  <c r="O842" i="6"/>
  <c r="N842" i="6"/>
  <c r="P841" i="6"/>
  <c r="O841" i="6"/>
  <c r="N841" i="6"/>
  <c r="P840" i="6"/>
  <c r="O840" i="6"/>
  <c r="N840" i="6"/>
  <c r="P839" i="6"/>
  <c r="O839" i="6"/>
  <c r="N839" i="6"/>
  <c r="P838" i="6"/>
  <c r="O838" i="6"/>
  <c r="N838" i="6"/>
  <c r="P837" i="6"/>
  <c r="O837" i="6"/>
  <c r="N837" i="6"/>
  <c r="P836" i="6"/>
  <c r="O836" i="6"/>
  <c r="N836" i="6"/>
  <c r="P835" i="6"/>
  <c r="O835" i="6"/>
  <c r="N835" i="6"/>
  <c r="P834" i="6"/>
  <c r="O834" i="6"/>
  <c r="N834" i="6"/>
  <c r="P833" i="6"/>
  <c r="O833" i="6"/>
  <c r="N833" i="6"/>
  <c r="P832" i="6"/>
  <c r="O832" i="6"/>
  <c r="N832" i="6"/>
  <c r="P831" i="6"/>
  <c r="O831" i="6"/>
  <c r="N831" i="6"/>
  <c r="P830" i="6"/>
  <c r="O830" i="6"/>
  <c r="N830" i="6"/>
  <c r="P829" i="6"/>
  <c r="O829" i="6"/>
  <c r="N829" i="6"/>
  <c r="P828" i="6"/>
  <c r="O828" i="6"/>
  <c r="N828" i="6"/>
  <c r="P827" i="6"/>
  <c r="O827" i="6"/>
  <c r="N827" i="6"/>
  <c r="P826" i="6"/>
  <c r="O826" i="6"/>
  <c r="N826" i="6"/>
  <c r="P825" i="6"/>
  <c r="O825" i="6"/>
  <c r="N825" i="6"/>
  <c r="P824" i="6"/>
  <c r="O824" i="6"/>
  <c r="N824" i="6"/>
  <c r="P823" i="6"/>
  <c r="O823" i="6"/>
  <c r="N823" i="6"/>
  <c r="P822" i="6"/>
  <c r="O822" i="6"/>
  <c r="N822" i="6"/>
  <c r="P821" i="6"/>
  <c r="O821" i="6"/>
  <c r="N821" i="6"/>
  <c r="P820" i="6"/>
  <c r="O820" i="6"/>
  <c r="N820" i="6"/>
  <c r="P819" i="6"/>
  <c r="O819" i="6"/>
  <c r="N819" i="6"/>
  <c r="P818" i="6"/>
  <c r="O818" i="6"/>
  <c r="N818" i="6"/>
  <c r="P817" i="6"/>
  <c r="O817" i="6"/>
  <c r="N817" i="6"/>
  <c r="P816" i="6"/>
  <c r="O816" i="6"/>
  <c r="N816" i="6"/>
  <c r="P815" i="6"/>
  <c r="O815" i="6"/>
  <c r="N815" i="6"/>
  <c r="P814" i="6"/>
  <c r="O814" i="6"/>
  <c r="N814" i="6"/>
  <c r="P813" i="6"/>
  <c r="O813" i="6"/>
  <c r="N813" i="6"/>
  <c r="P812" i="6"/>
  <c r="O812" i="6"/>
  <c r="N812" i="6"/>
  <c r="P811" i="6"/>
  <c r="O811" i="6"/>
  <c r="N811" i="6"/>
  <c r="P810" i="6"/>
  <c r="O810" i="6"/>
  <c r="N810" i="6"/>
  <c r="P809" i="6"/>
  <c r="O809" i="6"/>
  <c r="N809" i="6"/>
  <c r="P808" i="6"/>
  <c r="O808" i="6"/>
  <c r="N808" i="6"/>
  <c r="P807" i="6"/>
  <c r="O807" i="6"/>
  <c r="N807" i="6"/>
  <c r="P806" i="6"/>
  <c r="O806" i="6"/>
  <c r="N806" i="6"/>
  <c r="P805" i="6"/>
  <c r="O805" i="6"/>
  <c r="N805" i="6"/>
  <c r="P804" i="6"/>
  <c r="O804" i="6"/>
  <c r="N804" i="6"/>
  <c r="P803" i="6"/>
  <c r="O803" i="6"/>
  <c r="N803" i="6"/>
  <c r="P802" i="6"/>
  <c r="O802" i="6"/>
  <c r="N802" i="6"/>
  <c r="P801" i="6"/>
  <c r="O801" i="6"/>
  <c r="N801" i="6"/>
  <c r="P800" i="6"/>
  <c r="O800" i="6"/>
  <c r="N800" i="6"/>
  <c r="P799" i="6"/>
  <c r="O799" i="6"/>
  <c r="N799" i="6"/>
  <c r="P798" i="6"/>
  <c r="O798" i="6"/>
  <c r="N798" i="6"/>
  <c r="P797" i="6"/>
  <c r="O797" i="6"/>
  <c r="N797" i="6"/>
  <c r="P796" i="6"/>
  <c r="O796" i="6"/>
  <c r="N796" i="6"/>
  <c r="P795" i="6"/>
  <c r="O795" i="6"/>
  <c r="N795" i="6"/>
  <c r="P794" i="6"/>
  <c r="O794" i="6"/>
  <c r="N794" i="6"/>
  <c r="P793" i="6"/>
  <c r="O793" i="6"/>
  <c r="N793" i="6"/>
  <c r="P792" i="6"/>
  <c r="O792" i="6"/>
  <c r="N792" i="6"/>
  <c r="P791" i="6"/>
  <c r="O791" i="6"/>
  <c r="N791" i="6"/>
  <c r="P790" i="6"/>
  <c r="O790" i="6"/>
  <c r="N790" i="6"/>
  <c r="P789" i="6"/>
  <c r="O789" i="6"/>
  <c r="N789" i="6"/>
  <c r="P788" i="6"/>
  <c r="O788" i="6"/>
  <c r="N788" i="6"/>
  <c r="P787" i="6"/>
  <c r="O787" i="6"/>
  <c r="N787" i="6"/>
  <c r="P786" i="6"/>
  <c r="O786" i="6"/>
  <c r="N786" i="6"/>
  <c r="P785" i="6"/>
  <c r="O785" i="6"/>
  <c r="N785" i="6"/>
  <c r="P784" i="6"/>
  <c r="O784" i="6"/>
  <c r="N784" i="6"/>
  <c r="P783" i="6"/>
  <c r="O783" i="6"/>
  <c r="N783" i="6"/>
  <c r="P782" i="6"/>
  <c r="O782" i="6"/>
  <c r="N782" i="6"/>
  <c r="P781" i="6"/>
  <c r="O781" i="6"/>
  <c r="N781" i="6"/>
  <c r="P780" i="6"/>
  <c r="O780" i="6"/>
  <c r="N780" i="6"/>
  <c r="P779" i="6"/>
  <c r="O779" i="6"/>
  <c r="N779" i="6"/>
  <c r="P778" i="6"/>
  <c r="O778" i="6"/>
  <c r="N778" i="6"/>
  <c r="P777" i="6"/>
  <c r="O777" i="6"/>
  <c r="N777" i="6"/>
  <c r="P776" i="6"/>
  <c r="O776" i="6"/>
  <c r="N776" i="6"/>
  <c r="P775" i="6"/>
  <c r="O775" i="6"/>
  <c r="N775" i="6"/>
  <c r="P774" i="6"/>
  <c r="O774" i="6"/>
  <c r="N774" i="6"/>
  <c r="P773" i="6"/>
  <c r="O773" i="6"/>
  <c r="N773" i="6"/>
  <c r="P772" i="6"/>
  <c r="O772" i="6"/>
  <c r="N772" i="6"/>
  <c r="P771" i="6"/>
  <c r="O771" i="6"/>
  <c r="N771" i="6"/>
  <c r="P770" i="6"/>
  <c r="O770" i="6"/>
  <c r="N770" i="6"/>
  <c r="P769" i="6"/>
  <c r="O769" i="6"/>
  <c r="N769" i="6"/>
  <c r="P768" i="6"/>
  <c r="O768" i="6"/>
  <c r="N768" i="6"/>
  <c r="P767" i="6"/>
  <c r="O767" i="6"/>
  <c r="N767" i="6"/>
  <c r="P766" i="6"/>
  <c r="O766" i="6"/>
  <c r="N766" i="6"/>
  <c r="P765" i="6"/>
  <c r="O765" i="6"/>
  <c r="N765" i="6"/>
  <c r="P764" i="6"/>
  <c r="O764" i="6"/>
  <c r="N764" i="6"/>
  <c r="P763" i="6"/>
  <c r="O763" i="6"/>
  <c r="N763" i="6"/>
  <c r="P762" i="6"/>
  <c r="O762" i="6"/>
  <c r="N762" i="6"/>
  <c r="P761" i="6"/>
  <c r="O761" i="6"/>
  <c r="N761" i="6"/>
  <c r="P760" i="6"/>
  <c r="O760" i="6"/>
  <c r="N760" i="6"/>
  <c r="P759" i="6"/>
  <c r="O759" i="6"/>
  <c r="N759" i="6"/>
  <c r="P758" i="6"/>
  <c r="O758" i="6"/>
  <c r="N758" i="6"/>
  <c r="P757" i="6"/>
  <c r="O757" i="6"/>
  <c r="N757" i="6"/>
  <c r="P756" i="6"/>
  <c r="O756" i="6"/>
  <c r="N756" i="6"/>
  <c r="P755" i="6"/>
  <c r="O755" i="6"/>
  <c r="N755" i="6"/>
  <c r="P754" i="6"/>
  <c r="O754" i="6"/>
  <c r="N754" i="6"/>
  <c r="P753" i="6"/>
  <c r="O753" i="6"/>
  <c r="N753" i="6"/>
  <c r="P752" i="6"/>
  <c r="O752" i="6"/>
  <c r="N752" i="6"/>
  <c r="P751" i="6"/>
  <c r="O751" i="6"/>
  <c r="N751" i="6"/>
  <c r="P750" i="6"/>
  <c r="O750" i="6"/>
  <c r="N750" i="6"/>
  <c r="P749" i="6"/>
  <c r="O749" i="6"/>
  <c r="N749" i="6"/>
  <c r="P748" i="6"/>
  <c r="O748" i="6"/>
  <c r="N748" i="6"/>
  <c r="P747" i="6"/>
  <c r="O747" i="6"/>
  <c r="N747" i="6"/>
  <c r="P746" i="6"/>
  <c r="O746" i="6"/>
  <c r="N746" i="6"/>
  <c r="P745" i="6"/>
  <c r="O745" i="6"/>
  <c r="N745" i="6"/>
  <c r="P744" i="6"/>
  <c r="O744" i="6"/>
  <c r="N744" i="6"/>
  <c r="P743" i="6"/>
  <c r="O743" i="6"/>
  <c r="N743" i="6"/>
  <c r="P742" i="6"/>
  <c r="O742" i="6"/>
  <c r="N742" i="6"/>
  <c r="P741" i="6"/>
  <c r="O741" i="6"/>
  <c r="N741" i="6"/>
  <c r="P740" i="6"/>
  <c r="O740" i="6"/>
  <c r="N740" i="6"/>
  <c r="P739" i="6"/>
  <c r="O739" i="6"/>
  <c r="N739" i="6"/>
  <c r="P738" i="6"/>
  <c r="O738" i="6"/>
  <c r="N738" i="6"/>
  <c r="P737" i="6"/>
  <c r="O737" i="6"/>
  <c r="N737" i="6"/>
  <c r="P736" i="6"/>
  <c r="O736" i="6"/>
  <c r="N736" i="6"/>
  <c r="P735" i="6"/>
  <c r="O735" i="6"/>
  <c r="N735" i="6"/>
  <c r="P734" i="6"/>
  <c r="O734" i="6"/>
  <c r="N734" i="6"/>
  <c r="P733" i="6"/>
  <c r="O733" i="6"/>
  <c r="N733" i="6"/>
  <c r="P732" i="6"/>
  <c r="O732" i="6"/>
  <c r="N732" i="6"/>
  <c r="P731" i="6"/>
  <c r="O731" i="6"/>
  <c r="N731" i="6"/>
  <c r="P730" i="6"/>
  <c r="O730" i="6"/>
  <c r="N730" i="6"/>
  <c r="P729" i="6"/>
  <c r="O729" i="6"/>
  <c r="N729" i="6"/>
  <c r="P728" i="6"/>
  <c r="O728" i="6"/>
  <c r="N728" i="6"/>
  <c r="P727" i="6"/>
  <c r="O727" i="6"/>
  <c r="N727" i="6"/>
  <c r="P726" i="6"/>
  <c r="O726" i="6"/>
  <c r="N726" i="6"/>
  <c r="P725" i="6"/>
  <c r="O725" i="6"/>
  <c r="N725" i="6"/>
  <c r="P724" i="6"/>
  <c r="O724" i="6"/>
  <c r="N724" i="6"/>
  <c r="P723" i="6"/>
  <c r="O723" i="6"/>
  <c r="N723" i="6"/>
  <c r="P722" i="6"/>
  <c r="O722" i="6"/>
  <c r="N722" i="6"/>
  <c r="P721" i="6"/>
  <c r="O721" i="6"/>
  <c r="N721" i="6"/>
  <c r="P720" i="6"/>
  <c r="O720" i="6"/>
  <c r="N720" i="6"/>
  <c r="P719" i="6"/>
  <c r="O719" i="6"/>
  <c r="N719" i="6"/>
  <c r="P718" i="6"/>
  <c r="O718" i="6"/>
  <c r="N718" i="6"/>
  <c r="P717" i="6"/>
  <c r="O717" i="6"/>
  <c r="N717" i="6"/>
  <c r="P716" i="6"/>
  <c r="O716" i="6"/>
  <c r="N716" i="6"/>
  <c r="P715" i="6"/>
  <c r="O715" i="6"/>
  <c r="N715" i="6"/>
  <c r="P714" i="6"/>
  <c r="O714" i="6"/>
  <c r="N714" i="6"/>
  <c r="P713" i="6"/>
  <c r="O713" i="6"/>
  <c r="N713" i="6"/>
  <c r="P712" i="6"/>
  <c r="O712" i="6"/>
  <c r="N712" i="6"/>
  <c r="P711" i="6"/>
  <c r="O711" i="6"/>
  <c r="N711" i="6"/>
  <c r="P710" i="6"/>
  <c r="O710" i="6"/>
  <c r="N710" i="6"/>
  <c r="P709" i="6"/>
  <c r="O709" i="6"/>
  <c r="N709" i="6"/>
  <c r="P708" i="6"/>
  <c r="O708" i="6"/>
  <c r="N708" i="6"/>
  <c r="P707" i="6"/>
  <c r="O707" i="6"/>
  <c r="N707" i="6"/>
  <c r="P706" i="6"/>
  <c r="O706" i="6"/>
  <c r="N706" i="6"/>
  <c r="P705" i="6"/>
  <c r="O705" i="6"/>
  <c r="N705" i="6"/>
  <c r="P704" i="6"/>
  <c r="O704" i="6"/>
  <c r="N704" i="6"/>
  <c r="P703" i="6"/>
  <c r="O703" i="6"/>
  <c r="N703" i="6"/>
  <c r="P702" i="6"/>
  <c r="O702" i="6"/>
  <c r="N702" i="6"/>
  <c r="P701" i="6"/>
  <c r="O701" i="6"/>
  <c r="N701" i="6"/>
  <c r="P700" i="6"/>
  <c r="O700" i="6"/>
  <c r="N700" i="6"/>
  <c r="P699" i="6"/>
  <c r="O699" i="6"/>
  <c r="N699" i="6"/>
  <c r="P698" i="6"/>
  <c r="O698" i="6"/>
  <c r="N698" i="6"/>
  <c r="P697" i="6"/>
  <c r="O697" i="6"/>
  <c r="N697" i="6"/>
  <c r="P696" i="6"/>
  <c r="O696" i="6"/>
  <c r="N696" i="6"/>
  <c r="P695" i="6"/>
  <c r="O695" i="6"/>
  <c r="N695" i="6"/>
  <c r="P694" i="6"/>
  <c r="O694" i="6"/>
  <c r="N694" i="6"/>
  <c r="P693" i="6"/>
  <c r="O693" i="6"/>
  <c r="N693" i="6"/>
  <c r="P692" i="6"/>
  <c r="O692" i="6"/>
  <c r="N692" i="6"/>
  <c r="P691" i="6"/>
  <c r="O691" i="6"/>
  <c r="N691" i="6"/>
  <c r="P690" i="6"/>
  <c r="O690" i="6"/>
  <c r="N690" i="6"/>
  <c r="P689" i="6"/>
  <c r="O689" i="6"/>
  <c r="N689" i="6"/>
  <c r="P688" i="6"/>
  <c r="O688" i="6"/>
  <c r="N688" i="6"/>
  <c r="P687" i="6"/>
  <c r="O687" i="6"/>
  <c r="N687" i="6"/>
  <c r="P686" i="6"/>
  <c r="O686" i="6"/>
  <c r="N686" i="6"/>
  <c r="P685" i="6"/>
  <c r="O685" i="6"/>
  <c r="N685" i="6"/>
  <c r="P684" i="6"/>
  <c r="O684" i="6"/>
  <c r="N684" i="6"/>
  <c r="P683" i="6"/>
  <c r="O683" i="6"/>
  <c r="N683" i="6"/>
  <c r="P682" i="6"/>
  <c r="O682" i="6"/>
  <c r="N682" i="6"/>
  <c r="P681" i="6"/>
  <c r="O681" i="6"/>
  <c r="N681" i="6"/>
  <c r="P680" i="6"/>
  <c r="O680" i="6"/>
  <c r="N680" i="6"/>
  <c r="P679" i="6"/>
  <c r="O679" i="6"/>
  <c r="N679" i="6"/>
  <c r="P678" i="6"/>
  <c r="O678" i="6"/>
  <c r="N678" i="6"/>
  <c r="P677" i="6"/>
  <c r="O677" i="6"/>
  <c r="N677" i="6"/>
  <c r="P676" i="6"/>
  <c r="O676" i="6"/>
  <c r="N676" i="6"/>
  <c r="P675" i="6"/>
  <c r="O675" i="6"/>
  <c r="N675" i="6"/>
  <c r="P674" i="6"/>
  <c r="O674" i="6"/>
  <c r="N674" i="6"/>
  <c r="P673" i="6"/>
  <c r="O673" i="6"/>
  <c r="N673" i="6"/>
  <c r="P672" i="6"/>
  <c r="O672" i="6"/>
  <c r="N672" i="6"/>
  <c r="P671" i="6"/>
  <c r="O671" i="6"/>
  <c r="N671" i="6"/>
  <c r="P670" i="6"/>
  <c r="O670" i="6"/>
  <c r="N670" i="6"/>
  <c r="P669" i="6"/>
  <c r="O669" i="6"/>
  <c r="N669" i="6"/>
  <c r="P668" i="6"/>
  <c r="O668" i="6"/>
  <c r="N668" i="6"/>
  <c r="P667" i="6"/>
  <c r="O667" i="6"/>
  <c r="N667" i="6"/>
  <c r="P666" i="6"/>
  <c r="O666" i="6"/>
  <c r="N666" i="6"/>
  <c r="P665" i="6"/>
  <c r="O665" i="6"/>
  <c r="N665" i="6"/>
  <c r="P664" i="6"/>
  <c r="O664" i="6"/>
  <c r="N664" i="6"/>
  <c r="P663" i="6"/>
  <c r="O663" i="6"/>
  <c r="N663" i="6"/>
  <c r="P662" i="6"/>
  <c r="O662" i="6"/>
  <c r="N662" i="6"/>
  <c r="P661" i="6"/>
  <c r="O661" i="6"/>
  <c r="N661" i="6"/>
  <c r="P660" i="6"/>
  <c r="O660" i="6"/>
  <c r="N660" i="6"/>
  <c r="P659" i="6"/>
  <c r="O659" i="6"/>
  <c r="N659" i="6"/>
  <c r="P658" i="6"/>
  <c r="O658" i="6"/>
  <c r="N658" i="6"/>
  <c r="P657" i="6"/>
  <c r="O657" i="6"/>
  <c r="N657" i="6"/>
  <c r="P656" i="6"/>
  <c r="O656" i="6"/>
  <c r="N656" i="6"/>
  <c r="P655" i="6"/>
  <c r="O655" i="6"/>
  <c r="N655" i="6"/>
  <c r="P654" i="6"/>
  <c r="O654" i="6"/>
  <c r="N654" i="6"/>
  <c r="P653" i="6"/>
  <c r="O653" i="6"/>
  <c r="N653" i="6"/>
  <c r="P652" i="6"/>
  <c r="O652" i="6"/>
  <c r="N652" i="6"/>
  <c r="P651" i="6"/>
  <c r="O651" i="6"/>
  <c r="N651" i="6"/>
  <c r="P650" i="6"/>
  <c r="O650" i="6"/>
  <c r="N650" i="6"/>
  <c r="P649" i="6"/>
  <c r="O649" i="6"/>
  <c r="N649" i="6"/>
  <c r="P648" i="6"/>
  <c r="O648" i="6"/>
  <c r="N648" i="6"/>
  <c r="P647" i="6"/>
  <c r="O647" i="6"/>
  <c r="N647" i="6"/>
  <c r="P646" i="6"/>
  <c r="O646" i="6"/>
  <c r="N646" i="6"/>
  <c r="P645" i="6"/>
  <c r="O645" i="6"/>
  <c r="N645" i="6"/>
  <c r="P644" i="6"/>
  <c r="O644" i="6"/>
  <c r="N644" i="6"/>
  <c r="P643" i="6"/>
  <c r="O643" i="6"/>
  <c r="N643" i="6"/>
  <c r="P642" i="6"/>
  <c r="O642" i="6"/>
  <c r="N642" i="6"/>
  <c r="P641" i="6"/>
  <c r="O641" i="6"/>
  <c r="N641" i="6"/>
  <c r="P640" i="6"/>
  <c r="O640" i="6"/>
  <c r="N640" i="6"/>
  <c r="P639" i="6"/>
  <c r="O639" i="6"/>
  <c r="N639" i="6"/>
  <c r="P638" i="6"/>
  <c r="O638" i="6"/>
  <c r="N638" i="6"/>
  <c r="P637" i="6"/>
  <c r="O637" i="6"/>
  <c r="N637" i="6"/>
  <c r="P636" i="6"/>
  <c r="O636" i="6"/>
  <c r="N636" i="6"/>
  <c r="P635" i="6"/>
  <c r="O635" i="6"/>
  <c r="N635" i="6"/>
  <c r="P634" i="6"/>
  <c r="O634" i="6"/>
  <c r="N634" i="6"/>
  <c r="P633" i="6"/>
  <c r="O633" i="6"/>
  <c r="N633" i="6"/>
  <c r="P632" i="6"/>
  <c r="O632" i="6"/>
  <c r="N632" i="6"/>
  <c r="P631" i="6"/>
  <c r="O631" i="6"/>
  <c r="N631" i="6"/>
  <c r="P630" i="6"/>
  <c r="O630" i="6"/>
  <c r="N630" i="6"/>
  <c r="P629" i="6"/>
  <c r="O629" i="6"/>
  <c r="N629" i="6"/>
  <c r="P628" i="6"/>
  <c r="O628" i="6"/>
  <c r="N628" i="6"/>
  <c r="P627" i="6"/>
  <c r="O627" i="6"/>
  <c r="N627" i="6"/>
  <c r="P626" i="6"/>
  <c r="O626" i="6"/>
  <c r="N626" i="6"/>
  <c r="P625" i="6"/>
  <c r="O625" i="6"/>
  <c r="N625" i="6"/>
  <c r="P624" i="6"/>
  <c r="O624" i="6"/>
  <c r="N624" i="6"/>
  <c r="P623" i="6"/>
  <c r="O623" i="6"/>
  <c r="N623" i="6"/>
  <c r="P622" i="6"/>
  <c r="O622" i="6"/>
  <c r="N622" i="6"/>
  <c r="P621" i="6"/>
  <c r="O621" i="6"/>
  <c r="N621" i="6"/>
  <c r="P620" i="6"/>
  <c r="O620" i="6"/>
  <c r="N620" i="6"/>
  <c r="P619" i="6"/>
  <c r="O619" i="6"/>
  <c r="N619" i="6"/>
  <c r="P618" i="6"/>
  <c r="O618" i="6"/>
  <c r="N618" i="6"/>
  <c r="P617" i="6"/>
  <c r="O617" i="6"/>
  <c r="N617" i="6"/>
  <c r="P616" i="6"/>
  <c r="O616" i="6"/>
  <c r="N616" i="6"/>
  <c r="P615" i="6"/>
  <c r="O615" i="6"/>
  <c r="N615" i="6"/>
  <c r="P614" i="6"/>
  <c r="O614" i="6"/>
  <c r="N614" i="6"/>
  <c r="P613" i="6"/>
  <c r="O613" i="6"/>
  <c r="N613" i="6"/>
  <c r="P612" i="6"/>
  <c r="O612" i="6"/>
  <c r="N612" i="6"/>
  <c r="P611" i="6"/>
  <c r="O611" i="6"/>
  <c r="N611" i="6"/>
  <c r="P610" i="6"/>
  <c r="O610" i="6"/>
  <c r="N610" i="6"/>
  <c r="P609" i="6"/>
  <c r="O609" i="6"/>
  <c r="N609" i="6"/>
  <c r="P608" i="6"/>
  <c r="O608" i="6"/>
  <c r="N608" i="6"/>
  <c r="P607" i="6"/>
  <c r="O607" i="6"/>
  <c r="N607" i="6"/>
  <c r="P606" i="6"/>
  <c r="O606" i="6"/>
  <c r="N606" i="6"/>
  <c r="P605" i="6"/>
  <c r="O605" i="6"/>
  <c r="N605" i="6"/>
  <c r="P604" i="6"/>
  <c r="O604" i="6"/>
  <c r="N604" i="6"/>
  <c r="P603" i="6"/>
  <c r="O603" i="6"/>
  <c r="N603" i="6"/>
  <c r="P602" i="6"/>
  <c r="O602" i="6"/>
  <c r="N602" i="6"/>
  <c r="P601" i="6"/>
  <c r="O601" i="6"/>
  <c r="N601" i="6"/>
  <c r="P600" i="6"/>
  <c r="O600" i="6"/>
  <c r="N600" i="6"/>
  <c r="P599" i="6"/>
  <c r="O599" i="6"/>
  <c r="N599" i="6"/>
  <c r="P598" i="6"/>
  <c r="O598" i="6"/>
  <c r="N598" i="6"/>
  <c r="P597" i="6"/>
  <c r="O597" i="6"/>
  <c r="N597" i="6"/>
  <c r="P596" i="6"/>
  <c r="O596" i="6"/>
  <c r="N596" i="6"/>
  <c r="P595" i="6"/>
  <c r="O595" i="6"/>
  <c r="N595" i="6"/>
  <c r="P594" i="6"/>
  <c r="O594" i="6"/>
  <c r="N594" i="6"/>
  <c r="P593" i="6"/>
  <c r="O593" i="6"/>
  <c r="N593" i="6"/>
  <c r="P592" i="6"/>
  <c r="O592" i="6"/>
  <c r="N592" i="6"/>
  <c r="P591" i="6"/>
  <c r="O591" i="6"/>
  <c r="N591" i="6"/>
  <c r="P590" i="6"/>
  <c r="O590" i="6"/>
  <c r="N590" i="6"/>
  <c r="P589" i="6"/>
  <c r="O589" i="6"/>
  <c r="N589" i="6"/>
  <c r="P588" i="6"/>
  <c r="O588" i="6"/>
  <c r="N588" i="6"/>
  <c r="P587" i="6"/>
  <c r="O587" i="6"/>
  <c r="N587" i="6"/>
  <c r="P586" i="6"/>
  <c r="O586" i="6"/>
  <c r="N586" i="6"/>
  <c r="P585" i="6"/>
  <c r="O585" i="6"/>
  <c r="N585" i="6"/>
  <c r="P584" i="6"/>
  <c r="O584" i="6"/>
  <c r="N584" i="6"/>
  <c r="P583" i="6"/>
  <c r="O583" i="6"/>
  <c r="N583" i="6"/>
  <c r="P582" i="6"/>
  <c r="O582" i="6"/>
  <c r="N582" i="6"/>
  <c r="P581" i="6"/>
  <c r="O581" i="6"/>
  <c r="N581" i="6"/>
  <c r="P580" i="6"/>
  <c r="O580" i="6"/>
  <c r="N580" i="6"/>
  <c r="P579" i="6"/>
  <c r="O579" i="6"/>
  <c r="N579" i="6"/>
  <c r="P578" i="6"/>
  <c r="O578" i="6"/>
  <c r="N578" i="6"/>
  <c r="P577" i="6"/>
  <c r="O577" i="6"/>
  <c r="N577" i="6"/>
  <c r="P576" i="6"/>
  <c r="O576" i="6"/>
  <c r="N576" i="6"/>
  <c r="P575" i="6"/>
  <c r="O575" i="6"/>
  <c r="N575" i="6"/>
  <c r="P574" i="6"/>
  <c r="O574" i="6"/>
  <c r="N574" i="6"/>
  <c r="P573" i="6"/>
  <c r="O573" i="6"/>
  <c r="N573" i="6"/>
  <c r="P572" i="6"/>
  <c r="O572" i="6"/>
  <c r="N572" i="6"/>
  <c r="P571" i="6"/>
  <c r="O571" i="6"/>
  <c r="N571" i="6"/>
  <c r="P570" i="6"/>
  <c r="O570" i="6"/>
  <c r="N570" i="6"/>
  <c r="P569" i="6"/>
  <c r="O569" i="6"/>
  <c r="N569" i="6"/>
  <c r="P568" i="6"/>
  <c r="O568" i="6"/>
  <c r="N568" i="6"/>
  <c r="P567" i="6"/>
  <c r="O567" i="6"/>
  <c r="N567" i="6"/>
  <c r="P566" i="6"/>
  <c r="O566" i="6"/>
  <c r="N566" i="6"/>
  <c r="P565" i="6"/>
  <c r="O565" i="6"/>
  <c r="N565" i="6"/>
  <c r="P564" i="6"/>
  <c r="O564" i="6"/>
  <c r="N564" i="6"/>
  <c r="P563" i="6"/>
  <c r="O563" i="6"/>
  <c r="N563" i="6"/>
  <c r="P562" i="6"/>
  <c r="O562" i="6"/>
  <c r="N562" i="6"/>
  <c r="P561" i="6"/>
  <c r="O561" i="6"/>
  <c r="N561" i="6"/>
  <c r="P560" i="6"/>
  <c r="O560" i="6"/>
  <c r="N560" i="6"/>
  <c r="P559" i="6"/>
  <c r="O559" i="6"/>
  <c r="N559" i="6"/>
  <c r="P558" i="6"/>
  <c r="O558" i="6"/>
  <c r="N558" i="6"/>
  <c r="P557" i="6"/>
  <c r="O557" i="6"/>
  <c r="N557" i="6"/>
  <c r="P556" i="6"/>
  <c r="O556" i="6"/>
  <c r="N556" i="6"/>
  <c r="P555" i="6"/>
  <c r="O555" i="6"/>
  <c r="N555" i="6"/>
  <c r="P554" i="6"/>
  <c r="O554" i="6"/>
  <c r="N554" i="6"/>
  <c r="P553" i="6"/>
  <c r="O553" i="6"/>
  <c r="N553" i="6"/>
  <c r="P552" i="6"/>
  <c r="O552" i="6"/>
  <c r="N552" i="6"/>
  <c r="P551" i="6"/>
  <c r="O551" i="6"/>
  <c r="N551" i="6"/>
  <c r="P550" i="6"/>
  <c r="O550" i="6"/>
  <c r="N550" i="6"/>
  <c r="P549" i="6"/>
  <c r="O549" i="6"/>
  <c r="N549" i="6"/>
  <c r="P548" i="6"/>
  <c r="O548" i="6"/>
  <c r="N548" i="6"/>
  <c r="P547" i="6"/>
  <c r="O547" i="6"/>
  <c r="N547" i="6"/>
  <c r="P546" i="6"/>
  <c r="O546" i="6"/>
  <c r="N546" i="6"/>
  <c r="P545" i="6"/>
  <c r="O545" i="6"/>
  <c r="N545" i="6"/>
  <c r="P544" i="6"/>
  <c r="O544" i="6"/>
  <c r="N544" i="6"/>
  <c r="P543" i="6"/>
  <c r="O543" i="6"/>
  <c r="N543" i="6"/>
  <c r="P542" i="6"/>
  <c r="O542" i="6"/>
  <c r="N542" i="6"/>
  <c r="P541" i="6"/>
  <c r="O541" i="6"/>
  <c r="N541" i="6"/>
  <c r="P540" i="6"/>
  <c r="O540" i="6"/>
  <c r="N540" i="6"/>
  <c r="P539" i="6"/>
  <c r="O539" i="6"/>
  <c r="N539" i="6"/>
  <c r="P538" i="6"/>
  <c r="O538" i="6"/>
  <c r="N538" i="6"/>
  <c r="P537" i="6"/>
  <c r="O537" i="6"/>
  <c r="N537" i="6"/>
  <c r="P536" i="6"/>
  <c r="O536" i="6"/>
  <c r="N536" i="6"/>
  <c r="P535" i="6"/>
  <c r="O535" i="6"/>
  <c r="N535" i="6"/>
  <c r="P534" i="6"/>
  <c r="O534" i="6"/>
  <c r="N534" i="6"/>
  <c r="P533" i="6"/>
  <c r="O533" i="6"/>
  <c r="N533" i="6"/>
  <c r="P532" i="6"/>
  <c r="O532" i="6"/>
  <c r="N532" i="6"/>
  <c r="P531" i="6"/>
  <c r="O531" i="6"/>
  <c r="N531" i="6"/>
  <c r="P530" i="6"/>
  <c r="O530" i="6"/>
  <c r="N530" i="6"/>
  <c r="P529" i="6"/>
  <c r="O529" i="6"/>
  <c r="N529" i="6"/>
  <c r="P528" i="6"/>
  <c r="O528" i="6"/>
  <c r="N528" i="6"/>
  <c r="P527" i="6"/>
  <c r="O527" i="6"/>
  <c r="N527" i="6"/>
  <c r="P526" i="6"/>
  <c r="O526" i="6"/>
  <c r="N526" i="6"/>
  <c r="P525" i="6"/>
  <c r="O525" i="6"/>
  <c r="N525" i="6"/>
  <c r="P524" i="6"/>
  <c r="O524" i="6"/>
  <c r="N524" i="6"/>
  <c r="P523" i="6"/>
  <c r="O523" i="6"/>
  <c r="N523" i="6"/>
  <c r="P522" i="6"/>
  <c r="O522" i="6"/>
  <c r="N522" i="6"/>
  <c r="P521" i="6"/>
  <c r="O521" i="6"/>
  <c r="N521" i="6"/>
  <c r="P520" i="6"/>
  <c r="O520" i="6"/>
  <c r="N520" i="6"/>
  <c r="P519" i="6"/>
  <c r="O519" i="6"/>
  <c r="N519" i="6"/>
  <c r="P518" i="6"/>
  <c r="O518" i="6"/>
  <c r="N518" i="6"/>
  <c r="P517" i="6"/>
  <c r="O517" i="6"/>
  <c r="N517" i="6"/>
  <c r="P516" i="6"/>
  <c r="O516" i="6"/>
  <c r="N516" i="6"/>
  <c r="P515" i="6"/>
  <c r="O515" i="6"/>
  <c r="N515" i="6"/>
  <c r="P514" i="6"/>
  <c r="O514" i="6"/>
  <c r="N514" i="6"/>
  <c r="P513" i="6"/>
  <c r="O513" i="6"/>
  <c r="N513" i="6"/>
  <c r="P512" i="6"/>
  <c r="O512" i="6"/>
  <c r="N512" i="6"/>
  <c r="P511" i="6"/>
  <c r="O511" i="6"/>
  <c r="N511" i="6"/>
  <c r="P510" i="6"/>
  <c r="O510" i="6"/>
  <c r="N510" i="6"/>
  <c r="P509" i="6"/>
  <c r="O509" i="6"/>
  <c r="N509" i="6"/>
  <c r="P508" i="6"/>
  <c r="O508" i="6"/>
  <c r="N508" i="6"/>
  <c r="P507" i="6"/>
  <c r="O507" i="6"/>
  <c r="N507" i="6"/>
  <c r="P506" i="6"/>
  <c r="O506" i="6"/>
  <c r="N506" i="6"/>
  <c r="P505" i="6"/>
  <c r="O505" i="6"/>
  <c r="N505" i="6"/>
  <c r="P504" i="6"/>
  <c r="O504" i="6"/>
  <c r="N504" i="6"/>
  <c r="P503" i="6"/>
  <c r="O503" i="6"/>
  <c r="N503" i="6"/>
  <c r="P502" i="6"/>
  <c r="O502" i="6"/>
  <c r="N502" i="6"/>
  <c r="P501" i="6"/>
  <c r="O501" i="6"/>
  <c r="N501" i="6"/>
  <c r="P500" i="6"/>
  <c r="O500" i="6"/>
  <c r="N500" i="6"/>
  <c r="P499" i="6"/>
  <c r="O499" i="6"/>
  <c r="N499" i="6"/>
  <c r="P498" i="6"/>
  <c r="O498" i="6"/>
  <c r="N498" i="6"/>
  <c r="P497" i="6"/>
  <c r="O497" i="6"/>
  <c r="N497" i="6"/>
  <c r="P496" i="6"/>
  <c r="O496" i="6"/>
  <c r="N496" i="6"/>
  <c r="P495" i="6"/>
  <c r="O495" i="6"/>
  <c r="N495" i="6"/>
  <c r="P494" i="6"/>
  <c r="O494" i="6"/>
  <c r="N494" i="6"/>
  <c r="P493" i="6"/>
  <c r="O493" i="6"/>
  <c r="N493" i="6"/>
  <c r="P492" i="6"/>
  <c r="O492" i="6"/>
  <c r="N492" i="6"/>
  <c r="P491" i="6"/>
  <c r="O491" i="6"/>
  <c r="N491" i="6"/>
  <c r="P490" i="6"/>
  <c r="O490" i="6"/>
  <c r="N490" i="6"/>
  <c r="P489" i="6"/>
  <c r="O489" i="6"/>
  <c r="N489" i="6"/>
  <c r="P488" i="6"/>
  <c r="O488" i="6"/>
  <c r="N488" i="6"/>
  <c r="P487" i="6"/>
  <c r="O487" i="6"/>
  <c r="N487" i="6"/>
  <c r="P486" i="6"/>
  <c r="O486" i="6"/>
  <c r="N486" i="6"/>
  <c r="P485" i="6"/>
  <c r="O485" i="6"/>
  <c r="N485" i="6"/>
  <c r="P484" i="6"/>
  <c r="O484" i="6"/>
  <c r="N484" i="6"/>
  <c r="P483" i="6"/>
  <c r="O483" i="6"/>
  <c r="N483" i="6"/>
  <c r="P482" i="6"/>
  <c r="O482" i="6"/>
  <c r="N482" i="6"/>
  <c r="P481" i="6"/>
  <c r="O481" i="6"/>
  <c r="N481" i="6"/>
  <c r="P480" i="6"/>
  <c r="O480" i="6"/>
  <c r="N480" i="6"/>
  <c r="P479" i="6"/>
  <c r="O479" i="6"/>
  <c r="N479" i="6"/>
  <c r="P478" i="6"/>
  <c r="O478" i="6"/>
  <c r="N478" i="6"/>
  <c r="P477" i="6"/>
  <c r="O477" i="6"/>
  <c r="N477" i="6"/>
  <c r="P476" i="6"/>
  <c r="O476" i="6"/>
  <c r="N476" i="6"/>
  <c r="P475" i="6"/>
  <c r="O475" i="6"/>
  <c r="N475" i="6"/>
  <c r="P474" i="6"/>
  <c r="O474" i="6"/>
  <c r="N474" i="6"/>
  <c r="P473" i="6"/>
  <c r="O473" i="6"/>
  <c r="N473" i="6"/>
  <c r="P472" i="6"/>
  <c r="O472" i="6"/>
  <c r="N472" i="6"/>
  <c r="P471" i="6"/>
  <c r="O471" i="6"/>
  <c r="N471" i="6"/>
  <c r="P470" i="6"/>
  <c r="O470" i="6"/>
  <c r="N470" i="6"/>
  <c r="P469" i="6"/>
  <c r="O469" i="6"/>
  <c r="N469" i="6"/>
  <c r="P468" i="6"/>
  <c r="O468" i="6"/>
  <c r="N468" i="6"/>
  <c r="P467" i="6"/>
  <c r="O467" i="6"/>
  <c r="N467" i="6"/>
  <c r="P466" i="6"/>
  <c r="O466" i="6"/>
  <c r="N466" i="6"/>
  <c r="P465" i="6"/>
  <c r="O465" i="6"/>
  <c r="N465" i="6"/>
  <c r="P464" i="6"/>
  <c r="O464" i="6"/>
  <c r="N464" i="6"/>
  <c r="P463" i="6"/>
  <c r="O463" i="6"/>
  <c r="N463" i="6"/>
  <c r="P462" i="6"/>
  <c r="O462" i="6"/>
  <c r="N462" i="6"/>
  <c r="P461" i="6"/>
  <c r="O461" i="6"/>
  <c r="N461" i="6"/>
  <c r="P460" i="6"/>
  <c r="O460" i="6"/>
  <c r="N460" i="6"/>
  <c r="P459" i="6"/>
  <c r="O459" i="6"/>
  <c r="N459" i="6"/>
  <c r="P458" i="6"/>
  <c r="O458" i="6"/>
  <c r="N458" i="6"/>
  <c r="P457" i="6"/>
  <c r="O457" i="6"/>
  <c r="N457" i="6"/>
  <c r="P456" i="6"/>
  <c r="O456" i="6"/>
  <c r="N456" i="6"/>
  <c r="P455" i="6"/>
  <c r="O455" i="6"/>
  <c r="N455" i="6"/>
  <c r="P454" i="6"/>
  <c r="O454" i="6"/>
  <c r="N454" i="6"/>
  <c r="P453" i="6"/>
  <c r="O453" i="6"/>
  <c r="N453" i="6"/>
  <c r="P452" i="6"/>
  <c r="O452" i="6"/>
  <c r="N452" i="6"/>
  <c r="P451" i="6"/>
  <c r="O451" i="6"/>
  <c r="N451" i="6"/>
  <c r="P450" i="6"/>
  <c r="O450" i="6"/>
  <c r="N450" i="6"/>
  <c r="P449" i="6"/>
  <c r="O449" i="6"/>
  <c r="N449" i="6"/>
  <c r="P448" i="6"/>
  <c r="O448" i="6"/>
  <c r="N448" i="6"/>
  <c r="P447" i="6"/>
  <c r="O447" i="6"/>
  <c r="N447" i="6"/>
  <c r="P446" i="6"/>
  <c r="O446" i="6"/>
  <c r="N446" i="6"/>
  <c r="P445" i="6"/>
  <c r="O445" i="6"/>
  <c r="N445" i="6"/>
  <c r="P444" i="6"/>
  <c r="O444" i="6"/>
  <c r="N444" i="6"/>
  <c r="P443" i="6"/>
  <c r="O443" i="6"/>
  <c r="N443" i="6"/>
  <c r="P442" i="6"/>
  <c r="O442" i="6"/>
  <c r="N442" i="6"/>
  <c r="P441" i="6"/>
  <c r="O441" i="6"/>
  <c r="N441" i="6"/>
  <c r="P440" i="6"/>
  <c r="O440" i="6"/>
  <c r="N440" i="6"/>
  <c r="P439" i="6"/>
  <c r="O439" i="6"/>
  <c r="N439" i="6"/>
  <c r="P438" i="6"/>
  <c r="O438" i="6"/>
  <c r="N438" i="6"/>
  <c r="P437" i="6"/>
  <c r="O437" i="6"/>
  <c r="N437" i="6"/>
  <c r="P436" i="6"/>
  <c r="O436" i="6"/>
  <c r="N436" i="6"/>
  <c r="P435" i="6"/>
  <c r="O435" i="6"/>
  <c r="N435" i="6"/>
  <c r="P434" i="6"/>
  <c r="O434" i="6"/>
  <c r="N434" i="6"/>
  <c r="P433" i="6"/>
  <c r="O433" i="6"/>
  <c r="N433" i="6"/>
  <c r="P432" i="6"/>
  <c r="O432" i="6"/>
  <c r="N432" i="6"/>
  <c r="P431" i="6"/>
  <c r="O431" i="6"/>
  <c r="N431" i="6"/>
  <c r="P430" i="6"/>
  <c r="O430" i="6"/>
  <c r="N430" i="6"/>
  <c r="P429" i="6"/>
  <c r="O429" i="6"/>
  <c r="N429" i="6"/>
  <c r="P428" i="6"/>
  <c r="O428" i="6"/>
  <c r="N428" i="6"/>
  <c r="P427" i="6"/>
  <c r="O427" i="6"/>
  <c r="N427" i="6"/>
  <c r="P426" i="6"/>
  <c r="O426" i="6"/>
  <c r="N426" i="6"/>
  <c r="P425" i="6"/>
  <c r="O425" i="6"/>
  <c r="N425" i="6"/>
  <c r="P424" i="6"/>
  <c r="O424" i="6"/>
  <c r="N424" i="6"/>
  <c r="P423" i="6"/>
  <c r="O423" i="6"/>
  <c r="N423" i="6"/>
  <c r="P422" i="6"/>
  <c r="O422" i="6"/>
  <c r="N422" i="6"/>
  <c r="P421" i="6"/>
  <c r="O421" i="6"/>
  <c r="N421" i="6"/>
  <c r="P420" i="6"/>
  <c r="O420" i="6"/>
  <c r="N420" i="6"/>
  <c r="P419" i="6"/>
  <c r="O419" i="6"/>
  <c r="N419" i="6"/>
  <c r="P418" i="6"/>
  <c r="O418" i="6"/>
  <c r="N418" i="6"/>
  <c r="P417" i="6"/>
  <c r="O417" i="6"/>
  <c r="N417" i="6"/>
  <c r="P416" i="6"/>
  <c r="O416" i="6"/>
  <c r="N416" i="6"/>
  <c r="P415" i="6"/>
  <c r="O415" i="6"/>
  <c r="N415" i="6"/>
  <c r="P414" i="6"/>
  <c r="O414" i="6"/>
  <c r="N414" i="6"/>
  <c r="P413" i="6"/>
  <c r="O413" i="6"/>
  <c r="N413" i="6"/>
  <c r="P412" i="6"/>
  <c r="O412" i="6"/>
  <c r="N412" i="6"/>
  <c r="P411" i="6"/>
  <c r="O411" i="6"/>
  <c r="N411" i="6"/>
  <c r="P410" i="6"/>
  <c r="O410" i="6"/>
  <c r="N410" i="6"/>
  <c r="P409" i="6"/>
  <c r="O409" i="6"/>
  <c r="N409" i="6"/>
  <c r="P408" i="6"/>
  <c r="O408" i="6"/>
  <c r="N408" i="6"/>
  <c r="P407" i="6"/>
  <c r="O407" i="6"/>
  <c r="N407" i="6"/>
  <c r="P406" i="6"/>
  <c r="O406" i="6"/>
  <c r="N406" i="6"/>
  <c r="P405" i="6"/>
  <c r="O405" i="6"/>
  <c r="N405" i="6"/>
  <c r="P404" i="6"/>
  <c r="O404" i="6"/>
  <c r="N404" i="6"/>
  <c r="P403" i="6"/>
  <c r="O403" i="6"/>
  <c r="N403" i="6"/>
  <c r="P402" i="6"/>
  <c r="O402" i="6"/>
  <c r="N402" i="6"/>
  <c r="P401" i="6"/>
  <c r="O401" i="6"/>
  <c r="N401" i="6"/>
  <c r="P400" i="6"/>
  <c r="O400" i="6"/>
  <c r="N400" i="6"/>
  <c r="P399" i="6"/>
  <c r="O399" i="6"/>
  <c r="N399" i="6"/>
  <c r="P398" i="6"/>
  <c r="O398" i="6"/>
  <c r="N398" i="6"/>
  <c r="P397" i="6"/>
  <c r="O397" i="6"/>
  <c r="N397" i="6"/>
  <c r="P396" i="6"/>
  <c r="O396" i="6"/>
  <c r="N396" i="6"/>
  <c r="P395" i="6"/>
  <c r="O395" i="6"/>
  <c r="N395" i="6"/>
  <c r="P394" i="6"/>
  <c r="O394" i="6"/>
  <c r="N394" i="6"/>
  <c r="P393" i="6"/>
  <c r="O393" i="6"/>
  <c r="N393" i="6"/>
  <c r="P392" i="6"/>
  <c r="O392" i="6"/>
  <c r="N392" i="6"/>
  <c r="P391" i="6"/>
  <c r="O391" i="6"/>
  <c r="N391" i="6"/>
  <c r="P390" i="6"/>
  <c r="O390" i="6"/>
  <c r="N390" i="6"/>
  <c r="P389" i="6"/>
  <c r="O389" i="6"/>
  <c r="N389" i="6"/>
  <c r="P388" i="6"/>
  <c r="O388" i="6"/>
  <c r="N388" i="6"/>
  <c r="P387" i="6"/>
  <c r="O387" i="6"/>
  <c r="N387" i="6"/>
  <c r="P386" i="6"/>
  <c r="O386" i="6"/>
  <c r="N386" i="6"/>
  <c r="P385" i="6"/>
  <c r="O385" i="6"/>
  <c r="N385" i="6"/>
  <c r="P384" i="6"/>
  <c r="O384" i="6"/>
  <c r="N384" i="6"/>
  <c r="P383" i="6"/>
  <c r="O383" i="6"/>
  <c r="N383" i="6"/>
  <c r="P382" i="6"/>
  <c r="O382" i="6"/>
  <c r="N382" i="6"/>
  <c r="P381" i="6"/>
  <c r="O381" i="6"/>
  <c r="N381" i="6"/>
  <c r="P380" i="6"/>
  <c r="O380" i="6"/>
  <c r="N380" i="6"/>
  <c r="P379" i="6"/>
  <c r="O379" i="6"/>
  <c r="N379" i="6"/>
  <c r="P378" i="6"/>
  <c r="O378" i="6"/>
  <c r="N378" i="6"/>
  <c r="P377" i="6"/>
  <c r="O377" i="6"/>
  <c r="N377" i="6"/>
  <c r="P376" i="6"/>
  <c r="O376" i="6"/>
  <c r="N376" i="6"/>
  <c r="P375" i="6"/>
  <c r="O375" i="6"/>
  <c r="N375" i="6"/>
  <c r="P374" i="6"/>
  <c r="O374" i="6"/>
  <c r="N374" i="6"/>
  <c r="P373" i="6"/>
  <c r="O373" i="6"/>
  <c r="N373" i="6"/>
  <c r="P372" i="6"/>
  <c r="O372" i="6"/>
  <c r="N372" i="6"/>
  <c r="P371" i="6"/>
  <c r="O371" i="6"/>
  <c r="N371" i="6"/>
  <c r="P370" i="6"/>
  <c r="O370" i="6"/>
  <c r="N370" i="6"/>
  <c r="P369" i="6"/>
  <c r="O369" i="6"/>
  <c r="N369" i="6"/>
  <c r="P368" i="6"/>
  <c r="O368" i="6"/>
  <c r="N368" i="6"/>
  <c r="P367" i="6"/>
  <c r="O367" i="6"/>
  <c r="N367" i="6"/>
  <c r="P366" i="6"/>
  <c r="O366" i="6"/>
  <c r="N366" i="6"/>
  <c r="P365" i="6"/>
  <c r="O365" i="6"/>
  <c r="N365" i="6"/>
  <c r="P364" i="6"/>
  <c r="O364" i="6"/>
  <c r="N364" i="6"/>
  <c r="P363" i="6"/>
  <c r="O363" i="6"/>
  <c r="N363" i="6"/>
  <c r="P362" i="6"/>
  <c r="O362" i="6"/>
  <c r="N362" i="6"/>
  <c r="P361" i="6"/>
  <c r="O361" i="6"/>
  <c r="N361" i="6"/>
  <c r="P360" i="6"/>
  <c r="O360" i="6"/>
  <c r="N360" i="6"/>
  <c r="P359" i="6"/>
  <c r="O359" i="6"/>
  <c r="N359" i="6"/>
  <c r="P358" i="6"/>
  <c r="O358" i="6"/>
  <c r="N358" i="6"/>
  <c r="P357" i="6"/>
  <c r="O357" i="6"/>
  <c r="N357" i="6"/>
  <c r="P356" i="6"/>
  <c r="O356" i="6"/>
  <c r="N356" i="6"/>
  <c r="P355" i="6"/>
  <c r="O355" i="6"/>
  <c r="N355" i="6"/>
  <c r="P354" i="6"/>
  <c r="O354" i="6"/>
  <c r="N354" i="6"/>
  <c r="P353" i="6"/>
  <c r="O353" i="6"/>
  <c r="N353" i="6"/>
  <c r="P352" i="6"/>
  <c r="O352" i="6"/>
  <c r="N352" i="6"/>
  <c r="P351" i="6"/>
  <c r="O351" i="6"/>
  <c r="N351" i="6"/>
  <c r="P350" i="6"/>
  <c r="O350" i="6"/>
  <c r="N350" i="6"/>
  <c r="P349" i="6"/>
  <c r="O349" i="6"/>
  <c r="N349" i="6"/>
  <c r="P348" i="6"/>
  <c r="O348" i="6"/>
  <c r="N348" i="6"/>
  <c r="P347" i="6"/>
  <c r="O347" i="6"/>
  <c r="N347" i="6"/>
  <c r="P346" i="6"/>
  <c r="O346" i="6"/>
  <c r="N346" i="6"/>
  <c r="P345" i="6"/>
  <c r="O345" i="6"/>
  <c r="N345" i="6"/>
  <c r="P344" i="6"/>
  <c r="O344" i="6"/>
  <c r="N344" i="6"/>
  <c r="P343" i="6"/>
  <c r="O343" i="6"/>
  <c r="N343" i="6"/>
  <c r="P342" i="6"/>
  <c r="O342" i="6"/>
  <c r="N342" i="6"/>
  <c r="P341" i="6"/>
  <c r="O341" i="6"/>
  <c r="N341" i="6"/>
  <c r="P340" i="6"/>
  <c r="O340" i="6"/>
  <c r="N340" i="6"/>
  <c r="P339" i="6"/>
  <c r="O339" i="6"/>
  <c r="N339" i="6"/>
  <c r="P338" i="6"/>
  <c r="O338" i="6"/>
  <c r="N338" i="6"/>
  <c r="P337" i="6"/>
  <c r="O337" i="6"/>
  <c r="N337" i="6"/>
  <c r="P336" i="6"/>
  <c r="O336" i="6"/>
  <c r="N336" i="6"/>
  <c r="P335" i="6"/>
  <c r="O335" i="6"/>
  <c r="N335" i="6"/>
  <c r="P334" i="6"/>
  <c r="O334" i="6"/>
  <c r="N334" i="6"/>
  <c r="P333" i="6"/>
  <c r="O333" i="6"/>
  <c r="N333" i="6"/>
  <c r="P332" i="6"/>
  <c r="O332" i="6"/>
  <c r="N332" i="6"/>
  <c r="P331" i="6"/>
  <c r="O331" i="6"/>
  <c r="N331" i="6"/>
  <c r="P330" i="6"/>
  <c r="O330" i="6"/>
  <c r="N330" i="6"/>
  <c r="P329" i="6"/>
  <c r="O329" i="6"/>
  <c r="N329" i="6"/>
  <c r="P328" i="6"/>
  <c r="O328" i="6"/>
  <c r="N328" i="6"/>
  <c r="P327" i="6"/>
  <c r="O327" i="6"/>
  <c r="N327" i="6"/>
  <c r="P326" i="6"/>
  <c r="O326" i="6"/>
  <c r="N326" i="6"/>
  <c r="P325" i="6"/>
  <c r="O325" i="6"/>
  <c r="N325" i="6"/>
  <c r="P324" i="6"/>
  <c r="O324" i="6"/>
  <c r="N324" i="6"/>
  <c r="P323" i="6"/>
  <c r="O323" i="6"/>
  <c r="N323" i="6"/>
  <c r="P322" i="6"/>
  <c r="O322" i="6"/>
  <c r="N322" i="6"/>
  <c r="P321" i="6"/>
  <c r="O321" i="6"/>
  <c r="N321" i="6"/>
  <c r="P320" i="6"/>
  <c r="O320" i="6"/>
  <c r="N320" i="6"/>
  <c r="P319" i="6"/>
  <c r="O319" i="6"/>
  <c r="N319" i="6"/>
  <c r="P318" i="6"/>
  <c r="O318" i="6"/>
  <c r="N318" i="6"/>
  <c r="P317" i="6"/>
  <c r="O317" i="6"/>
  <c r="N317" i="6"/>
  <c r="P316" i="6"/>
  <c r="O316" i="6"/>
  <c r="N316" i="6"/>
  <c r="P315" i="6"/>
  <c r="O315" i="6"/>
  <c r="N315" i="6"/>
  <c r="P314" i="6"/>
  <c r="O314" i="6"/>
  <c r="N314" i="6"/>
  <c r="P313" i="6"/>
  <c r="O313" i="6"/>
  <c r="N313" i="6"/>
  <c r="P312" i="6"/>
  <c r="O312" i="6"/>
  <c r="N312" i="6"/>
  <c r="P311" i="6"/>
  <c r="O311" i="6"/>
  <c r="N311" i="6"/>
  <c r="P310" i="6"/>
  <c r="O310" i="6"/>
  <c r="N310" i="6"/>
  <c r="P309" i="6"/>
  <c r="O309" i="6"/>
  <c r="N309" i="6"/>
  <c r="P308" i="6"/>
  <c r="O308" i="6"/>
  <c r="N308" i="6"/>
  <c r="P307" i="6"/>
  <c r="O307" i="6"/>
  <c r="N307" i="6"/>
  <c r="P306" i="6"/>
  <c r="O306" i="6"/>
  <c r="N306" i="6"/>
  <c r="P305" i="6"/>
  <c r="O305" i="6"/>
  <c r="N305" i="6"/>
  <c r="P304" i="6"/>
  <c r="O304" i="6"/>
  <c r="N304" i="6"/>
  <c r="P303" i="6"/>
  <c r="O303" i="6"/>
  <c r="N303" i="6"/>
  <c r="P302" i="6"/>
  <c r="O302" i="6"/>
  <c r="N302" i="6"/>
  <c r="P301" i="6"/>
  <c r="O301" i="6"/>
  <c r="N301" i="6"/>
  <c r="P300" i="6"/>
  <c r="O300" i="6"/>
  <c r="N300" i="6"/>
  <c r="P299" i="6"/>
  <c r="O299" i="6"/>
  <c r="N299" i="6"/>
  <c r="P298" i="6"/>
  <c r="O298" i="6"/>
  <c r="N298" i="6"/>
  <c r="P297" i="6"/>
  <c r="O297" i="6"/>
  <c r="N297" i="6"/>
  <c r="P296" i="6"/>
  <c r="O296" i="6"/>
  <c r="N296" i="6"/>
  <c r="P295" i="6"/>
  <c r="O295" i="6"/>
  <c r="N295" i="6"/>
  <c r="P294" i="6"/>
  <c r="O294" i="6"/>
  <c r="N294" i="6"/>
  <c r="P293" i="6"/>
  <c r="O293" i="6"/>
  <c r="N293" i="6"/>
  <c r="P292" i="6"/>
  <c r="O292" i="6"/>
  <c r="N292" i="6"/>
  <c r="P291" i="6"/>
  <c r="O291" i="6"/>
  <c r="N291" i="6"/>
  <c r="P290" i="6"/>
  <c r="O290" i="6"/>
  <c r="N290" i="6"/>
  <c r="P289" i="6"/>
  <c r="O289" i="6"/>
  <c r="N289" i="6"/>
  <c r="P288" i="6"/>
  <c r="O288" i="6"/>
  <c r="N288" i="6"/>
  <c r="P287" i="6"/>
  <c r="O287" i="6"/>
  <c r="N287" i="6"/>
  <c r="P286" i="6"/>
  <c r="O286" i="6"/>
  <c r="N286" i="6"/>
  <c r="P285" i="6"/>
  <c r="O285" i="6"/>
  <c r="N285" i="6"/>
  <c r="P284" i="6"/>
  <c r="O284" i="6"/>
  <c r="N284" i="6"/>
  <c r="P283" i="6"/>
  <c r="O283" i="6"/>
  <c r="N283" i="6"/>
  <c r="P282" i="6"/>
  <c r="O282" i="6"/>
  <c r="N282" i="6"/>
  <c r="P281" i="6"/>
  <c r="O281" i="6"/>
  <c r="N281" i="6"/>
  <c r="P280" i="6"/>
  <c r="O280" i="6"/>
  <c r="N280" i="6"/>
  <c r="P279" i="6"/>
  <c r="O279" i="6"/>
  <c r="N279" i="6"/>
  <c r="P278" i="6"/>
  <c r="O278" i="6"/>
  <c r="N278" i="6"/>
  <c r="P277" i="6"/>
  <c r="O277" i="6"/>
  <c r="N277" i="6"/>
  <c r="P276" i="6"/>
  <c r="O276" i="6"/>
  <c r="N276" i="6"/>
  <c r="P275" i="6"/>
  <c r="O275" i="6"/>
  <c r="N275" i="6"/>
  <c r="P274" i="6"/>
  <c r="O274" i="6"/>
  <c r="N274" i="6"/>
  <c r="P273" i="6"/>
  <c r="O273" i="6"/>
  <c r="N273" i="6"/>
  <c r="P272" i="6"/>
  <c r="O272" i="6"/>
  <c r="N272" i="6"/>
  <c r="P271" i="6"/>
  <c r="O271" i="6"/>
  <c r="N271" i="6"/>
  <c r="P270" i="6"/>
  <c r="O270" i="6"/>
  <c r="N270" i="6"/>
  <c r="P269" i="6"/>
  <c r="O269" i="6"/>
  <c r="N269" i="6"/>
  <c r="P268" i="6"/>
  <c r="O268" i="6"/>
  <c r="N268" i="6"/>
  <c r="P267" i="6"/>
  <c r="O267" i="6"/>
  <c r="N267" i="6"/>
  <c r="P266" i="6"/>
  <c r="O266" i="6"/>
  <c r="N266" i="6"/>
  <c r="P265" i="6"/>
  <c r="O265" i="6"/>
  <c r="N265" i="6"/>
  <c r="P264" i="6"/>
  <c r="O264" i="6"/>
  <c r="N264" i="6"/>
  <c r="P263" i="6"/>
  <c r="O263" i="6"/>
  <c r="N263" i="6"/>
  <c r="P262" i="6"/>
  <c r="O262" i="6"/>
  <c r="N262" i="6"/>
  <c r="P261" i="6"/>
  <c r="O261" i="6"/>
  <c r="N261" i="6"/>
  <c r="P260" i="6"/>
  <c r="O260" i="6"/>
  <c r="N260" i="6"/>
  <c r="P259" i="6"/>
  <c r="O259" i="6"/>
  <c r="N259" i="6"/>
  <c r="P258" i="6"/>
  <c r="O258" i="6"/>
  <c r="N258" i="6"/>
  <c r="P257" i="6"/>
  <c r="O257" i="6"/>
  <c r="N257" i="6"/>
  <c r="P256" i="6"/>
  <c r="O256" i="6"/>
  <c r="N256" i="6"/>
  <c r="P255" i="6"/>
  <c r="O255" i="6"/>
  <c r="N255" i="6"/>
  <c r="P254" i="6"/>
  <c r="O254" i="6"/>
  <c r="N254" i="6"/>
  <c r="P253" i="6"/>
  <c r="O253" i="6"/>
  <c r="N253" i="6"/>
  <c r="P252" i="6"/>
  <c r="O252" i="6"/>
  <c r="N252" i="6"/>
  <c r="P251" i="6"/>
  <c r="O251" i="6"/>
  <c r="N251" i="6"/>
  <c r="P250" i="6"/>
  <c r="O250" i="6"/>
  <c r="N250" i="6"/>
  <c r="P249" i="6"/>
  <c r="O249" i="6"/>
  <c r="N249" i="6"/>
  <c r="P248" i="6"/>
  <c r="O248" i="6"/>
  <c r="N248" i="6"/>
  <c r="P247" i="6"/>
  <c r="O247" i="6"/>
  <c r="N247" i="6"/>
  <c r="P246" i="6"/>
  <c r="O246" i="6"/>
  <c r="N246" i="6"/>
  <c r="P245" i="6"/>
  <c r="O245" i="6"/>
  <c r="N245" i="6"/>
  <c r="P244" i="6"/>
  <c r="O244" i="6"/>
  <c r="N244" i="6"/>
  <c r="P243" i="6"/>
  <c r="O243" i="6"/>
  <c r="N243" i="6"/>
  <c r="P242" i="6"/>
  <c r="O242" i="6"/>
  <c r="N242" i="6"/>
  <c r="P241" i="6"/>
  <c r="O241" i="6"/>
  <c r="N241" i="6"/>
  <c r="P240" i="6"/>
  <c r="O240" i="6"/>
  <c r="N240" i="6"/>
  <c r="P239" i="6"/>
  <c r="O239" i="6"/>
  <c r="N239" i="6"/>
  <c r="P238" i="6"/>
  <c r="O238" i="6"/>
  <c r="N238" i="6"/>
  <c r="P237" i="6"/>
  <c r="O237" i="6"/>
  <c r="N237" i="6"/>
  <c r="P236" i="6"/>
  <c r="O236" i="6"/>
  <c r="N236" i="6"/>
  <c r="P235" i="6"/>
  <c r="O235" i="6"/>
  <c r="N235" i="6"/>
  <c r="P234" i="6"/>
  <c r="O234" i="6"/>
  <c r="N234" i="6"/>
  <c r="P233" i="6"/>
  <c r="O233" i="6"/>
  <c r="N233" i="6"/>
  <c r="P232" i="6"/>
  <c r="O232" i="6"/>
  <c r="N232" i="6"/>
  <c r="P231" i="6"/>
  <c r="O231" i="6"/>
  <c r="N231" i="6"/>
  <c r="P230" i="6"/>
  <c r="O230" i="6"/>
  <c r="N230" i="6"/>
  <c r="P229" i="6"/>
  <c r="O229" i="6"/>
  <c r="N229" i="6"/>
  <c r="P228" i="6"/>
  <c r="O228" i="6"/>
  <c r="N228" i="6"/>
  <c r="P227" i="6"/>
  <c r="O227" i="6"/>
  <c r="N227" i="6"/>
  <c r="P226" i="6"/>
  <c r="O226" i="6"/>
  <c r="N226" i="6"/>
  <c r="P225" i="6"/>
  <c r="O225" i="6"/>
  <c r="N225" i="6"/>
  <c r="P224" i="6"/>
  <c r="O224" i="6"/>
  <c r="N224" i="6"/>
  <c r="P223" i="6"/>
  <c r="O223" i="6"/>
  <c r="N223" i="6"/>
  <c r="P222" i="6"/>
  <c r="O222" i="6"/>
  <c r="N222" i="6"/>
  <c r="P221" i="6"/>
  <c r="O221" i="6"/>
  <c r="N221" i="6"/>
  <c r="P220" i="6"/>
  <c r="O220" i="6"/>
  <c r="N220" i="6"/>
  <c r="P219" i="6"/>
  <c r="O219" i="6"/>
  <c r="N219" i="6"/>
  <c r="P218" i="6"/>
  <c r="O218" i="6"/>
  <c r="N218" i="6"/>
  <c r="P217" i="6"/>
  <c r="O217" i="6"/>
  <c r="N217" i="6"/>
  <c r="P216" i="6"/>
  <c r="O216" i="6"/>
  <c r="N216" i="6"/>
  <c r="P215" i="6"/>
  <c r="O215" i="6"/>
  <c r="N215" i="6"/>
  <c r="P214" i="6"/>
  <c r="O214" i="6"/>
  <c r="N214" i="6"/>
  <c r="P213" i="6"/>
  <c r="O213" i="6"/>
  <c r="N213" i="6"/>
  <c r="P212" i="6"/>
  <c r="O212" i="6"/>
  <c r="N212" i="6"/>
  <c r="P211" i="6"/>
  <c r="O211" i="6"/>
  <c r="N211" i="6"/>
  <c r="P210" i="6"/>
  <c r="O210" i="6"/>
  <c r="N210" i="6"/>
  <c r="P209" i="6"/>
  <c r="O209" i="6"/>
  <c r="N209" i="6"/>
  <c r="P208" i="6"/>
  <c r="O208" i="6"/>
  <c r="N208" i="6"/>
  <c r="P207" i="6"/>
  <c r="O207" i="6"/>
  <c r="N207" i="6"/>
  <c r="P206" i="6"/>
  <c r="O206" i="6"/>
  <c r="N206" i="6"/>
  <c r="P205" i="6"/>
  <c r="O205" i="6"/>
  <c r="N205" i="6"/>
  <c r="P204" i="6"/>
  <c r="O204" i="6"/>
  <c r="N204" i="6"/>
  <c r="P203" i="6"/>
  <c r="O203" i="6"/>
  <c r="N203" i="6"/>
  <c r="P202" i="6"/>
  <c r="O202" i="6"/>
  <c r="N202" i="6"/>
  <c r="P201" i="6"/>
  <c r="O201" i="6"/>
  <c r="N201" i="6"/>
  <c r="P200" i="6"/>
  <c r="O200" i="6"/>
  <c r="N200" i="6"/>
  <c r="P199" i="6"/>
  <c r="O199" i="6"/>
  <c r="N199" i="6"/>
  <c r="P198" i="6"/>
  <c r="O198" i="6"/>
  <c r="N198" i="6"/>
  <c r="P197" i="6"/>
  <c r="O197" i="6"/>
  <c r="N197" i="6"/>
  <c r="P196" i="6"/>
  <c r="O196" i="6"/>
  <c r="N196" i="6"/>
  <c r="P195" i="6"/>
  <c r="O195" i="6"/>
  <c r="N195" i="6"/>
  <c r="P194" i="6"/>
  <c r="O194" i="6"/>
  <c r="N194" i="6"/>
  <c r="P193" i="6"/>
  <c r="O193" i="6"/>
  <c r="N193" i="6"/>
  <c r="P192" i="6"/>
  <c r="O192" i="6"/>
  <c r="N192" i="6"/>
  <c r="P191" i="6"/>
  <c r="O191" i="6"/>
  <c r="N191" i="6"/>
  <c r="P190" i="6"/>
  <c r="O190" i="6"/>
  <c r="N190" i="6"/>
  <c r="P189" i="6"/>
  <c r="O189" i="6"/>
  <c r="N189" i="6"/>
  <c r="P188" i="6"/>
  <c r="O188" i="6"/>
  <c r="N188" i="6"/>
  <c r="P187" i="6"/>
  <c r="O187" i="6"/>
  <c r="N187" i="6"/>
  <c r="P186" i="6"/>
  <c r="O186" i="6"/>
  <c r="N186" i="6"/>
  <c r="P185" i="6"/>
  <c r="O185" i="6"/>
  <c r="N185" i="6"/>
  <c r="P184" i="6"/>
  <c r="O184" i="6"/>
  <c r="N184" i="6"/>
  <c r="P183" i="6"/>
  <c r="O183" i="6"/>
  <c r="N183" i="6"/>
  <c r="P182" i="6"/>
  <c r="O182" i="6"/>
  <c r="N182" i="6"/>
  <c r="P181" i="6"/>
  <c r="O181" i="6"/>
  <c r="N181" i="6"/>
  <c r="P180" i="6"/>
  <c r="O180" i="6"/>
  <c r="N180" i="6"/>
  <c r="P179" i="6"/>
  <c r="O179" i="6"/>
  <c r="N179" i="6"/>
  <c r="P178" i="6"/>
  <c r="O178" i="6"/>
  <c r="N178" i="6"/>
  <c r="P177" i="6"/>
  <c r="O177" i="6"/>
  <c r="N177" i="6"/>
  <c r="P176" i="6"/>
  <c r="O176" i="6"/>
  <c r="N176" i="6"/>
  <c r="P175" i="6"/>
  <c r="O175" i="6"/>
  <c r="N175" i="6"/>
  <c r="P174" i="6"/>
  <c r="O174" i="6"/>
  <c r="N174" i="6"/>
  <c r="P173" i="6"/>
  <c r="O173" i="6"/>
  <c r="N173" i="6"/>
  <c r="P172" i="6"/>
  <c r="O172" i="6"/>
  <c r="N172" i="6"/>
  <c r="P171" i="6"/>
  <c r="O171" i="6"/>
  <c r="N171" i="6"/>
  <c r="P170" i="6"/>
  <c r="O170" i="6"/>
  <c r="N170" i="6"/>
  <c r="P169" i="6"/>
  <c r="O169" i="6"/>
  <c r="N169" i="6"/>
  <c r="P168" i="6"/>
  <c r="O168" i="6"/>
  <c r="N168" i="6"/>
  <c r="P167" i="6"/>
  <c r="O167" i="6"/>
  <c r="N167" i="6"/>
  <c r="P166" i="6"/>
  <c r="O166" i="6"/>
  <c r="N166" i="6"/>
  <c r="P165" i="6"/>
  <c r="O165" i="6"/>
  <c r="N165" i="6"/>
  <c r="P164" i="6"/>
  <c r="O164" i="6"/>
  <c r="N164" i="6"/>
  <c r="P163" i="6"/>
  <c r="O163" i="6"/>
  <c r="N163" i="6"/>
  <c r="P162" i="6"/>
  <c r="O162" i="6"/>
  <c r="N162" i="6"/>
  <c r="P161" i="6"/>
  <c r="O161" i="6"/>
  <c r="N161" i="6"/>
  <c r="P160" i="6"/>
  <c r="O160" i="6"/>
  <c r="N160" i="6"/>
  <c r="P159" i="6"/>
  <c r="O159" i="6"/>
  <c r="N159" i="6"/>
  <c r="P158" i="6"/>
  <c r="O158" i="6"/>
  <c r="N158" i="6"/>
  <c r="P157" i="6"/>
  <c r="O157" i="6"/>
  <c r="N157" i="6"/>
  <c r="P156" i="6"/>
  <c r="O156" i="6"/>
  <c r="N156" i="6"/>
  <c r="P155" i="6"/>
  <c r="O155" i="6"/>
  <c r="N155" i="6"/>
  <c r="P154" i="6"/>
  <c r="O154" i="6"/>
  <c r="N154" i="6"/>
  <c r="P153" i="6"/>
  <c r="O153" i="6"/>
  <c r="N153" i="6"/>
  <c r="P152" i="6"/>
  <c r="O152" i="6"/>
  <c r="N152" i="6"/>
  <c r="P151" i="6"/>
  <c r="O151" i="6"/>
  <c r="N151" i="6"/>
  <c r="P150" i="6"/>
  <c r="O150" i="6"/>
  <c r="N150" i="6"/>
  <c r="P149" i="6"/>
  <c r="O149" i="6"/>
  <c r="N149" i="6"/>
  <c r="P148" i="6"/>
  <c r="O148" i="6"/>
  <c r="N148" i="6"/>
  <c r="P147" i="6"/>
  <c r="O147" i="6"/>
  <c r="N147" i="6"/>
  <c r="P146" i="6"/>
  <c r="O146" i="6"/>
  <c r="N146" i="6"/>
  <c r="P145" i="6"/>
  <c r="O145" i="6"/>
  <c r="N145" i="6"/>
  <c r="P144" i="6"/>
  <c r="O144" i="6"/>
  <c r="N144" i="6"/>
  <c r="P143" i="6"/>
  <c r="O143" i="6"/>
  <c r="N143" i="6"/>
  <c r="P142" i="6"/>
  <c r="O142" i="6"/>
  <c r="N142" i="6"/>
  <c r="P141" i="6"/>
  <c r="O141" i="6"/>
  <c r="N141" i="6"/>
  <c r="P140" i="6"/>
  <c r="O140" i="6"/>
  <c r="N140" i="6"/>
  <c r="P139" i="6"/>
  <c r="O139" i="6"/>
  <c r="N139" i="6"/>
  <c r="P138" i="6"/>
  <c r="O138" i="6"/>
  <c r="N138" i="6"/>
  <c r="P137" i="6"/>
  <c r="O137" i="6"/>
  <c r="N137" i="6"/>
  <c r="P136" i="6"/>
  <c r="O136" i="6"/>
  <c r="N136" i="6"/>
  <c r="P135" i="6"/>
  <c r="O135" i="6"/>
  <c r="N135" i="6"/>
  <c r="P134" i="6"/>
  <c r="O134" i="6"/>
  <c r="N134" i="6"/>
  <c r="P133" i="6"/>
  <c r="O133" i="6"/>
  <c r="N133" i="6"/>
  <c r="P132" i="6"/>
  <c r="O132" i="6"/>
  <c r="N132" i="6"/>
  <c r="P131" i="6"/>
  <c r="O131" i="6"/>
  <c r="N131" i="6"/>
  <c r="P130" i="6"/>
  <c r="O130" i="6"/>
  <c r="N130" i="6"/>
  <c r="P129" i="6"/>
  <c r="O129" i="6"/>
  <c r="N129" i="6"/>
  <c r="P128" i="6"/>
  <c r="O128" i="6"/>
  <c r="N128" i="6"/>
  <c r="P127" i="6"/>
  <c r="O127" i="6"/>
  <c r="N127" i="6"/>
  <c r="P126" i="6"/>
  <c r="O126" i="6"/>
  <c r="N126" i="6"/>
  <c r="P125" i="6"/>
  <c r="O125" i="6"/>
  <c r="N125" i="6"/>
  <c r="P124" i="6"/>
  <c r="O124" i="6"/>
  <c r="N124" i="6"/>
  <c r="P123" i="6"/>
  <c r="O123" i="6"/>
  <c r="N123" i="6"/>
  <c r="P122" i="6"/>
  <c r="O122" i="6"/>
  <c r="N122" i="6"/>
  <c r="P121" i="6"/>
  <c r="O121" i="6"/>
  <c r="N121" i="6"/>
  <c r="P120" i="6"/>
  <c r="O120" i="6"/>
  <c r="N120" i="6"/>
  <c r="P119" i="6"/>
  <c r="O119" i="6"/>
  <c r="N119" i="6"/>
  <c r="P118" i="6"/>
  <c r="O118" i="6"/>
  <c r="N118" i="6"/>
  <c r="P117" i="6"/>
  <c r="O117" i="6"/>
  <c r="N117" i="6"/>
  <c r="P116" i="6"/>
  <c r="O116" i="6"/>
  <c r="N116" i="6"/>
  <c r="P115" i="6"/>
  <c r="O115" i="6"/>
  <c r="N115" i="6"/>
  <c r="P114" i="6"/>
  <c r="O114" i="6"/>
  <c r="N114" i="6"/>
  <c r="P113" i="6"/>
  <c r="O113" i="6"/>
  <c r="N113" i="6"/>
  <c r="P112" i="6"/>
  <c r="O112" i="6"/>
  <c r="N112" i="6"/>
  <c r="P111" i="6"/>
  <c r="O111" i="6"/>
  <c r="N111" i="6"/>
  <c r="P110" i="6"/>
  <c r="O110" i="6"/>
  <c r="N110" i="6"/>
  <c r="P109" i="6"/>
  <c r="O109" i="6"/>
  <c r="N109" i="6"/>
  <c r="P108" i="6"/>
  <c r="O108" i="6"/>
  <c r="N108" i="6"/>
  <c r="P107" i="6"/>
  <c r="O107" i="6"/>
  <c r="N107" i="6"/>
  <c r="P106" i="6"/>
  <c r="O106" i="6"/>
  <c r="N106" i="6"/>
  <c r="P105" i="6"/>
  <c r="O105" i="6"/>
  <c r="N105" i="6"/>
  <c r="P104" i="6"/>
  <c r="O104" i="6"/>
  <c r="N104" i="6"/>
  <c r="P103" i="6"/>
  <c r="O103" i="6"/>
  <c r="N103" i="6"/>
  <c r="P102" i="6"/>
  <c r="O102" i="6"/>
  <c r="N102" i="6"/>
  <c r="P101" i="6"/>
  <c r="O101" i="6"/>
  <c r="N101" i="6"/>
  <c r="P100" i="6"/>
  <c r="O100" i="6"/>
  <c r="N100" i="6"/>
  <c r="P99" i="6"/>
  <c r="O99" i="6"/>
  <c r="N99" i="6"/>
  <c r="P98" i="6"/>
  <c r="O98" i="6"/>
  <c r="N98" i="6"/>
  <c r="P97" i="6"/>
  <c r="O97" i="6"/>
  <c r="N97" i="6"/>
  <c r="P96" i="6"/>
  <c r="O96" i="6"/>
  <c r="N96" i="6"/>
  <c r="P95" i="6"/>
  <c r="O95" i="6"/>
  <c r="N95" i="6"/>
  <c r="P94" i="6"/>
  <c r="O94" i="6"/>
  <c r="N94" i="6"/>
  <c r="P93" i="6"/>
  <c r="O93" i="6"/>
  <c r="N93" i="6"/>
  <c r="P92" i="6"/>
  <c r="O92" i="6"/>
  <c r="N92" i="6"/>
  <c r="P91" i="6"/>
  <c r="O91" i="6"/>
  <c r="N91" i="6"/>
  <c r="P90" i="6"/>
  <c r="O90" i="6"/>
  <c r="N90" i="6"/>
  <c r="P89" i="6"/>
  <c r="O89" i="6"/>
  <c r="N89" i="6"/>
  <c r="P88" i="6"/>
  <c r="O88" i="6"/>
  <c r="N88" i="6"/>
  <c r="P87" i="6"/>
  <c r="O87" i="6"/>
  <c r="N87" i="6"/>
  <c r="P86" i="6"/>
  <c r="O86" i="6"/>
  <c r="N86" i="6"/>
  <c r="P85" i="6"/>
  <c r="O85" i="6"/>
  <c r="N85" i="6"/>
  <c r="P84" i="6"/>
  <c r="O84" i="6"/>
  <c r="N84" i="6"/>
  <c r="P83" i="6"/>
  <c r="O83" i="6"/>
  <c r="N83" i="6"/>
  <c r="P82" i="6"/>
  <c r="O82" i="6"/>
  <c r="N82" i="6"/>
  <c r="P81" i="6"/>
  <c r="O81" i="6"/>
  <c r="N81" i="6"/>
  <c r="P80" i="6"/>
  <c r="O80" i="6"/>
  <c r="N80" i="6"/>
  <c r="P79" i="6"/>
  <c r="O79" i="6"/>
  <c r="N79" i="6"/>
  <c r="P78" i="6"/>
  <c r="O78" i="6"/>
  <c r="N78" i="6"/>
  <c r="P77" i="6"/>
  <c r="O77" i="6"/>
  <c r="N77" i="6"/>
  <c r="P76" i="6"/>
  <c r="O76" i="6"/>
  <c r="N76" i="6"/>
  <c r="P75" i="6"/>
  <c r="O75" i="6"/>
  <c r="N75" i="6"/>
  <c r="P74" i="6"/>
  <c r="O74" i="6"/>
  <c r="N74" i="6"/>
  <c r="P73" i="6"/>
  <c r="O73" i="6"/>
  <c r="N73" i="6"/>
  <c r="P72" i="6"/>
  <c r="O72" i="6"/>
  <c r="N72" i="6"/>
  <c r="P71" i="6"/>
  <c r="O71" i="6"/>
  <c r="N71" i="6"/>
  <c r="P70" i="6"/>
  <c r="O70" i="6"/>
  <c r="N70" i="6"/>
  <c r="P69" i="6"/>
  <c r="O69" i="6"/>
  <c r="N69" i="6"/>
  <c r="P68" i="6"/>
  <c r="O68" i="6"/>
  <c r="N68" i="6"/>
  <c r="P67" i="6"/>
  <c r="O67" i="6"/>
  <c r="N67" i="6"/>
  <c r="P66" i="6"/>
  <c r="O66" i="6"/>
  <c r="N66" i="6"/>
  <c r="P65" i="6"/>
  <c r="O65" i="6"/>
  <c r="N65" i="6"/>
  <c r="P64" i="6"/>
  <c r="O64" i="6"/>
  <c r="N64" i="6"/>
  <c r="P63" i="6"/>
  <c r="O63" i="6"/>
  <c r="N63" i="6"/>
  <c r="P62" i="6"/>
  <c r="O62" i="6"/>
  <c r="N62" i="6"/>
  <c r="P61" i="6"/>
  <c r="O61" i="6"/>
  <c r="N61" i="6"/>
  <c r="P60" i="6"/>
  <c r="O60" i="6"/>
  <c r="N60" i="6"/>
  <c r="P59" i="6"/>
  <c r="O59" i="6"/>
  <c r="N59" i="6"/>
  <c r="P58" i="6"/>
  <c r="O58" i="6"/>
  <c r="N58" i="6"/>
  <c r="P57" i="6"/>
  <c r="O57" i="6"/>
  <c r="N57" i="6"/>
  <c r="P56" i="6"/>
  <c r="O56" i="6"/>
  <c r="N56" i="6"/>
  <c r="P55" i="6"/>
  <c r="O55" i="6"/>
  <c r="N55" i="6"/>
  <c r="P54" i="6"/>
  <c r="O54" i="6"/>
  <c r="N54" i="6"/>
  <c r="P53" i="6"/>
  <c r="O53" i="6"/>
  <c r="N53" i="6"/>
  <c r="P52" i="6"/>
  <c r="O52" i="6"/>
  <c r="N52" i="6"/>
  <c r="P51" i="6"/>
  <c r="O51" i="6"/>
  <c r="N51" i="6"/>
  <c r="P50" i="6"/>
  <c r="O50" i="6"/>
  <c r="N50" i="6"/>
  <c r="P49" i="6"/>
  <c r="O49" i="6"/>
  <c r="N49" i="6"/>
  <c r="P48" i="6"/>
  <c r="O48" i="6"/>
  <c r="N48" i="6"/>
  <c r="P47" i="6"/>
  <c r="O47" i="6"/>
  <c r="N47" i="6"/>
  <c r="P46" i="6"/>
  <c r="O46" i="6"/>
  <c r="N46" i="6"/>
  <c r="P45" i="6"/>
  <c r="O45" i="6"/>
  <c r="N45" i="6"/>
  <c r="P44" i="6"/>
  <c r="O44" i="6"/>
  <c r="N44" i="6"/>
  <c r="P43" i="6"/>
  <c r="O43" i="6"/>
  <c r="N43" i="6"/>
  <c r="P42" i="6"/>
  <c r="O42" i="6"/>
  <c r="N42" i="6"/>
  <c r="P41" i="6"/>
  <c r="O41" i="6"/>
  <c r="N41" i="6"/>
  <c r="P40" i="6"/>
  <c r="O40" i="6"/>
  <c r="N40" i="6"/>
  <c r="P39" i="6"/>
  <c r="O39" i="6"/>
  <c r="N39" i="6"/>
  <c r="P38" i="6"/>
  <c r="O38" i="6"/>
  <c r="N38" i="6"/>
  <c r="P37" i="6"/>
  <c r="O37" i="6"/>
  <c r="N37" i="6"/>
  <c r="P36" i="6"/>
  <c r="O36" i="6"/>
  <c r="N36" i="6"/>
  <c r="P35" i="6"/>
  <c r="O35" i="6"/>
  <c r="N35" i="6"/>
  <c r="P34" i="6"/>
  <c r="O34" i="6"/>
  <c r="N34" i="6"/>
  <c r="P33" i="6"/>
  <c r="O33" i="6"/>
  <c r="N33" i="6"/>
  <c r="P32" i="6"/>
  <c r="O32" i="6"/>
  <c r="N32" i="6"/>
  <c r="P31" i="6"/>
  <c r="O31" i="6"/>
  <c r="N31" i="6"/>
  <c r="P30" i="6"/>
  <c r="O30" i="6"/>
  <c r="N30" i="6"/>
  <c r="P29" i="6"/>
  <c r="O29" i="6"/>
  <c r="N29" i="6"/>
  <c r="P28" i="6"/>
  <c r="O28" i="6"/>
  <c r="N28" i="6"/>
  <c r="P27" i="6"/>
  <c r="O27" i="6"/>
  <c r="N27" i="6"/>
  <c r="P26" i="6"/>
  <c r="O26" i="6"/>
  <c r="N26" i="6"/>
  <c r="P25" i="6"/>
  <c r="O25" i="6"/>
  <c r="N25" i="6"/>
  <c r="P24" i="6"/>
  <c r="O24" i="6"/>
  <c r="N24" i="6"/>
  <c r="P23" i="6"/>
  <c r="O23" i="6"/>
  <c r="N23" i="6"/>
  <c r="P22" i="6"/>
  <c r="O22" i="6"/>
  <c r="N22" i="6"/>
  <c r="P21" i="6"/>
  <c r="O21" i="6"/>
  <c r="N21" i="6"/>
  <c r="P20" i="6"/>
  <c r="O20" i="6"/>
  <c r="N20" i="6"/>
  <c r="P19" i="6"/>
  <c r="O19" i="6"/>
  <c r="N19" i="6"/>
  <c r="P18" i="6"/>
  <c r="O18" i="6"/>
  <c r="N18" i="6"/>
  <c r="P17" i="6"/>
  <c r="O17" i="6"/>
  <c r="N17" i="6"/>
  <c r="P16" i="6"/>
  <c r="O16" i="6"/>
  <c r="N16" i="6"/>
  <c r="P15" i="6"/>
  <c r="O15" i="6"/>
  <c r="N15" i="6"/>
  <c r="P14" i="6"/>
  <c r="O14" i="6"/>
  <c r="N14" i="6"/>
  <c r="P13" i="6"/>
  <c r="O13" i="6"/>
  <c r="N13" i="6"/>
  <c r="P12" i="6"/>
  <c r="O12" i="6"/>
  <c r="N12" i="6"/>
  <c r="P11" i="6"/>
  <c r="O11" i="6"/>
  <c r="N11" i="6"/>
  <c r="P10" i="6"/>
  <c r="O10" i="6"/>
  <c r="N10" i="6"/>
  <c r="P9" i="6"/>
  <c r="O9" i="6"/>
  <c r="N9" i="6"/>
  <c r="P8" i="6"/>
  <c r="O8" i="6"/>
  <c r="N8" i="6"/>
  <c r="P7" i="6"/>
  <c r="O7" i="6"/>
  <c r="N7" i="6"/>
  <c r="P6" i="6"/>
  <c r="O6" i="6"/>
  <c r="N6" i="6"/>
  <c r="P5" i="6"/>
  <c r="O5" i="6"/>
  <c r="N5" i="6"/>
  <c r="P4" i="6"/>
  <c r="O4" i="6"/>
  <c r="N4" i="6"/>
  <c r="P3" i="6"/>
  <c r="O3" i="6"/>
  <c r="N3" i="6"/>
  <c r="P2" i="6"/>
  <c r="O2" i="6"/>
  <c r="N2" i="6"/>
  <c r="O906" i="5"/>
  <c r="N906" i="5"/>
  <c r="M906" i="5"/>
  <c r="L906" i="5"/>
  <c r="K906" i="5"/>
  <c r="I906" i="5"/>
  <c r="H906" i="5"/>
  <c r="O905" i="5"/>
  <c r="N905" i="5"/>
  <c r="M905" i="5"/>
  <c r="L905" i="5"/>
  <c r="K905" i="5"/>
  <c r="I905" i="5"/>
  <c r="H905" i="5"/>
  <c r="O904" i="5"/>
  <c r="N904" i="5"/>
  <c r="M904" i="5"/>
  <c r="L904" i="5"/>
  <c r="K904" i="5"/>
  <c r="I904" i="5"/>
  <c r="H904" i="5"/>
  <c r="O903" i="5"/>
  <c r="N903" i="5"/>
  <c r="M903" i="5"/>
  <c r="L903" i="5"/>
  <c r="K903" i="5"/>
  <c r="I903" i="5"/>
  <c r="H903" i="5"/>
  <c r="O902" i="5"/>
  <c r="N902" i="5"/>
  <c r="M902" i="5"/>
  <c r="L902" i="5"/>
  <c r="K902" i="5"/>
  <c r="I902" i="5"/>
  <c r="H902" i="5"/>
  <c r="O901" i="5"/>
  <c r="N901" i="5"/>
  <c r="M901" i="5"/>
  <c r="L901" i="5"/>
  <c r="K901" i="5"/>
  <c r="I901" i="5"/>
  <c r="H901" i="5"/>
  <c r="O900" i="5"/>
  <c r="N900" i="5"/>
  <c r="M900" i="5"/>
  <c r="L900" i="5"/>
  <c r="K900" i="5"/>
  <c r="I900" i="5"/>
  <c r="H900" i="5"/>
  <c r="O899" i="5"/>
  <c r="N899" i="5"/>
  <c r="M899" i="5"/>
  <c r="L899" i="5"/>
  <c r="K899" i="5"/>
  <c r="I899" i="5"/>
  <c r="H899" i="5"/>
  <c r="O898" i="5"/>
  <c r="N898" i="5"/>
  <c r="M898" i="5"/>
  <c r="L898" i="5"/>
  <c r="K898" i="5"/>
  <c r="I898" i="5"/>
  <c r="H898" i="5"/>
  <c r="O897" i="5"/>
  <c r="N897" i="5"/>
  <c r="M897" i="5"/>
  <c r="L897" i="5"/>
  <c r="K897" i="5"/>
  <c r="I897" i="5"/>
  <c r="H897" i="5"/>
  <c r="O896" i="5"/>
  <c r="N896" i="5"/>
  <c r="M896" i="5"/>
  <c r="L896" i="5"/>
  <c r="K896" i="5"/>
  <c r="I896" i="5"/>
  <c r="H896" i="5"/>
  <c r="O895" i="5"/>
  <c r="N895" i="5"/>
  <c r="M895" i="5"/>
  <c r="L895" i="5"/>
  <c r="K895" i="5"/>
  <c r="I895" i="5"/>
  <c r="H895" i="5"/>
  <c r="O894" i="5"/>
  <c r="N894" i="5"/>
  <c r="M894" i="5"/>
  <c r="L894" i="5"/>
  <c r="K894" i="5"/>
  <c r="I894" i="5"/>
  <c r="H894" i="5"/>
  <c r="O893" i="5"/>
  <c r="N893" i="5"/>
  <c r="M893" i="5"/>
  <c r="L893" i="5"/>
  <c r="K893" i="5"/>
  <c r="I893" i="5"/>
  <c r="H893" i="5"/>
  <c r="O892" i="5"/>
  <c r="N892" i="5"/>
  <c r="M892" i="5"/>
  <c r="L892" i="5"/>
  <c r="K892" i="5"/>
  <c r="I892" i="5"/>
  <c r="H892" i="5"/>
  <c r="O891" i="5"/>
  <c r="N891" i="5"/>
  <c r="M891" i="5"/>
  <c r="L891" i="5"/>
  <c r="K891" i="5"/>
  <c r="I891" i="5"/>
  <c r="H891" i="5"/>
  <c r="O890" i="5"/>
  <c r="N890" i="5"/>
  <c r="M890" i="5"/>
  <c r="L890" i="5"/>
  <c r="K890" i="5"/>
  <c r="I890" i="5"/>
  <c r="H890" i="5"/>
  <c r="O889" i="5"/>
  <c r="N889" i="5"/>
  <c r="M889" i="5"/>
  <c r="L889" i="5"/>
  <c r="K889" i="5"/>
  <c r="I889" i="5"/>
  <c r="H889" i="5"/>
  <c r="O888" i="5"/>
  <c r="N888" i="5"/>
  <c r="M888" i="5"/>
  <c r="L888" i="5"/>
  <c r="K888" i="5"/>
  <c r="I888" i="5"/>
  <c r="H888" i="5"/>
  <c r="O887" i="5"/>
  <c r="N887" i="5"/>
  <c r="M887" i="5"/>
  <c r="L887" i="5"/>
  <c r="K887" i="5"/>
  <c r="I887" i="5"/>
  <c r="H887" i="5"/>
  <c r="O886" i="5"/>
  <c r="N886" i="5"/>
  <c r="M886" i="5"/>
  <c r="L886" i="5"/>
  <c r="K886" i="5"/>
  <c r="I886" i="5"/>
  <c r="H886" i="5"/>
  <c r="O885" i="5"/>
  <c r="N885" i="5"/>
  <c r="M885" i="5"/>
  <c r="L885" i="5"/>
  <c r="K885" i="5"/>
  <c r="I885" i="5"/>
  <c r="H885" i="5"/>
  <c r="O884" i="5"/>
  <c r="N884" i="5"/>
  <c r="M884" i="5"/>
  <c r="L884" i="5"/>
  <c r="K884" i="5"/>
  <c r="I884" i="5"/>
  <c r="H884" i="5"/>
  <c r="O883" i="5"/>
  <c r="N883" i="5"/>
  <c r="M883" i="5"/>
  <c r="L883" i="5"/>
  <c r="K883" i="5"/>
  <c r="I883" i="5"/>
  <c r="H883" i="5"/>
  <c r="O882" i="5"/>
  <c r="N882" i="5"/>
  <c r="M882" i="5"/>
  <c r="L882" i="5"/>
  <c r="K882" i="5"/>
  <c r="I882" i="5"/>
  <c r="H882" i="5"/>
  <c r="O881" i="5"/>
  <c r="N881" i="5"/>
  <c r="M881" i="5"/>
  <c r="L881" i="5"/>
  <c r="K881" i="5"/>
  <c r="I881" i="5"/>
  <c r="H881" i="5"/>
  <c r="O880" i="5"/>
  <c r="N880" i="5"/>
  <c r="M880" i="5"/>
  <c r="L880" i="5"/>
  <c r="K880" i="5"/>
  <c r="I880" i="5"/>
  <c r="H880" i="5"/>
  <c r="O879" i="5"/>
  <c r="N879" i="5"/>
  <c r="M879" i="5"/>
  <c r="L879" i="5"/>
  <c r="K879" i="5"/>
  <c r="I879" i="5"/>
  <c r="H879" i="5"/>
  <c r="O878" i="5"/>
  <c r="N878" i="5"/>
  <c r="M878" i="5"/>
  <c r="L878" i="5"/>
  <c r="K878" i="5"/>
  <c r="I878" i="5"/>
  <c r="H878" i="5"/>
  <c r="O877" i="5"/>
  <c r="N877" i="5"/>
  <c r="M877" i="5"/>
  <c r="L877" i="5"/>
  <c r="K877" i="5"/>
  <c r="I877" i="5"/>
  <c r="H877" i="5"/>
  <c r="O876" i="5"/>
  <c r="N876" i="5"/>
  <c r="M876" i="5"/>
  <c r="L876" i="5"/>
  <c r="K876" i="5"/>
  <c r="I876" i="5"/>
  <c r="H876" i="5"/>
  <c r="O875" i="5"/>
  <c r="N875" i="5"/>
  <c r="M875" i="5"/>
  <c r="L875" i="5"/>
  <c r="K875" i="5"/>
  <c r="I875" i="5"/>
  <c r="H875" i="5"/>
  <c r="O874" i="5"/>
  <c r="N874" i="5"/>
  <c r="M874" i="5"/>
  <c r="L874" i="5"/>
  <c r="K874" i="5"/>
  <c r="I874" i="5"/>
  <c r="H874" i="5"/>
  <c r="O873" i="5"/>
  <c r="N873" i="5"/>
  <c r="M873" i="5"/>
  <c r="L873" i="5"/>
  <c r="K873" i="5"/>
  <c r="I873" i="5"/>
  <c r="H873" i="5"/>
  <c r="O872" i="5"/>
  <c r="N872" i="5"/>
  <c r="M872" i="5"/>
  <c r="L872" i="5"/>
  <c r="K872" i="5"/>
  <c r="I872" i="5"/>
  <c r="H872" i="5"/>
  <c r="O871" i="5"/>
  <c r="N871" i="5"/>
  <c r="M871" i="5"/>
  <c r="L871" i="5"/>
  <c r="K871" i="5"/>
  <c r="I871" i="5"/>
  <c r="H871" i="5"/>
  <c r="O870" i="5"/>
  <c r="N870" i="5"/>
  <c r="M870" i="5"/>
  <c r="L870" i="5"/>
  <c r="K870" i="5"/>
  <c r="I870" i="5"/>
  <c r="H870" i="5"/>
  <c r="O869" i="5"/>
  <c r="N869" i="5"/>
  <c r="M869" i="5"/>
  <c r="L869" i="5"/>
  <c r="K869" i="5"/>
  <c r="I869" i="5"/>
  <c r="H869" i="5"/>
  <c r="O868" i="5"/>
  <c r="N868" i="5"/>
  <c r="M868" i="5"/>
  <c r="L868" i="5"/>
  <c r="K868" i="5"/>
  <c r="I868" i="5"/>
  <c r="H868" i="5"/>
  <c r="O867" i="5"/>
  <c r="N867" i="5"/>
  <c r="M867" i="5"/>
  <c r="L867" i="5"/>
  <c r="K867" i="5"/>
  <c r="I867" i="5"/>
  <c r="H867" i="5"/>
  <c r="O866" i="5"/>
  <c r="N866" i="5"/>
  <c r="M866" i="5"/>
  <c r="L866" i="5"/>
  <c r="K866" i="5"/>
  <c r="I866" i="5"/>
  <c r="H866" i="5"/>
  <c r="O865" i="5"/>
  <c r="N865" i="5"/>
  <c r="M865" i="5"/>
  <c r="L865" i="5"/>
  <c r="K865" i="5"/>
  <c r="I865" i="5"/>
  <c r="H865" i="5"/>
  <c r="O864" i="5"/>
  <c r="N864" i="5"/>
  <c r="M864" i="5"/>
  <c r="L864" i="5"/>
  <c r="K864" i="5"/>
  <c r="I864" i="5"/>
  <c r="H864" i="5"/>
  <c r="O863" i="5"/>
  <c r="N863" i="5"/>
  <c r="M863" i="5"/>
  <c r="L863" i="5"/>
  <c r="K863" i="5"/>
  <c r="I863" i="5"/>
  <c r="H863" i="5"/>
  <c r="O862" i="5"/>
  <c r="N862" i="5"/>
  <c r="M862" i="5"/>
  <c r="L862" i="5"/>
  <c r="K862" i="5"/>
  <c r="I862" i="5"/>
  <c r="H862" i="5"/>
  <c r="O861" i="5"/>
  <c r="N861" i="5"/>
  <c r="M861" i="5"/>
  <c r="L861" i="5"/>
  <c r="K861" i="5"/>
  <c r="I861" i="5"/>
  <c r="H861" i="5"/>
  <c r="O860" i="5"/>
  <c r="N860" i="5"/>
  <c r="M860" i="5"/>
  <c r="L860" i="5"/>
  <c r="K860" i="5"/>
  <c r="I860" i="5"/>
  <c r="H860" i="5"/>
  <c r="O859" i="5"/>
  <c r="N859" i="5"/>
  <c r="M859" i="5"/>
  <c r="L859" i="5"/>
  <c r="K859" i="5"/>
  <c r="I859" i="5"/>
  <c r="H859" i="5"/>
  <c r="O858" i="5"/>
  <c r="N858" i="5"/>
  <c r="M858" i="5"/>
  <c r="L858" i="5"/>
  <c r="K858" i="5"/>
  <c r="I858" i="5"/>
  <c r="H858" i="5"/>
  <c r="O857" i="5"/>
  <c r="N857" i="5"/>
  <c r="M857" i="5"/>
  <c r="L857" i="5"/>
  <c r="K857" i="5"/>
  <c r="I857" i="5"/>
  <c r="H857" i="5"/>
  <c r="O856" i="5"/>
  <c r="N856" i="5"/>
  <c r="M856" i="5"/>
  <c r="L856" i="5"/>
  <c r="K856" i="5"/>
  <c r="I856" i="5"/>
  <c r="H856" i="5"/>
  <c r="O855" i="5"/>
  <c r="N855" i="5"/>
  <c r="M855" i="5"/>
  <c r="L855" i="5"/>
  <c r="K855" i="5"/>
  <c r="I855" i="5"/>
  <c r="H855" i="5"/>
  <c r="O854" i="5"/>
  <c r="N854" i="5"/>
  <c r="M854" i="5"/>
  <c r="L854" i="5"/>
  <c r="K854" i="5"/>
  <c r="I854" i="5"/>
  <c r="H854" i="5"/>
  <c r="O853" i="5"/>
  <c r="N853" i="5"/>
  <c r="M853" i="5"/>
  <c r="L853" i="5"/>
  <c r="K853" i="5"/>
  <c r="I853" i="5"/>
  <c r="H853" i="5"/>
  <c r="O852" i="5"/>
  <c r="N852" i="5"/>
  <c r="M852" i="5"/>
  <c r="L852" i="5"/>
  <c r="K852" i="5"/>
  <c r="I852" i="5"/>
  <c r="H852" i="5"/>
  <c r="O851" i="5"/>
  <c r="N851" i="5"/>
  <c r="M851" i="5"/>
  <c r="L851" i="5"/>
  <c r="K851" i="5"/>
  <c r="I851" i="5"/>
  <c r="H851" i="5"/>
  <c r="O850" i="5"/>
  <c r="N850" i="5"/>
  <c r="M850" i="5"/>
  <c r="L850" i="5"/>
  <c r="K850" i="5"/>
  <c r="I850" i="5"/>
  <c r="H850" i="5"/>
  <c r="O849" i="5"/>
  <c r="N849" i="5"/>
  <c r="M849" i="5"/>
  <c r="L849" i="5"/>
  <c r="K849" i="5"/>
  <c r="I849" i="5"/>
  <c r="H849" i="5"/>
  <c r="O848" i="5"/>
  <c r="N848" i="5"/>
  <c r="M848" i="5"/>
  <c r="L848" i="5"/>
  <c r="K848" i="5"/>
  <c r="I848" i="5"/>
  <c r="H848" i="5"/>
  <c r="O847" i="5"/>
  <c r="N847" i="5"/>
  <c r="M847" i="5"/>
  <c r="L847" i="5"/>
  <c r="K847" i="5"/>
  <c r="I847" i="5"/>
  <c r="H847" i="5"/>
  <c r="O846" i="5"/>
  <c r="N846" i="5"/>
  <c r="M846" i="5"/>
  <c r="L846" i="5"/>
  <c r="K846" i="5"/>
  <c r="I846" i="5"/>
  <c r="H846" i="5"/>
  <c r="O845" i="5"/>
  <c r="N845" i="5"/>
  <c r="M845" i="5"/>
  <c r="L845" i="5"/>
  <c r="K845" i="5"/>
  <c r="I845" i="5"/>
  <c r="H845" i="5"/>
  <c r="O844" i="5"/>
  <c r="N844" i="5"/>
  <c r="M844" i="5"/>
  <c r="L844" i="5"/>
  <c r="K844" i="5"/>
  <c r="I844" i="5"/>
  <c r="H844" i="5"/>
  <c r="O843" i="5"/>
  <c r="N843" i="5"/>
  <c r="M843" i="5"/>
  <c r="L843" i="5"/>
  <c r="K843" i="5"/>
  <c r="I843" i="5"/>
  <c r="H843" i="5"/>
  <c r="O842" i="5"/>
  <c r="N842" i="5"/>
  <c r="M842" i="5"/>
  <c r="L842" i="5"/>
  <c r="K842" i="5"/>
  <c r="I842" i="5"/>
  <c r="H842" i="5"/>
  <c r="O841" i="5"/>
  <c r="N841" i="5"/>
  <c r="M841" i="5"/>
  <c r="L841" i="5"/>
  <c r="K841" i="5"/>
  <c r="I841" i="5"/>
  <c r="H841" i="5"/>
  <c r="O840" i="5"/>
  <c r="N840" i="5"/>
  <c r="M840" i="5"/>
  <c r="L840" i="5"/>
  <c r="K840" i="5"/>
  <c r="I840" i="5"/>
  <c r="H840" i="5"/>
  <c r="O839" i="5"/>
  <c r="N839" i="5"/>
  <c r="M839" i="5"/>
  <c r="L839" i="5"/>
  <c r="K839" i="5"/>
  <c r="I839" i="5"/>
  <c r="H839" i="5"/>
  <c r="O838" i="5"/>
  <c r="N838" i="5"/>
  <c r="M838" i="5"/>
  <c r="L838" i="5"/>
  <c r="K838" i="5"/>
  <c r="I838" i="5"/>
  <c r="H838" i="5"/>
  <c r="O837" i="5"/>
  <c r="N837" i="5"/>
  <c r="M837" i="5"/>
  <c r="L837" i="5"/>
  <c r="K837" i="5"/>
  <c r="I837" i="5"/>
  <c r="H837" i="5"/>
  <c r="O836" i="5"/>
  <c r="N836" i="5"/>
  <c r="M836" i="5"/>
  <c r="L836" i="5"/>
  <c r="K836" i="5"/>
  <c r="I836" i="5"/>
  <c r="H836" i="5"/>
  <c r="O835" i="5"/>
  <c r="N835" i="5"/>
  <c r="M835" i="5"/>
  <c r="L835" i="5"/>
  <c r="K835" i="5"/>
  <c r="I835" i="5"/>
  <c r="H835" i="5"/>
  <c r="O834" i="5"/>
  <c r="N834" i="5"/>
  <c r="M834" i="5"/>
  <c r="L834" i="5"/>
  <c r="K834" i="5"/>
  <c r="I834" i="5"/>
  <c r="H834" i="5"/>
  <c r="O833" i="5"/>
  <c r="N833" i="5"/>
  <c r="M833" i="5"/>
  <c r="L833" i="5"/>
  <c r="K833" i="5"/>
  <c r="I833" i="5"/>
  <c r="H833" i="5"/>
  <c r="O832" i="5"/>
  <c r="N832" i="5"/>
  <c r="M832" i="5"/>
  <c r="L832" i="5"/>
  <c r="K832" i="5"/>
  <c r="I832" i="5"/>
  <c r="H832" i="5"/>
  <c r="O831" i="5"/>
  <c r="N831" i="5"/>
  <c r="M831" i="5"/>
  <c r="L831" i="5"/>
  <c r="K831" i="5"/>
  <c r="I831" i="5"/>
  <c r="H831" i="5"/>
  <c r="O830" i="5"/>
  <c r="N830" i="5"/>
  <c r="M830" i="5"/>
  <c r="L830" i="5"/>
  <c r="K830" i="5"/>
  <c r="I830" i="5"/>
  <c r="H830" i="5"/>
  <c r="O829" i="5"/>
  <c r="N829" i="5"/>
  <c r="M829" i="5"/>
  <c r="L829" i="5"/>
  <c r="K829" i="5"/>
  <c r="I829" i="5"/>
  <c r="H829" i="5"/>
  <c r="O828" i="5"/>
  <c r="N828" i="5"/>
  <c r="M828" i="5"/>
  <c r="L828" i="5"/>
  <c r="K828" i="5"/>
  <c r="I828" i="5"/>
  <c r="H828" i="5"/>
  <c r="O827" i="5"/>
  <c r="N827" i="5"/>
  <c r="M827" i="5"/>
  <c r="L827" i="5"/>
  <c r="K827" i="5"/>
  <c r="I827" i="5"/>
  <c r="H827" i="5"/>
  <c r="O826" i="5"/>
  <c r="N826" i="5"/>
  <c r="M826" i="5"/>
  <c r="L826" i="5"/>
  <c r="K826" i="5"/>
  <c r="I826" i="5"/>
  <c r="H826" i="5"/>
  <c r="O825" i="5"/>
  <c r="N825" i="5"/>
  <c r="M825" i="5"/>
  <c r="L825" i="5"/>
  <c r="K825" i="5"/>
  <c r="I825" i="5"/>
  <c r="H825" i="5"/>
  <c r="O824" i="5"/>
  <c r="N824" i="5"/>
  <c r="M824" i="5"/>
  <c r="L824" i="5"/>
  <c r="K824" i="5"/>
  <c r="I824" i="5"/>
  <c r="H824" i="5"/>
  <c r="O823" i="5"/>
  <c r="N823" i="5"/>
  <c r="M823" i="5"/>
  <c r="L823" i="5"/>
  <c r="K823" i="5"/>
  <c r="I823" i="5"/>
  <c r="H823" i="5"/>
  <c r="O822" i="5"/>
  <c r="N822" i="5"/>
  <c r="M822" i="5"/>
  <c r="L822" i="5"/>
  <c r="K822" i="5"/>
  <c r="I822" i="5"/>
  <c r="H822" i="5"/>
  <c r="O821" i="5"/>
  <c r="N821" i="5"/>
  <c r="M821" i="5"/>
  <c r="L821" i="5"/>
  <c r="K821" i="5"/>
  <c r="I821" i="5"/>
  <c r="H821" i="5"/>
  <c r="O820" i="5"/>
  <c r="N820" i="5"/>
  <c r="M820" i="5"/>
  <c r="L820" i="5"/>
  <c r="K820" i="5"/>
  <c r="I820" i="5"/>
  <c r="H820" i="5"/>
  <c r="O819" i="5"/>
  <c r="N819" i="5"/>
  <c r="M819" i="5"/>
  <c r="L819" i="5"/>
  <c r="K819" i="5"/>
  <c r="I819" i="5"/>
  <c r="H819" i="5"/>
  <c r="O818" i="5"/>
  <c r="N818" i="5"/>
  <c r="M818" i="5"/>
  <c r="L818" i="5"/>
  <c r="K818" i="5"/>
  <c r="I818" i="5"/>
  <c r="H818" i="5"/>
  <c r="O817" i="5"/>
  <c r="N817" i="5"/>
  <c r="M817" i="5"/>
  <c r="L817" i="5"/>
  <c r="K817" i="5"/>
  <c r="I817" i="5"/>
  <c r="H817" i="5"/>
  <c r="O816" i="5"/>
  <c r="N816" i="5"/>
  <c r="M816" i="5"/>
  <c r="L816" i="5"/>
  <c r="K816" i="5"/>
  <c r="I816" i="5"/>
  <c r="H816" i="5"/>
  <c r="O815" i="5"/>
  <c r="N815" i="5"/>
  <c r="M815" i="5"/>
  <c r="L815" i="5"/>
  <c r="K815" i="5"/>
  <c r="I815" i="5"/>
  <c r="H815" i="5"/>
  <c r="O814" i="5"/>
  <c r="N814" i="5"/>
  <c r="M814" i="5"/>
  <c r="L814" i="5"/>
  <c r="K814" i="5"/>
  <c r="I814" i="5"/>
  <c r="H814" i="5"/>
  <c r="O813" i="5"/>
  <c r="N813" i="5"/>
  <c r="M813" i="5"/>
  <c r="L813" i="5"/>
  <c r="K813" i="5"/>
  <c r="I813" i="5"/>
  <c r="H813" i="5"/>
  <c r="O812" i="5"/>
  <c r="N812" i="5"/>
  <c r="M812" i="5"/>
  <c r="L812" i="5"/>
  <c r="K812" i="5"/>
  <c r="I812" i="5"/>
  <c r="H812" i="5"/>
  <c r="O811" i="5"/>
  <c r="N811" i="5"/>
  <c r="M811" i="5"/>
  <c r="L811" i="5"/>
  <c r="K811" i="5"/>
  <c r="I811" i="5"/>
  <c r="H811" i="5"/>
  <c r="O810" i="5"/>
  <c r="N810" i="5"/>
  <c r="M810" i="5"/>
  <c r="L810" i="5"/>
  <c r="K810" i="5"/>
  <c r="I810" i="5"/>
  <c r="H810" i="5"/>
  <c r="O809" i="5"/>
  <c r="N809" i="5"/>
  <c r="M809" i="5"/>
  <c r="L809" i="5"/>
  <c r="K809" i="5"/>
  <c r="I809" i="5"/>
  <c r="H809" i="5"/>
  <c r="O808" i="5"/>
  <c r="N808" i="5"/>
  <c r="M808" i="5"/>
  <c r="L808" i="5"/>
  <c r="K808" i="5"/>
  <c r="I808" i="5"/>
  <c r="H808" i="5"/>
  <c r="O807" i="5"/>
  <c r="N807" i="5"/>
  <c r="M807" i="5"/>
  <c r="L807" i="5"/>
  <c r="K807" i="5"/>
  <c r="I807" i="5"/>
  <c r="H807" i="5"/>
  <c r="O806" i="5"/>
  <c r="N806" i="5"/>
  <c r="M806" i="5"/>
  <c r="L806" i="5"/>
  <c r="K806" i="5"/>
  <c r="I806" i="5"/>
  <c r="H806" i="5"/>
  <c r="O805" i="5"/>
  <c r="N805" i="5"/>
  <c r="M805" i="5"/>
  <c r="L805" i="5"/>
  <c r="K805" i="5"/>
  <c r="I805" i="5"/>
  <c r="H805" i="5"/>
  <c r="O804" i="5"/>
  <c r="N804" i="5"/>
  <c r="M804" i="5"/>
  <c r="L804" i="5"/>
  <c r="K804" i="5"/>
  <c r="I804" i="5"/>
  <c r="H804" i="5"/>
  <c r="O803" i="5"/>
  <c r="N803" i="5"/>
  <c r="M803" i="5"/>
  <c r="L803" i="5"/>
  <c r="K803" i="5"/>
  <c r="I803" i="5"/>
  <c r="H803" i="5"/>
  <c r="O802" i="5"/>
  <c r="N802" i="5"/>
  <c r="M802" i="5"/>
  <c r="L802" i="5"/>
  <c r="K802" i="5"/>
  <c r="I802" i="5"/>
  <c r="H802" i="5"/>
  <c r="O801" i="5"/>
  <c r="N801" i="5"/>
  <c r="M801" i="5"/>
  <c r="L801" i="5"/>
  <c r="K801" i="5"/>
  <c r="I801" i="5"/>
  <c r="H801" i="5"/>
  <c r="O800" i="5"/>
  <c r="N800" i="5"/>
  <c r="M800" i="5"/>
  <c r="L800" i="5"/>
  <c r="K800" i="5"/>
  <c r="I800" i="5"/>
  <c r="H800" i="5"/>
  <c r="O799" i="5"/>
  <c r="N799" i="5"/>
  <c r="M799" i="5"/>
  <c r="L799" i="5"/>
  <c r="K799" i="5"/>
  <c r="I799" i="5"/>
  <c r="H799" i="5"/>
  <c r="O798" i="5"/>
  <c r="N798" i="5"/>
  <c r="M798" i="5"/>
  <c r="L798" i="5"/>
  <c r="K798" i="5"/>
  <c r="I798" i="5"/>
  <c r="H798" i="5"/>
  <c r="O797" i="5"/>
  <c r="N797" i="5"/>
  <c r="M797" i="5"/>
  <c r="L797" i="5"/>
  <c r="K797" i="5"/>
  <c r="I797" i="5"/>
  <c r="H797" i="5"/>
  <c r="O796" i="5"/>
  <c r="N796" i="5"/>
  <c r="M796" i="5"/>
  <c r="L796" i="5"/>
  <c r="K796" i="5"/>
  <c r="I796" i="5"/>
  <c r="H796" i="5"/>
  <c r="O795" i="5"/>
  <c r="N795" i="5"/>
  <c r="M795" i="5"/>
  <c r="L795" i="5"/>
  <c r="K795" i="5"/>
  <c r="I795" i="5"/>
  <c r="H795" i="5"/>
  <c r="O794" i="5"/>
  <c r="N794" i="5"/>
  <c r="M794" i="5"/>
  <c r="L794" i="5"/>
  <c r="K794" i="5"/>
  <c r="I794" i="5"/>
  <c r="H794" i="5"/>
  <c r="O793" i="5"/>
  <c r="N793" i="5"/>
  <c r="M793" i="5"/>
  <c r="L793" i="5"/>
  <c r="K793" i="5"/>
  <c r="I793" i="5"/>
  <c r="H793" i="5"/>
  <c r="O792" i="5"/>
  <c r="N792" i="5"/>
  <c r="M792" i="5"/>
  <c r="L792" i="5"/>
  <c r="K792" i="5"/>
  <c r="I792" i="5"/>
  <c r="H792" i="5"/>
  <c r="O791" i="5"/>
  <c r="N791" i="5"/>
  <c r="M791" i="5"/>
  <c r="L791" i="5"/>
  <c r="K791" i="5"/>
  <c r="I791" i="5"/>
  <c r="H791" i="5"/>
  <c r="O790" i="5"/>
  <c r="N790" i="5"/>
  <c r="M790" i="5"/>
  <c r="L790" i="5"/>
  <c r="K790" i="5"/>
  <c r="I790" i="5"/>
  <c r="H790" i="5"/>
  <c r="O789" i="5"/>
  <c r="N789" i="5"/>
  <c r="M789" i="5"/>
  <c r="L789" i="5"/>
  <c r="K789" i="5"/>
  <c r="I789" i="5"/>
  <c r="H789" i="5"/>
  <c r="O788" i="5"/>
  <c r="N788" i="5"/>
  <c r="M788" i="5"/>
  <c r="L788" i="5"/>
  <c r="K788" i="5"/>
  <c r="I788" i="5"/>
  <c r="H788" i="5"/>
  <c r="O787" i="5"/>
  <c r="N787" i="5"/>
  <c r="M787" i="5"/>
  <c r="L787" i="5"/>
  <c r="K787" i="5"/>
  <c r="I787" i="5"/>
  <c r="H787" i="5"/>
  <c r="O786" i="5"/>
  <c r="N786" i="5"/>
  <c r="M786" i="5"/>
  <c r="L786" i="5"/>
  <c r="K786" i="5"/>
  <c r="I786" i="5"/>
  <c r="H786" i="5"/>
  <c r="O785" i="5"/>
  <c r="N785" i="5"/>
  <c r="M785" i="5"/>
  <c r="L785" i="5"/>
  <c r="K785" i="5"/>
  <c r="I785" i="5"/>
  <c r="H785" i="5"/>
  <c r="O784" i="5"/>
  <c r="N784" i="5"/>
  <c r="M784" i="5"/>
  <c r="L784" i="5"/>
  <c r="K784" i="5"/>
  <c r="I784" i="5"/>
  <c r="H784" i="5"/>
  <c r="O783" i="5"/>
  <c r="N783" i="5"/>
  <c r="M783" i="5"/>
  <c r="L783" i="5"/>
  <c r="K783" i="5"/>
  <c r="I783" i="5"/>
  <c r="H783" i="5"/>
  <c r="O782" i="5"/>
  <c r="N782" i="5"/>
  <c r="M782" i="5"/>
  <c r="L782" i="5"/>
  <c r="K782" i="5"/>
  <c r="I782" i="5"/>
  <c r="H782" i="5"/>
  <c r="O781" i="5"/>
  <c r="N781" i="5"/>
  <c r="M781" i="5"/>
  <c r="L781" i="5"/>
  <c r="K781" i="5"/>
  <c r="I781" i="5"/>
  <c r="H781" i="5"/>
  <c r="O780" i="5"/>
  <c r="N780" i="5"/>
  <c r="M780" i="5"/>
  <c r="L780" i="5"/>
  <c r="K780" i="5"/>
  <c r="I780" i="5"/>
  <c r="H780" i="5"/>
  <c r="O779" i="5"/>
  <c r="N779" i="5"/>
  <c r="M779" i="5"/>
  <c r="L779" i="5"/>
  <c r="K779" i="5"/>
  <c r="I779" i="5"/>
  <c r="H779" i="5"/>
  <c r="O778" i="5"/>
  <c r="N778" i="5"/>
  <c r="M778" i="5"/>
  <c r="L778" i="5"/>
  <c r="K778" i="5"/>
  <c r="I778" i="5"/>
  <c r="H778" i="5"/>
  <c r="O777" i="5"/>
  <c r="N777" i="5"/>
  <c r="M777" i="5"/>
  <c r="L777" i="5"/>
  <c r="K777" i="5"/>
  <c r="I777" i="5"/>
  <c r="H777" i="5"/>
  <c r="O776" i="5"/>
  <c r="N776" i="5"/>
  <c r="M776" i="5"/>
  <c r="L776" i="5"/>
  <c r="K776" i="5"/>
  <c r="I776" i="5"/>
  <c r="H776" i="5"/>
  <c r="O775" i="5"/>
  <c r="N775" i="5"/>
  <c r="M775" i="5"/>
  <c r="L775" i="5"/>
  <c r="K775" i="5"/>
  <c r="I775" i="5"/>
  <c r="H775" i="5"/>
  <c r="O774" i="5"/>
  <c r="N774" i="5"/>
  <c r="M774" i="5"/>
  <c r="L774" i="5"/>
  <c r="K774" i="5"/>
  <c r="I774" i="5"/>
  <c r="H774" i="5"/>
  <c r="O773" i="5"/>
  <c r="N773" i="5"/>
  <c r="M773" i="5"/>
  <c r="L773" i="5"/>
  <c r="K773" i="5"/>
  <c r="I773" i="5"/>
  <c r="H773" i="5"/>
  <c r="O772" i="5"/>
  <c r="N772" i="5"/>
  <c r="M772" i="5"/>
  <c r="L772" i="5"/>
  <c r="K772" i="5"/>
  <c r="I772" i="5"/>
  <c r="H772" i="5"/>
  <c r="O771" i="5"/>
  <c r="N771" i="5"/>
  <c r="M771" i="5"/>
  <c r="L771" i="5"/>
  <c r="K771" i="5"/>
  <c r="I771" i="5"/>
  <c r="H771" i="5"/>
  <c r="O770" i="5"/>
  <c r="N770" i="5"/>
  <c r="M770" i="5"/>
  <c r="L770" i="5"/>
  <c r="K770" i="5"/>
  <c r="I770" i="5"/>
  <c r="H770" i="5"/>
  <c r="O769" i="5"/>
  <c r="N769" i="5"/>
  <c r="M769" i="5"/>
  <c r="L769" i="5"/>
  <c r="K769" i="5"/>
  <c r="I769" i="5"/>
  <c r="H769" i="5"/>
  <c r="O768" i="5"/>
  <c r="N768" i="5"/>
  <c r="M768" i="5"/>
  <c r="L768" i="5"/>
  <c r="K768" i="5"/>
  <c r="I768" i="5"/>
  <c r="H768" i="5"/>
  <c r="O767" i="5"/>
  <c r="N767" i="5"/>
  <c r="M767" i="5"/>
  <c r="L767" i="5"/>
  <c r="K767" i="5"/>
  <c r="I767" i="5"/>
  <c r="H767" i="5"/>
  <c r="O766" i="5"/>
  <c r="N766" i="5"/>
  <c r="M766" i="5"/>
  <c r="L766" i="5"/>
  <c r="K766" i="5"/>
  <c r="I766" i="5"/>
  <c r="H766" i="5"/>
  <c r="O765" i="5"/>
  <c r="N765" i="5"/>
  <c r="M765" i="5"/>
  <c r="L765" i="5"/>
  <c r="K765" i="5"/>
  <c r="I765" i="5"/>
  <c r="H765" i="5"/>
  <c r="O764" i="5"/>
  <c r="N764" i="5"/>
  <c r="M764" i="5"/>
  <c r="L764" i="5"/>
  <c r="K764" i="5"/>
  <c r="I764" i="5"/>
  <c r="H764" i="5"/>
  <c r="O763" i="5"/>
  <c r="N763" i="5"/>
  <c r="M763" i="5"/>
  <c r="L763" i="5"/>
  <c r="K763" i="5"/>
  <c r="I763" i="5"/>
  <c r="H763" i="5"/>
  <c r="O762" i="5"/>
  <c r="N762" i="5"/>
  <c r="M762" i="5"/>
  <c r="L762" i="5"/>
  <c r="K762" i="5"/>
  <c r="I762" i="5"/>
  <c r="H762" i="5"/>
  <c r="O761" i="5"/>
  <c r="N761" i="5"/>
  <c r="M761" i="5"/>
  <c r="L761" i="5"/>
  <c r="K761" i="5"/>
  <c r="I761" i="5"/>
  <c r="H761" i="5"/>
  <c r="O760" i="5"/>
  <c r="N760" i="5"/>
  <c r="M760" i="5"/>
  <c r="L760" i="5"/>
  <c r="K760" i="5"/>
  <c r="I760" i="5"/>
  <c r="H760" i="5"/>
  <c r="O759" i="5"/>
  <c r="N759" i="5"/>
  <c r="M759" i="5"/>
  <c r="L759" i="5"/>
  <c r="K759" i="5"/>
  <c r="I759" i="5"/>
  <c r="H759" i="5"/>
  <c r="O758" i="5"/>
  <c r="N758" i="5"/>
  <c r="M758" i="5"/>
  <c r="L758" i="5"/>
  <c r="K758" i="5"/>
  <c r="I758" i="5"/>
  <c r="H758" i="5"/>
  <c r="O757" i="5"/>
  <c r="N757" i="5"/>
  <c r="M757" i="5"/>
  <c r="L757" i="5"/>
  <c r="K757" i="5"/>
  <c r="I757" i="5"/>
  <c r="H757" i="5"/>
  <c r="O756" i="5"/>
  <c r="N756" i="5"/>
  <c r="M756" i="5"/>
  <c r="L756" i="5"/>
  <c r="K756" i="5"/>
  <c r="I756" i="5"/>
  <c r="H756" i="5"/>
  <c r="O755" i="5"/>
  <c r="N755" i="5"/>
  <c r="M755" i="5"/>
  <c r="L755" i="5"/>
  <c r="K755" i="5"/>
  <c r="I755" i="5"/>
  <c r="H755" i="5"/>
  <c r="O754" i="5"/>
  <c r="N754" i="5"/>
  <c r="M754" i="5"/>
  <c r="L754" i="5"/>
  <c r="K754" i="5"/>
  <c r="I754" i="5"/>
  <c r="H754" i="5"/>
  <c r="O753" i="5"/>
  <c r="N753" i="5"/>
  <c r="M753" i="5"/>
  <c r="L753" i="5"/>
  <c r="K753" i="5"/>
  <c r="I753" i="5"/>
  <c r="H753" i="5"/>
  <c r="O752" i="5"/>
  <c r="N752" i="5"/>
  <c r="M752" i="5"/>
  <c r="L752" i="5"/>
  <c r="K752" i="5"/>
  <c r="I752" i="5"/>
  <c r="H752" i="5"/>
  <c r="O751" i="5"/>
  <c r="N751" i="5"/>
  <c r="M751" i="5"/>
  <c r="L751" i="5"/>
  <c r="K751" i="5"/>
  <c r="I751" i="5"/>
  <c r="H751" i="5"/>
  <c r="O750" i="5"/>
  <c r="N750" i="5"/>
  <c r="M750" i="5"/>
  <c r="L750" i="5"/>
  <c r="K750" i="5"/>
  <c r="I750" i="5"/>
  <c r="H750" i="5"/>
  <c r="O749" i="5"/>
  <c r="N749" i="5"/>
  <c r="M749" i="5"/>
  <c r="L749" i="5"/>
  <c r="K749" i="5"/>
  <c r="I749" i="5"/>
  <c r="H749" i="5"/>
  <c r="O748" i="5"/>
  <c r="N748" i="5"/>
  <c r="M748" i="5"/>
  <c r="L748" i="5"/>
  <c r="K748" i="5"/>
  <c r="I748" i="5"/>
  <c r="H748" i="5"/>
  <c r="O747" i="5"/>
  <c r="N747" i="5"/>
  <c r="M747" i="5"/>
  <c r="L747" i="5"/>
  <c r="K747" i="5"/>
  <c r="I747" i="5"/>
  <c r="H747" i="5"/>
  <c r="O746" i="5"/>
  <c r="N746" i="5"/>
  <c r="M746" i="5"/>
  <c r="L746" i="5"/>
  <c r="K746" i="5"/>
  <c r="I746" i="5"/>
  <c r="H746" i="5"/>
  <c r="O745" i="5"/>
  <c r="N745" i="5"/>
  <c r="M745" i="5"/>
  <c r="L745" i="5"/>
  <c r="K745" i="5"/>
  <c r="I745" i="5"/>
  <c r="H745" i="5"/>
  <c r="O744" i="5"/>
  <c r="N744" i="5"/>
  <c r="M744" i="5"/>
  <c r="L744" i="5"/>
  <c r="K744" i="5"/>
  <c r="I744" i="5"/>
  <c r="H744" i="5"/>
  <c r="O743" i="5"/>
  <c r="N743" i="5"/>
  <c r="M743" i="5"/>
  <c r="L743" i="5"/>
  <c r="K743" i="5"/>
  <c r="I743" i="5"/>
  <c r="H743" i="5"/>
  <c r="O742" i="5"/>
  <c r="N742" i="5"/>
  <c r="M742" i="5"/>
  <c r="L742" i="5"/>
  <c r="K742" i="5"/>
  <c r="I742" i="5"/>
  <c r="H742" i="5"/>
  <c r="O741" i="5"/>
  <c r="N741" i="5"/>
  <c r="M741" i="5"/>
  <c r="L741" i="5"/>
  <c r="K741" i="5"/>
  <c r="I741" i="5"/>
  <c r="H741" i="5"/>
  <c r="O740" i="5"/>
  <c r="N740" i="5"/>
  <c r="M740" i="5"/>
  <c r="L740" i="5"/>
  <c r="K740" i="5"/>
  <c r="I740" i="5"/>
  <c r="H740" i="5"/>
  <c r="O739" i="5"/>
  <c r="N739" i="5"/>
  <c r="M739" i="5"/>
  <c r="L739" i="5"/>
  <c r="K739" i="5"/>
  <c r="I739" i="5"/>
  <c r="H739" i="5"/>
  <c r="O738" i="5"/>
  <c r="N738" i="5"/>
  <c r="M738" i="5"/>
  <c r="L738" i="5"/>
  <c r="K738" i="5"/>
  <c r="I738" i="5"/>
  <c r="H738" i="5"/>
  <c r="O737" i="5"/>
  <c r="N737" i="5"/>
  <c r="M737" i="5"/>
  <c r="L737" i="5"/>
  <c r="K737" i="5"/>
  <c r="I737" i="5"/>
  <c r="H737" i="5"/>
  <c r="O736" i="5"/>
  <c r="N736" i="5"/>
  <c r="M736" i="5"/>
  <c r="L736" i="5"/>
  <c r="K736" i="5"/>
  <c r="I736" i="5"/>
  <c r="H736" i="5"/>
  <c r="O735" i="5"/>
  <c r="N735" i="5"/>
  <c r="M735" i="5"/>
  <c r="L735" i="5"/>
  <c r="K735" i="5"/>
  <c r="I735" i="5"/>
  <c r="H735" i="5"/>
  <c r="O734" i="5"/>
  <c r="N734" i="5"/>
  <c r="M734" i="5"/>
  <c r="L734" i="5"/>
  <c r="K734" i="5"/>
  <c r="I734" i="5"/>
  <c r="H734" i="5"/>
  <c r="O733" i="5"/>
  <c r="N733" i="5"/>
  <c r="M733" i="5"/>
  <c r="L733" i="5"/>
  <c r="K733" i="5"/>
  <c r="I733" i="5"/>
  <c r="H733" i="5"/>
  <c r="O732" i="5"/>
  <c r="N732" i="5"/>
  <c r="M732" i="5"/>
  <c r="L732" i="5"/>
  <c r="K732" i="5"/>
  <c r="I732" i="5"/>
  <c r="H732" i="5"/>
  <c r="O731" i="5"/>
  <c r="N731" i="5"/>
  <c r="M731" i="5"/>
  <c r="L731" i="5"/>
  <c r="K731" i="5"/>
  <c r="I731" i="5"/>
  <c r="H731" i="5"/>
  <c r="O730" i="5"/>
  <c r="N730" i="5"/>
  <c r="M730" i="5"/>
  <c r="L730" i="5"/>
  <c r="K730" i="5"/>
  <c r="I730" i="5"/>
  <c r="H730" i="5"/>
  <c r="O729" i="5"/>
  <c r="N729" i="5"/>
  <c r="M729" i="5"/>
  <c r="L729" i="5"/>
  <c r="K729" i="5"/>
  <c r="I729" i="5"/>
  <c r="H729" i="5"/>
  <c r="O728" i="5"/>
  <c r="N728" i="5"/>
  <c r="M728" i="5"/>
  <c r="L728" i="5"/>
  <c r="K728" i="5"/>
  <c r="I728" i="5"/>
  <c r="H728" i="5"/>
  <c r="O727" i="5"/>
  <c r="N727" i="5"/>
  <c r="M727" i="5"/>
  <c r="L727" i="5"/>
  <c r="K727" i="5"/>
  <c r="I727" i="5"/>
  <c r="H727" i="5"/>
  <c r="O726" i="5"/>
  <c r="N726" i="5"/>
  <c r="M726" i="5"/>
  <c r="L726" i="5"/>
  <c r="K726" i="5"/>
  <c r="I726" i="5"/>
  <c r="H726" i="5"/>
  <c r="O725" i="5"/>
  <c r="N725" i="5"/>
  <c r="M725" i="5"/>
  <c r="L725" i="5"/>
  <c r="K725" i="5"/>
  <c r="I725" i="5"/>
  <c r="H725" i="5"/>
  <c r="O724" i="5"/>
  <c r="N724" i="5"/>
  <c r="M724" i="5"/>
  <c r="L724" i="5"/>
  <c r="K724" i="5"/>
  <c r="I724" i="5"/>
  <c r="H724" i="5"/>
  <c r="O723" i="5"/>
  <c r="N723" i="5"/>
  <c r="M723" i="5"/>
  <c r="L723" i="5"/>
  <c r="K723" i="5"/>
  <c r="I723" i="5"/>
  <c r="H723" i="5"/>
  <c r="O722" i="5"/>
  <c r="N722" i="5"/>
  <c r="M722" i="5"/>
  <c r="L722" i="5"/>
  <c r="K722" i="5"/>
  <c r="I722" i="5"/>
  <c r="H722" i="5"/>
  <c r="O721" i="5"/>
  <c r="N721" i="5"/>
  <c r="M721" i="5"/>
  <c r="L721" i="5"/>
  <c r="K721" i="5"/>
  <c r="I721" i="5"/>
  <c r="H721" i="5"/>
  <c r="O720" i="5"/>
  <c r="N720" i="5"/>
  <c r="M720" i="5"/>
  <c r="L720" i="5"/>
  <c r="K720" i="5"/>
  <c r="I720" i="5"/>
  <c r="H720" i="5"/>
  <c r="O719" i="5"/>
  <c r="N719" i="5"/>
  <c r="M719" i="5"/>
  <c r="L719" i="5"/>
  <c r="K719" i="5"/>
  <c r="I719" i="5"/>
  <c r="H719" i="5"/>
  <c r="O718" i="5"/>
  <c r="N718" i="5"/>
  <c r="M718" i="5"/>
  <c r="L718" i="5"/>
  <c r="K718" i="5"/>
  <c r="I718" i="5"/>
  <c r="H718" i="5"/>
  <c r="O717" i="5"/>
  <c r="N717" i="5"/>
  <c r="M717" i="5"/>
  <c r="L717" i="5"/>
  <c r="K717" i="5"/>
  <c r="I717" i="5"/>
  <c r="H717" i="5"/>
  <c r="O716" i="5"/>
  <c r="N716" i="5"/>
  <c r="M716" i="5"/>
  <c r="L716" i="5"/>
  <c r="K716" i="5"/>
  <c r="I716" i="5"/>
  <c r="H716" i="5"/>
  <c r="O715" i="5"/>
  <c r="N715" i="5"/>
  <c r="M715" i="5"/>
  <c r="L715" i="5"/>
  <c r="K715" i="5"/>
  <c r="I715" i="5"/>
  <c r="H715" i="5"/>
  <c r="O714" i="5"/>
  <c r="N714" i="5"/>
  <c r="M714" i="5"/>
  <c r="L714" i="5"/>
  <c r="K714" i="5"/>
  <c r="I714" i="5"/>
  <c r="H714" i="5"/>
  <c r="O713" i="5"/>
  <c r="N713" i="5"/>
  <c r="M713" i="5"/>
  <c r="L713" i="5"/>
  <c r="K713" i="5"/>
  <c r="I713" i="5"/>
  <c r="H713" i="5"/>
  <c r="O712" i="5"/>
  <c r="N712" i="5"/>
  <c r="M712" i="5"/>
  <c r="L712" i="5"/>
  <c r="K712" i="5"/>
  <c r="I712" i="5"/>
  <c r="H712" i="5"/>
  <c r="O711" i="5"/>
  <c r="N711" i="5"/>
  <c r="M711" i="5"/>
  <c r="L711" i="5"/>
  <c r="K711" i="5"/>
  <c r="I711" i="5"/>
  <c r="H711" i="5"/>
  <c r="O710" i="5"/>
  <c r="N710" i="5"/>
  <c r="M710" i="5"/>
  <c r="L710" i="5"/>
  <c r="K710" i="5"/>
  <c r="I710" i="5"/>
  <c r="H710" i="5"/>
  <c r="O709" i="5"/>
  <c r="N709" i="5"/>
  <c r="M709" i="5"/>
  <c r="L709" i="5"/>
  <c r="K709" i="5"/>
  <c r="I709" i="5"/>
  <c r="H709" i="5"/>
  <c r="O708" i="5"/>
  <c r="N708" i="5"/>
  <c r="M708" i="5"/>
  <c r="L708" i="5"/>
  <c r="K708" i="5"/>
  <c r="I708" i="5"/>
  <c r="H708" i="5"/>
  <c r="O707" i="5"/>
  <c r="N707" i="5"/>
  <c r="M707" i="5"/>
  <c r="L707" i="5"/>
  <c r="K707" i="5"/>
  <c r="I707" i="5"/>
  <c r="H707" i="5"/>
  <c r="O706" i="5"/>
  <c r="N706" i="5"/>
  <c r="M706" i="5"/>
  <c r="L706" i="5"/>
  <c r="K706" i="5"/>
  <c r="I706" i="5"/>
  <c r="H706" i="5"/>
  <c r="O705" i="5"/>
  <c r="N705" i="5"/>
  <c r="M705" i="5"/>
  <c r="L705" i="5"/>
  <c r="K705" i="5"/>
  <c r="I705" i="5"/>
  <c r="H705" i="5"/>
  <c r="O704" i="5"/>
  <c r="N704" i="5"/>
  <c r="M704" i="5"/>
  <c r="L704" i="5"/>
  <c r="K704" i="5"/>
  <c r="I704" i="5"/>
  <c r="H704" i="5"/>
  <c r="O703" i="5"/>
  <c r="N703" i="5"/>
  <c r="M703" i="5"/>
  <c r="L703" i="5"/>
  <c r="K703" i="5"/>
  <c r="I703" i="5"/>
  <c r="H703" i="5"/>
  <c r="O702" i="5"/>
  <c r="N702" i="5"/>
  <c r="M702" i="5"/>
  <c r="L702" i="5"/>
  <c r="K702" i="5"/>
  <c r="I702" i="5"/>
  <c r="H702" i="5"/>
  <c r="O701" i="5"/>
  <c r="N701" i="5"/>
  <c r="M701" i="5"/>
  <c r="L701" i="5"/>
  <c r="K701" i="5"/>
  <c r="I701" i="5"/>
  <c r="H701" i="5"/>
  <c r="O700" i="5"/>
  <c r="N700" i="5"/>
  <c r="M700" i="5"/>
  <c r="L700" i="5"/>
  <c r="K700" i="5"/>
  <c r="I700" i="5"/>
  <c r="H700" i="5"/>
  <c r="O699" i="5"/>
  <c r="N699" i="5"/>
  <c r="M699" i="5"/>
  <c r="L699" i="5"/>
  <c r="K699" i="5"/>
  <c r="I699" i="5"/>
  <c r="H699" i="5"/>
  <c r="O698" i="5"/>
  <c r="N698" i="5"/>
  <c r="M698" i="5"/>
  <c r="L698" i="5"/>
  <c r="K698" i="5"/>
  <c r="I698" i="5"/>
  <c r="H698" i="5"/>
  <c r="O697" i="5"/>
  <c r="N697" i="5"/>
  <c r="M697" i="5"/>
  <c r="L697" i="5"/>
  <c r="K697" i="5"/>
  <c r="I697" i="5"/>
  <c r="H697" i="5"/>
  <c r="O696" i="5"/>
  <c r="N696" i="5"/>
  <c r="M696" i="5"/>
  <c r="L696" i="5"/>
  <c r="K696" i="5"/>
  <c r="I696" i="5"/>
  <c r="H696" i="5"/>
  <c r="O695" i="5"/>
  <c r="N695" i="5"/>
  <c r="M695" i="5"/>
  <c r="L695" i="5"/>
  <c r="K695" i="5"/>
  <c r="I695" i="5"/>
  <c r="H695" i="5"/>
  <c r="O694" i="5"/>
  <c r="N694" i="5"/>
  <c r="M694" i="5"/>
  <c r="L694" i="5"/>
  <c r="K694" i="5"/>
  <c r="I694" i="5"/>
  <c r="H694" i="5"/>
  <c r="O693" i="5"/>
  <c r="N693" i="5"/>
  <c r="M693" i="5"/>
  <c r="L693" i="5"/>
  <c r="K693" i="5"/>
  <c r="I693" i="5"/>
  <c r="H693" i="5"/>
  <c r="O692" i="5"/>
  <c r="N692" i="5"/>
  <c r="M692" i="5"/>
  <c r="L692" i="5"/>
  <c r="K692" i="5"/>
  <c r="I692" i="5"/>
  <c r="H692" i="5"/>
  <c r="O691" i="5"/>
  <c r="N691" i="5"/>
  <c r="M691" i="5"/>
  <c r="L691" i="5"/>
  <c r="K691" i="5"/>
  <c r="I691" i="5"/>
  <c r="H691" i="5"/>
  <c r="O690" i="5"/>
  <c r="N690" i="5"/>
  <c r="M690" i="5"/>
  <c r="L690" i="5"/>
  <c r="K690" i="5"/>
  <c r="I690" i="5"/>
  <c r="H690" i="5"/>
  <c r="O689" i="5"/>
  <c r="N689" i="5"/>
  <c r="M689" i="5"/>
  <c r="L689" i="5"/>
  <c r="K689" i="5"/>
  <c r="I689" i="5"/>
  <c r="H689" i="5"/>
  <c r="O688" i="5"/>
  <c r="N688" i="5"/>
  <c r="M688" i="5"/>
  <c r="L688" i="5"/>
  <c r="K688" i="5"/>
  <c r="I688" i="5"/>
  <c r="H688" i="5"/>
  <c r="O687" i="5"/>
  <c r="N687" i="5"/>
  <c r="M687" i="5"/>
  <c r="L687" i="5"/>
  <c r="K687" i="5"/>
  <c r="I687" i="5"/>
  <c r="H687" i="5"/>
  <c r="O686" i="5"/>
  <c r="N686" i="5"/>
  <c r="M686" i="5"/>
  <c r="L686" i="5"/>
  <c r="K686" i="5"/>
  <c r="I686" i="5"/>
  <c r="H686" i="5"/>
  <c r="O685" i="5"/>
  <c r="N685" i="5"/>
  <c r="M685" i="5"/>
  <c r="L685" i="5"/>
  <c r="K685" i="5"/>
  <c r="I685" i="5"/>
  <c r="H685" i="5"/>
  <c r="O684" i="5"/>
  <c r="N684" i="5"/>
  <c r="M684" i="5"/>
  <c r="L684" i="5"/>
  <c r="K684" i="5"/>
  <c r="I684" i="5"/>
  <c r="H684" i="5"/>
  <c r="O683" i="5"/>
  <c r="N683" i="5"/>
  <c r="M683" i="5"/>
  <c r="L683" i="5"/>
  <c r="K683" i="5"/>
  <c r="I683" i="5"/>
  <c r="H683" i="5"/>
  <c r="O682" i="5"/>
  <c r="N682" i="5"/>
  <c r="M682" i="5"/>
  <c r="L682" i="5"/>
  <c r="K682" i="5"/>
  <c r="I682" i="5"/>
  <c r="H682" i="5"/>
  <c r="O681" i="5"/>
  <c r="N681" i="5"/>
  <c r="M681" i="5"/>
  <c r="L681" i="5"/>
  <c r="K681" i="5"/>
  <c r="I681" i="5"/>
  <c r="H681" i="5"/>
  <c r="O680" i="5"/>
  <c r="N680" i="5"/>
  <c r="M680" i="5"/>
  <c r="L680" i="5"/>
  <c r="K680" i="5"/>
  <c r="I680" i="5"/>
  <c r="H680" i="5"/>
  <c r="O679" i="5"/>
  <c r="N679" i="5"/>
  <c r="M679" i="5"/>
  <c r="L679" i="5"/>
  <c r="K679" i="5"/>
  <c r="I679" i="5"/>
  <c r="H679" i="5"/>
  <c r="O678" i="5"/>
  <c r="N678" i="5"/>
  <c r="M678" i="5"/>
  <c r="L678" i="5"/>
  <c r="K678" i="5"/>
  <c r="I678" i="5"/>
  <c r="H678" i="5"/>
  <c r="O677" i="5"/>
  <c r="N677" i="5"/>
  <c r="M677" i="5"/>
  <c r="L677" i="5"/>
  <c r="K677" i="5"/>
  <c r="I677" i="5"/>
  <c r="H677" i="5"/>
  <c r="O676" i="5"/>
  <c r="N676" i="5"/>
  <c r="M676" i="5"/>
  <c r="L676" i="5"/>
  <c r="K676" i="5"/>
  <c r="I676" i="5"/>
  <c r="H676" i="5"/>
  <c r="O675" i="5"/>
  <c r="N675" i="5"/>
  <c r="M675" i="5"/>
  <c r="L675" i="5"/>
  <c r="K675" i="5"/>
  <c r="I675" i="5"/>
  <c r="H675" i="5"/>
  <c r="O674" i="5"/>
  <c r="N674" i="5"/>
  <c r="M674" i="5"/>
  <c r="L674" i="5"/>
  <c r="K674" i="5"/>
  <c r="I674" i="5"/>
  <c r="H674" i="5"/>
  <c r="O673" i="5"/>
  <c r="N673" i="5"/>
  <c r="M673" i="5"/>
  <c r="L673" i="5"/>
  <c r="K673" i="5"/>
  <c r="I673" i="5"/>
  <c r="H673" i="5"/>
  <c r="O672" i="5"/>
  <c r="N672" i="5"/>
  <c r="M672" i="5"/>
  <c r="L672" i="5"/>
  <c r="K672" i="5"/>
  <c r="I672" i="5"/>
  <c r="H672" i="5"/>
  <c r="O671" i="5"/>
  <c r="N671" i="5"/>
  <c r="M671" i="5"/>
  <c r="L671" i="5"/>
  <c r="K671" i="5"/>
  <c r="I671" i="5"/>
  <c r="H671" i="5"/>
  <c r="O670" i="5"/>
  <c r="N670" i="5"/>
  <c r="M670" i="5"/>
  <c r="L670" i="5"/>
  <c r="K670" i="5"/>
  <c r="I670" i="5"/>
  <c r="H670" i="5"/>
  <c r="O669" i="5"/>
  <c r="N669" i="5"/>
  <c r="M669" i="5"/>
  <c r="L669" i="5"/>
  <c r="K669" i="5"/>
  <c r="I669" i="5"/>
  <c r="H669" i="5"/>
  <c r="O668" i="5"/>
  <c r="N668" i="5"/>
  <c r="M668" i="5"/>
  <c r="L668" i="5"/>
  <c r="K668" i="5"/>
  <c r="I668" i="5"/>
  <c r="H668" i="5"/>
  <c r="O667" i="5"/>
  <c r="N667" i="5"/>
  <c r="M667" i="5"/>
  <c r="L667" i="5"/>
  <c r="K667" i="5"/>
  <c r="I667" i="5"/>
  <c r="H667" i="5"/>
  <c r="O666" i="5"/>
  <c r="N666" i="5"/>
  <c r="M666" i="5"/>
  <c r="L666" i="5"/>
  <c r="K666" i="5"/>
  <c r="I666" i="5"/>
  <c r="H666" i="5"/>
  <c r="O665" i="5"/>
  <c r="N665" i="5"/>
  <c r="M665" i="5"/>
  <c r="L665" i="5"/>
  <c r="K665" i="5"/>
  <c r="I665" i="5"/>
  <c r="H665" i="5"/>
  <c r="O664" i="5"/>
  <c r="N664" i="5"/>
  <c r="M664" i="5"/>
  <c r="L664" i="5"/>
  <c r="K664" i="5"/>
  <c r="I664" i="5"/>
  <c r="H664" i="5"/>
  <c r="O663" i="5"/>
  <c r="N663" i="5"/>
  <c r="M663" i="5"/>
  <c r="L663" i="5"/>
  <c r="K663" i="5"/>
  <c r="I663" i="5"/>
  <c r="H663" i="5"/>
  <c r="O662" i="5"/>
  <c r="N662" i="5"/>
  <c r="M662" i="5"/>
  <c r="L662" i="5"/>
  <c r="K662" i="5"/>
  <c r="I662" i="5"/>
  <c r="H662" i="5"/>
  <c r="O661" i="5"/>
  <c r="N661" i="5"/>
  <c r="M661" i="5"/>
  <c r="L661" i="5"/>
  <c r="K661" i="5"/>
  <c r="I661" i="5"/>
  <c r="H661" i="5"/>
  <c r="O660" i="5"/>
  <c r="N660" i="5"/>
  <c r="M660" i="5"/>
  <c r="L660" i="5"/>
  <c r="K660" i="5"/>
  <c r="I660" i="5"/>
  <c r="H660" i="5"/>
  <c r="O659" i="5"/>
  <c r="N659" i="5"/>
  <c r="M659" i="5"/>
  <c r="L659" i="5"/>
  <c r="K659" i="5"/>
  <c r="I659" i="5"/>
  <c r="H659" i="5"/>
  <c r="O658" i="5"/>
  <c r="N658" i="5"/>
  <c r="M658" i="5"/>
  <c r="L658" i="5"/>
  <c r="K658" i="5"/>
  <c r="I658" i="5"/>
  <c r="H658" i="5"/>
  <c r="O657" i="5"/>
  <c r="N657" i="5"/>
  <c r="M657" i="5"/>
  <c r="L657" i="5"/>
  <c r="K657" i="5"/>
  <c r="I657" i="5"/>
  <c r="H657" i="5"/>
  <c r="O656" i="5"/>
  <c r="N656" i="5"/>
  <c r="M656" i="5"/>
  <c r="L656" i="5"/>
  <c r="K656" i="5"/>
  <c r="I656" i="5"/>
  <c r="H656" i="5"/>
  <c r="O655" i="5"/>
  <c r="N655" i="5"/>
  <c r="M655" i="5"/>
  <c r="L655" i="5"/>
  <c r="K655" i="5"/>
  <c r="I655" i="5"/>
  <c r="H655" i="5"/>
  <c r="O654" i="5"/>
  <c r="N654" i="5"/>
  <c r="M654" i="5"/>
  <c r="L654" i="5"/>
  <c r="K654" i="5"/>
  <c r="I654" i="5"/>
  <c r="H654" i="5"/>
  <c r="O653" i="5"/>
  <c r="N653" i="5"/>
  <c r="M653" i="5"/>
  <c r="L653" i="5"/>
  <c r="K653" i="5"/>
  <c r="I653" i="5"/>
  <c r="H653" i="5"/>
  <c r="O652" i="5"/>
  <c r="N652" i="5"/>
  <c r="M652" i="5"/>
  <c r="L652" i="5"/>
  <c r="K652" i="5"/>
  <c r="I652" i="5"/>
  <c r="H652" i="5"/>
  <c r="O651" i="5"/>
  <c r="N651" i="5"/>
  <c r="M651" i="5"/>
  <c r="L651" i="5"/>
  <c r="K651" i="5"/>
  <c r="I651" i="5"/>
  <c r="H651" i="5"/>
  <c r="O650" i="5"/>
  <c r="N650" i="5"/>
  <c r="M650" i="5"/>
  <c r="L650" i="5"/>
  <c r="K650" i="5"/>
  <c r="I650" i="5"/>
  <c r="H650" i="5"/>
  <c r="O649" i="5"/>
  <c r="N649" i="5"/>
  <c r="M649" i="5"/>
  <c r="L649" i="5"/>
  <c r="K649" i="5"/>
  <c r="I649" i="5"/>
  <c r="H649" i="5"/>
  <c r="O648" i="5"/>
  <c r="N648" i="5"/>
  <c r="M648" i="5"/>
  <c r="L648" i="5"/>
  <c r="K648" i="5"/>
  <c r="I648" i="5"/>
  <c r="H648" i="5"/>
  <c r="O647" i="5"/>
  <c r="N647" i="5"/>
  <c r="M647" i="5"/>
  <c r="L647" i="5"/>
  <c r="K647" i="5"/>
  <c r="I647" i="5"/>
  <c r="H647" i="5"/>
  <c r="O646" i="5"/>
  <c r="N646" i="5"/>
  <c r="M646" i="5"/>
  <c r="L646" i="5"/>
  <c r="K646" i="5"/>
  <c r="I646" i="5"/>
  <c r="H646" i="5"/>
  <c r="O645" i="5"/>
  <c r="N645" i="5"/>
  <c r="M645" i="5"/>
  <c r="L645" i="5"/>
  <c r="K645" i="5"/>
  <c r="I645" i="5"/>
  <c r="H645" i="5"/>
  <c r="O644" i="5"/>
  <c r="N644" i="5"/>
  <c r="M644" i="5"/>
  <c r="L644" i="5"/>
  <c r="K644" i="5"/>
  <c r="I644" i="5"/>
  <c r="H644" i="5"/>
  <c r="O643" i="5"/>
  <c r="N643" i="5"/>
  <c r="M643" i="5"/>
  <c r="L643" i="5"/>
  <c r="K643" i="5"/>
  <c r="I643" i="5"/>
  <c r="H643" i="5"/>
  <c r="O642" i="5"/>
  <c r="N642" i="5"/>
  <c r="M642" i="5"/>
  <c r="L642" i="5"/>
  <c r="K642" i="5"/>
  <c r="I642" i="5"/>
  <c r="H642" i="5"/>
  <c r="O641" i="5"/>
  <c r="N641" i="5"/>
  <c r="M641" i="5"/>
  <c r="L641" i="5"/>
  <c r="K641" i="5"/>
  <c r="I641" i="5"/>
  <c r="H641" i="5"/>
  <c r="O640" i="5"/>
  <c r="N640" i="5"/>
  <c r="M640" i="5"/>
  <c r="L640" i="5"/>
  <c r="K640" i="5"/>
  <c r="I640" i="5"/>
  <c r="H640" i="5"/>
  <c r="O639" i="5"/>
  <c r="N639" i="5"/>
  <c r="M639" i="5"/>
  <c r="L639" i="5"/>
  <c r="K639" i="5"/>
  <c r="I639" i="5"/>
  <c r="H639" i="5"/>
  <c r="O638" i="5"/>
  <c r="N638" i="5"/>
  <c r="M638" i="5"/>
  <c r="L638" i="5"/>
  <c r="K638" i="5"/>
  <c r="I638" i="5"/>
  <c r="H638" i="5"/>
  <c r="O637" i="5"/>
  <c r="N637" i="5"/>
  <c r="M637" i="5"/>
  <c r="L637" i="5"/>
  <c r="K637" i="5"/>
  <c r="I637" i="5"/>
  <c r="H637" i="5"/>
  <c r="O636" i="5"/>
  <c r="N636" i="5"/>
  <c r="M636" i="5"/>
  <c r="L636" i="5"/>
  <c r="K636" i="5"/>
  <c r="I636" i="5"/>
  <c r="H636" i="5"/>
  <c r="O635" i="5"/>
  <c r="N635" i="5"/>
  <c r="M635" i="5"/>
  <c r="L635" i="5"/>
  <c r="K635" i="5"/>
  <c r="I635" i="5"/>
  <c r="H635" i="5"/>
  <c r="O634" i="5"/>
  <c r="N634" i="5"/>
  <c r="M634" i="5"/>
  <c r="L634" i="5"/>
  <c r="K634" i="5"/>
  <c r="I634" i="5"/>
  <c r="H634" i="5"/>
  <c r="O633" i="5"/>
  <c r="N633" i="5"/>
  <c r="M633" i="5"/>
  <c r="L633" i="5"/>
  <c r="K633" i="5"/>
  <c r="I633" i="5"/>
  <c r="H633" i="5"/>
  <c r="O632" i="5"/>
  <c r="N632" i="5"/>
  <c r="M632" i="5"/>
  <c r="L632" i="5"/>
  <c r="K632" i="5"/>
  <c r="I632" i="5"/>
  <c r="H632" i="5"/>
  <c r="O631" i="5"/>
  <c r="N631" i="5"/>
  <c r="M631" i="5"/>
  <c r="L631" i="5"/>
  <c r="K631" i="5"/>
  <c r="I631" i="5"/>
  <c r="H631" i="5"/>
  <c r="O630" i="5"/>
  <c r="N630" i="5"/>
  <c r="M630" i="5"/>
  <c r="L630" i="5"/>
  <c r="K630" i="5"/>
  <c r="I630" i="5"/>
  <c r="H630" i="5"/>
  <c r="O629" i="5"/>
  <c r="N629" i="5"/>
  <c r="M629" i="5"/>
  <c r="L629" i="5"/>
  <c r="K629" i="5"/>
  <c r="I629" i="5"/>
  <c r="H629" i="5"/>
  <c r="O628" i="5"/>
  <c r="N628" i="5"/>
  <c r="M628" i="5"/>
  <c r="L628" i="5"/>
  <c r="K628" i="5"/>
  <c r="I628" i="5"/>
  <c r="H628" i="5"/>
  <c r="O627" i="5"/>
  <c r="N627" i="5"/>
  <c r="M627" i="5"/>
  <c r="L627" i="5"/>
  <c r="K627" i="5"/>
  <c r="I627" i="5"/>
  <c r="H627" i="5"/>
  <c r="O626" i="5"/>
  <c r="N626" i="5"/>
  <c r="M626" i="5"/>
  <c r="L626" i="5"/>
  <c r="K626" i="5"/>
  <c r="I626" i="5"/>
  <c r="H626" i="5"/>
  <c r="O625" i="5"/>
  <c r="N625" i="5"/>
  <c r="M625" i="5"/>
  <c r="L625" i="5"/>
  <c r="K625" i="5"/>
  <c r="I625" i="5"/>
  <c r="H625" i="5"/>
  <c r="O624" i="5"/>
  <c r="N624" i="5"/>
  <c r="M624" i="5"/>
  <c r="L624" i="5"/>
  <c r="K624" i="5"/>
  <c r="I624" i="5"/>
  <c r="H624" i="5"/>
  <c r="O623" i="5"/>
  <c r="N623" i="5"/>
  <c r="M623" i="5"/>
  <c r="L623" i="5"/>
  <c r="K623" i="5"/>
  <c r="I623" i="5"/>
  <c r="H623" i="5"/>
  <c r="O622" i="5"/>
  <c r="N622" i="5"/>
  <c r="M622" i="5"/>
  <c r="L622" i="5"/>
  <c r="K622" i="5"/>
  <c r="I622" i="5"/>
  <c r="H622" i="5"/>
  <c r="O621" i="5"/>
  <c r="N621" i="5"/>
  <c r="M621" i="5"/>
  <c r="L621" i="5"/>
  <c r="K621" i="5"/>
  <c r="I621" i="5"/>
  <c r="H621" i="5"/>
  <c r="O620" i="5"/>
  <c r="N620" i="5"/>
  <c r="M620" i="5"/>
  <c r="L620" i="5"/>
  <c r="K620" i="5"/>
  <c r="I620" i="5"/>
  <c r="H620" i="5"/>
  <c r="O619" i="5"/>
  <c r="N619" i="5"/>
  <c r="M619" i="5"/>
  <c r="L619" i="5"/>
  <c r="K619" i="5"/>
  <c r="I619" i="5"/>
  <c r="H619" i="5"/>
  <c r="O618" i="5"/>
  <c r="N618" i="5"/>
  <c r="M618" i="5"/>
  <c r="L618" i="5"/>
  <c r="K618" i="5"/>
  <c r="I618" i="5"/>
  <c r="H618" i="5"/>
  <c r="O617" i="5"/>
  <c r="N617" i="5"/>
  <c r="M617" i="5"/>
  <c r="L617" i="5"/>
  <c r="K617" i="5"/>
  <c r="I617" i="5"/>
  <c r="H617" i="5"/>
  <c r="O616" i="5"/>
  <c r="N616" i="5"/>
  <c r="M616" i="5"/>
  <c r="L616" i="5"/>
  <c r="K616" i="5"/>
  <c r="I616" i="5"/>
  <c r="H616" i="5"/>
  <c r="O615" i="5"/>
  <c r="N615" i="5"/>
  <c r="M615" i="5"/>
  <c r="L615" i="5"/>
  <c r="K615" i="5"/>
  <c r="I615" i="5"/>
  <c r="H615" i="5"/>
  <c r="O614" i="5"/>
  <c r="N614" i="5"/>
  <c r="M614" i="5"/>
  <c r="L614" i="5"/>
  <c r="K614" i="5"/>
  <c r="I614" i="5"/>
  <c r="H614" i="5"/>
  <c r="O613" i="5"/>
  <c r="N613" i="5"/>
  <c r="M613" i="5"/>
  <c r="L613" i="5"/>
  <c r="K613" i="5"/>
  <c r="I613" i="5"/>
  <c r="H613" i="5"/>
  <c r="O612" i="5"/>
  <c r="N612" i="5"/>
  <c r="M612" i="5"/>
  <c r="L612" i="5"/>
  <c r="K612" i="5"/>
  <c r="I612" i="5"/>
  <c r="H612" i="5"/>
  <c r="O611" i="5"/>
  <c r="N611" i="5"/>
  <c r="M611" i="5"/>
  <c r="L611" i="5"/>
  <c r="K611" i="5"/>
  <c r="I611" i="5"/>
  <c r="H611" i="5"/>
  <c r="O610" i="5"/>
  <c r="N610" i="5"/>
  <c r="M610" i="5"/>
  <c r="L610" i="5"/>
  <c r="K610" i="5"/>
  <c r="I610" i="5"/>
  <c r="H610" i="5"/>
  <c r="O609" i="5"/>
  <c r="N609" i="5"/>
  <c r="M609" i="5"/>
  <c r="L609" i="5"/>
  <c r="K609" i="5"/>
  <c r="I609" i="5"/>
  <c r="H609" i="5"/>
  <c r="O608" i="5"/>
  <c r="N608" i="5"/>
  <c r="M608" i="5"/>
  <c r="L608" i="5"/>
  <c r="K608" i="5"/>
  <c r="I608" i="5"/>
  <c r="H608" i="5"/>
  <c r="O607" i="5"/>
  <c r="N607" i="5"/>
  <c r="M607" i="5"/>
  <c r="L607" i="5"/>
  <c r="K607" i="5"/>
  <c r="I607" i="5"/>
  <c r="H607" i="5"/>
  <c r="O606" i="5"/>
  <c r="N606" i="5"/>
  <c r="M606" i="5"/>
  <c r="L606" i="5"/>
  <c r="K606" i="5"/>
  <c r="I606" i="5"/>
  <c r="H606" i="5"/>
  <c r="O605" i="5"/>
  <c r="N605" i="5"/>
  <c r="M605" i="5"/>
  <c r="L605" i="5"/>
  <c r="K605" i="5"/>
  <c r="I605" i="5"/>
  <c r="H605" i="5"/>
  <c r="O604" i="5"/>
  <c r="N604" i="5"/>
  <c r="M604" i="5"/>
  <c r="L604" i="5"/>
  <c r="K604" i="5"/>
  <c r="I604" i="5"/>
  <c r="H604" i="5"/>
  <c r="O603" i="5"/>
  <c r="N603" i="5"/>
  <c r="M603" i="5"/>
  <c r="L603" i="5"/>
  <c r="K603" i="5"/>
  <c r="I603" i="5"/>
  <c r="H603" i="5"/>
  <c r="O602" i="5"/>
  <c r="N602" i="5"/>
  <c r="M602" i="5"/>
  <c r="L602" i="5"/>
  <c r="K602" i="5"/>
  <c r="I602" i="5"/>
  <c r="H602" i="5"/>
  <c r="O601" i="5"/>
  <c r="N601" i="5"/>
  <c r="M601" i="5"/>
  <c r="L601" i="5"/>
  <c r="K601" i="5"/>
  <c r="I601" i="5"/>
  <c r="H601" i="5"/>
  <c r="O600" i="5"/>
  <c r="N600" i="5"/>
  <c r="M600" i="5"/>
  <c r="L600" i="5"/>
  <c r="K600" i="5"/>
  <c r="I600" i="5"/>
  <c r="H600" i="5"/>
  <c r="O599" i="5"/>
  <c r="N599" i="5"/>
  <c r="M599" i="5"/>
  <c r="L599" i="5"/>
  <c r="K599" i="5"/>
  <c r="I599" i="5"/>
  <c r="H599" i="5"/>
  <c r="O598" i="5"/>
  <c r="N598" i="5"/>
  <c r="M598" i="5"/>
  <c r="L598" i="5"/>
  <c r="K598" i="5"/>
  <c r="I598" i="5"/>
  <c r="H598" i="5"/>
  <c r="O597" i="5"/>
  <c r="N597" i="5"/>
  <c r="M597" i="5"/>
  <c r="L597" i="5"/>
  <c r="K597" i="5"/>
  <c r="I597" i="5"/>
  <c r="H597" i="5"/>
  <c r="O596" i="5"/>
  <c r="N596" i="5"/>
  <c r="M596" i="5"/>
  <c r="L596" i="5"/>
  <c r="K596" i="5"/>
  <c r="I596" i="5"/>
  <c r="H596" i="5"/>
  <c r="O595" i="5"/>
  <c r="N595" i="5"/>
  <c r="M595" i="5"/>
  <c r="L595" i="5"/>
  <c r="K595" i="5"/>
  <c r="I595" i="5"/>
  <c r="H595" i="5"/>
  <c r="O594" i="5"/>
  <c r="N594" i="5"/>
  <c r="M594" i="5"/>
  <c r="L594" i="5"/>
  <c r="K594" i="5"/>
  <c r="I594" i="5"/>
  <c r="H594" i="5"/>
  <c r="O593" i="5"/>
  <c r="N593" i="5"/>
  <c r="M593" i="5"/>
  <c r="L593" i="5"/>
  <c r="K593" i="5"/>
  <c r="I593" i="5"/>
  <c r="H593" i="5"/>
  <c r="O592" i="5"/>
  <c r="N592" i="5"/>
  <c r="M592" i="5"/>
  <c r="L592" i="5"/>
  <c r="K592" i="5"/>
  <c r="I592" i="5"/>
  <c r="H592" i="5"/>
  <c r="O591" i="5"/>
  <c r="N591" i="5"/>
  <c r="M591" i="5"/>
  <c r="L591" i="5"/>
  <c r="K591" i="5"/>
  <c r="I591" i="5"/>
  <c r="H591" i="5"/>
  <c r="O590" i="5"/>
  <c r="N590" i="5"/>
  <c r="M590" i="5"/>
  <c r="L590" i="5"/>
  <c r="K590" i="5"/>
  <c r="I590" i="5"/>
  <c r="H590" i="5"/>
  <c r="O589" i="5"/>
  <c r="N589" i="5"/>
  <c r="M589" i="5"/>
  <c r="L589" i="5"/>
  <c r="K589" i="5"/>
  <c r="I589" i="5"/>
  <c r="H589" i="5"/>
  <c r="O588" i="5"/>
  <c r="N588" i="5"/>
  <c r="M588" i="5"/>
  <c r="L588" i="5"/>
  <c r="K588" i="5"/>
  <c r="I588" i="5"/>
  <c r="H588" i="5"/>
  <c r="O587" i="5"/>
  <c r="N587" i="5"/>
  <c r="M587" i="5"/>
  <c r="L587" i="5"/>
  <c r="K587" i="5"/>
  <c r="I587" i="5"/>
  <c r="H587" i="5"/>
  <c r="O586" i="5"/>
  <c r="N586" i="5"/>
  <c r="M586" i="5"/>
  <c r="L586" i="5"/>
  <c r="K586" i="5"/>
  <c r="I586" i="5"/>
  <c r="H586" i="5"/>
  <c r="O585" i="5"/>
  <c r="N585" i="5"/>
  <c r="M585" i="5"/>
  <c r="L585" i="5"/>
  <c r="K585" i="5"/>
  <c r="I585" i="5"/>
  <c r="H585" i="5"/>
  <c r="O584" i="5"/>
  <c r="N584" i="5"/>
  <c r="M584" i="5"/>
  <c r="L584" i="5"/>
  <c r="K584" i="5"/>
  <c r="I584" i="5"/>
  <c r="H584" i="5"/>
  <c r="O583" i="5"/>
  <c r="N583" i="5"/>
  <c r="M583" i="5"/>
  <c r="L583" i="5"/>
  <c r="K583" i="5"/>
  <c r="I583" i="5"/>
  <c r="H583" i="5"/>
  <c r="O582" i="5"/>
  <c r="N582" i="5"/>
  <c r="M582" i="5"/>
  <c r="L582" i="5"/>
  <c r="K582" i="5"/>
  <c r="I582" i="5"/>
  <c r="H582" i="5"/>
  <c r="O581" i="5"/>
  <c r="N581" i="5"/>
  <c r="M581" i="5"/>
  <c r="L581" i="5"/>
  <c r="K581" i="5"/>
  <c r="I581" i="5"/>
  <c r="H581" i="5"/>
  <c r="O580" i="5"/>
  <c r="N580" i="5"/>
  <c r="M580" i="5"/>
  <c r="L580" i="5"/>
  <c r="K580" i="5"/>
  <c r="I580" i="5"/>
  <c r="H580" i="5"/>
  <c r="O579" i="5"/>
  <c r="N579" i="5"/>
  <c r="M579" i="5"/>
  <c r="L579" i="5"/>
  <c r="K579" i="5"/>
  <c r="I579" i="5"/>
  <c r="H579" i="5"/>
  <c r="O578" i="5"/>
  <c r="N578" i="5"/>
  <c r="M578" i="5"/>
  <c r="L578" i="5"/>
  <c r="K578" i="5"/>
  <c r="I578" i="5"/>
  <c r="H578" i="5"/>
  <c r="O577" i="5"/>
  <c r="N577" i="5"/>
  <c r="M577" i="5"/>
  <c r="L577" i="5"/>
  <c r="K577" i="5"/>
  <c r="I577" i="5"/>
  <c r="H577" i="5"/>
  <c r="O576" i="5"/>
  <c r="N576" i="5"/>
  <c r="M576" i="5"/>
  <c r="L576" i="5"/>
  <c r="K576" i="5"/>
  <c r="I576" i="5"/>
  <c r="H576" i="5"/>
  <c r="O575" i="5"/>
  <c r="N575" i="5"/>
  <c r="M575" i="5"/>
  <c r="L575" i="5"/>
  <c r="K575" i="5"/>
  <c r="I575" i="5"/>
  <c r="H575" i="5"/>
  <c r="O574" i="5"/>
  <c r="N574" i="5"/>
  <c r="M574" i="5"/>
  <c r="L574" i="5"/>
  <c r="K574" i="5"/>
  <c r="I574" i="5"/>
  <c r="H574" i="5"/>
  <c r="O573" i="5"/>
  <c r="N573" i="5"/>
  <c r="M573" i="5"/>
  <c r="L573" i="5"/>
  <c r="K573" i="5"/>
  <c r="I573" i="5"/>
  <c r="H573" i="5"/>
  <c r="O572" i="5"/>
  <c r="N572" i="5"/>
  <c r="M572" i="5"/>
  <c r="L572" i="5"/>
  <c r="K572" i="5"/>
  <c r="I572" i="5"/>
  <c r="H572" i="5"/>
  <c r="O571" i="5"/>
  <c r="N571" i="5"/>
  <c r="M571" i="5"/>
  <c r="L571" i="5"/>
  <c r="K571" i="5"/>
  <c r="I571" i="5"/>
  <c r="H571" i="5"/>
  <c r="O570" i="5"/>
  <c r="N570" i="5"/>
  <c r="M570" i="5"/>
  <c r="L570" i="5"/>
  <c r="K570" i="5"/>
  <c r="I570" i="5"/>
  <c r="H570" i="5"/>
  <c r="O569" i="5"/>
  <c r="N569" i="5"/>
  <c r="M569" i="5"/>
  <c r="L569" i="5"/>
  <c r="K569" i="5"/>
  <c r="I569" i="5"/>
  <c r="H569" i="5"/>
  <c r="O568" i="5"/>
  <c r="N568" i="5"/>
  <c r="M568" i="5"/>
  <c r="L568" i="5"/>
  <c r="K568" i="5"/>
  <c r="I568" i="5"/>
  <c r="H568" i="5"/>
  <c r="O567" i="5"/>
  <c r="N567" i="5"/>
  <c r="M567" i="5"/>
  <c r="L567" i="5"/>
  <c r="K567" i="5"/>
  <c r="I567" i="5"/>
  <c r="H567" i="5"/>
  <c r="O566" i="5"/>
  <c r="N566" i="5"/>
  <c r="M566" i="5"/>
  <c r="L566" i="5"/>
  <c r="K566" i="5"/>
  <c r="I566" i="5"/>
  <c r="H566" i="5"/>
  <c r="O565" i="5"/>
  <c r="N565" i="5"/>
  <c r="M565" i="5"/>
  <c r="L565" i="5"/>
  <c r="K565" i="5"/>
  <c r="I565" i="5"/>
  <c r="H565" i="5"/>
  <c r="O564" i="5"/>
  <c r="N564" i="5"/>
  <c r="M564" i="5"/>
  <c r="L564" i="5"/>
  <c r="K564" i="5"/>
  <c r="I564" i="5"/>
  <c r="H564" i="5"/>
  <c r="O563" i="5"/>
  <c r="N563" i="5"/>
  <c r="M563" i="5"/>
  <c r="L563" i="5"/>
  <c r="K563" i="5"/>
  <c r="I563" i="5"/>
  <c r="H563" i="5"/>
  <c r="O562" i="5"/>
  <c r="N562" i="5"/>
  <c r="M562" i="5"/>
  <c r="L562" i="5"/>
  <c r="K562" i="5"/>
  <c r="I562" i="5"/>
  <c r="H562" i="5"/>
  <c r="O561" i="5"/>
  <c r="N561" i="5"/>
  <c r="M561" i="5"/>
  <c r="L561" i="5"/>
  <c r="K561" i="5"/>
  <c r="I561" i="5"/>
  <c r="H561" i="5"/>
  <c r="O560" i="5"/>
  <c r="N560" i="5"/>
  <c r="M560" i="5"/>
  <c r="L560" i="5"/>
  <c r="K560" i="5"/>
  <c r="I560" i="5"/>
  <c r="H560" i="5"/>
  <c r="O559" i="5"/>
  <c r="N559" i="5"/>
  <c r="M559" i="5"/>
  <c r="L559" i="5"/>
  <c r="K559" i="5"/>
  <c r="I559" i="5"/>
  <c r="H559" i="5"/>
  <c r="O558" i="5"/>
  <c r="N558" i="5"/>
  <c r="M558" i="5"/>
  <c r="L558" i="5"/>
  <c r="K558" i="5"/>
  <c r="I558" i="5"/>
  <c r="H558" i="5"/>
  <c r="O557" i="5"/>
  <c r="N557" i="5"/>
  <c r="M557" i="5"/>
  <c r="L557" i="5"/>
  <c r="K557" i="5"/>
  <c r="I557" i="5"/>
  <c r="H557" i="5"/>
  <c r="O556" i="5"/>
  <c r="N556" i="5"/>
  <c r="M556" i="5"/>
  <c r="L556" i="5"/>
  <c r="K556" i="5"/>
  <c r="I556" i="5"/>
  <c r="H556" i="5"/>
  <c r="O555" i="5"/>
  <c r="N555" i="5"/>
  <c r="M555" i="5"/>
  <c r="L555" i="5"/>
  <c r="K555" i="5"/>
  <c r="I555" i="5"/>
  <c r="H555" i="5"/>
  <c r="O554" i="5"/>
  <c r="N554" i="5"/>
  <c r="M554" i="5"/>
  <c r="L554" i="5"/>
  <c r="K554" i="5"/>
  <c r="I554" i="5"/>
  <c r="H554" i="5"/>
  <c r="O553" i="5"/>
  <c r="N553" i="5"/>
  <c r="M553" i="5"/>
  <c r="L553" i="5"/>
  <c r="K553" i="5"/>
  <c r="I553" i="5"/>
  <c r="H553" i="5"/>
  <c r="O552" i="5"/>
  <c r="N552" i="5"/>
  <c r="M552" i="5"/>
  <c r="L552" i="5"/>
  <c r="K552" i="5"/>
  <c r="I552" i="5"/>
  <c r="H552" i="5"/>
  <c r="O551" i="5"/>
  <c r="N551" i="5"/>
  <c r="M551" i="5"/>
  <c r="L551" i="5"/>
  <c r="K551" i="5"/>
  <c r="I551" i="5"/>
  <c r="H551" i="5"/>
  <c r="O550" i="5"/>
  <c r="N550" i="5"/>
  <c r="M550" i="5"/>
  <c r="L550" i="5"/>
  <c r="K550" i="5"/>
  <c r="I550" i="5"/>
  <c r="H550" i="5"/>
  <c r="O549" i="5"/>
  <c r="N549" i="5"/>
  <c r="M549" i="5"/>
  <c r="L549" i="5"/>
  <c r="K549" i="5"/>
  <c r="I549" i="5"/>
  <c r="H549" i="5"/>
  <c r="O548" i="5"/>
  <c r="N548" i="5"/>
  <c r="M548" i="5"/>
  <c r="L548" i="5"/>
  <c r="K548" i="5"/>
  <c r="I548" i="5"/>
  <c r="H548" i="5"/>
  <c r="O547" i="5"/>
  <c r="N547" i="5"/>
  <c r="M547" i="5"/>
  <c r="L547" i="5"/>
  <c r="K547" i="5"/>
  <c r="I547" i="5"/>
  <c r="H547" i="5"/>
  <c r="O546" i="5"/>
  <c r="N546" i="5"/>
  <c r="M546" i="5"/>
  <c r="L546" i="5"/>
  <c r="K546" i="5"/>
  <c r="I546" i="5"/>
  <c r="H546" i="5"/>
  <c r="O545" i="5"/>
  <c r="N545" i="5"/>
  <c r="M545" i="5"/>
  <c r="L545" i="5"/>
  <c r="K545" i="5"/>
  <c r="I545" i="5"/>
  <c r="H545" i="5"/>
  <c r="O544" i="5"/>
  <c r="N544" i="5"/>
  <c r="M544" i="5"/>
  <c r="L544" i="5"/>
  <c r="K544" i="5"/>
  <c r="I544" i="5"/>
  <c r="H544" i="5"/>
  <c r="O543" i="5"/>
  <c r="N543" i="5"/>
  <c r="M543" i="5"/>
  <c r="L543" i="5"/>
  <c r="K543" i="5"/>
  <c r="I543" i="5"/>
  <c r="H543" i="5"/>
  <c r="O542" i="5"/>
  <c r="N542" i="5"/>
  <c r="M542" i="5"/>
  <c r="L542" i="5"/>
  <c r="K542" i="5"/>
  <c r="I542" i="5"/>
  <c r="H542" i="5"/>
  <c r="O541" i="5"/>
  <c r="N541" i="5"/>
  <c r="M541" i="5"/>
  <c r="L541" i="5"/>
  <c r="K541" i="5"/>
  <c r="I541" i="5"/>
  <c r="H541" i="5"/>
  <c r="O540" i="5"/>
  <c r="N540" i="5"/>
  <c r="M540" i="5"/>
  <c r="L540" i="5"/>
  <c r="K540" i="5"/>
  <c r="I540" i="5"/>
  <c r="H540" i="5"/>
  <c r="O539" i="5"/>
  <c r="N539" i="5"/>
  <c r="M539" i="5"/>
  <c r="L539" i="5"/>
  <c r="K539" i="5"/>
  <c r="I539" i="5"/>
  <c r="H539" i="5"/>
  <c r="O538" i="5"/>
  <c r="N538" i="5"/>
  <c r="M538" i="5"/>
  <c r="L538" i="5"/>
  <c r="K538" i="5"/>
  <c r="I538" i="5"/>
  <c r="H538" i="5"/>
  <c r="O537" i="5"/>
  <c r="N537" i="5"/>
  <c r="M537" i="5"/>
  <c r="L537" i="5"/>
  <c r="K537" i="5"/>
  <c r="I537" i="5"/>
  <c r="H537" i="5"/>
  <c r="O536" i="5"/>
  <c r="N536" i="5"/>
  <c r="M536" i="5"/>
  <c r="L536" i="5"/>
  <c r="K536" i="5"/>
  <c r="I536" i="5"/>
  <c r="H536" i="5"/>
  <c r="O535" i="5"/>
  <c r="N535" i="5"/>
  <c r="M535" i="5"/>
  <c r="L535" i="5"/>
  <c r="K535" i="5"/>
  <c r="I535" i="5"/>
  <c r="H535" i="5"/>
  <c r="O534" i="5"/>
  <c r="N534" i="5"/>
  <c r="M534" i="5"/>
  <c r="L534" i="5"/>
  <c r="K534" i="5"/>
  <c r="I534" i="5"/>
  <c r="H534" i="5"/>
  <c r="O533" i="5"/>
  <c r="N533" i="5"/>
  <c r="M533" i="5"/>
  <c r="L533" i="5"/>
  <c r="K533" i="5"/>
  <c r="I533" i="5"/>
  <c r="H533" i="5"/>
  <c r="O532" i="5"/>
  <c r="N532" i="5"/>
  <c r="M532" i="5"/>
  <c r="L532" i="5"/>
  <c r="K532" i="5"/>
  <c r="I532" i="5"/>
  <c r="H532" i="5"/>
  <c r="O531" i="5"/>
  <c r="N531" i="5"/>
  <c r="M531" i="5"/>
  <c r="L531" i="5"/>
  <c r="K531" i="5"/>
  <c r="I531" i="5"/>
  <c r="H531" i="5"/>
  <c r="O530" i="5"/>
  <c r="N530" i="5"/>
  <c r="M530" i="5"/>
  <c r="L530" i="5"/>
  <c r="K530" i="5"/>
  <c r="I530" i="5"/>
  <c r="H530" i="5"/>
  <c r="O529" i="5"/>
  <c r="N529" i="5"/>
  <c r="M529" i="5"/>
  <c r="L529" i="5"/>
  <c r="K529" i="5"/>
  <c r="I529" i="5"/>
  <c r="H529" i="5"/>
  <c r="O528" i="5"/>
  <c r="N528" i="5"/>
  <c r="M528" i="5"/>
  <c r="L528" i="5"/>
  <c r="K528" i="5"/>
  <c r="I528" i="5"/>
  <c r="H528" i="5"/>
  <c r="O527" i="5"/>
  <c r="N527" i="5"/>
  <c r="M527" i="5"/>
  <c r="L527" i="5"/>
  <c r="K527" i="5"/>
  <c r="I527" i="5"/>
  <c r="H527" i="5"/>
  <c r="O526" i="5"/>
  <c r="N526" i="5"/>
  <c r="M526" i="5"/>
  <c r="L526" i="5"/>
  <c r="K526" i="5"/>
  <c r="I526" i="5"/>
  <c r="H526" i="5"/>
  <c r="O525" i="5"/>
  <c r="N525" i="5"/>
  <c r="M525" i="5"/>
  <c r="L525" i="5"/>
  <c r="K525" i="5"/>
  <c r="I525" i="5"/>
  <c r="H525" i="5"/>
  <c r="O524" i="5"/>
  <c r="N524" i="5"/>
  <c r="M524" i="5"/>
  <c r="L524" i="5"/>
  <c r="K524" i="5"/>
  <c r="I524" i="5"/>
  <c r="H524" i="5"/>
  <c r="O523" i="5"/>
  <c r="N523" i="5"/>
  <c r="M523" i="5"/>
  <c r="L523" i="5"/>
  <c r="K523" i="5"/>
  <c r="I523" i="5"/>
  <c r="H523" i="5"/>
  <c r="O522" i="5"/>
  <c r="N522" i="5"/>
  <c r="M522" i="5"/>
  <c r="L522" i="5"/>
  <c r="K522" i="5"/>
  <c r="I522" i="5"/>
  <c r="H522" i="5"/>
  <c r="O521" i="5"/>
  <c r="N521" i="5"/>
  <c r="M521" i="5"/>
  <c r="L521" i="5"/>
  <c r="K521" i="5"/>
  <c r="I521" i="5"/>
  <c r="H521" i="5"/>
  <c r="O520" i="5"/>
  <c r="N520" i="5"/>
  <c r="M520" i="5"/>
  <c r="L520" i="5"/>
  <c r="K520" i="5"/>
  <c r="I520" i="5"/>
  <c r="H520" i="5"/>
  <c r="O519" i="5"/>
  <c r="N519" i="5"/>
  <c r="M519" i="5"/>
  <c r="L519" i="5"/>
  <c r="K519" i="5"/>
  <c r="I519" i="5"/>
  <c r="H519" i="5"/>
  <c r="O518" i="5"/>
  <c r="N518" i="5"/>
  <c r="M518" i="5"/>
  <c r="L518" i="5"/>
  <c r="K518" i="5"/>
  <c r="I518" i="5"/>
  <c r="H518" i="5"/>
  <c r="O517" i="5"/>
  <c r="N517" i="5"/>
  <c r="M517" i="5"/>
  <c r="L517" i="5"/>
  <c r="K517" i="5"/>
  <c r="I517" i="5"/>
  <c r="H517" i="5"/>
  <c r="O516" i="5"/>
  <c r="N516" i="5"/>
  <c r="M516" i="5"/>
  <c r="L516" i="5"/>
  <c r="K516" i="5"/>
  <c r="I516" i="5"/>
  <c r="H516" i="5"/>
  <c r="O515" i="5"/>
  <c r="N515" i="5"/>
  <c r="M515" i="5"/>
  <c r="L515" i="5"/>
  <c r="K515" i="5"/>
  <c r="I515" i="5"/>
  <c r="H515" i="5"/>
  <c r="O514" i="5"/>
  <c r="N514" i="5"/>
  <c r="M514" i="5"/>
  <c r="L514" i="5"/>
  <c r="K514" i="5"/>
  <c r="I514" i="5"/>
  <c r="H514" i="5"/>
  <c r="O513" i="5"/>
  <c r="N513" i="5"/>
  <c r="M513" i="5"/>
  <c r="L513" i="5"/>
  <c r="K513" i="5"/>
  <c r="I513" i="5"/>
  <c r="H513" i="5"/>
  <c r="O512" i="5"/>
  <c r="N512" i="5"/>
  <c r="M512" i="5"/>
  <c r="L512" i="5"/>
  <c r="K512" i="5"/>
  <c r="I512" i="5"/>
  <c r="H512" i="5"/>
  <c r="O511" i="5"/>
  <c r="N511" i="5"/>
  <c r="M511" i="5"/>
  <c r="L511" i="5"/>
  <c r="K511" i="5"/>
  <c r="I511" i="5"/>
  <c r="H511" i="5"/>
  <c r="O510" i="5"/>
  <c r="N510" i="5"/>
  <c r="M510" i="5"/>
  <c r="L510" i="5"/>
  <c r="K510" i="5"/>
  <c r="I510" i="5"/>
  <c r="H510" i="5"/>
  <c r="O509" i="5"/>
  <c r="N509" i="5"/>
  <c r="M509" i="5"/>
  <c r="L509" i="5"/>
  <c r="K509" i="5"/>
  <c r="I509" i="5"/>
  <c r="H509" i="5"/>
  <c r="O508" i="5"/>
  <c r="N508" i="5"/>
  <c r="M508" i="5"/>
  <c r="L508" i="5"/>
  <c r="K508" i="5"/>
  <c r="I508" i="5"/>
  <c r="H508" i="5"/>
  <c r="O507" i="5"/>
  <c r="N507" i="5"/>
  <c r="M507" i="5"/>
  <c r="L507" i="5"/>
  <c r="K507" i="5"/>
  <c r="I507" i="5"/>
  <c r="H507" i="5"/>
  <c r="O506" i="5"/>
  <c r="N506" i="5"/>
  <c r="M506" i="5"/>
  <c r="L506" i="5"/>
  <c r="K506" i="5"/>
  <c r="I506" i="5"/>
  <c r="H506" i="5"/>
  <c r="O505" i="5"/>
  <c r="N505" i="5"/>
  <c r="M505" i="5"/>
  <c r="L505" i="5"/>
  <c r="K505" i="5"/>
  <c r="I505" i="5"/>
  <c r="H505" i="5"/>
  <c r="O504" i="5"/>
  <c r="N504" i="5"/>
  <c r="M504" i="5"/>
  <c r="L504" i="5"/>
  <c r="K504" i="5"/>
  <c r="I504" i="5"/>
  <c r="H504" i="5"/>
  <c r="O503" i="5"/>
  <c r="N503" i="5"/>
  <c r="M503" i="5"/>
  <c r="L503" i="5"/>
  <c r="K503" i="5"/>
  <c r="I503" i="5"/>
  <c r="H503" i="5"/>
  <c r="O502" i="5"/>
  <c r="N502" i="5"/>
  <c r="M502" i="5"/>
  <c r="L502" i="5"/>
  <c r="K502" i="5"/>
  <c r="I502" i="5"/>
  <c r="H502" i="5"/>
  <c r="O501" i="5"/>
  <c r="N501" i="5"/>
  <c r="M501" i="5"/>
  <c r="L501" i="5"/>
  <c r="K501" i="5"/>
  <c r="I501" i="5"/>
  <c r="H501" i="5"/>
  <c r="O500" i="5"/>
  <c r="N500" i="5"/>
  <c r="M500" i="5"/>
  <c r="L500" i="5"/>
  <c r="K500" i="5"/>
  <c r="I500" i="5"/>
  <c r="H500" i="5"/>
  <c r="O499" i="5"/>
  <c r="N499" i="5"/>
  <c r="M499" i="5"/>
  <c r="L499" i="5"/>
  <c r="K499" i="5"/>
  <c r="I499" i="5"/>
  <c r="H499" i="5"/>
  <c r="O498" i="5"/>
  <c r="N498" i="5"/>
  <c r="M498" i="5"/>
  <c r="L498" i="5"/>
  <c r="K498" i="5"/>
  <c r="I498" i="5"/>
  <c r="H498" i="5"/>
  <c r="O497" i="5"/>
  <c r="N497" i="5"/>
  <c r="M497" i="5"/>
  <c r="L497" i="5"/>
  <c r="K497" i="5"/>
  <c r="I497" i="5"/>
  <c r="H497" i="5"/>
  <c r="O496" i="5"/>
  <c r="N496" i="5"/>
  <c r="M496" i="5"/>
  <c r="L496" i="5"/>
  <c r="K496" i="5"/>
  <c r="I496" i="5"/>
  <c r="H496" i="5"/>
  <c r="O495" i="5"/>
  <c r="N495" i="5"/>
  <c r="M495" i="5"/>
  <c r="L495" i="5"/>
  <c r="K495" i="5"/>
  <c r="I495" i="5"/>
  <c r="H495" i="5"/>
  <c r="O494" i="5"/>
  <c r="N494" i="5"/>
  <c r="M494" i="5"/>
  <c r="L494" i="5"/>
  <c r="K494" i="5"/>
  <c r="I494" i="5"/>
  <c r="H494" i="5"/>
  <c r="O493" i="5"/>
  <c r="N493" i="5"/>
  <c r="M493" i="5"/>
  <c r="L493" i="5"/>
  <c r="K493" i="5"/>
  <c r="I493" i="5"/>
  <c r="H493" i="5"/>
  <c r="O492" i="5"/>
  <c r="N492" i="5"/>
  <c r="M492" i="5"/>
  <c r="L492" i="5"/>
  <c r="K492" i="5"/>
  <c r="I492" i="5"/>
  <c r="H492" i="5"/>
  <c r="O491" i="5"/>
  <c r="N491" i="5"/>
  <c r="M491" i="5"/>
  <c r="L491" i="5"/>
  <c r="K491" i="5"/>
  <c r="I491" i="5"/>
  <c r="H491" i="5"/>
  <c r="O490" i="5"/>
  <c r="N490" i="5"/>
  <c r="M490" i="5"/>
  <c r="L490" i="5"/>
  <c r="K490" i="5"/>
  <c r="I490" i="5"/>
  <c r="H490" i="5"/>
  <c r="O489" i="5"/>
  <c r="N489" i="5"/>
  <c r="M489" i="5"/>
  <c r="L489" i="5"/>
  <c r="K489" i="5"/>
  <c r="I489" i="5"/>
  <c r="H489" i="5"/>
  <c r="O488" i="5"/>
  <c r="N488" i="5"/>
  <c r="M488" i="5"/>
  <c r="L488" i="5"/>
  <c r="K488" i="5"/>
  <c r="I488" i="5"/>
  <c r="H488" i="5"/>
  <c r="O487" i="5"/>
  <c r="N487" i="5"/>
  <c r="M487" i="5"/>
  <c r="L487" i="5"/>
  <c r="K487" i="5"/>
  <c r="I487" i="5"/>
  <c r="H487" i="5"/>
  <c r="O486" i="5"/>
  <c r="N486" i="5"/>
  <c r="M486" i="5"/>
  <c r="L486" i="5"/>
  <c r="K486" i="5"/>
  <c r="I486" i="5"/>
  <c r="H486" i="5"/>
  <c r="O485" i="5"/>
  <c r="N485" i="5"/>
  <c r="M485" i="5"/>
  <c r="L485" i="5"/>
  <c r="K485" i="5"/>
  <c r="I485" i="5"/>
  <c r="H485" i="5"/>
  <c r="O484" i="5"/>
  <c r="N484" i="5"/>
  <c r="M484" i="5"/>
  <c r="L484" i="5"/>
  <c r="K484" i="5"/>
  <c r="I484" i="5"/>
  <c r="H484" i="5"/>
  <c r="O483" i="5"/>
  <c r="N483" i="5"/>
  <c r="M483" i="5"/>
  <c r="L483" i="5"/>
  <c r="K483" i="5"/>
  <c r="I483" i="5"/>
  <c r="H483" i="5"/>
  <c r="O482" i="5"/>
  <c r="N482" i="5"/>
  <c r="M482" i="5"/>
  <c r="L482" i="5"/>
  <c r="K482" i="5"/>
  <c r="I482" i="5"/>
  <c r="H482" i="5"/>
  <c r="O481" i="5"/>
  <c r="N481" i="5"/>
  <c r="M481" i="5"/>
  <c r="L481" i="5"/>
  <c r="K481" i="5"/>
  <c r="I481" i="5"/>
  <c r="H481" i="5"/>
  <c r="O480" i="5"/>
  <c r="N480" i="5"/>
  <c r="M480" i="5"/>
  <c r="L480" i="5"/>
  <c r="K480" i="5"/>
  <c r="I480" i="5"/>
  <c r="H480" i="5"/>
  <c r="O479" i="5"/>
  <c r="N479" i="5"/>
  <c r="M479" i="5"/>
  <c r="L479" i="5"/>
  <c r="K479" i="5"/>
  <c r="I479" i="5"/>
  <c r="H479" i="5"/>
  <c r="O478" i="5"/>
  <c r="N478" i="5"/>
  <c r="M478" i="5"/>
  <c r="L478" i="5"/>
  <c r="K478" i="5"/>
  <c r="I478" i="5"/>
  <c r="H478" i="5"/>
  <c r="O477" i="5"/>
  <c r="N477" i="5"/>
  <c r="M477" i="5"/>
  <c r="L477" i="5"/>
  <c r="K477" i="5"/>
  <c r="I477" i="5"/>
  <c r="H477" i="5"/>
  <c r="O476" i="5"/>
  <c r="N476" i="5"/>
  <c r="M476" i="5"/>
  <c r="L476" i="5"/>
  <c r="K476" i="5"/>
  <c r="I476" i="5"/>
  <c r="H476" i="5"/>
  <c r="O475" i="5"/>
  <c r="N475" i="5"/>
  <c r="M475" i="5"/>
  <c r="L475" i="5"/>
  <c r="K475" i="5"/>
  <c r="I475" i="5"/>
  <c r="H475" i="5"/>
  <c r="O474" i="5"/>
  <c r="N474" i="5"/>
  <c r="M474" i="5"/>
  <c r="L474" i="5"/>
  <c r="K474" i="5"/>
  <c r="I474" i="5"/>
  <c r="H474" i="5"/>
  <c r="O473" i="5"/>
  <c r="N473" i="5"/>
  <c r="M473" i="5"/>
  <c r="L473" i="5"/>
  <c r="K473" i="5"/>
  <c r="I473" i="5"/>
  <c r="H473" i="5"/>
  <c r="O472" i="5"/>
  <c r="N472" i="5"/>
  <c r="M472" i="5"/>
  <c r="L472" i="5"/>
  <c r="K472" i="5"/>
  <c r="I472" i="5"/>
  <c r="H472" i="5"/>
  <c r="O471" i="5"/>
  <c r="N471" i="5"/>
  <c r="M471" i="5"/>
  <c r="L471" i="5"/>
  <c r="K471" i="5"/>
  <c r="I471" i="5"/>
  <c r="H471" i="5"/>
  <c r="O470" i="5"/>
  <c r="N470" i="5"/>
  <c r="M470" i="5"/>
  <c r="L470" i="5"/>
  <c r="K470" i="5"/>
  <c r="I470" i="5"/>
  <c r="H470" i="5"/>
  <c r="O469" i="5"/>
  <c r="N469" i="5"/>
  <c r="M469" i="5"/>
  <c r="L469" i="5"/>
  <c r="K469" i="5"/>
  <c r="I469" i="5"/>
  <c r="H469" i="5"/>
  <c r="O468" i="5"/>
  <c r="N468" i="5"/>
  <c r="M468" i="5"/>
  <c r="L468" i="5"/>
  <c r="K468" i="5"/>
  <c r="I468" i="5"/>
  <c r="H468" i="5"/>
  <c r="O467" i="5"/>
  <c r="N467" i="5"/>
  <c r="M467" i="5"/>
  <c r="L467" i="5"/>
  <c r="K467" i="5"/>
  <c r="I467" i="5"/>
  <c r="H467" i="5"/>
  <c r="O466" i="5"/>
  <c r="N466" i="5"/>
  <c r="M466" i="5"/>
  <c r="L466" i="5"/>
  <c r="K466" i="5"/>
  <c r="I466" i="5"/>
  <c r="H466" i="5"/>
  <c r="O465" i="5"/>
  <c r="N465" i="5"/>
  <c r="M465" i="5"/>
  <c r="L465" i="5"/>
  <c r="K465" i="5"/>
  <c r="I465" i="5"/>
  <c r="H465" i="5"/>
  <c r="O464" i="5"/>
  <c r="N464" i="5"/>
  <c r="M464" i="5"/>
  <c r="L464" i="5"/>
  <c r="K464" i="5"/>
  <c r="I464" i="5"/>
  <c r="H464" i="5"/>
  <c r="O463" i="5"/>
  <c r="N463" i="5"/>
  <c r="M463" i="5"/>
  <c r="L463" i="5"/>
  <c r="K463" i="5"/>
  <c r="I463" i="5"/>
  <c r="H463" i="5"/>
  <c r="O462" i="5"/>
  <c r="N462" i="5"/>
  <c r="M462" i="5"/>
  <c r="L462" i="5"/>
  <c r="K462" i="5"/>
  <c r="I462" i="5"/>
  <c r="H462" i="5"/>
  <c r="O461" i="5"/>
  <c r="N461" i="5"/>
  <c r="M461" i="5"/>
  <c r="L461" i="5"/>
  <c r="K461" i="5"/>
  <c r="I461" i="5"/>
  <c r="H461" i="5"/>
  <c r="O460" i="5"/>
  <c r="N460" i="5"/>
  <c r="M460" i="5"/>
  <c r="L460" i="5"/>
  <c r="K460" i="5"/>
  <c r="I460" i="5"/>
  <c r="H460" i="5"/>
  <c r="O459" i="5"/>
  <c r="N459" i="5"/>
  <c r="M459" i="5"/>
  <c r="L459" i="5"/>
  <c r="K459" i="5"/>
  <c r="I459" i="5"/>
  <c r="H459" i="5"/>
  <c r="O458" i="5"/>
  <c r="N458" i="5"/>
  <c r="M458" i="5"/>
  <c r="L458" i="5"/>
  <c r="K458" i="5"/>
  <c r="I458" i="5"/>
  <c r="H458" i="5"/>
  <c r="O457" i="5"/>
  <c r="N457" i="5"/>
  <c r="M457" i="5"/>
  <c r="L457" i="5"/>
  <c r="K457" i="5"/>
  <c r="I457" i="5"/>
  <c r="H457" i="5"/>
  <c r="O456" i="5"/>
  <c r="N456" i="5"/>
  <c r="M456" i="5"/>
  <c r="L456" i="5"/>
  <c r="K456" i="5"/>
  <c r="I456" i="5"/>
  <c r="H456" i="5"/>
  <c r="O455" i="5"/>
  <c r="N455" i="5"/>
  <c r="M455" i="5"/>
  <c r="L455" i="5"/>
  <c r="K455" i="5"/>
  <c r="I455" i="5"/>
  <c r="H455" i="5"/>
  <c r="O454" i="5"/>
  <c r="N454" i="5"/>
  <c r="M454" i="5"/>
  <c r="L454" i="5"/>
  <c r="K454" i="5"/>
  <c r="I454" i="5"/>
  <c r="H454" i="5"/>
  <c r="O453" i="5"/>
  <c r="N453" i="5"/>
  <c r="M453" i="5"/>
  <c r="L453" i="5"/>
  <c r="K453" i="5"/>
  <c r="I453" i="5"/>
  <c r="H453" i="5"/>
  <c r="O452" i="5"/>
  <c r="N452" i="5"/>
  <c r="M452" i="5"/>
  <c r="L452" i="5"/>
  <c r="K452" i="5"/>
  <c r="I452" i="5"/>
  <c r="H452" i="5"/>
  <c r="O451" i="5"/>
  <c r="N451" i="5"/>
  <c r="M451" i="5"/>
  <c r="L451" i="5"/>
  <c r="K451" i="5"/>
  <c r="I451" i="5"/>
  <c r="H451" i="5"/>
  <c r="O450" i="5"/>
  <c r="N450" i="5"/>
  <c r="M450" i="5"/>
  <c r="L450" i="5"/>
  <c r="K450" i="5"/>
  <c r="I450" i="5"/>
  <c r="H450" i="5"/>
  <c r="O449" i="5"/>
  <c r="N449" i="5"/>
  <c r="M449" i="5"/>
  <c r="L449" i="5"/>
  <c r="K449" i="5"/>
  <c r="I449" i="5"/>
  <c r="H449" i="5"/>
  <c r="O448" i="5"/>
  <c r="N448" i="5"/>
  <c r="M448" i="5"/>
  <c r="L448" i="5"/>
  <c r="K448" i="5"/>
  <c r="I448" i="5"/>
  <c r="H448" i="5"/>
  <c r="O447" i="5"/>
  <c r="N447" i="5"/>
  <c r="M447" i="5"/>
  <c r="L447" i="5"/>
  <c r="K447" i="5"/>
  <c r="I447" i="5"/>
  <c r="H447" i="5"/>
  <c r="O446" i="5"/>
  <c r="N446" i="5"/>
  <c r="M446" i="5"/>
  <c r="L446" i="5"/>
  <c r="K446" i="5"/>
  <c r="I446" i="5"/>
  <c r="H446" i="5"/>
  <c r="O445" i="5"/>
  <c r="N445" i="5"/>
  <c r="M445" i="5"/>
  <c r="L445" i="5"/>
  <c r="K445" i="5"/>
  <c r="I445" i="5"/>
  <c r="H445" i="5"/>
  <c r="O444" i="5"/>
  <c r="N444" i="5"/>
  <c r="M444" i="5"/>
  <c r="L444" i="5"/>
  <c r="K444" i="5"/>
  <c r="I444" i="5"/>
  <c r="H444" i="5"/>
  <c r="O443" i="5"/>
  <c r="N443" i="5"/>
  <c r="M443" i="5"/>
  <c r="L443" i="5"/>
  <c r="K443" i="5"/>
  <c r="I443" i="5"/>
  <c r="H443" i="5"/>
  <c r="O442" i="5"/>
  <c r="N442" i="5"/>
  <c r="M442" i="5"/>
  <c r="L442" i="5"/>
  <c r="K442" i="5"/>
  <c r="I442" i="5"/>
  <c r="H442" i="5"/>
  <c r="O441" i="5"/>
  <c r="N441" i="5"/>
  <c r="M441" i="5"/>
  <c r="L441" i="5"/>
  <c r="K441" i="5"/>
  <c r="I441" i="5"/>
  <c r="H441" i="5"/>
  <c r="O440" i="5"/>
  <c r="N440" i="5"/>
  <c r="M440" i="5"/>
  <c r="L440" i="5"/>
  <c r="K440" i="5"/>
  <c r="I440" i="5"/>
  <c r="H440" i="5"/>
  <c r="O439" i="5"/>
  <c r="N439" i="5"/>
  <c r="M439" i="5"/>
  <c r="L439" i="5"/>
  <c r="K439" i="5"/>
  <c r="I439" i="5"/>
  <c r="H439" i="5"/>
  <c r="O438" i="5"/>
  <c r="N438" i="5"/>
  <c r="M438" i="5"/>
  <c r="L438" i="5"/>
  <c r="K438" i="5"/>
  <c r="I438" i="5"/>
  <c r="H438" i="5"/>
  <c r="O437" i="5"/>
  <c r="N437" i="5"/>
  <c r="M437" i="5"/>
  <c r="L437" i="5"/>
  <c r="K437" i="5"/>
  <c r="I437" i="5"/>
  <c r="H437" i="5"/>
  <c r="O436" i="5"/>
  <c r="N436" i="5"/>
  <c r="M436" i="5"/>
  <c r="L436" i="5"/>
  <c r="K436" i="5"/>
  <c r="I436" i="5"/>
  <c r="H436" i="5"/>
  <c r="O435" i="5"/>
  <c r="N435" i="5"/>
  <c r="M435" i="5"/>
  <c r="L435" i="5"/>
  <c r="K435" i="5"/>
  <c r="I435" i="5"/>
  <c r="H435" i="5"/>
  <c r="O434" i="5"/>
  <c r="N434" i="5"/>
  <c r="M434" i="5"/>
  <c r="L434" i="5"/>
  <c r="K434" i="5"/>
  <c r="I434" i="5"/>
  <c r="H434" i="5"/>
  <c r="O433" i="5"/>
  <c r="N433" i="5"/>
  <c r="M433" i="5"/>
  <c r="L433" i="5"/>
  <c r="K433" i="5"/>
  <c r="I433" i="5"/>
  <c r="H433" i="5"/>
  <c r="O432" i="5"/>
  <c r="N432" i="5"/>
  <c r="M432" i="5"/>
  <c r="L432" i="5"/>
  <c r="K432" i="5"/>
  <c r="I432" i="5"/>
  <c r="H432" i="5"/>
  <c r="O431" i="5"/>
  <c r="N431" i="5"/>
  <c r="M431" i="5"/>
  <c r="L431" i="5"/>
  <c r="K431" i="5"/>
  <c r="I431" i="5"/>
  <c r="H431" i="5"/>
  <c r="O430" i="5"/>
  <c r="N430" i="5"/>
  <c r="M430" i="5"/>
  <c r="L430" i="5"/>
  <c r="K430" i="5"/>
  <c r="I430" i="5"/>
  <c r="H430" i="5"/>
  <c r="O429" i="5"/>
  <c r="N429" i="5"/>
  <c r="M429" i="5"/>
  <c r="L429" i="5"/>
  <c r="K429" i="5"/>
  <c r="I429" i="5"/>
  <c r="H429" i="5"/>
  <c r="O428" i="5"/>
  <c r="N428" i="5"/>
  <c r="M428" i="5"/>
  <c r="L428" i="5"/>
  <c r="K428" i="5"/>
  <c r="I428" i="5"/>
  <c r="H428" i="5"/>
  <c r="O427" i="5"/>
  <c r="N427" i="5"/>
  <c r="M427" i="5"/>
  <c r="L427" i="5"/>
  <c r="K427" i="5"/>
  <c r="I427" i="5"/>
  <c r="H427" i="5"/>
  <c r="O426" i="5"/>
  <c r="N426" i="5"/>
  <c r="M426" i="5"/>
  <c r="L426" i="5"/>
  <c r="K426" i="5"/>
  <c r="I426" i="5"/>
  <c r="H426" i="5"/>
  <c r="O425" i="5"/>
  <c r="N425" i="5"/>
  <c r="M425" i="5"/>
  <c r="L425" i="5"/>
  <c r="K425" i="5"/>
  <c r="I425" i="5"/>
  <c r="H425" i="5"/>
  <c r="O424" i="5"/>
  <c r="N424" i="5"/>
  <c r="M424" i="5"/>
  <c r="L424" i="5"/>
  <c r="K424" i="5"/>
  <c r="I424" i="5"/>
  <c r="H424" i="5"/>
  <c r="O423" i="5"/>
  <c r="N423" i="5"/>
  <c r="M423" i="5"/>
  <c r="L423" i="5"/>
  <c r="K423" i="5"/>
  <c r="I423" i="5"/>
  <c r="H423" i="5"/>
  <c r="O422" i="5"/>
  <c r="N422" i="5"/>
  <c r="M422" i="5"/>
  <c r="L422" i="5"/>
  <c r="K422" i="5"/>
  <c r="I422" i="5"/>
  <c r="H422" i="5"/>
  <c r="O421" i="5"/>
  <c r="N421" i="5"/>
  <c r="M421" i="5"/>
  <c r="L421" i="5"/>
  <c r="K421" i="5"/>
  <c r="I421" i="5"/>
  <c r="H421" i="5"/>
  <c r="O420" i="5"/>
  <c r="N420" i="5"/>
  <c r="M420" i="5"/>
  <c r="L420" i="5"/>
  <c r="K420" i="5"/>
  <c r="I420" i="5"/>
  <c r="H420" i="5"/>
  <c r="O419" i="5"/>
  <c r="N419" i="5"/>
  <c r="M419" i="5"/>
  <c r="L419" i="5"/>
  <c r="K419" i="5"/>
  <c r="I419" i="5"/>
  <c r="H419" i="5"/>
  <c r="O418" i="5"/>
  <c r="N418" i="5"/>
  <c r="M418" i="5"/>
  <c r="L418" i="5"/>
  <c r="K418" i="5"/>
  <c r="I418" i="5"/>
  <c r="H418" i="5"/>
  <c r="O417" i="5"/>
  <c r="N417" i="5"/>
  <c r="M417" i="5"/>
  <c r="L417" i="5"/>
  <c r="K417" i="5"/>
  <c r="I417" i="5"/>
  <c r="H417" i="5"/>
  <c r="O416" i="5"/>
  <c r="N416" i="5"/>
  <c r="M416" i="5"/>
  <c r="L416" i="5"/>
  <c r="K416" i="5"/>
  <c r="I416" i="5"/>
  <c r="H416" i="5"/>
  <c r="O415" i="5"/>
  <c r="N415" i="5"/>
  <c r="M415" i="5"/>
  <c r="L415" i="5"/>
  <c r="K415" i="5"/>
  <c r="I415" i="5"/>
  <c r="H415" i="5"/>
  <c r="O414" i="5"/>
  <c r="N414" i="5"/>
  <c r="M414" i="5"/>
  <c r="L414" i="5"/>
  <c r="K414" i="5"/>
  <c r="I414" i="5"/>
  <c r="H414" i="5"/>
  <c r="O413" i="5"/>
  <c r="N413" i="5"/>
  <c r="M413" i="5"/>
  <c r="L413" i="5"/>
  <c r="K413" i="5"/>
  <c r="I413" i="5"/>
  <c r="H413" i="5"/>
  <c r="O412" i="5"/>
  <c r="N412" i="5"/>
  <c r="M412" i="5"/>
  <c r="L412" i="5"/>
  <c r="K412" i="5"/>
  <c r="I412" i="5"/>
  <c r="H412" i="5"/>
  <c r="O411" i="5"/>
  <c r="N411" i="5"/>
  <c r="M411" i="5"/>
  <c r="L411" i="5"/>
  <c r="K411" i="5"/>
  <c r="I411" i="5"/>
  <c r="H411" i="5"/>
  <c r="O410" i="5"/>
  <c r="N410" i="5"/>
  <c r="M410" i="5"/>
  <c r="L410" i="5"/>
  <c r="K410" i="5"/>
  <c r="I410" i="5"/>
  <c r="H410" i="5"/>
  <c r="O409" i="5"/>
  <c r="N409" i="5"/>
  <c r="M409" i="5"/>
  <c r="L409" i="5"/>
  <c r="K409" i="5"/>
  <c r="I409" i="5"/>
  <c r="H409" i="5"/>
  <c r="O408" i="5"/>
  <c r="N408" i="5"/>
  <c r="M408" i="5"/>
  <c r="L408" i="5"/>
  <c r="K408" i="5"/>
  <c r="I408" i="5"/>
  <c r="H408" i="5"/>
  <c r="O407" i="5"/>
  <c r="N407" i="5"/>
  <c r="M407" i="5"/>
  <c r="L407" i="5"/>
  <c r="K407" i="5"/>
  <c r="I407" i="5"/>
  <c r="H407" i="5"/>
  <c r="O406" i="5"/>
  <c r="N406" i="5"/>
  <c r="M406" i="5"/>
  <c r="L406" i="5"/>
  <c r="K406" i="5"/>
  <c r="I406" i="5"/>
  <c r="H406" i="5"/>
  <c r="O405" i="5"/>
  <c r="N405" i="5"/>
  <c r="M405" i="5"/>
  <c r="L405" i="5"/>
  <c r="K405" i="5"/>
  <c r="I405" i="5"/>
  <c r="H405" i="5"/>
  <c r="O404" i="5"/>
  <c r="N404" i="5"/>
  <c r="M404" i="5"/>
  <c r="L404" i="5"/>
  <c r="K404" i="5"/>
  <c r="I404" i="5"/>
  <c r="H404" i="5"/>
  <c r="O403" i="5"/>
  <c r="N403" i="5"/>
  <c r="M403" i="5"/>
  <c r="L403" i="5"/>
  <c r="K403" i="5"/>
  <c r="I403" i="5"/>
  <c r="H403" i="5"/>
  <c r="O402" i="5"/>
  <c r="N402" i="5"/>
  <c r="M402" i="5"/>
  <c r="L402" i="5"/>
  <c r="K402" i="5"/>
  <c r="I402" i="5"/>
  <c r="H402" i="5"/>
  <c r="O401" i="5"/>
  <c r="N401" i="5"/>
  <c r="M401" i="5"/>
  <c r="L401" i="5"/>
  <c r="K401" i="5"/>
  <c r="I401" i="5"/>
  <c r="H401" i="5"/>
  <c r="O400" i="5"/>
  <c r="N400" i="5"/>
  <c r="M400" i="5"/>
  <c r="L400" i="5"/>
  <c r="K400" i="5"/>
  <c r="I400" i="5"/>
  <c r="H400" i="5"/>
  <c r="O399" i="5"/>
  <c r="N399" i="5"/>
  <c r="M399" i="5"/>
  <c r="L399" i="5"/>
  <c r="K399" i="5"/>
  <c r="I399" i="5"/>
  <c r="H399" i="5"/>
  <c r="O398" i="5"/>
  <c r="N398" i="5"/>
  <c r="M398" i="5"/>
  <c r="L398" i="5"/>
  <c r="K398" i="5"/>
  <c r="I398" i="5"/>
  <c r="H398" i="5"/>
  <c r="O397" i="5"/>
  <c r="N397" i="5"/>
  <c r="M397" i="5"/>
  <c r="L397" i="5"/>
  <c r="K397" i="5"/>
  <c r="I397" i="5"/>
  <c r="H397" i="5"/>
  <c r="O396" i="5"/>
  <c r="N396" i="5"/>
  <c r="M396" i="5"/>
  <c r="L396" i="5"/>
  <c r="K396" i="5"/>
  <c r="I396" i="5"/>
  <c r="H396" i="5"/>
  <c r="O395" i="5"/>
  <c r="N395" i="5"/>
  <c r="M395" i="5"/>
  <c r="L395" i="5"/>
  <c r="K395" i="5"/>
  <c r="I395" i="5"/>
  <c r="H395" i="5"/>
  <c r="O394" i="5"/>
  <c r="N394" i="5"/>
  <c r="M394" i="5"/>
  <c r="L394" i="5"/>
  <c r="K394" i="5"/>
  <c r="I394" i="5"/>
  <c r="H394" i="5"/>
  <c r="O393" i="5"/>
  <c r="N393" i="5"/>
  <c r="M393" i="5"/>
  <c r="L393" i="5"/>
  <c r="K393" i="5"/>
  <c r="I393" i="5"/>
  <c r="H393" i="5"/>
  <c r="O392" i="5"/>
  <c r="N392" i="5"/>
  <c r="M392" i="5"/>
  <c r="L392" i="5"/>
  <c r="K392" i="5"/>
  <c r="I392" i="5"/>
  <c r="H392" i="5"/>
  <c r="O391" i="5"/>
  <c r="N391" i="5"/>
  <c r="M391" i="5"/>
  <c r="L391" i="5"/>
  <c r="K391" i="5"/>
  <c r="I391" i="5"/>
  <c r="H391" i="5"/>
  <c r="O390" i="5"/>
  <c r="N390" i="5"/>
  <c r="M390" i="5"/>
  <c r="L390" i="5"/>
  <c r="K390" i="5"/>
  <c r="I390" i="5"/>
  <c r="H390" i="5"/>
  <c r="O389" i="5"/>
  <c r="N389" i="5"/>
  <c r="M389" i="5"/>
  <c r="L389" i="5"/>
  <c r="K389" i="5"/>
  <c r="I389" i="5"/>
  <c r="H389" i="5"/>
  <c r="O388" i="5"/>
  <c r="N388" i="5"/>
  <c r="M388" i="5"/>
  <c r="L388" i="5"/>
  <c r="K388" i="5"/>
  <c r="I388" i="5"/>
  <c r="H388" i="5"/>
  <c r="O387" i="5"/>
  <c r="N387" i="5"/>
  <c r="M387" i="5"/>
  <c r="L387" i="5"/>
  <c r="K387" i="5"/>
  <c r="I387" i="5"/>
  <c r="H387" i="5"/>
  <c r="O386" i="5"/>
  <c r="N386" i="5"/>
  <c r="M386" i="5"/>
  <c r="L386" i="5"/>
  <c r="K386" i="5"/>
  <c r="I386" i="5"/>
  <c r="H386" i="5"/>
  <c r="O385" i="5"/>
  <c r="N385" i="5"/>
  <c r="M385" i="5"/>
  <c r="L385" i="5"/>
  <c r="K385" i="5"/>
  <c r="I385" i="5"/>
  <c r="H385" i="5"/>
  <c r="O384" i="5"/>
  <c r="N384" i="5"/>
  <c r="M384" i="5"/>
  <c r="L384" i="5"/>
  <c r="K384" i="5"/>
  <c r="I384" i="5"/>
  <c r="H384" i="5"/>
  <c r="O383" i="5"/>
  <c r="N383" i="5"/>
  <c r="M383" i="5"/>
  <c r="L383" i="5"/>
  <c r="K383" i="5"/>
  <c r="I383" i="5"/>
  <c r="H383" i="5"/>
  <c r="O382" i="5"/>
  <c r="N382" i="5"/>
  <c r="M382" i="5"/>
  <c r="L382" i="5"/>
  <c r="K382" i="5"/>
  <c r="I382" i="5"/>
  <c r="H382" i="5"/>
  <c r="O381" i="5"/>
  <c r="N381" i="5"/>
  <c r="M381" i="5"/>
  <c r="L381" i="5"/>
  <c r="K381" i="5"/>
  <c r="I381" i="5"/>
  <c r="H381" i="5"/>
  <c r="O380" i="5"/>
  <c r="N380" i="5"/>
  <c r="M380" i="5"/>
  <c r="L380" i="5"/>
  <c r="K380" i="5"/>
  <c r="I380" i="5"/>
  <c r="H380" i="5"/>
  <c r="O379" i="5"/>
  <c r="N379" i="5"/>
  <c r="M379" i="5"/>
  <c r="L379" i="5"/>
  <c r="K379" i="5"/>
  <c r="I379" i="5"/>
  <c r="H379" i="5"/>
  <c r="O378" i="5"/>
  <c r="N378" i="5"/>
  <c r="M378" i="5"/>
  <c r="L378" i="5"/>
  <c r="K378" i="5"/>
  <c r="I378" i="5"/>
  <c r="H378" i="5"/>
  <c r="O377" i="5"/>
  <c r="N377" i="5"/>
  <c r="M377" i="5"/>
  <c r="L377" i="5"/>
  <c r="K377" i="5"/>
  <c r="I377" i="5"/>
  <c r="H377" i="5"/>
  <c r="O376" i="5"/>
  <c r="N376" i="5"/>
  <c r="M376" i="5"/>
  <c r="L376" i="5"/>
  <c r="K376" i="5"/>
  <c r="I376" i="5"/>
  <c r="H376" i="5"/>
  <c r="O375" i="5"/>
  <c r="N375" i="5"/>
  <c r="M375" i="5"/>
  <c r="L375" i="5"/>
  <c r="K375" i="5"/>
  <c r="I375" i="5"/>
  <c r="H375" i="5"/>
  <c r="O374" i="5"/>
  <c r="N374" i="5"/>
  <c r="M374" i="5"/>
  <c r="L374" i="5"/>
  <c r="K374" i="5"/>
  <c r="I374" i="5"/>
  <c r="H374" i="5"/>
  <c r="O373" i="5"/>
  <c r="N373" i="5"/>
  <c r="M373" i="5"/>
  <c r="L373" i="5"/>
  <c r="K373" i="5"/>
  <c r="I373" i="5"/>
  <c r="H373" i="5"/>
  <c r="O372" i="5"/>
  <c r="N372" i="5"/>
  <c r="M372" i="5"/>
  <c r="L372" i="5"/>
  <c r="K372" i="5"/>
  <c r="I372" i="5"/>
  <c r="H372" i="5"/>
  <c r="O371" i="5"/>
  <c r="N371" i="5"/>
  <c r="M371" i="5"/>
  <c r="L371" i="5"/>
  <c r="K371" i="5"/>
  <c r="I371" i="5"/>
  <c r="H371" i="5"/>
  <c r="O370" i="5"/>
  <c r="N370" i="5"/>
  <c r="M370" i="5"/>
  <c r="L370" i="5"/>
  <c r="K370" i="5"/>
  <c r="I370" i="5"/>
  <c r="H370" i="5"/>
  <c r="O369" i="5"/>
  <c r="N369" i="5"/>
  <c r="M369" i="5"/>
  <c r="L369" i="5"/>
  <c r="K369" i="5"/>
  <c r="I369" i="5"/>
  <c r="H369" i="5"/>
  <c r="O368" i="5"/>
  <c r="N368" i="5"/>
  <c r="M368" i="5"/>
  <c r="L368" i="5"/>
  <c r="K368" i="5"/>
  <c r="I368" i="5"/>
  <c r="H368" i="5"/>
  <c r="O367" i="5"/>
  <c r="N367" i="5"/>
  <c r="M367" i="5"/>
  <c r="L367" i="5"/>
  <c r="K367" i="5"/>
  <c r="I367" i="5"/>
  <c r="H367" i="5"/>
  <c r="O366" i="5"/>
  <c r="N366" i="5"/>
  <c r="M366" i="5"/>
  <c r="L366" i="5"/>
  <c r="K366" i="5"/>
  <c r="I366" i="5"/>
  <c r="H366" i="5"/>
  <c r="O365" i="5"/>
  <c r="N365" i="5"/>
  <c r="M365" i="5"/>
  <c r="L365" i="5"/>
  <c r="K365" i="5"/>
  <c r="I365" i="5"/>
  <c r="H365" i="5"/>
  <c r="O364" i="5"/>
  <c r="N364" i="5"/>
  <c r="M364" i="5"/>
  <c r="L364" i="5"/>
  <c r="K364" i="5"/>
  <c r="I364" i="5"/>
  <c r="H364" i="5"/>
  <c r="O363" i="5"/>
  <c r="N363" i="5"/>
  <c r="M363" i="5"/>
  <c r="L363" i="5"/>
  <c r="K363" i="5"/>
  <c r="I363" i="5"/>
  <c r="H363" i="5"/>
  <c r="O362" i="5"/>
  <c r="N362" i="5"/>
  <c r="M362" i="5"/>
  <c r="L362" i="5"/>
  <c r="K362" i="5"/>
  <c r="I362" i="5"/>
  <c r="H362" i="5"/>
  <c r="O361" i="5"/>
  <c r="N361" i="5"/>
  <c r="M361" i="5"/>
  <c r="L361" i="5"/>
  <c r="K361" i="5"/>
  <c r="I361" i="5"/>
  <c r="H361" i="5"/>
  <c r="O360" i="5"/>
  <c r="N360" i="5"/>
  <c r="M360" i="5"/>
  <c r="L360" i="5"/>
  <c r="K360" i="5"/>
  <c r="I360" i="5"/>
  <c r="H360" i="5"/>
  <c r="O359" i="5"/>
  <c r="N359" i="5"/>
  <c r="M359" i="5"/>
  <c r="L359" i="5"/>
  <c r="K359" i="5"/>
  <c r="I359" i="5"/>
  <c r="H359" i="5"/>
  <c r="O358" i="5"/>
  <c r="N358" i="5"/>
  <c r="M358" i="5"/>
  <c r="L358" i="5"/>
  <c r="K358" i="5"/>
  <c r="I358" i="5"/>
  <c r="H358" i="5"/>
  <c r="O357" i="5"/>
  <c r="N357" i="5"/>
  <c r="M357" i="5"/>
  <c r="L357" i="5"/>
  <c r="K357" i="5"/>
  <c r="I357" i="5"/>
  <c r="H357" i="5"/>
  <c r="O356" i="5"/>
  <c r="N356" i="5"/>
  <c r="M356" i="5"/>
  <c r="L356" i="5"/>
  <c r="K356" i="5"/>
  <c r="I356" i="5"/>
  <c r="H356" i="5"/>
  <c r="O355" i="5"/>
  <c r="N355" i="5"/>
  <c r="M355" i="5"/>
  <c r="L355" i="5"/>
  <c r="K355" i="5"/>
  <c r="I355" i="5"/>
  <c r="H355" i="5"/>
  <c r="O354" i="5"/>
  <c r="N354" i="5"/>
  <c r="M354" i="5"/>
  <c r="L354" i="5"/>
  <c r="K354" i="5"/>
  <c r="I354" i="5"/>
  <c r="H354" i="5"/>
  <c r="O353" i="5"/>
  <c r="N353" i="5"/>
  <c r="M353" i="5"/>
  <c r="L353" i="5"/>
  <c r="K353" i="5"/>
  <c r="I353" i="5"/>
  <c r="H353" i="5"/>
  <c r="O352" i="5"/>
  <c r="N352" i="5"/>
  <c r="M352" i="5"/>
  <c r="L352" i="5"/>
  <c r="K352" i="5"/>
  <c r="I352" i="5"/>
  <c r="H352" i="5"/>
  <c r="O351" i="5"/>
  <c r="N351" i="5"/>
  <c r="M351" i="5"/>
  <c r="L351" i="5"/>
  <c r="K351" i="5"/>
  <c r="I351" i="5"/>
  <c r="H351" i="5"/>
  <c r="O350" i="5"/>
  <c r="N350" i="5"/>
  <c r="M350" i="5"/>
  <c r="L350" i="5"/>
  <c r="K350" i="5"/>
  <c r="I350" i="5"/>
  <c r="H350" i="5"/>
  <c r="O349" i="5"/>
  <c r="N349" i="5"/>
  <c r="M349" i="5"/>
  <c r="L349" i="5"/>
  <c r="K349" i="5"/>
  <c r="I349" i="5"/>
  <c r="H349" i="5"/>
  <c r="O348" i="5"/>
  <c r="N348" i="5"/>
  <c r="M348" i="5"/>
  <c r="L348" i="5"/>
  <c r="K348" i="5"/>
  <c r="I348" i="5"/>
  <c r="H348" i="5"/>
  <c r="O347" i="5"/>
  <c r="N347" i="5"/>
  <c r="M347" i="5"/>
  <c r="L347" i="5"/>
  <c r="K347" i="5"/>
  <c r="I347" i="5"/>
  <c r="H347" i="5"/>
  <c r="O346" i="5"/>
  <c r="N346" i="5"/>
  <c r="M346" i="5"/>
  <c r="L346" i="5"/>
  <c r="K346" i="5"/>
  <c r="I346" i="5"/>
  <c r="H346" i="5"/>
  <c r="O345" i="5"/>
  <c r="N345" i="5"/>
  <c r="M345" i="5"/>
  <c r="L345" i="5"/>
  <c r="K345" i="5"/>
  <c r="I345" i="5"/>
  <c r="H345" i="5"/>
  <c r="O344" i="5"/>
  <c r="N344" i="5"/>
  <c r="M344" i="5"/>
  <c r="L344" i="5"/>
  <c r="K344" i="5"/>
  <c r="I344" i="5"/>
  <c r="H344" i="5"/>
  <c r="O343" i="5"/>
  <c r="N343" i="5"/>
  <c r="M343" i="5"/>
  <c r="L343" i="5"/>
  <c r="K343" i="5"/>
  <c r="I343" i="5"/>
  <c r="H343" i="5"/>
  <c r="O342" i="5"/>
  <c r="N342" i="5"/>
  <c r="M342" i="5"/>
  <c r="L342" i="5"/>
  <c r="K342" i="5"/>
  <c r="I342" i="5"/>
  <c r="H342" i="5"/>
  <c r="O341" i="5"/>
  <c r="N341" i="5"/>
  <c r="M341" i="5"/>
  <c r="L341" i="5"/>
  <c r="K341" i="5"/>
  <c r="I341" i="5"/>
  <c r="H341" i="5"/>
  <c r="O340" i="5"/>
  <c r="N340" i="5"/>
  <c r="M340" i="5"/>
  <c r="L340" i="5"/>
  <c r="K340" i="5"/>
  <c r="I340" i="5"/>
  <c r="H340" i="5"/>
  <c r="O339" i="5"/>
  <c r="N339" i="5"/>
  <c r="M339" i="5"/>
  <c r="L339" i="5"/>
  <c r="K339" i="5"/>
  <c r="I339" i="5"/>
  <c r="H339" i="5"/>
  <c r="O338" i="5"/>
  <c r="N338" i="5"/>
  <c r="M338" i="5"/>
  <c r="L338" i="5"/>
  <c r="K338" i="5"/>
  <c r="I338" i="5"/>
  <c r="H338" i="5"/>
  <c r="O337" i="5"/>
  <c r="N337" i="5"/>
  <c r="M337" i="5"/>
  <c r="L337" i="5"/>
  <c r="K337" i="5"/>
  <c r="I337" i="5"/>
  <c r="H337" i="5"/>
  <c r="O336" i="5"/>
  <c r="N336" i="5"/>
  <c r="M336" i="5"/>
  <c r="L336" i="5"/>
  <c r="K336" i="5"/>
  <c r="I336" i="5"/>
  <c r="H336" i="5"/>
  <c r="O335" i="5"/>
  <c r="N335" i="5"/>
  <c r="M335" i="5"/>
  <c r="L335" i="5"/>
  <c r="K335" i="5"/>
  <c r="I335" i="5"/>
  <c r="H335" i="5"/>
  <c r="O334" i="5"/>
  <c r="N334" i="5"/>
  <c r="M334" i="5"/>
  <c r="L334" i="5"/>
  <c r="K334" i="5"/>
  <c r="I334" i="5"/>
  <c r="H334" i="5"/>
  <c r="O333" i="5"/>
  <c r="N333" i="5"/>
  <c r="M333" i="5"/>
  <c r="L333" i="5"/>
  <c r="K333" i="5"/>
  <c r="I333" i="5"/>
  <c r="H333" i="5"/>
  <c r="O332" i="5"/>
  <c r="N332" i="5"/>
  <c r="M332" i="5"/>
  <c r="L332" i="5"/>
  <c r="K332" i="5"/>
  <c r="I332" i="5"/>
  <c r="H332" i="5"/>
  <c r="O331" i="5"/>
  <c r="N331" i="5"/>
  <c r="M331" i="5"/>
  <c r="L331" i="5"/>
  <c r="K331" i="5"/>
  <c r="I331" i="5"/>
  <c r="H331" i="5"/>
  <c r="O330" i="5"/>
  <c r="N330" i="5"/>
  <c r="M330" i="5"/>
  <c r="L330" i="5"/>
  <c r="K330" i="5"/>
  <c r="I330" i="5"/>
  <c r="H330" i="5"/>
  <c r="O329" i="5"/>
  <c r="N329" i="5"/>
  <c r="M329" i="5"/>
  <c r="L329" i="5"/>
  <c r="K329" i="5"/>
  <c r="I329" i="5"/>
  <c r="H329" i="5"/>
  <c r="O328" i="5"/>
  <c r="N328" i="5"/>
  <c r="M328" i="5"/>
  <c r="L328" i="5"/>
  <c r="K328" i="5"/>
  <c r="I328" i="5"/>
  <c r="H328" i="5"/>
  <c r="O327" i="5"/>
  <c r="N327" i="5"/>
  <c r="M327" i="5"/>
  <c r="L327" i="5"/>
  <c r="K327" i="5"/>
  <c r="I327" i="5"/>
  <c r="H327" i="5"/>
  <c r="O326" i="5"/>
  <c r="N326" i="5"/>
  <c r="M326" i="5"/>
  <c r="L326" i="5"/>
  <c r="K326" i="5"/>
  <c r="I326" i="5"/>
  <c r="H326" i="5"/>
  <c r="O325" i="5"/>
  <c r="N325" i="5"/>
  <c r="M325" i="5"/>
  <c r="L325" i="5"/>
  <c r="K325" i="5"/>
  <c r="I325" i="5"/>
  <c r="H325" i="5"/>
  <c r="O324" i="5"/>
  <c r="N324" i="5"/>
  <c r="M324" i="5"/>
  <c r="L324" i="5"/>
  <c r="K324" i="5"/>
  <c r="I324" i="5"/>
  <c r="H324" i="5"/>
  <c r="O323" i="5"/>
  <c r="N323" i="5"/>
  <c r="M323" i="5"/>
  <c r="L323" i="5"/>
  <c r="K323" i="5"/>
  <c r="I323" i="5"/>
  <c r="H323" i="5"/>
  <c r="O322" i="5"/>
  <c r="N322" i="5"/>
  <c r="M322" i="5"/>
  <c r="L322" i="5"/>
  <c r="K322" i="5"/>
  <c r="I322" i="5"/>
  <c r="H322" i="5"/>
  <c r="O321" i="5"/>
  <c r="N321" i="5"/>
  <c r="M321" i="5"/>
  <c r="L321" i="5"/>
  <c r="K321" i="5"/>
  <c r="I321" i="5"/>
  <c r="H321" i="5"/>
  <c r="O320" i="5"/>
  <c r="N320" i="5"/>
  <c r="M320" i="5"/>
  <c r="L320" i="5"/>
  <c r="K320" i="5"/>
  <c r="I320" i="5"/>
  <c r="H320" i="5"/>
  <c r="O319" i="5"/>
  <c r="N319" i="5"/>
  <c r="M319" i="5"/>
  <c r="L319" i="5"/>
  <c r="K319" i="5"/>
  <c r="I319" i="5"/>
  <c r="H319" i="5"/>
  <c r="O318" i="5"/>
  <c r="N318" i="5"/>
  <c r="M318" i="5"/>
  <c r="L318" i="5"/>
  <c r="K318" i="5"/>
  <c r="I318" i="5"/>
  <c r="H318" i="5"/>
  <c r="O317" i="5"/>
  <c r="N317" i="5"/>
  <c r="M317" i="5"/>
  <c r="L317" i="5"/>
  <c r="K317" i="5"/>
  <c r="I317" i="5"/>
  <c r="H317" i="5"/>
  <c r="O316" i="5"/>
  <c r="N316" i="5"/>
  <c r="M316" i="5"/>
  <c r="L316" i="5"/>
  <c r="K316" i="5"/>
  <c r="I316" i="5"/>
  <c r="H316" i="5"/>
  <c r="O315" i="5"/>
  <c r="N315" i="5"/>
  <c r="M315" i="5"/>
  <c r="L315" i="5"/>
  <c r="K315" i="5"/>
  <c r="I315" i="5"/>
  <c r="H315" i="5"/>
  <c r="O314" i="5"/>
  <c r="N314" i="5"/>
  <c r="M314" i="5"/>
  <c r="L314" i="5"/>
  <c r="K314" i="5"/>
  <c r="I314" i="5"/>
  <c r="H314" i="5"/>
  <c r="O313" i="5"/>
  <c r="N313" i="5"/>
  <c r="M313" i="5"/>
  <c r="L313" i="5"/>
  <c r="K313" i="5"/>
  <c r="I313" i="5"/>
  <c r="H313" i="5"/>
  <c r="O312" i="5"/>
  <c r="N312" i="5"/>
  <c r="M312" i="5"/>
  <c r="L312" i="5"/>
  <c r="K312" i="5"/>
  <c r="I312" i="5"/>
  <c r="H312" i="5"/>
  <c r="O311" i="5"/>
  <c r="N311" i="5"/>
  <c r="M311" i="5"/>
  <c r="L311" i="5"/>
  <c r="K311" i="5"/>
  <c r="I311" i="5"/>
  <c r="H311" i="5"/>
  <c r="O310" i="5"/>
  <c r="N310" i="5"/>
  <c r="M310" i="5"/>
  <c r="L310" i="5"/>
  <c r="K310" i="5"/>
  <c r="I310" i="5"/>
  <c r="H310" i="5"/>
  <c r="O309" i="5"/>
  <c r="N309" i="5"/>
  <c r="M309" i="5"/>
  <c r="L309" i="5"/>
  <c r="K309" i="5"/>
  <c r="I309" i="5"/>
  <c r="H309" i="5"/>
  <c r="O308" i="5"/>
  <c r="N308" i="5"/>
  <c r="M308" i="5"/>
  <c r="L308" i="5"/>
  <c r="K308" i="5"/>
  <c r="I308" i="5"/>
  <c r="H308" i="5"/>
  <c r="O307" i="5"/>
  <c r="N307" i="5"/>
  <c r="M307" i="5"/>
  <c r="L307" i="5"/>
  <c r="K307" i="5"/>
  <c r="I307" i="5"/>
  <c r="H307" i="5"/>
  <c r="O306" i="5"/>
  <c r="N306" i="5"/>
  <c r="M306" i="5"/>
  <c r="L306" i="5"/>
  <c r="K306" i="5"/>
  <c r="I306" i="5"/>
  <c r="H306" i="5"/>
  <c r="O305" i="5"/>
  <c r="N305" i="5"/>
  <c r="M305" i="5"/>
  <c r="L305" i="5"/>
  <c r="K305" i="5"/>
  <c r="I305" i="5"/>
  <c r="H305" i="5"/>
  <c r="O304" i="5"/>
  <c r="N304" i="5"/>
  <c r="M304" i="5"/>
  <c r="L304" i="5"/>
  <c r="K304" i="5"/>
  <c r="I304" i="5"/>
  <c r="H304" i="5"/>
  <c r="O303" i="5"/>
  <c r="N303" i="5"/>
  <c r="M303" i="5"/>
  <c r="L303" i="5"/>
  <c r="K303" i="5"/>
  <c r="I303" i="5"/>
  <c r="H303" i="5"/>
  <c r="O302" i="5"/>
  <c r="N302" i="5"/>
  <c r="M302" i="5"/>
  <c r="L302" i="5"/>
  <c r="K302" i="5"/>
  <c r="I302" i="5"/>
  <c r="H302" i="5"/>
  <c r="O301" i="5"/>
  <c r="N301" i="5"/>
  <c r="M301" i="5"/>
  <c r="L301" i="5"/>
  <c r="K301" i="5"/>
  <c r="I301" i="5"/>
  <c r="H301" i="5"/>
  <c r="O300" i="5"/>
  <c r="N300" i="5"/>
  <c r="M300" i="5"/>
  <c r="L300" i="5"/>
  <c r="K300" i="5"/>
  <c r="I300" i="5"/>
  <c r="H300" i="5"/>
  <c r="O299" i="5"/>
  <c r="N299" i="5"/>
  <c r="M299" i="5"/>
  <c r="L299" i="5"/>
  <c r="K299" i="5"/>
  <c r="I299" i="5"/>
  <c r="H299" i="5"/>
  <c r="O298" i="5"/>
  <c r="N298" i="5"/>
  <c r="M298" i="5"/>
  <c r="L298" i="5"/>
  <c r="K298" i="5"/>
  <c r="I298" i="5"/>
  <c r="H298" i="5"/>
  <c r="O297" i="5"/>
  <c r="N297" i="5"/>
  <c r="M297" i="5"/>
  <c r="L297" i="5"/>
  <c r="K297" i="5"/>
  <c r="I297" i="5"/>
  <c r="H297" i="5"/>
  <c r="O296" i="5"/>
  <c r="N296" i="5"/>
  <c r="M296" i="5"/>
  <c r="L296" i="5"/>
  <c r="K296" i="5"/>
  <c r="I296" i="5"/>
  <c r="H296" i="5"/>
  <c r="O295" i="5"/>
  <c r="N295" i="5"/>
  <c r="M295" i="5"/>
  <c r="L295" i="5"/>
  <c r="K295" i="5"/>
  <c r="I295" i="5"/>
  <c r="H295" i="5"/>
  <c r="O294" i="5"/>
  <c r="N294" i="5"/>
  <c r="M294" i="5"/>
  <c r="L294" i="5"/>
  <c r="K294" i="5"/>
  <c r="I294" i="5"/>
  <c r="H294" i="5"/>
  <c r="O293" i="5"/>
  <c r="N293" i="5"/>
  <c r="M293" i="5"/>
  <c r="L293" i="5"/>
  <c r="K293" i="5"/>
  <c r="I293" i="5"/>
  <c r="H293" i="5"/>
  <c r="O292" i="5"/>
  <c r="N292" i="5"/>
  <c r="M292" i="5"/>
  <c r="L292" i="5"/>
  <c r="K292" i="5"/>
  <c r="I292" i="5"/>
  <c r="H292" i="5"/>
  <c r="O291" i="5"/>
  <c r="N291" i="5"/>
  <c r="M291" i="5"/>
  <c r="L291" i="5"/>
  <c r="K291" i="5"/>
  <c r="I291" i="5"/>
  <c r="H291" i="5"/>
  <c r="O290" i="5"/>
  <c r="N290" i="5"/>
  <c r="M290" i="5"/>
  <c r="L290" i="5"/>
  <c r="K290" i="5"/>
  <c r="I290" i="5"/>
  <c r="H290" i="5"/>
  <c r="O289" i="5"/>
  <c r="N289" i="5"/>
  <c r="M289" i="5"/>
  <c r="L289" i="5"/>
  <c r="K289" i="5"/>
  <c r="I289" i="5"/>
  <c r="H289" i="5"/>
  <c r="O288" i="5"/>
  <c r="N288" i="5"/>
  <c r="M288" i="5"/>
  <c r="L288" i="5"/>
  <c r="K288" i="5"/>
  <c r="I288" i="5"/>
  <c r="H288" i="5"/>
  <c r="O287" i="5"/>
  <c r="N287" i="5"/>
  <c r="M287" i="5"/>
  <c r="L287" i="5"/>
  <c r="K287" i="5"/>
  <c r="I287" i="5"/>
  <c r="H287" i="5"/>
  <c r="O286" i="5"/>
  <c r="N286" i="5"/>
  <c r="M286" i="5"/>
  <c r="L286" i="5"/>
  <c r="K286" i="5"/>
  <c r="I286" i="5"/>
  <c r="H286" i="5"/>
  <c r="O285" i="5"/>
  <c r="N285" i="5"/>
  <c r="M285" i="5"/>
  <c r="L285" i="5"/>
  <c r="K285" i="5"/>
  <c r="I285" i="5"/>
  <c r="H285" i="5"/>
  <c r="O284" i="5"/>
  <c r="N284" i="5"/>
  <c r="M284" i="5"/>
  <c r="L284" i="5"/>
  <c r="K284" i="5"/>
  <c r="I284" i="5"/>
  <c r="H284" i="5"/>
  <c r="O283" i="5"/>
  <c r="N283" i="5"/>
  <c r="M283" i="5"/>
  <c r="L283" i="5"/>
  <c r="K283" i="5"/>
  <c r="I283" i="5"/>
  <c r="H283" i="5"/>
  <c r="O282" i="5"/>
  <c r="N282" i="5"/>
  <c r="M282" i="5"/>
  <c r="L282" i="5"/>
  <c r="K282" i="5"/>
  <c r="I282" i="5"/>
  <c r="H282" i="5"/>
  <c r="O281" i="5"/>
  <c r="N281" i="5"/>
  <c r="M281" i="5"/>
  <c r="L281" i="5"/>
  <c r="K281" i="5"/>
  <c r="I281" i="5"/>
  <c r="H281" i="5"/>
  <c r="O280" i="5"/>
  <c r="N280" i="5"/>
  <c r="M280" i="5"/>
  <c r="L280" i="5"/>
  <c r="K280" i="5"/>
  <c r="I280" i="5"/>
  <c r="H280" i="5"/>
  <c r="O279" i="5"/>
  <c r="N279" i="5"/>
  <c r="M279" i="5"/>
  <c r="L279" i="5"/>
  <c r="K279" i="5"/>
  <c r="I279" i="5"/>
  <c r="H279" i="5"/>
  <c r="O278" i="5"/>
  <c r="N278" i="5"/>
  <c r="M278" i="5"/>
  <c r="L278" i="5"/>
  <c r="K278" i="5"/>
  <c r="I278" i="5"/>
  <c r="H278" i="5"/>
  <c r="O277" i="5"/>
  <c r="N277" i="5"/>
  <c r="M277" i="5"/>
  <c r="L277" i="5"/>
  <c r="K277" i="5"/>
  <c r="I277" i="5"/>
  <c r="H277" i="5"/>
  <c r="O276" i="5"/>
  <c r="N276" i="5"/>
  <c r="M276" i="5"/>
  <c r="L276" i="5"/>
  <c r="K276" i="5"/>
  <c r="I276" i="5"/>
  <c r="H276" i="5"/>
  <c r="O275" i="5"/>
  <c r="N275" i="5"/>
  <c r="M275" i="5"/>
  <c r="L275" i="5"/>
  <c r="K275" i="5"/>
  <c r="I275" i="5"/>
  <c r="H275" i="5"/>
  <c r="O274" i="5"/>
  <c r="N274" i="5"/>
  <c r="M274" i="5"/>
  <c r="L274" i="5"/>
  <c r="K274" i="5"/>
  <c r="I274" i="5"/>
  <c r="H274" i="5"/>
  <c r="O273" i="5"/>
  <c r="N273" i="5"/>
  <c r="M273" i="5"/>
  <c r="L273" i="5"/>
  <c r="K273" i="5"/>
  <c r="I273" i="5"/>
  <c r="H273" i="5"/>
  <c r="O272" i="5"/>
  <c r="N272" i="5"/>
  <c r="M272" i="5"/>
  <c r="L272" i="5"/>
  <c r="K272" i="5"/>
  <c r="I272" i="5"/>
  <c r="H272" i="5"/>
  <c r="O271" i="5"/>
  <c r="N271" i="5"/>
  <c r="M271" i="5"/>
  <c r="L271" i="5"/>
  <c r="K271" i="5"/>
  <c r="I271" i="5"/>
  <c r="H271" i="5"/>
  <c r="O270" i="5"/>
  <c r="N270" i="5"/>
  <c r="M270" i="5"/>
  <c r="L270" i="5"/>
  <c r="K270" i="5"/>
  <c r="I270" i="5"/>
  <c r="H270" i="5"/>
  <c r="O269" i="5"/>
  <c r="N269" i="5"/>
  <c r="M269" i="5"/>
  <c r="L269" i="5"/>
  <c r="K269" i="5"/>
  <c r="I269" i="5"/>
  <c r="H269" i="5"/>
  <c r="O268" i="5"/>
  <c r="N268" i="5"/>
  <c r="M268" i="5"/>
  <c r="L268" i="5"/>
  <c r="K268" i="5"/>
  <c r="I268" i="5"/>
  <c r="H268" i="5"/>
  <c r="O267" i="5"/>
  <c r="N267" i="5"/>
  <c r="M267" i="5"/>
  <c r="L267" i="5"/>
  <c r="K267" i="5"/>
  <c r="I267" i="5"/>
  <c r="H267" i="5"/>
  <c r="O266" i="5"/>
  <c r="N266" i="5"/>
  <c r="M266" i="5"/>
  <c r="L266" i="5"/>
  <c r="K266" i="5"/>
  <c r="I266" i="5"/>
  <c r="H266" i="5"/>
  <c r="O265" i="5"/>
  <c r="N265" i="5"/>
  <c r="M265" i="5"/>
  <c r="L265" i="5"/>
  <c r="K265" i="5"/>
  <c r="I265" i="5"/>
  <c r="H265" i="5"/>
  <c r="O264" i="5"/>
  <c r="N264" i="5"/>
  <c r="M264" i="5"/>
  <c r="L264" i="5"/>
  <c r="K264" i="5"/>
  <c r="I264" i="5"/>
  <c r="H264" i="5"/>
  <c r="O263" i="5"/>
  <c r="N263" i="5"/>
  <c r="M263" i="5"/>
  <c r="L263" i="5"/>
  <c r="K263" i="5"/>
  <c r="I263" i="5"/>
  <c r="H263" i="5"/>
  <c r="O262" i="5"/>
  <c r="N262" i="5"/>
  <c r="M262" i="5"/>
  <c r="L262" i="5"/>
  <c r="K262" i="5"/>
  <c r="I262" i="5"/>
  <c r="H262" i="5"/>
  <c r="O261" i="5"/>
  <c r="N261" i="5"/>
  <c r="M261" i="5"/>
  <c r="L261" i="5"/>
  <c r="K261" i="5"/>
  <c r="I261" i="5"/>
  <c r="H261" i="5"/>
  <c r="O260" i="5"/>
  <c r="N260" i="5"/>
  <c r="M260" i="5"/>
  <c r="L260" i="5"/>
  <c r="K260" i="5"/>
  <c r="I260" i="5"/>
  <c r="H260" i="5"/>
  <c r="O259" i="5"/>
  <c r="N259" i="5"/>
  <c r="M259" i="5"/>
  <c r="L259" i="5"/>
  <c r="K259" i="5"/>
  <c r="I259" i="5"/>
  <c r="H259" i="5"/>
  <c r="O258" i="5"/>
  <c r="N258" i="5"/>
  <c r="M258" i="5"/>
  <c r="L258" i="5"/>
  <c r="K258" i="5"/>
  <c r="I258" i="5"/>
  <c r="H258" i="5"/>
  <c r="O257" i="5"/>
  <c r="N257" i="5"/>
  <c r="M257" i="5"/>
  <c r="L257" i="5"/>
  <c r="K257" i="5"/>
  <c r="I257" i="5"/>
  <c r="H257" i="5"/>
  <c r="O256" i="5"/>
  <c r="N256" i="5"/>
  <c r="M256" i="5"/>
  <c r="L256" i="5"/>
  <c r="K256" i="5"/>
  <c r="I256" i="5"/>
  <c r="H256" i="5"/>
  <c r="O255" i="5"/>
  <c r="N255" i="5"/>
  <c r="M255" i="5"/>
  <c r="L255" i="5"/>
  <c r="K255" i="5"/>
  <c r="I255" i="5"/>
  <c r="H255" i="5"/>
  <c r="O254" i="5"/>
  <c r="N254" i="5"/>
  <c r="M254" i="5"/>
  <c r="L254" i="5"/>
  <c r="K254" i="5"/>
  <c r="I254" i="5"/>
  <c r="H254" i="5"/>
  <c r="O253" i="5"/>
  <c r="N253" i="5"/>
  <c r="M253" i="5"/>
  <c r="L253" i="5"/>
  <c r="K253" i="5"/>
  <c r="I253" i="5"/>
  <c r="H253" i="5"/>
  <c r="O252" i="5"/>
  <c r="N252" i="5"/>
  <c r="M252" i="5"/>
  <c r="L252" i="5"/>
  <c r="K252" i="5"/>
  <c r="I252" i="5"/>
  <c r="H252" i="5"/>
  <c r="O251" i="5"/>
  <c r="N251" i="5"/>
  <c r="M251" i="5"/>
  <c r="L251" i="5"/>
  <c r="K251" i="5"/>
  <c r="I251" i="5"/>
  <c r="H251" i="5"/>
  <c r="O250" i="5"/>
  <c r="N250" i="5"/>
  <c r="M250" i="5"/>
  <c r="L250" i="5"/>
  <c r="K250" i="5"/>
  <c r="I250" i="5"/>
  <c r="H250" i="5"/>
  <c r="O249" i="5"/>
  <c r="N249" i="5"/>
  <c r="M249" i="5"/>
  <c r="L249" i="5"/>
  <c r="K249" i="5"/>
  <c r="I249" i="5"/>
  <c r="H249" i="5"/>
  <c r="O248" i="5"/>
  <c r="N248" i="5"/>
  <c r="M248" i="5"/>
  <c r="L248" i="5"/>
  <c r="K248" i="5"/>
  <c r="I248" i="5"/>
  <c r="H248" i="5"/>
  <c r="O247" i="5"/>
  <c r="N247" i="5"/>
  <c r="M247" i="5"/>
  <c r="L247" i="5"/>
  <c r="K247" i="5"/>
  <c r="I247" i="5"/>
  <c r="H247" i="5"/>
  <c r="O246" i="5"/>
  <c r="N246" i="5"/>
  <c r="M246" i="5"/>
  <c r="L246" i="5"/>
  <c r="K246" i="5"/>
  <c r="I246" i="5"/>
  <c r="H246" i="5"/>
  <c r="O245" i="5"/>
  <c r="N245" i="5"/>
  <c r="M245" i="5"/>
  <c r="L245" i="5"/>
  <c r="K245" i="5"/>
  <c r="I245" i="5"/>
  <c r="H245" i="5"/>
  <c r="O244" i="5"/>
  <c r="N244" i="5"/>
  <c r="M244" i="5"/>
  <c r="L244" i="5"/>
  <c r="K244" i="5"/>
  <c r="I244" i="5"/>
  <c r="H244" i="5"/>
  <c r="O243" i="5"/>
  <c r="N243" i="5"/>
  <c r="M243" i="5"/>
  <c r="L243" i="5"/>
  <c r="K243" i="5"/>
  <c r="I243" i="5"/>
  <c r="H243" i="5"/>
  <c r="O242" i="5"/>
  <c r="N242" i="5"/>
  <c r="M242" i="5"/>
  <c r="L242" i="5"/>
  <c r="K242" i="5"/>
  <c r="I242" i="5"/>
  <c r="H242" i="5"/>
  <c r="O241" i="5"/>
  <c r="N241" i="5"/>
  <c r="M241" i="5"/>
  <c r="L241" i="5"/>
  <c r="K241" i="5"/>
  <c r="I241" i="5"/>
  <c r="H241" i="5"/>
  <c r="O240" i="5"/>
  <c r="N240" i="5"/>
  <c r="M240" i="5"/>
  <c r="L240" i="5"/>
  <c r="K240" i="5"/>
  <c r="I240" i="5"/>
  <c r="H240" i="5"/>
  <c r="O239" i="5"/>
  <c r="N239" i="5"/>
  <c r="M239" i="5"/>
  <c r="L239" i="5"/>
  <c r="K239" i="5"/>
  <c r="I239" i="5"/>
  <c r="H239" i="5"/>
  <c r="O238" i="5"/>
  <c r="N238" i="5"/>
  <c r="M238" i="5"/>
  <c r="L238" i="5"/>
  <c r="K238" i="5"/>
  <c r="I238" i="5"/>
  <c r="H238" i="5"/>
  <c r="O237" i="5"/>
  <c r="N237" i="5"/>
  <c r="M237" i="5"/>
  <c r="L237" i="5"/>
  <c r="K237" i="5"/>
  <c r="I237" i="5"/>
  <c r="H237" i="5"/>
  <c r="O236" i="5"/>
  <c r="N236" i="5"/>
  <c r="M236" i="5"/>
  <c r="L236" i="5"/>
  <c r="K236" i="5"/>
  <c r="I236" i="5"/>
  <c r="H236" i="5"/>
  <c r="O235" i="5"/>
  <c r="N235" i="5"/>
  <c r="M235" i="5"/>
  <c r="L235" i="5"/>
  <c r="K235" i="5"/>
  <c r="I235" i="5"/>
  <c r="H235" i="5"/>
  <c r="O234" i="5"/>
  <c r="N234" i="5"/>
  <c r="M234" i="5"/>
  <c r="L234" i="5"/>
  <c r="K234" i="5"/>
  <c r="I234" i="5"/>
  <c r="H234" i="5"/>
  <c r="O233" i="5"/>
  <c r="N233" i="5"/>
  <c r="M233" i="5"/>
  <c r="L233" i="5"/>
  <c r="K233" i="5"/>
  <c r="I233" i="5"/>
  <c r="H233" i="5"/>
  <c r="O232" i="5"/>
  <c r="N232" i="5"/>
  <c r="M232" i="5"/>
  <c r="L232" i="5"/>
  <c r="K232" i="5"/>
  <c r="I232" i="5"/>
  <c r="H232" i="5"/>
  <c r="O231" i="5"/>
  <c r="N231" i="5"/>
  <c r="M231" i="5"/>
  <c r="L231" i="5"/>
  <c r="K231" i="5"/>
  <c r="I231" i="5"/>
  <c r="H231" i="5"/>
  <c r="O230" i="5"/>
  <c r="N230" i="5"/>
  <c r="M230" i="5"/>
  <c r="L230" i="5"/>
  <c r="K230" i="5"/>
  <c r="I230" i="5"/>
  <c r="H230" i="5"/>
  <c r="O229" i="5"/>
  <c r="N229" i="5"/>
  <c r="M229" i="5"/>
  <c r="L229" i="5"/>
  <c r="K229" i="5"/>
  <c r="I229" i="5"/>
  <c r="H229" i="5"/>
  <c r="O228" i="5"/>
  <c r="N228" i="5"/>
  <c r="M228" i="5"/>
  <c r="L228" i="5"/>
  <c r="K228" i="5"/>
  <c r="I228" i="5"/>
  <c r="H228" i="5"/>
  <c r="O227" i="5"/>
  <c r="N227" i="5"/>
  <c r="M227" i="5"/>
  <c r="L227" i="5"/>
  <c r="K227" i="5"/>
  <c r="I227" i="5"/>
  <c r="H227" i="5"/>
  <c r="O226" i="5"/>
  <c r="N226" i="5"/>
  <c r="M226" i="5"/>
  <c r="L226" i="5"/>
  <c r="K226" i="5"/>
  <c r="I226" i="5"/>
  <c r="H226" i="5"/>
  <c r="O225" i="5"/>
  <c r="N225" i="5"/>
  <c r="M225" i="5"/>
  <c r="L225" i="5"/>
  <c r="K225" i="5"/>
  <c r="I225" i="5"/>
  <c r="H225" i="5"/>
  <c r="O224" i="5"/>
  <c r="N224" i="5"/>
  <c r="M224" i="5"/>
  <c r="L224" i="5"/>
  <c r="K224" i="5"/>
  <c r="I224" i="5"/>
  <c r="H224" i="5"/>
  <c r="O223" i="5"/>
  <c r="N223" i="5"/>
  <c r="M223" i="5"/>
  <c r="L223" i="5"/>
  <c r="K223" i="5"/>
  <c r="I223" i="5"/>
  <c r="H223" i="5"/>
  <c r="O222" i="5"/>
  <c r="N222" i="5"/>
  <c r="M222" i="5"/>
  <c r="L222" i="5"/>
  <c r="K222" i="5"/>
  <c r="I222" i="5"/>
  <c r="H222" i="5"/>
  <c r="O221" i="5"/>
  <c r="N221" i="5"/>
  <c r="M221" i="5"/>
  <c r="L221" i="5"/>
  <c r="K221" i="5"/>
  <c r="I221" i="5"/>
  <c r="H221" i="5"/>
  <c r="O220" i="5"/>
  <c r="N220" i="5"/>
  <c r="M220" i="5"/>
  <c r="L220" i="5"/>
  <c r="K220" i="5"/>
  <c r="I220" i="5"/>
  <c r="H220" i="5"/>
  <c r="O219" i="5"/>
  <c r="N219" i="5"/>
  <c r="M219" i="5"/>
  <c r="L219" i="5"/>
  <c r="K219" i="5"/>
  <c r="I219" i="5"/>
  <c r="H219" i="5"/>
  <c r="O218" i="5"/>
  <c r="N218" i="5"/>
  <c r="M218" i="5"/>
  <c r="L218" i="5"/>
  <c r="K218" i="5"/>
  <c r="I218" i="5"/>
  <c r="H218" i="5"/>
  <c r="O217" i="5"/>
  <c r="N217" i="5"/>
  <c r="M217" i="5"/>
  <c r="L217" i="5"/>
  <c r="K217" i="5"/>
  <c r="I217" i="5"/>
  <c r="H217" i="5"/>
  <c r="O216" i="5"/>
  <c r="N216" i="5"/>
  <c r="M216" i="5"/>
  <c r="L216" i="5"/>
  <c r="K216" i="5"/>
  <c r="I216" i="5"/>
  <c r="H216" i="5"/>
  <c r="O215" i="5"/>
  <c r="N215" i="5"/>
  <c r="M215" i="5"/>
  <c r="L215" i="5"/>
  <c r="K215" i="5"/>
  <c r="I215" i="5"/>
  <c r="H215" i="5"/>
  <c r="O214" i="5"/>
  <c r="N214" i="5"/>
  <c r="M214" i="5"/>
  <c r="L214" i="5"/>
  <c r="K214" i="5"/>
  <c r="I214" i="5"/>
  <c r="H214" i="5"/>
  <c r="O213" i="5"/>
  <c r="N213" i="5"/>
  <c r="M213" i="5"/>
  <c r="L213" i="5"/>
  <c r="K213" i="5"/>
  <c r="I213" i="5"/>
  <c r="H213" i="5"/>
  <c r="O212" i="5"/>
  <c r="N212" i="5"/>
  <c r="M212" i="5"/>
  <c r="L212" i="5"/>
  <c r="K212" i="5"/>
  <c r="I212" i="5"/>
  <c r="H212" i="5"/>
  <c r="O211" i="5"/>
  <c r="N211" i="5"/>
  <c r="M211" i="5"/>
  <c r="L211" i="5"/>
  <c r="K211" i="5"/>
  <c r="I211" i="5"/>
  <c r="H211" i="5"/>
  <c r="O210" i="5"/>
  <c r="N210" i="5"/>
  <c r="M210" i="5"/>
  <c r="L210" i="5"/>
  <c r="K210" i="5"/>
  <c r="I210" i="5"/>
  <c r="H210" i="5"/>
  <c r="O209" i="5"/>
  <c r="N209" i="5"/>
  <c r="M209" i="5"/>
  <c r="L209" i="5"/>
  <c r="K209" i="5"/>
  <c r="I209" i="5"/>
  <c r="H209" i="5"/>
  <c r="O208" i="5"/>
  <c r="N208" i="5"/>
  <c r="M208" i="5"/>
  <c r="L208" i="5"/>
  <c r="K208" i="5"/>
  <c r="I208" i="5"/>
  <c r="H208" i="5"/>
  <c r="O207" i="5"/>
  <c r="N207" i="5"/>
  <c r="M207" i="5"/>
  <c r="L207" i="5"/>
  <c r="K207" i="5"/>
  <c r="I207" i="5"/>
  <c r="H207" i="5"/>
  <c r="O206" i="5"/>
  <c r="N206" i="5"/>
  <c r="M206" i="5"/>
  <c r="L206" i="5"/>
  <c r="K206" i="5"/>
  <c r="I206" i="5"/>
  <c r="H206" i="5"/>
  <c r="O205" i="5"/>
  <c r="N205" i="5"/>
  <c r="M205" i="5"/>
  <c r="L205" i="5"/>
  <c r="K205" i="5"/>
  <c r="I205" i="5"/>
  <c r="H205" i="5"/>
  <c r="O204" i="5"/>
  <c r="N204" i="5"/>
  <c r="M204" i="5"/>
  <c r="L204" i="5"/>
  <c r="K204" i="5"/>
  <c r="I204" i="5"/>
  <c r="H204" i="5"/>
  <c r="O203" i="5"/>
  <c r="N203" i="5"/>
  <c r="M203" i="5"/>
  <c r="L203" i="5"/>
  <c r="K203" i="5"/>
  <c r="I203" i="5"/>
  <c r="H203" i="5"/>
  <c r="O202" i="5"/>
  <c r="N202" i="5"/>
  <c r="M202" i="5"/>
  <c r="L202" i="5"/>
  <c r="K202" i="5"/>
  <c r="I202" i="5"/>
  <c r="H202" i="5"/>
  <c r="O201" i="5"/>
  <c r="N201" i="5"/>
  <c r="M201" i="5"/>
  <c r="L201" i="5"/>
  <c r="K201" i="5"/>
  <c r="I201" i="5"/>
  <c r="H201" i="5"/>
  <c r="O200" i="5"/>
  <c r="N200" i="5"/>
  <c r="M200" i="5"/>
  <c r="L200" i="5"/>
  <c r="K200" i="5"/>
  <c r="I200" i="5"/>
  <c r="H200" i="5"/>
  <c r="O199" i="5"/>
  <c r="N199" i="5"/>
  <c r="M199" i="5"/>
  <c r="L199" i="5"/>
  <c r="K199" i="5"/>
  <c r="I199" i="5"/>
  <c r="H199" i="5"/>
  <c r="O198" i="5"/>
  <c r="N198" i="5"/>
  <c r="M198" i="5"/>
  <c r="L198" i="5"/>
  <c r="K198" i="5"/>
  <c r="I198" i="5"/>
  <c r="H198" i="5"/>
  <c r="O197" i="5"/>
  <c r="N197" i="5"/>
  <c r="M197" i="5"/>
  <c r="L197" i="5"/>
  <c r="K197" i="5"/>
  <c r="I197" i="5"/>
  <c r="H197" i="5"/>
  <c r="O196" i="5"/>
  <c r="N196" i="5"/>
  <c r="M196" i="5"/>
  <c r="L196" i="5"/>
  <c r="K196" i="5"/>
  <c r="I196" i="5"/>
  <c r="H196" i="5"/>
  <c r="O195" i="5"/>
  <c r="N195" i="5"/>
  <c r="M195" i="5"/>
  <c r="L195" i="5"/>
  <c r="K195" i="5"/>
  <c r="I195" i="5"/>
  <c r="H195" i="5"/>
  <c r="O194" i="5"/>
  <c r="N194" i="5"/>
  <c r="M194" i="5"/>
  <c r="L194" i="5"/>
  <c r="K194" i="5"/>
  <c r="I194" i="5"/>
  <c r="H194" i="5"/>
  <c r="O193" i="5"/>
  <c r="N193" i="5"/>
  <c r="M193" i="5"/>
  <c r="L193" i="5"/>
  <c r="K193" i="5"/>
  <c r="I193" i="5"/>
  <c r="H193" i="5"/>
  <c r="O192" i="5"/>
  <c r="N192" i="5"/>
  <c r="M192" i="5"/>
  <c r="L192" i="5"/>
  <c r="K192" i="5"/>
  <c r="I192" i="5"/>
  <c r="H192" i="5"/>
  <c r="O191" i="5"/>
  <c r="N191" i="5"/>
  <c r="M191" i="5"/>
  <c r="L191" i="5"/>
  <c r="K191" i="5"/>
  <c r="I191" i="5"/>
  <c r="H191" i="5"/>
  <c r="O190" i="5"/>
  <c r="N190" i="5"/>
  <c r="M190" i="5"/>
  <c r="L190" i="5"/>
  <c r="K190" i="5"/>
  <c r="I190" i="5"/>
  <c r="H190" i="5"/>
  <c r="O189" i="5"/>
  <c r="N189" i="5"/>
  <c r="M189" i="5"/>
  <c r="L189" i="5"/>
  <c r="K189" i="5"/>
  <c r="I189" i="5"/>
  <c r="H189" i="5"/>
  <c r="O188" i="5"/>
  <c r="N188" i="5"/>
  <c r="M188" i="5"/>
  <c r="L188" i="5"/>
  <c r="K188" i="5"/>
  <c r="I188" i="5"/>
  <c r="H188" i="5"/>
  <c r="O187" i="5"/>
  <c r="N187" i="5"/>
  <c r="M187" i="5"/>
  <c r="L187" i="5"/>
  <c r="K187" i="5"/>
  <c r="I187" i="5"/>
  <c r="H187" i="5"/>
  <c r="O186" i="5"/>
  <c r="N186" i="5"/>
  <c r="M186" i="5"/>
  <c r="L186" i="5"/>
  <c r="K186" i="5"/>
  <c r="I186" i="5"/>
  <c r="H186" i="5"/>
  <c r="O185" i="5"/>
  <c r="N185" i="5"/>
  <c r="M185" i="5"/>
  <c r="L185" i="5"/>
  <c r="K185" i="5"/>
  <c r="I185" i="5"/>
  <c r="H185" i="5"/>
  <c r="O184" i="5"/>
  <c r="N184" i="5"/>
  <c r="M184" i="5"/>
  <c r="L184" i="5"/>
  <c r="K184" i="5"/>
  <c r="I184" i="5"/>
  <c r="H184" i="5"/>
  <c r="O183" i="5"/>
  <c r="N183" i="5"/>
  <c r="M183" i="5"/>
  <c r="L183" i="5"/>
  <c r="K183" i="5"/>
  <c r="I183" i="5"/>
  <c r="H183" i="5"/>
  <c r="O182" i="5"/>
  <c r="N182" i="5"/>
  <c r="M182" i="5"/>
  <c r="L182" i="5"/>
  <c r="K182" i="5"/>
  <c r="I182" i="5"/>
  <c r="H182" i="5"/>
  <c r="O181" i="5"/>
  <c r="N181" i="5"/>
  <c r="M181" i="5"/>
  <c r="L181" i="5"/>
  <c r="K181" i="5"/>
  <c r="I181" i="5"/>
  <c r="H181" i="5"/>
  <c r="O180" i="5"/>
  <c r="N180" i="5"/>
  <c r="M180" i="5"/>
  <c r="L180" i="5"/>
  <c r="K180" i="5"/>
  <c r="I180" i="5"/>
  <c r="H180" i="5"/>
  <c r="O179" i="5"/>
  <c r="N179" i="5"/>
  <c r="M179" i="5"/>
  <c r="L179" i="5"/>
  <c r="K179" i="5"/>
  <c r="I179" i="5"/>
  <c r="H179" i="5"/>
  <c r="O178" i="5"/>
  <c r="N178" i="5"/>
  <c r="M178" i="5"/>
  <c r="L178" i="5"/>
  <c r="K178" i="5"/>
  <c r="I178" i="5"/>
  <c r="H178" i="5"/>
  <c r="O177" i="5"/>
  <c r="N177" i="5"/>
  <c r="M177" i="5"/>
  <c r="L177" i="5"/>
  <c r="K177" i="5"/>
  <c r="I177" i="5"/>
  <c r="H177" i="5"/>
  <c r="O176" i="5"/>
  <c r="N176" i="5"/>
  <c r="M176" i="5"/>
  <c r="L176" i="5"/>
  <c r="K176" i="5"/>
  <c r="I176" i="5"/>
  <c r="H176" i="5"/>
  <c r="O175" i="5"/>
  <c r="N175" i="5"/>
  <c r="M175" i="5"/>
  <c r="L175" i="5"/>
  <c r="K175" i="5"/>
  <c r="I175" i="5"/>
  <c r="H175" i="5"/>
  <c r="O174" i="5"/>
  <c r="N174" i="5"/>
  <c r="M174" i="5"/>
  <c r="L174" i="5"/>
  <c r="K174" i="5"/>
  <c r="I174" i="5"/>
  <c r="H174" i="5"/>
  <c r="O173" i="5"/>
  <c r="N173" i="5"/>
  <c r="M173" i="5"/>
  <c r="L173" i="5"/>
  <c r="K173" i="5"/>
  <c r="I173" i="5"/>
  <c r="H173" i="5"/>
  <c r="O172" i="5"/>
  <c r="N172" i="5"/>
  <c r="M172" i="5"/>
  <c r="L172" i="5"/>
  <c r="K172" i="5"/>
  <c r="I172" i="5"/>
  <c r="H172" i="5"/>
  <c r="O171" i="5"/>
  <c r="N171" i="5"/>
  <c r="M171" i="5"/>
  <c r="L171" i="5"/>
  <c r="K171" i="5"/>
  <c r="I171" i="5"/>
  <c r="H171" i="5"/>
  <c r="O170" i="5"/>
  <c r="N170" i="5"/>
  <c r="M170" i="5"/>
  <c r="L170" i="5"/>
  <c r="K170" i="5"/>
  <c r="I170" i="5"/>
  <c r="H170" i="5"/>
  <c r="O169" i="5"/>
  <c r="N169" i="5"/>
  <c r="M169" i="5"/>
  <c r="L169" i="5"/>
  <c r="K169" i="5"/>
  <c r="I169" i="5"/>
  <c r="H169" i="5"/>
  <c r="O168" i="5"/>
  <c r="N168" i="5"/>
  <c r="M168" i="5"/>
  <c r="L168" i="5"/>
  <c r="K168" i="5"/>
  <c r="I168" i="5"/>
  <c r="H168" i="5"/>
  <c r="O167" i="5"/>
  <c r="N167" i="5"/>
  <c r="M167" i="5"/>
  <c r="L167" i="5"/>
  <c r="K167" i="5"/>
  <c r="I167" i="5"/>
  <c r="H167" i="5"/>
  <c r="O166" i="5"/>
  <c r="N166" i="5"/>
  <c r="M166" i="5"/>
  <c r="L166" i="5"/>
  <c r="K166" i="5"/>
  <c r="I166" i="5"/>
  <c r="H166" i="5"/>
  <c r="O165" i="5"/>
  <c r="N165" i="5"/>
  <c r="M165" i="5"/>
  <c r="L165" i="5"/>
  <c r="K165" i="5"/>
  <c r="I165" i="5"/>
  <c r="H165" i="5"/>
  <c r="O164" i="5"/>
  <c r="N164" i="5"/>
  <c r="M164" i="5"/>
  <c r="L164" i="5"/>
  <c r="K164" i="5"/>
  <c r="I164" i="5"/>
  <c r="H164" i="5"/>
  <c r="O163" i="5"/>
  <c r="N163" i="5"/>
  <c r="M163" i="5"/>
  <c r="L163" i="5"/>
  <c r="K163" i="5"/>
  <c r="I163" i="5"/>
  <c r="H163" i="5"/>
  <c r="O162" i="5"/>
  <c r="N162" i="5"/>
  <c r="M162" i="5"/>
  <c r="L162" i="5"/>
  <c r="K162" i="5"/>
  <c r="I162" i="5"/>
  <c r="H162" i="5"/>
  <c r="O161" i="5"/>
  <c r="N161" i="5"/>
  <c r="M161" i="5"/>
  <c r="L161" i="5"/>
  <c r="K161" i="5"/>
  <c r="I161" i="5"/>
  <c r="H161" i="5"/>
  <c r="O160" i="5"/>
  <c r="N160" i="5"/>
  <c r="M160" i="5"/>
  <c r="L160" i="5"/>
  <c r="K160" i="5"/>
  <c r="I160" i="5"/>
  <c r="H160" i="5"/>
  <c r="O159" i="5"/>
  <c r="N159" i="5"/>
  <c r="M159" i="5"/>
  <c r="L159" i="5"/>
  <c r="K159" i="5"/>
  <c r="I159" i="5"/>
  <c r="H159" i="5"/>
  <c r="O158" i="5"/>
  <c r="N158" i="5"/>
  <c r="M158" i="5"/>
  <c r="L158" i="5"/>
  <c r="K158" i="5"/>
  <c r="I158" i="5"/>
  <c r="H158" i="5"/>
  <c r="O157" i="5"/>
  <c r="N157" i="5"/>
  <c r="M157" i="5"/>
  <c r="L157" i="5"/>
  <c r="K157" i="5"/>
  <c r="I157" i="5"/>
  <c r="H157" i="5"/>
  <c r="O156" i="5"/>
  <c r="N156" i="5"/>
  <c r="M156" i="5"/>
  <c r="L156" i="5"/>
  <c r="K156" i="5"/>
  <c r="I156" i="5"/>
  <c r="H156" i="5"/>
  <c r="O155" i="5"/>
  <c r="N155" i="5"/>
  <c r="M155" i="5"/>
  <c r="L155" i="5"/>
  <c r="K155" i="5"/>
  <c r="I155" i="5"/>
  <c r="H155" i="5"/>
  <c r="O154" i="5"/>
  <c r="N154" i="5"/>
  <c r="M154" i="5"/>
  <c r="L154" i="5"/>
  <c r="K154" i="5"/>
  <c r="I154" i="5"/>
  <c r="H154" i="5"/>
  <c r="O153" i="5"/>
  <c r="N153" i="5"/>
  <c r="M153" i="5"/>
  <c r="L153" i="5"/>
  <c r="K153" i="5"/>
  <c r="I153" i="5"/>
  <c r="H153" i="5"/>
  <c r="O152" i="5"/>
  <c r="N152" i="5"/>
  <c r="M152" i="5"/>
  <c r="L152" i="5"/>
  <c r="K152" i="5"/>
  <c r="I152" i="5"/>
  <c r="H152" i="5"/>
  <c r="O151" i="5"/>
  <c r="N151" i="5"/>
  <c r="M151" i="5"/>
  <c r="L151" i="5"/>
  <c r="K151" i="5"/>
  <c r="I151" i="5"/>
  <c r="H151" i="5"/>
  <c r="O150" i="5"/>
  <c r="N150" i="5"/>
  <c r="M150" i="5"/>
  <c r="L150" i="5"/>
  <c r="K150" i="5"/>
  <c r="I150" i="5"/>
  <c r="H150" i="5"/>
  <c r="O149" i="5"/>
  <c r="N149" i="5"/>
  <c r="M149" i="5"/>
  <c r="L149" i="5"/>
  <c r="K149" i="5"/>
  <c r="I149" i="5"/>
  <c r="H149" i="5"/>
  <c r="O148" i="5"/>
  <c r="N148" i="5"/>
  <c r="M148" i="5"/>
  <c r="L148" i="5"/>
  <c r="K148" i="5"/>
  <c r="I148" i="5"/>
  <c r="H148" i="5"/>
  <c r="O147" i="5"/>
  <c r="N147" i="5"/>
  <c r="M147" i="5"/>
  <c r="L147" i="5"/>
  <c r="K147" i="5"/>
  <c r="I147" i="5"/>
  <c r="H147" i="5"/>
  <c r="O146" i="5"/>
  <c r="N146" i="5"/>
  <c r="M146" i="5"/>
  <c r="L146" i="5"/>
  <c r="K146" i="5"/>
  <c r="I146" i="5"/>
  <c r="H146" i="5"/>
  <c r="O145" i="5"/>
  <c r="N145" i="5"/>
  <c r="M145" i="5"/>
  <c r="L145" i="5"/>
  <c r="K145" i="5"/>
  <c r="I145" i="5"/>
  <c r="H145" i="5"/>
  <c r="O144" i="5"/>
  <c r="N144" i="5"/>
  <c r="M144" i="5"/>
  <c r="L144" i="5"/>
  <c r="K144" i="5"/>
  <c r="I144" i="5"/>
  <c r="H144" i="5"/>
  <c r="O143" i="5"/>
  <c r="N143" i="5"/>
  <c r="M143" i="5"/>
  <c r="L143" i="5"/>
  <c r="K143" i="5"/>
  <c r="I143" i="5"/>
  <c r="H143" i="5"/>
  <c r="O142" i="5"/>
  <c r="N142" i="5"/>
  <c r="M142" i="5"/>
  <c r="L142" i="5"/>
  <c r="K142" i="5"/>
  <c r="I142" i="5"/>
  <c r="H142" i="5"/>
  <c r="O141" i="5"/>
  <c r="N141" i="5"/>
  <c r="M141" i="5"/>
  <c r="L141" i="5"/>
  <c r="K141" i="5"/>
  <c r="I141" i="5"/>
  <c r="H141" i="5"/>
  <c r="O140" i="5"/>
  <c r="N140" i="5"/>
  <c r="M140" i="5"/>
  <c r="L140" i="5"/>
  <c r="K140" i="5"/>
  <c r="I140" i="5"/>
  <c r="H140" i="5"/>
  <c r="O139" i="5"/>
  <c r="N139" i="5"/>
  <c r="M139" i="5"/>
  <c r="L139" i="5"/>
  <c r="K139" i="5"/>
  <c r="I139" i="5"/>
  <c r="H139" i="5"/>
  <c r="O138" i="5"/>
  <c r="N138" i="5"/>
  <c r="M138" i="5"/>
  <c r="L138" i="5"/>
  <c r="K138" i="5"/>
  <c r="I138" i="5"/>
  <c r="H138" i="5"/>
  <c r="O137" i="5"/>
  <c r="N137" i="5"/>
  <c r="M137" i="5"/>
  <c r="L137" i="5"/>
  <c r="K137" i="5"/>
  <c r="I137" i="5"/>
  <c r="H137" i="5"/>
  <c r="O136" i="5"/>
  <c r="N136" i="5"/>
  <c r="M136" i="5"/>
  <c r="L136" i="5"/>
  <c r="K136" i="5"/>
  <c r="I136" i="5"/>
  <c r="H136" i="5"/>
  <c r="O135" i="5"/>
  <c r="N135" i="5"/>
  <c r="M135" i="5"/>
  <c r="L135" i="5"/>
  <c r="K135" i="5"/>
  <c r="I135" i="5"/>
  <c r="H135" i="5"/>
  <c r="O134" i="5"/>
  <c r="N134" i="5"/>
  <c r="M134" i="5"/>
  <c r="L134" i="5"/>
  <c r="K134" i="5"/>
  <c r="I134" i="5"/>
  <c r="H134" i="5"/>
  <c r="O133" i="5"/>
  <c r="N133" i="5"/>
  <c r="M133" i="5"/>
  <c r="L133" i="5"/>
  <c r="K133" i="5"/>
  <c r="I133" i="5"/>
  <c r="H133" i="5"/>
  <c r="O132" i="5"/>
  <c r="N132" i="5"/>
  <c r="M132" i="5"/>
  <c r="L132" i="5"/>
  <c r="K132" i="5"/>
  <c r="I132" i="5"/>
  <c r="H132" i="5"/>
  <c r="O131" i="5"/>
  <c r="N131" i="5"/>
  <c r="M131" i="5"/>
  <c r="L131" i="5"/>
  <c r="K131" i="5"/>
  <c r="I131" i="5"/>
  <c r="H131" i="5"/>
  <c r="O130" i="5"/>
  <c r="N130" i="5"/>
  <c r="M130" i="5"/>
  <c r="L130" i="5"/>
  <c r="K130" i="5"/>
  <c r="I130" i="5"/>
  <c r="H130" i="5"/>
  <c r="O129" i="5"/>
  <c r="N129" i="5"/>
  <c r="M129" i="5"/>
  <c r="L129" i="5"/>
  <c r="K129" i="5"/>
  <c r="I129" i="5"/>
  <c r="H129" i="5"/>
  <c r="O128" i="5"/>
  <c r="N128" i="5"/>
  <c r="M128" i="5"/>
  <c r="L128" i="5"/>
  <c r="K128" i="5"/>
  <c r="I128" i="5"/>
  <c r="H128" i="5"/>
  <c r="O127" i="5"/>
  <c r="N127" i="5"/>
  <c r="M127" i="5"/>
  <c r="L127" i="5"/>
  <c r="K127" i="5"/>
  <c r="I127" i="5"/>
  <c r="H127" i="5"/>
  <c r="O126" i="5"/>
  <c r="N126" i="5"/>
  <c r="M126" i="5"/>
  <c r="L126" i="5"/>
  <c r="K126" i="5"/>
  <c r="I126" i="5"/>
  <c r="H126" i="5"/>
  <c r="O125" i="5"/>
  <c r="N125" i="5"/>
  <c r="M125" i="5"/>
  <c r="L125" i="5"/>
  <c r="K125" i="5"/>
  <c r="I125" i="5"/>
  <c r="H125" i="5"/>
  <c r="O124" i="5"/>
  <c r="N124" i="5"/>
  <c r="M124" i="5"/>
  <c r="L124" i="5"/>
  <c r="K124" i="5"/>
  <c r="I124" i="5"/>
  <c r="H124" i="5"/>
  <c r="O123" i="5"/>
  <c r="N123" i="5"/>
  <c r="M123" i="5"/>
  <c r="L123" i="5"/>
  <c r="K123" i="5"/>
  <c r="I123" i="5"/>
  <c r="H123" i="5"/>
  <c r="O122" i="5"/>
  <c r="N122" i="5"/>
  <c r="M122" i="5"/>
  <c r="L122" i="5"/>
  <c r="K122" i="5"/>
  <c r="I122" i="5"/>
  <c r="H122" i="5"/>
  <c r="O121" i="5"/>
  <c r="N121" i="5"/>
  <c r="M121" i="5"/>
  <c r="L121" i="5"/>
  <c r="K121" i="5"/>
  <c r="I121" i="5"/>
  <c r="H121" i="5"/>
  <c r="O120" i="5"/>
  <c r="N120" i="5"/>
  <c r="M120" i="5"/>
  <c r="L120" i="5"/>
  <c r="K120" i="5"/>
  <c r="I120" i="5"/>
  <c r="H120" i="5"/>
  <c r="O119" i="5"/>
  <c r="N119" i="5"/>
  <c r="M119" i="5"/>
  <c r="L119" i="5"/>
  <c r="K119" i="5"/>
  <c r="I119" i="5"/>
  <c r="H119" i="5"/>
  <c r="O118" i="5"/>
  <c r="N118" i="5"/>
  <c r="M118" i="5"/>
  <c r="L118" i="5"/>
  <c r="K118" i="5"/>
  <c r="I118" i="5"/>
  <c r="H118" i="5"/>
  <c r="O117" i="5"/>
  <c r="N117" i="5"/>
  <c r="M117" i="5"/>
  <c r="L117" i="5"/>
  <c r="K117" i="5"/>
  <c r="I117" i="5"/>
  <c r="H117" i="5"/>
  <c r="O116" i="5"/>
  <c r="N116" i="5"/>
  <c r="M116" i="5"/>
  <c r="L116" i="5"/>
  <c r="K116" i="5"/>
  <c r="I116" i="5"/>
  <c r="H116" i="5"/>
  <c r="O115" i="5"/>
  <c r="N115" i="5"/>
  <c r="M115" i="5"/>
  <c r="L115" i="5"/>
  <c r="K115" i="5"/>
  <c r="I115" i="5"/>
  <c r="H115" i="5"/>
  <c r="O114" i="5"/>
  <c r="N114" i="5"/>
  <c r="M114" i="5"/>
  <c r="L114" i="5"/>
  <c r="K114" i="5"/>
  <c r="I114" i="5"/>
  <c r="H114" i="5"/>
  <c r="O113" i="5"/>
  <c r="N113" i="5"/>
  <c r="M113" i="5"/>
  <c r="L113" i="5"/>
  <c r="K113" i="5"/>
  <c r="I113" i="5"/>
  <c r="H113" i="5"/>
  <c r="O112" i="5"/>
  <c r="N112" i="5"/>
  <c r="M112" i="5"/>
  <c r="L112" i="5"/>
  <c r="K112" i="5"/>
  <c r="I112" i="5"/>
  <c r="H112" i="5"/>
  <c r="O111" i="5"/>
  <c r="N111" i="5"/>
  <c r="M111" i="5"/>
  <c r="L111" i="5"/>
  <c r="K111" i="5"/>
  <c r="I111" i="5"/>
  <c r="H111" i="5"/>
  <c r="O110" i="5"/>
  <c r="N110" i="5"/>
  <c r="M110" i="5"/>
  <c r="L110" i="5"/>
  <c r="K110" i="5"/>
  <c r="I110" i="5"/>
  <c r="H110" i="5"/>
  <c r="O109" i="5"/>
  <c r="N109" i="5"/>
  <c r="M109" i="5"/>
  <c r="L109" i="5"/>
  <c r="K109" i="5"/>
  <c r="I109" i="5"/>
  <c r="H109" i="5"/>
  <c r="O108" i="5"/>
  <c r="N108" i="5"/>
  <c r="M108" i="5"/>
  <c r="L108" i="5"/>
  <c r="K108" i="5"/>
  <c r="I108" i="5"/>
  <c r="H108" i="5"/>
  <c r="O107" i="5"/>
  <c r="N107" i="5"/>
  <c r="M107" i="5"/>
  <c r="L107" i="5"/>
  <c r="K107" i="5"/>
  <c r="I107" i="5"/>
  <c r="H107" i="5"/>
  <c r="O106" i="5"/>
  <c r="N106" i="5"/>
  <c r="M106" i="5"/>
  <c r="L106" i="5"/>
  <c r="K106" i="5"/>
  <c r="I106" i="5"/>
  <c r="H106" i="5"/>
  <c r="O105" i="5"/>
  <c r="N105" i="5"/>
  <c r="M105" i="5"/>
  <c r="L105" i="5"/>
  <c r="K105" i="5"/>
  <c r="I105" i="5"/>
  <c r="H105" i="5"/>
  <c r="O104" i="5"/>
  <c r="N104" i="5"/>
  <c r="M104" i="5"/>
  <c r="L104" i="5"/>
  <c r="K104" i="5"/>
  <c r="I104" i="5"/>
  <c r="H104" i="5"/>
  <c r="O103" i="5"/>
  <c r="N103" i="5"/>
  <c r="M103" i="5"/>
  <c r="L103" i="5"/>
  <c r="K103" i="5"/>
  <c r="I103" i="5"/>
  <c r="H103" i="5"/>
  <c r="O102" i="5"/>
  <c r="N102" i="5"/>
  <c r="M102" i="5"/>
  <c r="L102" i="5"/>
  <c r="K102" i="5"/>
  <c r="I102" i="5"/>
  <c r="H102" i="5"/>
  <c r="O101" i="5"/>
  <c r="N101" i="5"/>
  <c r="M101" i="5"/>
  <c r="L101" i="5"/>
  <c r="K101" i="5"/>
  <c r="I101" i="5"/>
  <c r="H101" i="5"/>
  <c r="O100" i="5"/>
  <c r="N100" i="5"/>
  <c r="M100" i="5"/>
  <c r="L100" i="5"/>
  <c r="K100" i="5"/>
  <c r="I100" i="5"/>
  <c r="H100" i="5"/>
  <c r="O99" i="5"/>
  <c r="N99" i="5"/>
  <c r="M99" i="5"/>
  <c r="L99" i="5"/>
  <c r="K99" i="5"/>
  <c r="I99" i="5"/>
  <c r="H99" i="5"/>
  <c r="O98" i="5"/>
  <c r="N98" i="5"/>
  <c r="M98" i="5"/>
  <c r="L98" i="5"/>
  <c r="K98" i="5"/>
  <c r="I98" i="5"/>
  <c r="H98" i="5"/>
  <c r="O97" i="5"/>
  <c r="N97" i="5"/>
  <c r="M97" i="5"/>
  <c r="L97" i="5"/>
  <c r="K97" i="5"/>
  <c r="I97" i="5"/>
  <c r="H97" i="5"/>
  <c r="O96" i="5"/>
  <c r="N96" i="5"/>
  <c r="M96" i="5"/>
  <c r="L96" i="5"/>
  <c r="K96" i="5"/>
  <c r="I96" i="5"/>
  <c r="H96" i="5"/>
  <c r="O95" i="5"/>
  <c r="N95" i="5"/>
  <c r="M95" i="5"/>
  <c r="L95" i="5"/>
  <c r="K95" i="5"/>
  <c r="I95" i="5"/>
  <c r="H95" i="5"/>
  <c r="O94" i="5"/>
  <c r="N94" i="5"/>
  <c r="M94" i="5"/>
  <c r="L94" i="5"/>
  <c r="K94" i="5"/>
  <c r="I94" i="5"/>
  <c r="H94" i="5"/>
  <c r="O93" i="5"/>
  <c r="N93" i="5"/>
  <c r="M93" i="5"/>
  <c r="L93" i="5"/>
  <c r="K93" i="5"/>
  <c r="I93" i="5"/>
  <c r="H93" i="5"/>
  <c r="O92" i="5"/>
  <c r="N92" i="5"/>
  <c r="M92" i="5"/>
  <c r="L92" i="5"/>
  <c r="K92" i="5"/>
  <c r="I92" i="5"/>
  <c r="H92" i="5"/>
  <c r="O91" i="5"/>
  <c r="N91" i="5"/>
  <c r="M91" i="5"/>
  <c r="L91" i="5"/>
  <c r="K91" i="5"/>
  <c r="I91" i="5"/>
  <c r="H91" i="5"/>
  <c r="O90" i="5"/>
  <c r="N90" i="5"/>
  <c r="M90" i="5"/>
  <c r="L90" i="5"/>
  <c r="K90" i="5"/>
  <c r="I90" i="5"/>
  <c r="H90" i="5"/>
  <c r="O89" i="5"/>
  <c r="N89" i="5"/>
  <c r="M89" i="5"/>
  <c r="L89" i="5"/>
  <c r="K89" i="5"/>
  <c r="I89" i="5"/>
  <c r="H89" i="5"/>
  <c r="O88" i="5"/>
  <c r="N88" i="5"/>
  <c r="M88" i="5"/>
  <c r="L88" i="5"/>
  <c r="K88" i="5"/>
  <c r="I88" i="5"/>
  <c r="H88" i="5"/>
  <c r="O87" i="5"/>
  <c r="N87" i="5"/>
  <c r="M87" i="5"/>
  <c r="L87" i="5"/>
  <c r="K87" i="5"/>
  <c r="I87" i="5"/>
  <c r="H87" i="5"/>
  <c r="O86" i="5"/>
  <c r="N86" i="5"/>
  <c r="M86" i="5"/>
  <c r="L86" i="5"/>
  <c r="K86" i="5"/>
  <c r="I86" i="5"/>
  <c r="H86" i="5"/>
  <c r="O85" i="5"/>
  <c r="N85" i="5"/>
  <c r="M85" i="5"/>
  <c r="L85" i="5"/>
  <c r="K85" i="5"/>
  <c r="I85" i="5"/>
  <c r="H85" i="5"/>
  <c r="O84" i="5"/>
  <c r="N84" i="5"/>
  <c r="M84" i="5"/>
  <c r="L84" i="5"/>
  <c r="K84" i="5"/>
  <c r="I84" i="5"/>
  <c r="H84" i="5"/>
  <c r="O83" i="5"/>
  <c r="N83" i="5"/>
  <c r="M83" i="5"/>
  <c r="L83" i="5"/>
  <c r="K83" i="5"/>
  <c r="I83" i="5"/>
  <c r="H83" i="5"/>
  <c r="O82" i="5"/>
  <c r="N82" i="5"/>
  <c r="M82" i="5"/>
  <c r="L82" i="5"/>
  <c r="K82" i="5"/>
  <c r="I82" i="5"/>
  <c r="H82" i="5"/>
  <c r="O81" i="5"/>
  <c r="N81" i="5"/>
  <c r="M81" i="5"/>
  <c r="L81" i="5"/>
  <c r="K81" i="5"/>
  <c r="I81" i="5"/>
  <c r="H81" i="5"/>
  <c r="O80" i="5"/>
  <c r="N80" i="5"/>
  <c r="M80" i="5"/>
  <c r="L80" i="5"/>
  <c r="K80" i="5"/>
  <c r="I80" i="5"/>
  <c r="H80" i="5"/>
  <c r="O79" i="5"/>
  <c r="N79" i="5"/>
  <c r="M79" i="5"/>
  <c r="L79" i="5"/>
  <c r="K79" i="5"/>
  <c r="I79" i="5"/>
  <c r="H79" i="5"/>
  <c r="O78" i="5"/>
  <c r="N78" i="5"/>
  <c r="M78" i="5"/>
  <c r="L78" i="5"/>
  <c r="K78" i="5"/>
  <c r="I78" i="5"/>
  <c r="H78" i="5"/>
  <c r="O77" i="5"/>
  <c r="N77" i="5"/>
  <c r="M77" i="5"/>
  <c r="L77" i="5"/>
  <c r="K77" i="5"/>
  <c r="I77" i="5"/>
  <c r="H77" i="5"/>
  <c r="O76" i="5"/>
  <c r="N76" i="5"/>
  <c r="M76" i="5"/>
  <c r="L76" i="5"/>
  <c r="K76" i="5"/>
  <c r="I76" i="5"/>
  <c r="H76" i="5"/>
  <c r="O75" i="5"/>
  <c r="N75" i="5"/>
  <c r="M75" i="5"/>
  <c r="L75" i="5"/>
  <c r="K75" i="5"/>
  <c r="I75" i="5"/>
  <c r="H75" i="5"/>
  <c r="O74" i="5"/>
  <c r="N74" i="5"/>
  <c r="M74" i="5"/>
  <c r="L74" i="5"/>
  <c r="K74" i="5"/>
  <c r="I74" i="5"/>
  <c r="H74" i="5"/>
  <c r="O73" i="5"/>
  <c r="N73" i="5"/>
  <c r="M73" i="5"/>
  <c r="L73" i="5"/>
  <c r="K73" i="5"/>
  <c r="I73" i="5"/>
  <c r="H73" i="5"/>
  <c r="O72" i="5"/>
  <c r="N72" i="5"/>
  <c r="M72" i="5"/>
  <c r="L72" i="5"/>
  <c r="K72" i="5"/>
  <c r="I72" i="5"/>
  <c r="H72" i="5"/>
  <c r="O71" i="5"/>
  <c r="N71" i="5"/>
  <c r="M71" i="5"/>
  <c r="L71" i="5"/>
  <c r="K71" i="5"/>
  <c r="I71" i="5"/>
  <c r="H71" i="5"/>
  <c r="O70" i="5"/>
  <c r="N70" i="5"/>
  <c r="M70" i="5"/>
  <c r="L70" i="5"/>
  <c r="K70" i="5"/>
  <c r="I70" i="5"/>
  <c r="H70" i="5"/>
  <c r="O69" i="5"/>
  <c r="N69" i="5"/>
  <c r="M69" i="5"/>
  <c r="L69" i="5"/>
  <c r="K69" i="5"/>
  <c r="I69" i="5"/>
  <c r="H69" i="5"/>
  <c r="O68" i="5"/>
  <c r="N68" i="5"/>
  <c r="M68" i="5"/>
  <c r="L68" i="5"/>
  <c r="K68" i="5"/>
  <c r="I68" i="5"/>
  <c r="H68" i="5"/>
  <c r="O67" i="5"/>
  <c r="N67" i="5"/>
  <c r="M67" i="5"/>
  <c r="L67" i="5"/>
  <c r="K67" i="5"/>
  <c r="I67" i="5"/>
  <c r="H67" i="5"/>
  <c r="O66" i="5"/>
  <c r="N66" i="5"/>
  <c r="M66" i="5"/>
  <c r="L66" i="5"/>
  <c r="K66" i="5"/>
  <c r="I66" i="5"/>
  <c r="H66" i="5"/>
  <c r="O65" i="5"/>
  <c r="N65" i="5"/>
  <c r="M65" i="5"/>
  <c r="L65" i="5"/>
  <c r="K65" i="5"/>
  <c r="I65" i="5"/>
  <c r="H65" i="5"/>
  <c r="O64" i="5"/>
  <c r="N64" i="5"/>
  <c r="M64" i="5"/>
  <c r="L64" i="5"/>
  <c r="K64" i="5"/>
  <c r="I64" i="5"/>
  <c r="H64" i="5"/>
  <c r="O63" i="5"/>
  <c r="N63" i="5"/>
  <c r="M63" i="5"/>
  <c r="L63" i="5"/>
  <c r="K63" i="5"/>
  <c r="I63" i="5"/>
  <c r="H63" i="5"/>
  <c r="O62" i="5"/>
  <c r="N62" i="5"/>
  <c r="M62" i="5"/>
  <c r="L62" i="5"/>
  <c r="K62" i="5"/>
  <c r="I62" i="5"/>
  <c r="H62" i="5"/>
  <c r="O61" i="5"/>
  <c r="N61" i="5"/>
  <c r="M61" i="5"/>
  <c r="L61" i="5"/>
  <c r="K61" i="5"/>
  <c r="I61" i="5"/>
  <c r="H61" i="5"/>
  <c r="O60" i="5"/>
  <c r="N60" i="5"/>
  <c r="M60" i="5"/>
  <c r="L60" i="5"/>
  <c r="K60" i="5"/>
  <c r="I60" i="5"/>
  <c r="H60" i="5"/>
  <c r="O59" i="5"/>
  <c r="N59" i="5"/>
  <c r="M59" i="5"/>
  <c r="L59" i="5"/>
  <c r="K59" i="5"/>
  <c r="I59" i="5"/>
  <c r="H59" i="5"/>
  <c r="O58" i="5"/>
  <c r="N58" i="5"/>
  <c r="M58" i="5"/>
  <c r="L58" i="5"/>
  <c r="K58" i="5"/>
  <c r="I58" i="5"/>
  <c r="H58" i="5"/>
  <c r="O57" i="5"/>
  <c r="N57" i="5"/>
  <c r="M57" i="5"/>
  <c r="L57" i="5"/>
  <c r="K57" i="5"/>
  <c r="I57" i="5"/>
  <c r="H57" i="5"/>
  <c r="O56" i="5"/>
  <c r="N56" i="5"/>
  <c r="M56" i="5"/>
  <c r="L56" i="5"/>
  <c r="K56" i="5"/>
  <c r="I56" i="5"/>
  <c r="H56" i="5"/>
  <c r="O55" i="5"/>
  <c r="N55" i="5"/>
  <c r="M55" i="5"/>
  <c r="L55" i="5"/>
  <c r="K55" i="5"/>
  <c r="I55" i="5"/>
  <c r="H55" i="5"/>
  <c r="O54" i="5"/>
  <c r="N54" i="5"/>
  <c r="M54" i="5"/>
  <c r="L54" i="5"/>
  <c r="K54" i="5"/>
  <c r="I54" i="5"/>
  <c r="H54" i="5"/>
  <c r="O53" i="5"/>
  <c r="N53" i="5"/>
  <c r="M53" i="5"/>
  <c r="L53" i="5"/>
  <c r="K53" i="5"/>
  <c r="I53" i="5"/>
  <c r="H53" i="5"/>
  <c r="O52" i="5"/>
  <c r="N52" i="5"/>
  <c r="M52" i="5"/>
  <c r="L52" i="5"/>
  <c r="K52" i="5"/>
  <c r="I52" i="5"/>
  <c r="H52" i="5"/>
  <c r="O51" i="5"/>
  <c r="N51" i="5"/>
  <c r="M51" i="5"/>
  <c r="L51" i="5"/>
  <c r="K51" i="5"/>
  <c r="I51" i="5"/>
  <c r="H51" i="5"/>
  <c r="O50" i="5"/>
  <c r="N50" i="5"/>
  <c r="M50" i="5"/>
  <c r="L50" i="5"/>
  <c r="K50" i="5"/>
  <c r="I50" i="5"/>
  <c r="H50" i="5"/>
  <c r="O49" i="5"/>
  <c r="N49" i="5"/>
  <c r="M49" i="5"/>
  <c r="L49" i="5"/>
  <c r="K49" i="5"/>
  <c r="I49" i="5"/>
  <c r="H49" i="5"/>
  <c r="O48" i="5"/>
  <c r="N48" i="5"/>
  <c r="M48" i="5"/>
  <c r="L48" i="5"/>
  <c r="K48" i="5"/>
  <c r="I48" i="5"/>
  <c r="H48" i="5"/>
  <c r="O47" i="5"/>
  <c r="N47" i="5"/>
  <c r="M47" i="5"/>
  <c r="L47" i="5"/>
  <c r="K47" i="5"/>
  <c r="I47" i="5"/>
  <c r="H47" i="5"/>
  <c r="O46" i="5"/>
  <c r="N46" i="5"/>
  <c r="M46" i="5"/>
  <c r="L46" i="5"/>
  <c r="K46" i="5"/>
  <c r="I46" i="5"/>
  <c r="H46" i="5"/>
  <c r="O45" i="5"/>
  <c r="N45" i="5"/>
  <c r="M45" i="5"/>
  <c r="L45" i="5"/>
  <c r="K45" i="5"/>
  <c r="I45" i="5"/>
  <c r="H45" i="5"/>
  <c r="O44" i="5"/>
  <c r="N44" i="5"/>
  <c r="M44" i="5"/>
  <c r="L44" i="5"/>
  <c r="K44" i="5"/>
  <c r="I44" i="5"/>
  <c r="H44" i="5"/>
  <c r="O43" i="5"/>
  <c r="N43" i="5"/>
  <c r="M43" i="5"/>
  <c r="L43" i="5"/>
  <c r="K43" i="5"/>
  <c r="I43" i="5"/>
  <c r="H43" i="5"/>
  <c r="O42" i="5"/>
  <c r="N42" i="5"/>
  <c r="M42" i="5"/>
  <c r="L42" i="5"/>
  <c r="K42" i="5"/>
  <c r="I42" i="5"/>
  <c r="H42" i="5"/>
  <c r="O41" i="5"/>
  <c r="N41" i="5"/>
  <c r="M41" i="5"/>
  <c r="L41" i="5"/>
  <c r="K41" i="5"/>
  <c r="I41" i="5"/>
  <c r="H41" i="5"/>
  <c r="O40" i="5"/>
  <c r="N40" i="5"/>
  <c r="M40" i="5"/>
  <c r="L40" i="5"/>
  <c r="K40" i="5"/>
  <c r="I40" i="5"/>
  <c r="H40" i="5"/>
  <c r="O39" i="5"/>
  <c r="N39" i="5"/>
  <c r="M39" i="5"/>
  <c r="L39" i="5"/>
  <c r="K39" i="5"/>
  <c r="I39" i="5"/>
  <c r="H39" i="5"/>
  <c r="O38" i="5"/>
  <c r="N38" i="5"/>
  <c r="M38" i="5"/>
  <c r="L38" i="5"/>
  <c r="K38" i="5"/>
  <c r="I38" i="5"/>
  <c r="H38" i="5"/>
  <c r="O37" i="5"/>
  <c r="N37" i="5"/>
  <c r="M37" i="5"/>
  <c r="L37" i="5"/>
  <c r="K37" i="5"/>
  <c r="I37" i="5"/>
  <c r="H37" i="5"/>
  <c r="O36" i="5"/>
  <c r="N36" i="5"/>
  <c r="M36" i="5"/>
  <c r="L36" i="5"/>
  <c r="K36" i="5"/>
  <c r="I36" i="5"/>
  <c r="H36" i="5"/>
  <c r="O35" i="5"/>
  <c r="N35" i="5"/>
  <c r="M35" i="5"/>
  <c r="L35" i="5"/>
  <c r="K35" i="5"/>
  <c r="I35" i="5"/>
  <c r="H35" i="5"/>
  <c r="O34" i="5"/>
  <c r="N34" i="5"/>
  <c r="M34" i="5"/>
  <c r="L34" i="5"/>
  <c r="K34" i="5"/>
  <c r="I34" i="5"/>
  <c r="H34" i="5"/>
  <c r="O33" i="5"/>
  <c r="N33" i="5"/>
  <c r="M33" i="5"/>
  <c r="L33" i="5"/>
  <c r="K33" i="5"/>
  <c r="I33" i="5"/>
  <c r="H33" i="5"/>
  <c r="O32" i="5"/>
  <c r="N32" i="5"/>
  <c r="M32" i="5"/>
  <c r="L32" i="5"/>
  <c r="K32" i="5"/>
  <c r="I32" i="5"/>
  <c r="H32" i="5"/>
  <c r="O31" i="5"/>
  <c r="N31" i="5"/>
  <c r="M31" i="5"/>
  <c r="L31" i="5"/>
  <c r="K31" i="5"/>
  <c r="I31" i="5"/>
  <c r="H31" i="5"/>
  <c r="O30" i="5"/>
  <c r="N30" i="5"/>
  <c r="M30" i="5"/>
  <c r="L30" i="5"/>
  <c r="K30" i="5"/>
  <c r="I30" i="5"/>
  <c r="H30" i="5"/>
  <c r="O29" i="5"/>
  <c r="N29" i="5"/>
  <c r="M29" i="5"/>
  <c r="L29" i="5"/>
  <c r="K29" i="5"/>
  <c r="I29" i="5"/>
  <c r="H29" i="5"/>
  <c r="O28" i="5"/>
  <c r="N28" i="5"/>
  <c r="M28" i="5"/>
  <c r="L28" i="5"/>
  <c r="K28" i="5"/>
  <c r="I28" i="5"/>
  <c r="H28" i="5"/>
  <c r="O27" i="5"/>
  <c r="N27" i="5"/>
  <c r="M27" i="5"/>
  <c r="L27" i="5"/>
  <c r="K27" i="5"/>
  <c r="I27" i="5"/>
  <c r="H27" i="5"/>
  <c r="O26" i="5"/>
  <c r="N26" i="5"/>
  <c r="M26" i="5"/>
  <c r="L26" i="5"/>
  <c r="K26" i="5"/>
  <c r="I26" i="5"/>
  <c r="H26" i="5"/>
  <c r="O25" i="5"/>
  <c r="N25" i="5"/>
  <c r="M25" i="5"/>
  <c r="L25" i="5"/>
  <c r="K25" i="5"/>
  <c r="I25" i="5"/>
  <c r="H25" i="5"/>
  <c r="O24" i="5"/>
  <c r="N24" i="5"/>
  <c r="M24" i="5"/>
  <c r="L24" i="5"/>
  <c r="K24" i="5"/>
  <c r="I24" i="5"/>
  <c r="H24" i="5"/>
  <c r="O23" i="5"/>
  <c r="N23" i="5"/>
  <c r="M23" i="5"/>
  <c r="L23" i="5"/>
  <c r="K23" i="5"/>
  <c r="I23" i="5"/>
  <c r="H23" i="5"/>
  <c r="O22" i="5"/>
  <c r="N22" i="5"/>
  <c r="M22" i="5"/>
  <c r="L22" i="5"/>
  <c r="K22" i="5"/>
  <c r="I22" i="5"/>
  <c r="H22" i="5"/>
  <c r="O21" i="5"/>
  <c r="N21" i="5"/>
  <c r="M21" i="5"/>
  <c r="L21" i="5"/>
  <c r="K21" i="5"/>
  <c r="I21" i="5"/>
  <c r="H21" i="5"/>
  <c r="O20" i="5"/>
  <c r="N20" i="5"/>
  <c r="M20" i="5"/>
  <c r="L20" i="5"/>
  <c r="K20" i="5"/>
  <c r="I20" i="5"/>
  <c r="H20" i="5"/>
  <c r="O19" i="5"/>
  <c r="N19" i="5"/>
  <c r="M19" i="5"/>
  <c r="L19" i="5"/>
  <c r="K19" i="5"/>
  <c r="I19" i="5"/>
  <c r="H19" i="5"/>
  <c r="O18" i="5"/>
  <c r="N18" i="5"/>
  <c r="M18" i="5"/>
  <c r="L18" i="5"/>
  <c r="K18" i="5"/>
  <c r="I18" i="5"/>
  <c r="H18" i="5"/>
  <c r="O17" i="5"/>
  <c r="N17" i="5"/>
  <c r="M17" i="5"/>
  <c r="L17" i="5"/>
  <c r="K17" i="5"/>
  <c r="I17" i="5"/>
  <c r="H17" i="5"/>
  <c r="O16" i="5"/>
  <c r="N16" i="5"/>
  <c r="M16" i="5"/>
  <c r="L16" i="5"/>
  <c r="K16" i="5"/>
  <c r="I16" i="5"/>
  <c r="H16" i="5"/>
  <c r="O15" i="5"/>
  <c r="N15" i="5"/>
  <c r="M15" i="5"/>
  <c r="L15" i="5"/>
  <c r="K15" i="5"/>
  <c r="I15" i="5"/>
  <c r="H15" i="5"/>
  <c r="O14" i="5"/>
  <c r="N14" i="5"/>
  <c r="M14" i="5"/>
  <c r="L14" i="5"/>
  <c r="K14" i="5"/>
  <c r="I14" i="5"/>
  <c r="H14" i="5"/>
  <c r="O13" i="5"/>
  <c r="N13" i="5"/>
  <c r="M13" i="5"/>
  <c r="L13" i="5"/>
  <c r="K13" i="5"/>
  <c r="I13" i="5"/>
  <c r="H13" i="5"/>
  <c r="O12" i="5"/>
  <c r="N12" i="5"/>
  <c r="M12" i="5"/>
  <c r="L12" i="5"/>
  <c r="K12" i="5"/>
  <c r="I12" i="5"/>
  <c r="H12" i="5"/>
  <c r="O11" i="5"/>
  <c r="N11" i="5"/>
  <c r="M11" i="5"/>
  <c r="L11" i="5"/>
  <c r="K11" i="5"/>
  <c r="I11" i="5"/>
  <c r="H11" i="5"/>
  <c r="O10" i="5"/>
  <c r="N10" i="5"/>
  <c r="M10" i="5"/>
  <c r="L10" i="5"/>
  <c r="K10" i="5"/>
  <c r="I10" i="5"/>
  <c r="H10" i="5"/>
  <c r="O9" i="5"/>
  <c r="N9" i="5"/>
  <c r="M9" i="5"/>
  <c r="L9" i="5"/>
  <c r="K9" i="5"/>
  <c r="I9" i="5"/>
  <c r="H9" i="5"/>
  <c r="O8" i="5"/>
  <c r="N8" i="5"/>
  <c r="M8" i="5"/>
  <c r="L8" i="5"/>
  <c r="K8" i="5"/>
  <c r="I8" i="5"/>
  <c r="H8" i="5"/>
  <c r="O7" i="5"/>
  <c r="N7" i="5"/>
  <c r="M7" i="5"/>
  <c r="L7" i="5"/>
  <c r="K7" i="5"/>
  <c r="I7" i="5"/>
  <c r="H7" i="5"/>
  <c r="O6" i="5"/>
  <c r="N6" i="5"/>
  <c r="M6" i="5"/>
  <c r="L6" i="5"/>
  <c r="K6" i="5"/>
  <c r="I6" i="5"/>
  <c r="H6" i="5"/>
  <c r="O5" i="5"/>
  <c r="N5" i="5"/>
  <c r="M5" i="5"/>
  <c r="L5" i="5"/>
  <c r="K5" i="5"/>
  <c r="I5" i="5"/>
  <c r="H5" i="5"/>
  <c r="O4" i="5"/>
  <c r="N4" i="5"/>
  <c r="M4" i="5"/>
  <c r="L4" i="5"/>
  <c r="K4" i="5"/>
  <c r="I4" i="5"/>
  <c r="H4" i="5"/>
  <c r="O3" i="5"/>
  <c r="N3" i="5"/>
  <c r="M3" i="5"/>
  <c r="L3" i="5"/>
  <c r="K3" i="5"/>
  <c r="I3" i="5"/>
  <c r="H3" i="5"/>
  <c r="O2" i="5"/>
  <c r="N2" i="5"/>
  <c r="M2" i="5"/>
  <c r="L2" i="5"/>
  <c r="K2" i="5"/>
  <c r="I2" i="5"/>
  <c r="H2" i="5"/>
  <c r="B36" i="8"/>
  <c r="B11" i="8"/>
  <c r="B35" i="8"/>
  <c r="B34" i="8"/>
  <c r="B33" i="8"/>
  <c r="B61" i="8" l="1"/>
  <c r="B44" i="8"/>
  <c r="B45" i="8"/>
  <c r="B7" i="8"/>
  <c r="E2" i="38" s="1"/>
  <c r="B8" i="8"/>
  <c r="B41" i="8"/>
  <c r="B42" i="8"/>
  <c r="B40" i="8"/>
  <c r="B39"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<sst xmlns="http://schemas.openxmlformats.org/spreadsheetml/2006/main" count="12620" uniqueCount="673">
  <si>
    <t>campaign_id</t>
  </si>
  <si>
    <t>campaign_name</t>
  </si>
  <si>
    <t>start_date</t>
  </si>
  <si>
    <t>end_date</t>
  </si>
  <si>
    <t>channel</t>
  </si>
  <si>
    <t>discount_type</t>
  </si>
  <si>
    <t>discount_value</t>
  </si>
  <si>
    <t>Spring Flash Sale</t>
  </si>
  <si>
    <t>Email</t>
  </si>
  <si>
    <t>Percentage</t>
  </si>
  <si>
    <t>Easter Promotion</t>
  </si>
  <si>
    <t>Social Media</t>
  </si>
  <si>
    <t>Fixed</t>
  </si>
  <si>
    <t>Mother's Day Campaign</t>
  </si>
  <si>
    <t>Mid-Season Clearance</t>
  </si>
  <si>
    <t>App Mobile</t>
  </si>
  <si>
    <t>TIVA Week</t>
  </si>
  <si>
    <t>June Price Drop</t>
  </si>
  <si>
    <t>Website Banner</t>
  </si>
  <si>
    <t>Early Summer Deals</t>
  </si>
  <si>
    <t>description</t>
  </si>
  <si>
    <t>E-commerce</t>
  </si>
  <si>
    <t>Official online store</t>
  </si>
  <si>
    <t>Brand mobile app</t>
  </si>
  <si>
    <t>customer_id</t>
  </si>
  <si>
    <t>country</t>
  </si>
  <si>
    <t>age_range</t>
  </si>
  <si>
    <t>signup_date</t>
  </si>
  <si>
    <t>France</t>
  </si>
  <si>
    <t>56-65</t>
  </si>
  <si>
    <t>36-45</t>
  </si>
  <si>
    <t>Netherlands</t>
  </si>
  <si>
    <t>46-55</t>
  </si>
  <si>
    <t>Italy</t>
  </si>
  <si>
    <t>Spain</t>
  </si>
  <si>
    <t>26-35</t>
  </si>
  <si>
    <t>Germany</t>
  </si>
  <si>
    <t>16-25</t>
  </si>
  <si>
    <t>Portugal</t>
  </si>
  <si>
    <t>product_id</t>
  </si>
  <si>
    <t>product_name</t>
  </si>
  <si>
    <t>category</t>
  </si>
  <si>
    <t>brand</t>
  </si>
  <si>
    <t>color</t>
  </si>
  <si>
    <t>size</t>
  </si>
  <si>
    <t>catalog_price</t>
  </si>
  <si>
    <t>cost_price</t>
  </si>
  <si>
    <t>gender</t>
  </si>
  <si>
    <t>Soft Wrap Dress</t>
  </si>
  <si>
    <t>Dresses</t>
  </si>
  <si>
    <t>Tiva</t>
  </si>
  <si>
    <t>Green</t>
  </si>
  <si>
    <t>S</t>
  </si>
  <si>
    <t>Female</t>
  </si>
  <si>
    <t>Soft Wrap Tee</t>
  </si>
  <si>
    <t>T-Shirts</t>
  </si>
  <si>
    <t>White</t>
  </si>
  <si>
    <t>Soft Linen Tee</t>
  </si>
  <si>
    <t>XL</t>
  </si>
  <si>
    <t>Soft Ribbed Tee</t>
  </si>
  <si>
    <t>Soft Wrap Trousers</t>
  </si>
  <si>
    <t>Pants</t>
  </si>
  <si>
    <t>Blue</t>
  </si>
  <si>
    <t>M</t>
  </si>
  <si>
    <t>Soft Wrap Shoes</t>
  </si>
  <si>
    <t>Shoes</t>
  </si>
  <si>
    <t>Soft Linen Dress</t>
  </si>
  <si>
    <t>Soft Linen Trousers</t>
  </si>
  <si>
    <t>Soft Linen Shoes</t>
  </si>
  <si>
    <t>Red</t>
  </si>
  <si>
    <t>Soft Ribbed Trousers</t>
  </si>
  <si>
    <t>Black</t>
  </si>
  <si>
    <t>L</t>
  </si>
  <si>
    <t>Soft Ribbed Shoes</t>
  </si>
  <si>
    <t>Soft Ribbed Dress</t>
  </si>
  <si>
    <t>Soft Cotton Shoes</t>
  </si>
  <si>
    <t>Soft Cotton Dress</t>
  </si>
  <si>
    <t>XS</t>
  </si>
  <si>
    <t>Soft Cotton Tee</t>
  </si>
  <si>
    <t>Soft Cotton Trousers</t>
  </si>
  <si>
    <t>Soft Satin Dress</t>
  </si>
  <si>
    <t>Soft Satin Shoes</t>
  </si>
  <si>
    <t>Soft Silk Dress</t>
  </si>
  <si>
    <t>Soft Crew Dress</t>
  </si>
  <si>
    <t>Soft Silk Shoes</t>
  </si>
  <si>
    <t>Soft Satin Tee</t>
  </si>
  <si>
    <t>Soft Sleeveless Dress</t>
  </si>
  <si>
    <t>Soft High-Waist Dress</t>
  </si>
  <si>
    <t>Soft Wrap Set</t>
  </si>
  <si>
    <t>Sleepwear</t>
  </si>
  <si>
    <t>Soft Crew Shoes</t>
  </si>
  <si>
    <t>Soft Boxy Dress</t>
  </si>
  <si>
    <t>Soft Sleeveless Shoes</t>
  </si>
  <si>
    <t>Soft Linen Set</t>
  </si>
  <si>
    <t>Soft Satin Trousers</t>
  </si>
  <si>
    <t>Soft Silk Trousers</t>
  </si>
  <si>
    <t>Soft Silk Tee</t>
  </si>
  <si>
    <t>Modern Wrap Dress</t>
  </si>
  <si>
    <t>Modern Linen Dress</t>
  </si>
  <si>
    <t>Modern Ribbed Dress</t>
  </si>
  <si>
    <t>Modern Cotton Dress</t>
  </si>
  <si>
    <t>Soft Crew Trousers</t>
  </si>
  <si>
    <t>Soft Crew Tee</t>
  </si>
  <si>
    <t>Soft Sleeveless Trousers</t>
  </si>
  <si>
    <t>Soft High-Waist Trousers</t>
  </si>
  <si>
    <t>Soft Boxy Trousers</t>
  </si>
  <si>
    <t>Soft Ribbed Set</t>
  </si>
  <si>
    <t>Modern Satin Dress</t>
  </si>
  <si>
    <t>Modern Wrap Trousers</t>
  </si>
  <si>
    <t>Soft Sleeveless Tee</t>
  </si>
  <si>
    <t>Soft Cotton Set</t>
  </si>
  <si>
    <t>Soft High-Waist Tee</t>
  </si>
  <si>
    <t>Soft High-Waist Shoes</t>
  </si>
  <si>
    <t>Soft Boxy Tee</t>
  </si>
  <si>
    <t>Modern Wrap Tee</t>
  </si>
  <si>
    <t>Soft Satin Set</t>
  </si>
  <si>
    <t>Modern Linen Tee</t>
  </si>
  <si>
    <t>Soft Boxy Shoes</t>
  </si>
  <si>
    <t>Modern Silk Dress</t>
  </si>
  <si>
    <t>Modern Ribbed Tee</t>
  </si>
  <si>
    <t>Modern Wrap Shoes</t>
  </si>
  <si>
    <t>Modern Crew Dress</t>
  </si>
  <si>
    <t>Modern Sleeveless Dress</t>
  </si>
  <si>
    <t>Soft Silk Set</t>
  </si>
  <si>
    <t>Modern Cotton Tee</t>
  </si>
  <si>
    <t>Modern Satin Tee</t>
  </si>
  <si>
    <t>Modern Linen Trousers</t>
  </si>
  <si>
    <t>Soft Crew Set</t>
  </si>
  <si>
    <t>Soft Sleeveless Set</t>
  </si>
  <si>
    <t>Modern Silk Tee</t>
  </si>
  <si>
    <t>Modern High-Waist Dress</t>
  </si>
  <si>
    <t>Modern Crew Tee</t>
  </si>
  <si>
    <t>Soft High-Waist Set</t>
  </si>
  <si>
    <t>Modern Linen Shoes</t>
  </si>
  <si>
    <t>Modern Boxy Dress</t>
  </si>
  <si>
    <t>Modern Ribbed Trousers</t>
  </si>
  <si>
    <t>Classic Wrap Dress</t>
  </si>
  <si>
    <t>Soft Boxy Set</t>
  </si>
  <si>
    <t>Modern Wrap Set</t>
  </si>
  <si>
    <t>Modern Linen Set</t>
  </si>
  <si>
    <t>Modern Cotton Trousers</t>
  </si>
  <si>
    <t>Classic Linen Dress</t>
  </si>
  <si>
    <t>Modern Ribbed Shoes</t>
  </si>
  <si>
    <t>Modern Satin Trousers</t>
  </si>
  <si>
    <t>Classic Ribbed Dress</t>
  </si>
  <si>
    <t>Modern Ribbed Set</t>
  </si>
  <si>
    <t>Classic Cotton Dress</t>
  </si>
  <si>
    <t>Modern Sleeveless Tee</t>
  </si>
  <si>
    <t>Modern Cotton Shoes</t>
  </si>
  <si>
    <t>Classic Satin Dress</t>
  </si>
  <si>
    <t>Modern Cotton Set</t>
  </si>
  <si>
    <t>Classic Silk Dress</t>
  </si>
  <si>
    <t>Modern Satin Set</t>
  </si>
  <si>
    <t>Modern Satin Shoes</t>
  </si>
  <si>
    <t>Modern Silk Shoes</t>
  </si>
  <si>
    <t>Modern Silk Set</t>
  </si>
  <si>
    <t>Modern Crew Shoes</t>
  </si>
  <si>
    <t>Modern Silk Trousers</t>
  </si>
  <si>
    <t>Modern Sleeveless Shoes</t>
  </si>
  <si>
    <t>Modern Crew Set</t>
  </si>
  <si>
    <t>Modern High-Waist Tee</t>
  </si>
  <si>
    <t>Modern High-Waist Shoes</t>
  </si>
  <si>
    <t>Modern Boxy Shoes</t>
  </si>
  <si>
    <t>Modern Boxy Tee</t>
  </si>
  <si>
    <t>Classic Crew Dress</t>
  </si>
  <si>
    <t>Classic Wrap Tee</t>
  </si>
  <si>
    <t>Classic Linen Tee</t>
  </si>
  <si>
    <t>Classic Ribbed Tee</t>
  </si>
  <si>
    <t>Classic Wrap Shoes</t>
  </si>
  <si>
    <t>Classic Cotton Tee</t>
  </si>
  <si>
    <t>Classic Satin Tee</t>
  </si>
  <si>
    <t>Classic Linen Shoes</t>
  </si>
  <si>
    <t>Modern Crew Trousers</t>
  </si>
  <si>
    <t>Classic Sleeveless Dress</t>
  </si>
  <si>
    <t>Classic High-Waist Dress</t>
  </si>
  <si>
    <t>Modern Sleeveless Trousers</t>
  </si>
  <si>
    <t>Modern Sleeveless Set</t>
  </si>
  <si>
    <t>Classic Boxy Dress</t>
  </si>
  <si>
    <t>Classic Ribbed Shoes</t>
  </si>
  <si>
    <t>Modern High-Waist Set</t>
  </si>
  <si>
    <t>Modern High-Waist Trousers</t>
  </si>
  <si>
    <t>Vintage Wrap Dress</t>
  </si>
  <si>
    <t>Classic Silk Tee</t>
  </si>
  <si>
    <t>Vintage Linen Dress</t>
  </si>
  <si>
    <t>Modern Boxy Set</t>
  </si>
  <si>
    <t>Classic Cotton Shoes</t>
  </si>
  <si>
    <t>Modern Boxy Trousers</t>
  </si>
  <si>
    <t>Classic Wrap Set</t>
  </si>
  <si>
    <t>Classic Linen Set</t>
  </si>
  <si>
    <t>Classic Satin Shoes</t>
  </si>
  <si>
    <t>Classic Silk Shoes</t>
  </si>
  <si>
    <t>Classic Wrap Trousers</t>
  </si>
  <si>
    <t>Classic Crew Tee</t>
  </si>
  <si>
    <t>Classic Linen Trousers</t>
  </si>
  <si>
    <t>Classic Ribbed Set</t>
  </si>
  <si>
    <t>Classic Cotton Set</t>
  </si>
  <si>
    <t>Classic Crew Shoes</t>
  </si>
  <si>
    <t>Classic Sleeveless Tee</t>
  </si>
  <si>
    <t>Classic Ribbed Trousers</t>
  </si>
  <si>
    <t>Classic Sleeveless Shoes</t>
  </si>
  <si>
    <t>Classic Cotton Trousers</t>
  </si>
  <si>
    <t>Classic Satin Trousers</t>
  </si>
  <si>
    <t>Classic High-Waist Shoes</t>
  </si>
  <si>
    <t>Classic High-Waist Tee</t>
  </si>
  <si>
    <t>Vintage Ribbed Dress</t>
  </si>
  <si>
    <t>Vintage Cotton Dress</t>
  </si>
  <si>
    <t>Vintage Satin Dress</t>
  </si>
  <si>
    <t>Classic Satin Set</t>
  </si>
  <si>
    <t>Classic Silk Trousers</t>
  </si>
  <si>
    <t>Classic Boxy Shoes</t>
  </si>
  <si>
    <t>Vintage Wrap Shoes</t>
  </si>
  <si>
    <t>Vintage Linen Shoes</t>
  </si>
  <si>
    <t>Classic Boxy Tee</t>
  </si>
  <si>
    <t>Classic Crew Trousers</t>
  </si>
  <si>
    <t>Vintage Wrap Tee</t>
  </si>
  <si>
    <t>Classic Sleeveless Trousers</t>
  </si>
  <si>
    <t>Classic Silk Set</t>
  </si>
  <si>
    <t>Vintage Ribbed Shoes</t>
  </si>
  <si>
    <t>Classic Crew Set</t>
  </si>
  <si>
    <t>Vintage Silk Dress</t>
  </si>
  <si>
    <t>Vintage Crew Dress</t>
  </si>
  <si>
    <t>Classic Sleeveless Set</t>
  </si>
  <si>
    <t>Vintage Sleeveless Dress</t>
  </si>
  <si>
    <t>Classic High-Waist Trousers</t>
  </si>
  <si>
    <t>Classic High-Waist Set</t>
  </si>
  <si>
    <t>Vintage Linen Tee</t>
  </si>
  <si>
    <t>Classic Boxy Set</t>
  </si>
  <si>
    <t>Vintage Wrap Set</t>
  </si>
  <si>
    <t>Vintage High-Waist Dress</t>
  </si>
  <si>
    <t>Vintage Cotton Shoes</t>
  </si>
  <si>
    <t>Vintage Satin Shoes</t>
  </si>
  <si>
    <t>Vintage Silk Shoes</t>
  </si>
  <si>
    <t>Vintage Ribbed Tee</t>
  </si>
  <si>
    <t>Vintage Linen Set</t>
  </si>
  <si>
    <t>Vintage Boxy Dress</t>
  </si>
  <si>
    <t>Polished Wrap Dress</t>
  </si>
  <si>
    <t>Vintage Crew Shoes</t>
  </si>
  <si>
    <t>Polished Linen Dress</t>
  </si>
  <si>
    <t>Vintage Ribbed Set</t>
  </si>
  <si>
    <t>Vintage Cotton Tee</t>
  </si>
  <si>
    <t>Polished Ribbed Dress</t>
  </si>
  <si>
    <t>Vintage Cotton Set</t>
  </si>
  <si>
    <t>Classic Boxy Trousers</t>
  </si>
  <si>
    <t>Vintage Satin Tee</t>
  </si>
  <si>
    <t>Vintage Sleeveless Shoes</t>
  </si>
  <si>
    <t>Vintage High-Waist Shoes</t>
  </si>
  <si>
    <t>Vintage Satin Set</t>
  </si>
  <si>
    <t>Vintage Silk Set</t>
  </si>
  <si>
    <t>Vintage Wrap Trousers</t>
  </si>
  <si>
    <t>Vintage Linen Trousers</t>
  </si>
  <si>
    <t>Vintage Boxy Shoes</t>
  </si>
  <si>
    <t>Vintage Ribbed Trousers</t>
  </si>
  <si>
    <t>Polished Wrap Shoes</t>
  </si>
  <si>
    <t>Vintage Crew Set</t>
  </si>
  <si>
    <t>Polished Cotton Dress</t>
  </si>
  <si>
    <t>Polished Satin Dress</t>
  </si>
  <si>
    <t>Polished Silk Dress</t>
  </si>
  <si>
    <t>Vintage Silk Tee</t>
  </si>
  <si>
    <t>Vintage Sleeveless Set</t>
  </si>
  <si>
    <t>Vintage Crew Tee</t>
  </si>
  <si>
    <t>Vintage Cotton Trousers</t>
  </si>
  <si>
    <t>Polished Linen Shoes</t>
  </si>
  <si>
    <t>Polished Crew Dress</t>
  </si>
  <si>
    <t>Polished Sleeveless Dress</t>
  </si>
  <si>
    <t>Vintage High-Waist Set</t>
  </si>
  <si>
    <t>Vintage Sleeveless Tee</t>
  </si>
  <si>
    <t>Vintage High-Waist Tee</t>
  </si>
  <si>
    <t>Polished High-Waist Dress</t>
  </si>
  <si>
    <t>Polished Boxy Dress</t>
  </si>
  <si>
    <t>Vintage Satin Trousers</t>
  </si>
  <si>
    <t>Vintage Silk Trousers</t>
  </si>
  <si>
    <t>Vintage Boxy Tee</t>
  </si>
  <si>
    <t>Polished Wrap Tee</t>
  </si>
  <si>
    <t>Polished Ribbed Shoes</t>
  </si>
  <si>
    <t>Vintage Boxy Set</t>
  </si>
  <si>
    <t>Polished Cotton Shoes</t>
  </si>
  <si>
    <t>Polished Linen Tee</t>
  </si>
  <si>
    <t>Polished Ribbed Tee</t>
  </si>
  <si>
    <t>Vintage Crew Trousers</t>
  </si>
  <si>
    <t>Vintage Sleeveless Trousers</t>
  </si>
  <si>
    <t>Polished Satin Shoes</t>
  </si>
  <si>
    <t>Polished Cotton Tee</t>
  </si>
  <si>
    <t>Polished Satin Tee</t>
  </si>
  <si>
    <t>Polished Silk Shoes</t>
  </si>
  <si>
    <t>Polished Wrap Set</t>
  </si>
  <si>
    <t>Polished Silk Tee</t>
  </si>
  <si>
    <t>Relaxed Wrap Dress</t>
  </si>
  <si>
    <t>Vintage High-Waist Trousers</t>
  </si>
  <si>
    <t>Relaxed Linen Dress</t>
  </si>
  <si>
    <t>Polished Crew Shoes</t>
  </si>
  <si>
    <t>Polished Linen Set</t>
  </si>
  <si>
    <t>Polished Crew Tee</t>
  </si>
  <si>
    <t>Vintage Boxy Trousers</t>
  </si>
  <si>
    <t>Polished Sleeveless Shoes</t>
  </si>
  <si>
    <t>Polished Ribbed Set</t>
  </si>
  <si>
    <t>Polished High-Waist Shoes</t>
  </si>
  <si>
    <t>Polished Boxy Shoes</t>
  </si>
  <si>
    <t>Relaxed Wrap Shoes</t>
  </si>
  <si>
    <t>Polished Sleeveless Tee</t>
  </si>
  <si>
    <t>Polished Cotton Set</t>
  </si>
  <si>
    <t>Relaxed Linen Shoes</t>
  </si>
  <si>
    <t>Relaxed Ribbed Dress</t>
  </si>
  <si>
    <t>Polished High-Waist Tee</t>
  </si>
  <si>
    <t>Polished Wrap Trousers</t>
  </si>
  <si>
    <t>Polished Linen Trousers</t>
  </si>
  <si>
    <t>Polished Ribbed Trousers</t>
  </si>
  <si>
    <t>Relaxed Ribbed Shoes</t>
  </si>
  <si>
    <t>Polished Satin Set</t>
  </si>
  <si>
    <t>Relaxed Cotton Shoes</t>
  </si>
  <si>
    <t>Relaxed Cotton Dress</t>
  </si>
  <si>
    <t>Relaxed Satin Dress</t>
  </si>
  <si>
    <t>Polished Cotton Trousers</t>
  </si>
  <si>
    <t>Polished Boxy Tee</t>
  </si>
  <si>
    <t>Polished Silk Set</t>
  </si>
  <si>
    <t>Relaxed Satin Shoes</t>
  </si>
  <si>
    <t>Relaxed Wrap Tee</t>
  </si>
  <si>
    <t>Relaxed Linen Tee</t>
  </si>
  <si>
    <t>Relaxed Ribbed Tee</t>
  </si>
  <si>
    <t>Relaxed Silk Shoes</t>
  </si>
  <si>
    <t>Polished Satin Trousers</t>
  </si>
  <si>
    <t>Polished Crew Set</t>
  </si>
  <si>
    <t>Relaxed Crew Shoes</t>
  </si>
  <si>
    <t>Relaxed Sleeveless Shoes</t>
  </si>
  <si>
    <t>Polished Silk Trousers</t>
  </si>
  <si>
    <t>Relaxed Silk Dress</t>
  </si>
  <si>
    <t>Relaxed Cotton Tee</t>
  </si>
  <si>
    <t>Polished Sleeveless Set</t>
  </si>
  <si>
    <t>Relaxed High-Waist Shoes</t>
  </si>
  <si>
    <t>Relaxed Satin Tee</t>
  </si>
  <si>
    <t>Relaxed Boxy Shoes</t>
  </si>
  <si>
    <t>Polished Crew Trousers</t>
  </si>
  <si>
    <t>Polished High-Waist Set</t>
  </si>
  <si>
    <t>Polished Boxy Set</t>
  </si>
  <si>
    <t>Relaxed Crew Dress</t>
  </si>
  <si>
    <t>Relaxed Silk Tee</t>
  </si>
  <si>
    <t>Essential Wrap Shoes</t>
  </si>
  <si>
    <t>Essential Linen Shoes</t>
  </si>
  <si>
    <t>Relaxed Crew Tee</t>
  </si>
  <si>
    <t>Relaxed Wrap Set</t>
  </si>
  <si>
    <t>Relaxed Sleeveless Tee</t>
  </si>
  <si>
    <t>Relaxed High-Waist Tee</t>
  </si>
  <si>
    <t>Relaxed Boxy Tee</t>
  </si>
  <si>
    <t>Essential Wrap Tee</t>
  </si>
  <si>
    <t>Relaxed Linen Set</t>
  </si>
  <si>
    <t>Essential Linen Tee</t>
  </si>
  <si>
    <t>Polished Sleeveless Trousers</t>
  </si>
  <si>
    <t>Polished High-Waist Trousers</t>
  </si>
  <si>
    <t>Essential Ribbed Shoes</t>
  </si>
  <si>
    <t>Essential Cotton Shoes</t>
  </si>
  <si>
    <t>Relaxed Sleeveless Dress</t>
  </si>
  <si>
    <t>Essential Satin Shoes</t>
  </si>
  <si>
    <t>Relaxed Ribbed Set</t>
  </si>
  <si>
    <t>Essential Ribbed Tee</t>
  </si>
  <si>
    <t>Relaxed High-Waist Dress</t>
  </si>
  <si>
    <t>Relaxed Cotton Set</t>
  </si>
  <si>
    <t>Essential Silk Shoes</t>
  </si>
  <si>
    <t>Essential Cotton Tee</t>
  </si>
  <si>
    <t>Essential Crew Shoes</t>
  </si>
  <si>
    <t>Essential Sleeveless Shoes</t>
  </si>
  <si>
    <t>Polished Boxy Trousers</t>
  </si>
  <si>
    <t>Relaxed Boxy Dress</t>
  </si>
  <si>
    <t>Essential High-Waist Shoes</t>
  </si>
  <si>
    <t>Essential Boxy Shoes</t>
  </si>
  <si>
    <t>Essential Wrap Dress</t>
  </si>
  <si>
    <t>Tailored Wrap Shoes</t>
  </si>
  <si>
    <t>Essential Linen Dress</t>
  </si>
  <si>
    <t>Essential Satin Tee</t>
  </si>
  <si>
    <t>Relaxed Satin Set</t>
  </si>
  <si>
    <t>Essential Silk Tee</t>
  </si>
  <si>
    <t>Relaxed Wrap Trousers</t>
  </si>
  <si>
    <t>Relaxed Silk Set</t>
  </si>
  <si>
    <t>Essential Crew Tee</t>
  </si>
  <si>
    <t>Relaxed Linen Trousers</t>
  </si>
  <si>
    <t>Essential Ribbed Dress</t>
  </si>
  <si>
    <t>Relaxed Ribbed Trousers</t>
  </si>
  <si>
    <t>Essential Cotton Dress</t>
  </si>
  <si>
    <t>Essential Satin Dress</t>
  </si>
  <si>
    <t>Relaxed Crew Set</t>
  </si>
  <si>
    <t>Relaxed Sleeveless Set</t>
  </si>
  <si>
    <t>Essential Sleeveless Tee</t>
  </si>
  <si>
    <t>Essential High-Waist Tee</t>
  </si>
  <si>
    <t>Relaxed High-Waist Set</t>
  </si>
  <si>
    <t>Essential Boxy Tee</t>
  </si>
  <si>
    <t>Essential Silk Dress</t>
  </si>
  <si>
    <t>Essential Crew Dress</t>
  </si>
  <si>
    <t>Relaxed Cotton Trousers</t>
  </si>
  <si>
    <t>Essential Sleeveless Dress</t>
  </si>
  <si>
    <t>Tailored Wrap Tee</t>
  </si>
  <si>
    <t>Tailored Linen Tee</t>
  </si>
  <si>
    <t>Tailored Linen Shoes</t>
  </si>
  <si>
    <t>Essential High-Waist Dress</t>
  </si>
  <si>
    <t>Essential Boxy Dress</t>
  </si>
  <si>
    <t>Tailored Wrap Dress</t>
  </si>
  <si>
    <t>Relaxed Boxy Set</t>
  </si>
  <si>
    <t>Essential Wrap Set</t>
  </si>
  <si>
    <t>Relaxed Satin Trousers</t>
  </si>
  <si>
    <t>Tailored Linen Dress</t>
  </si>
  <si>
    <t>Relaxed Silk Trousers</t>
  </si>
  <si>
    <t>Tailored Ribbed Dress</t>
  </si>
  <si>
    <t>Tailored Ribbed Shoes</t>
  </si>
  <si>
    <t>Tailored Ribbed Tee</t>
  </si>
  <si>
    <t>Essential Linen Set</t>
  </si>
  <si>
    <t>Essential Ribbed Set</t>
  </si>
  <si>
    <t>Tailored Cotton Tee</t>
  </si>
  <si>
    <t>Tailored Cotton Shoes</t>
  </si>
  <si>
    <t>Essential Cotton Set</t>
  </si>
  <si>
    <t>Essential Satin Set</t>
  </si>
  <si>
    <t>Tailored Satin Tee</t>
  </si>
  <si>
    <t>Tailored Silk Tee</t>
  </si>
  <si>
    <t>Tailored Crew Tee</t>
  </si>
  <si>
    <t>Relaxed Crew Trousers</t>
  </si>
  <si>
    <t>Tailored Sleeveless Tee</t>
  </si>
  <si>
    <t>Essential Silk Set</t>
  </si>
  <si>
    <t>Tailored Satin Shoes</t>
  </si>
  <si>
    <t>Essential Crew Set</t>
  </si>
  <si>
    <t>Relaxed Sleeveless Trousers</t>
  </si>
  <si>
    <t>Essential Sleeveless Set</t>
  </si>
  <si>
    <t>Relaxed High-Waist Trousers</t>
  </si>
  <si>
    <t>Tailored High-Waist Tee</t>
  </si>
  <si>
    <t>Relaxed Boxy Trousers</t>
  </si>
  <si>
    <t>Essential High-Waist Set</t>
  </si>
  <si>
    <t>Essential Boxy Set</t>
  </si>
  <si>
    <t>Tailored Wrap Set</t>
  </si>
  <si>
    <t>Tailored Silk Shoes</t>
  </si>
  <si>
    <t>Tailored Boxy Tee</t>
  </si>
  <si>
    <t>Tailored Linen Set</t>
  </si>
  <si>
    <t>Tailored Ribbed Set</t>
  </si>
  <si>
    <t>Tailored Cotton Dress</t>
  </si>
  <si>
    <t>Tailored Satin Dress</t>
  </si>
  <si>
    <t>Elegant Wrap Tee</t>
  </si>
  <si>
    <t>Essential Wrap Trousers</t>
  </si>
  <si>
    <t>Tailored Silk Dress</t>
  </si>
  <si>
    <t>Elegant Linen Tee</t>
  </si>
  <si>
    <t>Tailored Crew Dress</t>
  </si>
  <si>
    <t>Elegant Ribbed Tee</t>
  </si>
  <si>
    <t>Elegant Cotton Tee</t>
  </si>
  <si>
    <t>Essential Linen Trousers</t>
  </si>
  <si>
    <t>Tailored Crew Shoes</t>
  </si>
  <si>
    <t>Tailored Cotton Set</t>
  </si>
  <si>
    <t>Tailored Sleeveless Shoes</t>
  </si>
  <si>
    <t>Tailored Satin Set</t>
  </si>
  <si>
    <t>Tailored High-Waist Shoes</t>
  </si>
  <si>
    <t>Essential Ribbed Trousers</t>
  </si>
  <si>
    <t>Essential Cotton Trousers</t>
  </si>
  <si>
    <t>Tailored Silk Set</t>
  </si>
  <si>
    <t>Elegant Satin Tee</t>
  </si>
  <si>
    <t>Tailored Sleeveless Dress</t>
  </si>
  <si>
    <t>Tailored Crew Set</t>
  </si>
  <si>
    <t>Tailored Sleeveless Set</t>
  </si>
  <si>
    <t>Essential Satin Trousers</t>
  </si>
  <si>
    <t>Tailored High-Waist Dress</t>
  </si>
  <si>
    <t>Tailored High-Waist Set</t>
  </si>
  <si>
    <t>Tailored Boxy Dress</t>
  </si>
  <si>
    <t>Tailored Boxy Set</t>
  </si>
  <si>
    <t>Tailored Boxy Shoes</t>
  </si>
  <si>
    <t>Elegant Wrap Dress</t>
  </si>
  <si>
    <t>Elegant Wrap Shoes</t>
  </si>
  <si>
    <t>Elegant Wrap Set</t>
  </si>
  <si>
    <t>Elegant Silk Tee</t>
  </si>
  <si>
    <t>Elegant Linen Dress</t>
  </si>
  <si>
    <t>Elegant Crew Tee</t>
  </si>
  <si>
    <t>Elegant Ribbed Dress</t>
  </si>
  <si>
    <t>Elegant Linen Set</t>
  </si>
  <si>
    <t>Elegant Linen Shoes</t>
  </si>
  <si>
    <t>Essential Silk Trousers</t>
  </si>
  <si>
    <t>Elegant Cotton Dress</t>
  </si>
  <si>
    <t>Elegant Ribbed Set</t>
  </si>
  <si>
    <t>Elegant Satin Dress</t>
  </si>
  <si>
    <t>Elegant Cotton Set</t>
  </si>
  <si>
    <t>Elegant Silk Dress</t>
  </si>
  <si>
    <t>Essential Crew Trousers</t>
  </si>
  <si>
    <t>Elegant Sleeveless Tee</t>
  </si>
  <si>
    <t>Elegant High-Waist Tee</t>
  </si>
  <si>
    <t>Elegant Ribbed Shoes</t>
  </si>
  <si>
    <t>Elegant Satin Set</t>
  </si>
  <si>
    <t>Elegant Silk Set</t>
  </si>
  <si>
    <t>Elegant Cotton Shoes</t>
  </si>
  <si>
    <t>Elegant Satin Shoes</t>
  </si>
  <si>
    <t>Elegant Crew Set</t>
  </si>
  <si>
    <t>Essential Sleeveless Trousers</t>
  </si>
  <si>
    <t>Essential High-Waist Trousers</t>
  </si>
  <si>
    <t>Elegant Silk Shoes</t>
  </si>
  <si>
    <t>Elegant Crew Shoes</t>
  </si>
  <si>
    <t>Elegant Crew Dress</t>
  </si>
  <si>
    <t>Elegant Sleeveless Shoes</t>
  </si>
  <si>
    <t>Elegant Sleeveless Set</t>
  </si>
  <si>
    <t>Elegant High-Waist Set</t>
  </si>
  <si>
    <t>Elegant Boxy Tee</t>
  </si>
  <si>
    <t>Elegant Sleeveless Dress</t>
  </si>
  <si>
    <t>Elegant Boxy Set</t>
  </si>
  <si>
    <t>Elegant High-Waist Dress</t>
  </si>
  <si>
    <t>Bold Wrap Set</t>
  </si>
  <si>
    <t>Elegant High-Waist Shoes</t>
  </si>
  <si>
    <t>Bold Wrap Tee</t>
  </si>
  <si>
    <t>Bold Linen Set</t>
  </si>
  <si>
    <t>Elegant Boxy Shoes</t>
  </si>
  <si>
    <t>Bold Linen Tee</t>
  </si>
  <si>
    <t>Essential Boxy Trousers</t>
  </si>
  <si>
    <t>Bold Ribbed Tee</t>
  </si>
  <si>
    <t>Tailored Wrap Trousers</t>
  </si>
  <si>
    <t>Bold Wrap Shoes</t>
  </si>
  <si>
    <t>Elegant Boxy Dress</t>
  </si>
  <si>
    <t>Bold Wrap Dress</t>
  </si>
  <si>
    <t>Tailored Linen Trousers</t>
  </si>
  <si>
    <t>Bold Linen Shoes</t>
  </si>
  <si>
    <t>Bold Linen Dress</t>
  </si>
  <si>
    <t>Bold Ribbed Dress</t>
  </si>
  <si>
    <t>Bold Ribbed Set</t>
  </si>
  <si>
    <t>Bold Cotton Dress</t>
  </si>
  <si>
    <t>Bold Cotton Set</t>
  </si>
  <si>
    <t>Bold Cotton Tee</t>
  </si>
  <si>
    <t>Bold Satin Dress</t>
  </si>
  <si>
    <t>Bold Silk Dress</t>
  </si>
  <si>
    <t>Bold Satin Set</t>
  </si>
  <si>
    <t>Bold Silk Set</t>
  </si>
  <si>
    <t>Bold Satin Tee</t>
  </si>
  <si>
    <t>Bold Crew Dress</t>
  </si>
  <si>
    <t>Bold Silk Tee</t>
  </si>
  <si>
    <t>Bold Crew Set</t>
  </si>
  <si>
    <t>Tailored Ribbed Trousers</t>
  </si>
  <si>
    <t>Bold Sleeveless Dress</t>
  </si>
  <si>
    <t>Bold Crew Tee</t>
  </si>
  <si>
    <t>Bold Sleeveless Set</t>
  </si>
  <si>
    <t>Bold High-Waist Dress</t>
  </si>
  <si>
    <t>Bold Sleeveless Tee</t>
  </si>
  <si>
    <t>Bold High-Waist Tee</t>
  </si>
  <si>
    <t>Bold High-Waist Set</t>
  </si>
  <si>
    <t>Bold Boxy Dress</t>
  </si>
  <si>
    <t>Bold Ribbed Shoes</t>
  </si>
  <si>
    <t>Bold Boxy Set</t>
  </si>
  <si>
    <t>Bold Boxy Tee</t>
  </si>
  <si>
    <t>Tailored Cotton Trousers</t>
  </si>
  <si>
    <t>Sleepwear Drop 1</t>
  </si>
  <si>
    <t>Dresses Drop 1</t>
  </si>
  <si>
    <t>Sleepwear Drop 2</t>
  </si>
  <si>
    <t>T-Shirts Drop 1</t>
  </si>
  <si>
    <t>Tailored Satin Trousers</t>
  </si>
  <si>
    <t>Dresses Drop 2</t>
  </si>
  <si>
    <t>Bold Cotton Shoes</t>
  </si>
  <si>
    <t>Dresses Drop 3</t>
  </si>
  <si>
    <t>Bold Satin Shoes</t>
  </si>
  <si>
    <t>Bold Silk Shoes</t>
  </si>
  <si>
    <t>T-Shirts Drop 2</t>
  </si>
  <si>
    <t>Dresses Drop 4</t>
  </si>
  <si>
    <t>Dresses Drop 5</t>
  </si>
  <si>
    <t>Bold Crew Shoes</t>
  </si>
  <si>
    <t>Dresses Drop 6</t>
  </si>
  <si>
    <t>T-Shirts Drop 3</t>
  </si>
  <si>
    <t>Tailored Silk Trousers</t>
  </si>
  <si>
    <t>Bold Sleeveless Shoes</t>
  </si>
  <si>
    <t>T-Shirts Drop 4</t>
  </si>
  <si>
    <t>Bold High-Waist Shoes</t>
  </si>
  <si>
    <t>Sleepwear Drop 3</t>
  </si>
  <si>
    <t>T-Shirts Drop 5</t>
  </si>
  <si>
    <t>Bold Boxy Shoes</t>
  </si>
  <si>
    <t>T-Shirts Drop 6</t>
  </si>
  <si>
    <t>Tailored Crew Trousers</t>
  </si>
  <si>
    <t>Tailored Sleeveless Trousers</t>
  </si>
  <si>
    <t>T-Shirts Drop 7</t>
  </si>
  <si>
    <t>Dresses Drop 7</t>
  </si>
  <si>
    <t>Tailored High-Waist Trousers</t>
  </si>
  <si>
    <t>Dresses Drop 8</t>
  </si>
  <si>
    <t>T-Shirts Drop 8</t>
  </si>
  <si>
    <t>Sleepwear Drop 4</t>
  </si>
  <si>
    <t>Dresses Drop 9</t>
  </si>
  <si>
    <t>sale_id</t>
  </si>
  <si>
    <t>discounted</t>
  </si>
  <si>
    <t>total_amount</t>
  </si>
  <si>
    <t>sale_date</t>
  </si>
  <si>
    <t>item_id</t>
  </si>
  <si>
    <t>quantity</t>
  </si>
  <si>
    <t>original_price</t>
  </si>
  <si>
    <t>unit_price</t>
  </si>
  <si>
    <t>discount_applied</t>
  </si>
  <si>
    <t>discount_percent</t>
  </si>
  <si>
    <t>item_total</t>
  </si>
  <si>
    <t>channel_campaigns</t>
  </si>
  <si>
    <t>stock_quantity</t>
  </si>
  <si>
    <t>XS/S</t>
  </si>
  <si>
    <t>revenue</t>
  </si>
  <si>
    <t>Row Labels</t>
  </si>
  <si>
    <t>Grand Total</t>
  </si>
  <si>
    <t>Apr</t>
  </si>
  <si>
    <t>May</t>
  </si>
  <si>
    <t>Jun</t>
  </si>
  <si>
    <t>Sum of revenue</t>
  </si>
  <si>
    <t>Mom Growth</t>
  </si>
  <si>
    <t>weekday</t>
  </si>
  <si>
    <t>Sunday</t>
  </si>
  <si>
    <t>Monday</t>
  </si>
  <si>
    <t>Tuesday</t>
  </si>
  <si>
    <t>Wednesday</t>
  </si>
  <si>
    <t>Thursday</t>
  </si>
  <si>
    <t>Friday</t>
  </si>
  <si>
    <t>Saturday</t>
  </si>
  <si>
    <t>Value</t>
  </si>
  <si>
    <t>Total_Revenue</t>
  </si>
  <si>
    <t>Total_Order</t>
  </si>
  <si>
    <t>Total_Item_Sold</t>
  </si>
  <si>
    <t>Average_Order_Value</t>
  </si>
  <si>
    <t>Avg Items Per Order</t>
  </si>
  <si>
    <t>Best Month</t>
  </si>
  <si>
    <t>Best Weekday</t>
  </si>
  <si>
    <t>Count of sale_id</t>
  </si>
  <si>
    <t>Count of campaign_id</t>
  </si>
  <si>
    <t>Average of discount_value</t>
  </si>
  <si>
    <t>value</t>
  </si>
  <si>
    <t>Best_channel(Revenue)</t>
  </si>
  <si>
    <t>Best_channel(Orders)</t>
  </si>
  <si>
    <t>Recency</t>
  </si>
  <si>
    <t>last_purchase_date</t>
  </si>
  <si>
    <t>Monetary</t>
  </si>
  <si>
    <t>Frequency</t>
  </si>
  <si>
    <t>top customer(revenue)</t>
  </si>
  <si>
    <t>top customer revenue</t>
  </si>
  <si>
    <t>avg AOV(top 10 customer)</t>
  </si>
  <si>
    <t>top country(customer)</t>
  </si>
  <si>
    <t>top channel(customer)</t>
  </si>
  <si>
    <t>Sum of quantity</t>
  </si>
  <si>
    <t>top category(revenue)</t>
  </si>
  <si>
    <t>revenue_of_top_category</t>
  </si>
  <si>
    <t>best stock efficiency country</t>
  </si>
  <si>
    <t>revenue_Germany</t>
  </si>
  <si>
    <t>revenue_France</t>
  </si>
  <si>
    <t>orders_France</t>
  </si>
  <si>
    <t>orders_Germany</t>
  </si>
  <si>
    <t>stock_quantity_France</t>
  </si>
  <si>
    <t>stock_quantity_Germany</t>
  </si>
  <si>
    <t>sales_to_stock_ratio_France</t>
  </si>
  <si>
    <t>sales_to_stock_ratio_Germany</t>
  </si>
  <si>
    <t>orders_to_stock_ratio_Germany</t>
  </si>
  <si>
    <t>orders_to_stock_ratio_France</t>
  </si>
  <si>
    <t>revenue share_France</t>
  </si>
  <si>
    <t>revenue share_Germany</t>
  </si>
  <si>
    <t>counter</t>
  </si>
  <si>
    <t>total items per sale</t>
  </si>
  <si>
    <t>product per sale</t>
  </si>
  <si>
    <t>average_items</t>
  </si>
  <si>
    <t>average_product</t>
  </si>
  <si>
    <t>2025</t>
  </si>
  <si>
    <t>average_monthly_revenue</t>
  </si>
  <si>
    <t>best_revenue_month</t>
  </si>
  <si>
    <t>peak_order_month</t>
  </si>
  <si>
    <t>sighnup_date</t>
  </si>
  <si>
    <t>customer_tenure</t>
  </si>
  <si>
    <t>customer_type</t>
  </si>
  <si>
    <t>existing customer</t>
  </si>
  <si>
    <t>new customer</t>
  </si>
  <si>
    <t>Column Labels</t>
  </si>
  <si>
    <t>total_customer</t>
  </si>
  <si>
    <t>new_customers</t>
  </si>
  <si>
    <t>revenue_from new customers</t>
  </si>
  <si>
    <t>revenue_from existing customers</t>
  </si>
  <si>
    <t>top age_range by revenue</t>
  </si>
  <si>
    <t>data issue_customers</t>
  </si>
  <si>
    <t>existing_customers</t>
  </si>
  <si>
    <t>revenue_from data issue customers</t>
  </si>
  <si>
    <t>Aov</t>
  </si>
  <si>
    <t>Total Revenue</t>
  </si>
  <si>
    <t>Total Orders</t>
  </si>
  <si>
    <t>Total Customers</t>
  </si>
  <si>
    <t>Average Order VAlue</t>
  </si>
  <si>
    <t>Total Customer</t>
  </si>
  <si>
    <t>data issue</t>
  </si>
  <si>
    <t>Metric</t>
  </si>
  <si>
    <t>sale_KPI:</t>
  </si>
  <si>
    <t>customer_KPI:</t>
  </si>
  <si>
    <t>channel_performance_KPI:</t>
  </si>
  <si>
    <t>category_performance_KPI:</t>
  </si>
  <si>
    <t>stock_KPI:</t>
  </si>
  <si>
    <t>basket_KPI:</t>
  </si>
  <si>
    <t>time_KPI:</t>
  </si>
  <si>
    <t>age_range&amp;customer_type_KPI: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</si>
</sst>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0.0000"/>
  </numFmts>
  <fonts count="4" x14ac:knownFonts="1">
    <font>
      <sz val="11"/>
      <color theme="1"/>
      <name val="Aptos Narrow"/>
      <family val="2"/>
      <scheme val="minor"/>
    </font>
    <font>
      <b/>
      <sz val="11"/>
      <color theme="0"/>
      <name val="Aptos Narrow"/>
      <family val="2"/>
      <scheme val="minor"/>
    </font>
    <font>
      <b/>
      <sz val="11"/>
      <color theme="1"/>
      <name val="Aptos Narrow"/>
      <family val="2"/>
      <scheme val="minor"/>
    </font>
    <font>
      <b/>
      <sz val="12"/>
      <color theme="1"/>
      <name val="Aptos Narrow"/>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3" tint="0.89999084444715716"/>
        <bgColor indexed="64"/>
      </patternFill>
    </fill>
    <fill>
      <patternFill patternType="solid">
        <fgColor theme="3" tint="0.749992370372631"/>
        <bgColor indexed="64"/>
      </patternFill>
    </fill>
  </fills>
  <borders count="9">
    <border>
      <left/>
      <right/>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2">
    <xf numFmtId="0" fontId="0" fillId="0" borderId="0" xfId="0"/>
    <xf numFmtId="14" fontId="0" fillId="0" borderId="0" xfId="0" applyNumberFormat="1"/>
    <xf numFmtId="10"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1" fillId="3" borderId="1" xfId="0" applyFont="1" applyFill="1" applyBorder="1"/>
    <xf numFmtId="0" fontId="1" fillId="3" borderId="2" xfId="0" applyFont="1" applyFill="1" applyBorder="1"/>
    <xf numFmtId="0" fontId="0" fillId="2" borderId="1" xfId="0" applyFill="1" applyBorder="1"/>
    <xf numFmtId="2" fontId="0" fillId="0" borderId="0" xfId="0" applyNumberFormat="1"/>
    <xf numFmtId="0" fontId="0" fillId="4" borderId="0" xfId="0" applyFill="1"/>
    <xf numFmtId="0" fontId="2" fillId="5" borderId="3" xfId="0" applyFont="1" applyFill="1" applyBorder="1" applyAlignment="1">
      <alignment horizontal="center"/>
    </xf>
    <xf numFmtId="0" fontId="2" fillId="5" borderId="4" xfId="0" applyFont="1" applyFill="1" applyBorder="1" applyAlignment="1">
      <alignment horizontal="center"/>
    </xf>
    <xf numFmtId="0" fontId="2" fillId="5" borderId="5" xfId="0" applyFont="1" applyFill="1" applyBorder="1" applyAlignment="1">
      <alignment horizontal="center"/>
    </xf>
    <xf numFmtId="0" fontId="2" fillId="5" borderId="7" xfId="0" applyFont="1" applyFill="1" applyBorder="1" applyAlignment="1">
      <alignment horizontal="center"/>
    </xf>
    <xf numFmtId="4" fontId="2" fillId="5" borderId="6" xfId="0" applyNumberFormat="1" applyFont="1" applyFill="1" applyBorder="1" applyAlignment="1">
      <alignment horizontal="center"/>
    </xf>
    <xf numFmtId="4" fontId="2" fillId="5" borderId="8" xfId="0" applyNumberFormat="1" applyFont="1" applyFill="1" applyBorder="1" applyAlignment="1">
      <alignment horizontal="center"/>
    </xf>
    <xf numFmtId="0" fontId="3" fillId="0" borderId="0" xfId="0" applyFont="1"/>
    <xf numFmtId="4" fontId="0" fillId="0" borderId="0" xfId="0" applyNumberFormat="1"/>
    <xf numFmtId="4" fontId="0" fillId="2" borderId="2" xfId="0" applyNumberFormat="1" applyFill="1" applyBorder="1"/>
    <xf numFmtId="165" fontId="0" fillId="0" borderId="0" xfId="0" applyNumberFormat="1"/>
  </cellXfs>
  <cellStyles count="1">
    <cellStyle name="Normal" xfId="0" builtinId="0"/>
  </cellStyles>
  <dxfs count="23">
    <dxf>
      <numFmt numFmtId="2" formatCode="0.00"/>
    </dxf>
    <dxf>
      <font>
        <color rgb="FF9C0006"/>
      </font>
      <fill>
        <patternFill>
          <bgColor rgb="FFFFC7CE"/>
        </patternFill>
      </fill>
    </dxf>
    <dxf>
      <numFmt numFmtId="14" formatCode="0.00%"/>
    </dxf>
    <dxf>
      <border outline="0">
        <bottom style="thin">
          <color theme="4" tint="0.39997558519241921"/>
        </bottom>
      </border>
    </dxf>
    <dxf>
      <numFmt numFmtId="0" formatCode="General"/>
    </dxf>
    <dxf>
      <numFmt numFmtId="0" formatCode="General"/>
    </dxf>
    <dxf>
      <numFmt numFmtId="0" formatCode="General"/>
    </dxf>
    <dxf>
      <numFmt numFmtId="19" formatCode="m/d/yyyy"/>
    </dxf>
    <dxf>
      <numFmt numFmtId="14" formatCode="0.00%"/>
    </dxf>
    <dxf>
      <numFmt numFmtId="0" formatCode="General"/>
    </dxf>
    <dxf>
      <numFmt numFmtId="0" formatCode="General"/>
    </dxf>
    <dxf>
      <numFmt numFmtId="0" formatCode="General"/>
    </dxf>
    <dxf>
      <numFmt numFmtId="19" formatCode="m/d/yyyy"/>
    </dxf>
    <dxf>
      <numFmt numFmtId="2" formatCode="0.00"/>
    </dxf>
    <dxf>
      <numFmt numFmtId="0" formatCode="General"/>
    </dxf>
    <dxf>
      <numFmt numFmtId="0" formatCode="General"/>
    </dxf>
    <dxf>
      <numFmt numFmtId="19" formatCode="m/d/yyyy"/>
    </dxf>
    <dxf>
      <numFmt numFmtId="19" formatCode="m/d/yyyy"/>
    </dxf>
    <dxf>
      <numFmt numFmtId="0" formatCode="General"/>
    </dxf>
    <dxf>
      <numFmt numFmtId="19" formatCode="m/d/yyyy"/>
    </dxf>
    <dxf>
      <numFmt numFmtId="19" formatCode="m/d/yyyy"/>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Light16">
    <tableStyle name="Timeline Style 1" pivot="0" table="0" count="8" xr9:uid="{7534021C-B1B2-4926-A1F2-C4D0738D7E3B}">
      <tableStyleElement type="wholeTable" dxfId="22"/>
      <tableStyleElement type="headerRow" dxfId="21"/>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microsoft.com/office/2011/relationships/timelineCache" Target="timelineCaches/timeline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07/relationships/slicerCache" Target="slicerCaches/slicerCache3.xml"/><Relationship Id="rId38"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07/relationships/slicerCache" Target="slicerCaches/slicerCache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1.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3.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[my_project_copy (version 2).xlsb.xlsx]weekday revenue pivot!PivotTable4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weekday revenue</a:t>
            </a:r>
          </a:p>
          <a:p>
            <a:pPr>
              <a:defRPr/>
            </a:pP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'weekday revenue 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'weekday revenue pivot'!$A$4:$A$11</c:f>
              <c:strCache>
                <c:ptCount val="7"/>
                <c:pt idx="0">
                  <c:v>Sunday</c:v>
                </c:pt>
                <c:pt idx="1">
                  <c:v>Monday</c:v>
                </c:pt>
                <c:pt idx="2">
                  <c:v>Tuesday</c:v>
                </c:pt>
                <c:pt idx="3">
                  <c:v>Wednesday</c:v>
                </c:pt>
                <c:pt idx="4">
                  <c:v>Thursday</c:v>
                </c:pt>
                <c:pt idx="5">
                  <c:v>Friday</c:v>
                </c:pt>
                <c:pt idx="6">
                  <c:v>Saturday</c:v>
                </c:pt>
              </c:strCache>
            </c:strRef>
          </c:cat>
          <c:val>
            <c:numRef>
              <c:f>'weekday revenue pivot'!$B$4:$B$11</c:f>
              <c:numCache>
                <c:formatCode>General</c:formatCode>
                <c:ptCount val="7"/>
                <c:pt idx="0">
                  <c:v>13958.400000000003</c:v>
                </c:pt>
                <c:pt idx="1">
                  <c:v>14271.909999999998</c:v>
                </c:pt>
                <c:pt idx="2">
                  <c:v>15231.390000000003</c:v>
                </c:pt>
                <c:pt idx="3">
                  <c:v>10693.990000000003</c:v>
                </c:pt>
                <c:pt idx="4">
                  <c:v>10932.51</c:v>
                </c:pt>
                <c:pt idx="5">
                  <c:v>13002.730000000003</c:v>
                </c:pt>
                <c:pt idx="6">
                  <c:v>13310.960000000003</c:v>
                </c:pt>
              </c:numCache>
            </c:numRef>
          </c:val>
          <c:extLst>
            <c:ext xmlns:c16="http://schemas.microsoft.com/office/drawing/2014/chart" uri="{C3380CC4-5D6E-409C-BE32-E72D297353CC}">
              <c16:uniqueId val="{00000000-6031-405C-B152-980F22DD6DA8}"/>
            </c:ext>
          </c:extLst>
        </c:ser>
        <c:dLbls>
          <c:dLblPos val="outEnd"/>
          <c:showLegendKey val="0"/>
          <c:showVal val="1"/>
          <c:showCatName val="0"/>
          <c:showSerName val="0"/>
          <c:showPercent val="0"/>
          <c:showBubbleSize val="0"/>
        </c:dLbls>
        <c:gapWidth val="219"/>
        <c:overlap val="-27"/>
        <c:axId val="1684962751"/>
        <c:axId val="1684980031"/>
      </c:barChart>
      <c:catAx>
        <c:axId val="168496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980031"/>
        <c:crosses val="autoZero"/>
        <c:auto val="1"/>
        <c:lblAlgn val="ctr"/>
        <c:lblOffset val="100"/>
        <c:noMultiLvlLbl val="0"/>
      </c:catAx>
      <c:valAx>
        <c:axId val="1684980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96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[my_project_copy (version 2).xlsb.xlsx]time_analysis_pivot!PivotTable1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time_analysis_pivot!$B$3</c:f>
              <c:strCache>
                <c:ptCount val="1"/>
                <c:pt idx="0">
                  <c:v>Sum of revenue</c:v>
                </c:pt>
              </c:strCache>
            </c:strRef>
          </c:tx>
          <c:spPr>
            <a:solidFill>
              <a:schemeClr val="accent1"/>
            </a:solidFill>
            <a:ln>
              <a:noFill/>
            </a:ln>
            <a:effectLst/>
          </c:spPr>
          <c:invertIfNegative val="0"/>
          <c:cat>
            <c:multiLvlStrRef>
              <c:f>time_analysis_pivot!$A$4:$A$8</c:f>
              <c:multiLvlStrCache>
                <c:ptCount val="3"/>
                <c:lvl>
                  <c:pt idx="0">
                    <c:v>Apr</c:v>
                  </c:pt>
                  <c:pt idx="1">
                    <c:v>May</c:v>
                  </c:pt>
                  <c:pt idx="2">
                    <c:v>Jun</c:v>
                  </c:pt>
                </c:lvl>
                <c:lvl>
                  <c:pt idx="0">
                    <c:v>2025</c:v>
                  </c:pt>
                </c:lvl>
              </c:multiLvlStrCache>
            </c:multiLvlStrRef>
          </c:cat>
          <c:val>
            <c:numRef>
              <c:f>time_analysis_pivot!$B$4:$B$8</c:f>
              <c:numCache>
                <c:formatCode>General</c:formatCode>
                <c:ptCount val="3"/>
                <c:pt idx="0">
                  <c:v>37751.680000000008</c:v>
                </c:pt>
                <c:pt idx="1">
                  <c:v>39570.939999999966</c:v>
                </c:pt>
                <c:pt idx="2">
                  <c:v>14079.270000000004</c:v>
                </c:pt>
              </c:numCache>
            </c:numRef>
          </c:val>
          <c:extLst>
            <c:ext xmlns:c16="http://schemas.microsoft.com/office/drawing/2014/chart" uri="{C3380CC4-5D6E-409C-BE32-E72D297353CC}">
              <c16:uniqueId val="{00000000-E48B-4CBB-BB68-9AE46C0A0A50}"/>
            </c:ext>
          </c:extLst>
        </c:ser>
        <c:dLbls>
          <c:showLegendKey val="0"/>
          <c:showVal val="0"/>
          <c:showCatName val="0"/>
          <c:showSerName val="0"/>
          <c:showPercent val="0"/>
          <c:showBubbleSize val="0"/>
        </c:dLbls>
        <c:gapWidth val="150"/>
        <c:axId val="458371839"/>
        <c:axId val="458369439"/>
      </c:barChart>
      <c:lineChart>
        <c:grouping val="standard"/>
        <c:varyColors val="0"/>
        <c:ser>
          <c:idx val="1"/>
          <c:order val="1"/>
          <c:tx>
            <c:strRef>
              <c:f>time_analysis_pivot!$C$3</c:f>
              <c:strCache>
                <c:ptCount val="1"/>
                <c:pt idx="0">
                  <c:v>Count of sale_id</c:v>
                </c:pt>
              </c:strCache>
            </c:strRef>
          </c:tx>
          <c:spPr>
            <a:ln w="28575" cap="rnd">
              <a:solidFill>
                <a:schemeClr val="accent2"/>
              </a:solidFill>
              <a:round/>
            </a:ln>
            <a:effectLst/>
          </c:spPr>
          <c:marker>
            <c:symbol val="none"/>
          </c:marker>
          <c:cat>
            <c:multiLvlStrRef>
              <c:f>time_analysis_pivot!$A$4:$A$8</c:f>
              <c:multiLvlStrCache>
                <c:ptCount val="3"/>
                <c:lvl>
                  <c:pt idx="0">
                    <c:v>Apr</c:v>
                  </c:pt>
                  <c:pt idx="1">
                    <c:v>May</c:v>
                  </c:pt>
                  <c:pt idx="2">
                    <c:v>Jun</c:v>
                  </c:pt>
                </c:lvl>
                <c:lvl>
                  <c:pt idx="0">
                    <c:v>2025</c:v>
                  </c:pt>
                </c:lvl>
              </c:multiLvlStrCache>
            </c:multiLvlStrRef>
          </c:cat>
          <c:val>
            <c:numRef>
              <c:f>time_analysis_pivot!$C$4:$C$8</c:f>
              <c:numCache>
                <c:formatCode>General</c:formatCode>
                <c:ptCount val="3"/>
                <c:pt idx="0">
                  <c:v>364</c:v>
                </c:pt>
                <c:pt idx="1">
                  <c:v>403</c:v>
                </c:pt>
                <c:pt idx="2">
                  <c:v>138</c:v>
                </c:pt>
              </c:numCache>
            </c:numRef>
          </c:val>
          <c:smooth val="0"/>
          <c:extLst>
            <c:ext xmlns:c16="http://schemas.microsoft.com/office/drawing/2014/chart" uri="{C3380CC4-5D6E-409C-BE32-E72D297353CC}">
              <c16:uniqueId val="{00000001-E48B-4CBB-BB68-9AE46C0A0A50}"/>
            </c:ext>
          </c:extLst>
        </c:ser>
        <c:dLbls>
          <c:showLegendKey val="0"/>
          <c:showVal val="0"/>
          <c:showCatName val="0"/>
          <c:showSerName val="0"/>
          <c:showPercent val="0"/>
          <c:showBubbleSize val="0"/>
        </c:dLbls>
        <c:marker val="1"/>
        <c:smooth val="0"/>
        <c:axId val="29531103"/>
        <c:axId val="451095775"/>
      </c:lineChart>
      <c:catAx>
        <c:axId val="45837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369439"/>
        <c:crosses val="autoZero"/>
        <c:auto val="1"/>
        <c:lblAlgn val="ctr"/>
        <c:lblOffset val="100"/>
        <c:noMultiLvlLbl val="0"/>
      </c:catAx>
      <c:valAx>
        <c:axId val="458369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371839"/>
        <c:crosses val="autoZero"/>
        <c:crossBetween val="between"/>
      </c:valAx>
      <c:valAx>
        <c:axId val="45109577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31103"/>
        <c:crosses val="max"/>
        <c:crossBetween val="between"/>
      </c:valAx>
      <c:catAx>
        <c:axId val="29531103"/>
        <c:scaling>
          <c:orientation val="minMax"/>
        </c:scaling>
        <c:delete val="1"/>
        <c:axPos val="b"/>
        <c:numFmt formatCode="General" sourceLinked="1"/>
        <c:majorTickMark val="out"/>
        <c:minorTickMark val="none"/>
        <c:tickLblPos val="nextTo"/>
        <c:crossAx val="45109577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[my_project_copy (version 2).xlsb.xlsx]monthly_revenue_pivot!PivotTable1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Revenue Trend</a:t>
            </a:r>
            <a:endParaRPr lang="en-US"/>
          </a:p>
        </c:rich>
      </c:tx>
      <c:layout>
        <c:manualLayout>
          <c:xMode val="edge"/>
          <c:yMode val="edge"/>
          <c:x val="0.28030555555555553"/>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monthly_revenue_pivot!$B$3</c:f>
              <c:strCache>
                <c:ptCount val="1"/>
                <c:pt idx="0">
                  <c:v>Sum of revenue</c:v>
                </c:pt>
              </c:strCache>
            </c:strRef>
          </c:tx>
          <c:spPr>
            <a:solidFill>
              <a:schemeClr val="accent1"/>
            </a:solidFill>
            <a:ln>
              <a:noFill/>
            </a:ln>
            <a:effectLst/>
          </c:spPr>
          <c:invertIfNegative val="0"/>
          <c:cat>
            <c:strRef>
              <c:f>monthly_revenue_pivot!$A$4:$A$7</c:f>
              <c:strCache>
                <c:ptCount val="3"/>
                <c:pt idx="0">
                  <c:v>Apr</c:v>
                </c:pt>
                <c:pt idx="1">
                  <c:v>May</c:v>
                </c:pt>
                <c:pt idx="2">
                  <c:v>Jun</c:v>
                </c:pt>
              </c:strCache>
            </c:strRef>
          </c:cat>
          <c:val>
            <c:numRef>
              <c:f>monthly_revenue_pivot!$B$4:$B$7</c:f>
              <c:numCache>
                <c:formatCode>General</c:formatCode>
                <c:ptCount val="3"/>
                <c:pt idx="0">
                  <c:v>132588.00999999986</c:v>
                </c:pt>
                <c:pt idx="1">
                  <c:v>143471.57000000007</c:v>
                </c:pt>
                <c:pt idx="2">
                  <c:v>48177.289999999979</c:v>
                </c:pt>
              </c:numCache>
            </c:numRef>
          </c:val>
          <c:extLst>
            <c:ext xmlns:c16="http://schemas.microsoft.com/office/drawing/2014/chart" uri="{C3380CC4-5D6E-409C-BE32-E72D297353CC}">
              <c16:uniqueId val="{00000000-869E-4C5F-9A77-78E5A5A78CDE}"/>
            </c:ext>
          </c:extLst>
        </c:ser>
        <c:dLbls>
          <c:showLegendKey val="0"/>
          <c:showVal val="0"/>
          <c:showCatName val="0"/>
          <c:showSerName val="0"/>
          <c:showPercent val="0"/>
          <c:showBubbleSize val="0"/>
        </c:dLbls>
        <c:gapWidth val="150"/>
        <c:axId val="1352755263"/>
        <c:axId val="1352756703"/>
      </c:barChart>
      <c:lineChart>
        <c:grouping val="standard"/>
        <c:varyColors val="0"/>
        <c:ser>
          <c:idx val="1"/>
          <c:order val="1"/>
          <c:tx>
            <c:strRef>
              <c:f>monthly_revenue_pivot!$C$3</c:f>
              <c:strCache>
                <c:ptCount val="1"/>
                <c:pt idx="0">
                  <c:v>Mom Growth</c:v>
                </c:pt>
              </c:strCache>
            </c:strRef>
          </c:tx>
          <c:spPr>
            <a:ln w="28575" cap="rnd">
              <a:solidFill>
                <a:schemeClr val="accent2"/>
              </a:solidFill>
              <a:round/>
            </a:ln>
            <a:effectLst/>
          </c:spPr>
          <c:marker>
            <c:symbol val="none"/>
          </c:marker>
          <c:cat>
            <c:strRef>
              <c:f>monthly_revenue_pivot!$A$4:$A$7</c:f>
              <c:strCache>
                <c:ptCount val="3"/>
                <c:pt idx="0">
                  <c:v>Apr</c:v>
                </c:pt>
                <c:pt idx="1">
                  <c:v>May</c:v>
                </c:pt>
                <c:pt idx="2">
                  <c:v>Jun</c:v>
                </c:pt>
              </c:strCache>
            </c:strRef>
          </c:cat>
          <c:val>
            <c:numRef>
              <c:f>monthly_revenue_pivot!$C$4:$C$7</c:f>
              <c:numCache>
                <c:formatCode>0.00%</c:formatCode>
                <c:ptCount val="3"/>
                <c:pt idx="1">
                  <c:v>8.2085552079710772E-2</c:v>
                </c:pt>
                <c:pt idx="2">
                  <c:v>-0.63663916518544905</c:v>
                </c:pt>
              </c:numCache>
            </c:numRef>
          </c:val>
          <c:smooth val="0"/>
          <c:extLst>
            <c:ext xmlns:c16="http://schemas.microsoft.com/office/drawing/2014/chart" uri="{C3380CC4-5D6E-409C-BE32-E72D297353CC}">
              <c16:uniqueId val="{00000001-869E-4C5F-9A77-78E5A5A78CDE}"/>
            </c:ext>
          </c:extLst>
        </c:ser>
        <c:dLbls>
          <c:showLegendKey val="0"/>
          <c:showVal val="0"/>
          <c:showCatName val="0"/>
          <c:showSerName val="0"/>
          <c:showPercent val="0"/>
          <c:showBubbleSize val="0"/>
        </c:dLbls>
        <c:marker val="1"/>
        <c:smooth val="0"/>
        <c:axId val="1813512880"/>
        <c:axId val="1813505200"/>
      </c:lineChart>
      <c:catAx>
        <c:axId val="135275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756703"/>
        <c:crosses val="autoZero"/>
        <c:auto val="1"/>
        <c:lblAlgn val="ctr"/>
        <c:lblOffset val="100"/>
        <c:noMultiLvlLbl val="0"/>
      </c:catAx>
      <c:valAx>
        <c:axId val="13527567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755263"/>
        <c:crosses val="autoZero"/>
        <c:crossBetween val="between"/>
      </c:valAx>
      <c:valAx>
        <c:axId val="181350520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512880"/>
        <c:crosses val="max"/>
        <c:crossBetween val="between"/>
      </c:valAx>
      <c:catAx>
        <c:axId val="1813512880"/>
        <c:scaling>
          <c:orientation val="minMax"/>
        </c:scaling>
        <c:delete val="1"/>
        <c:axPos val="b"/>
        <c:numFmt formatCode="General" sourceLinked="1"/>
        <c:majorTickMark val="out"/>
        <c:minorTickMark val="none"/>
        <c:tickLblPos val="nextTo"/>
        <c:crossAx val="1813505200"/>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[my_project_copy (version 2).xlsb.xlsx]customer_performance_pivot!PivotTable2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Revenue By Customer</a:t>
            </a:r>
            <a:r>
              <a:rPr lang="en-CA" baseline="0"/>
              <a:t> Type</a:t>
            </a:r>
          </a:p>
        </c:rich>
      </c:tx>
      <c:layout>
        <c:manualLayout>
          <c:xMode val="edge"/>
          <c:yMode val="edge"/>
          <c:x val="0.2979512248468941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customer_performance_pivot!$B$3</c:f>
              <c:strCache>
                <c:ptCount val="1"/>
                <c:pt idx="0">
                  <c:v>Sum of revenue</c:v>
                </c:pt>
              </c:strCache>
            </c:strRef>
          </c:tx>
          <c:spPr>
            <a:solidFill>
              <a:schemeClr val="accent1"/>
            </a:solidFill>
            <a:ln>
              <a:noFill/>
            </a:ln>
            <a:effectLst/>
          </c:spPr>
          <c:invertIfNegative val="0"/>
          <c:cat>
            <c:strRef>
              <c:f>customer_performance_pivot!$A$4:$A$7</c:f>
              <c:strCache>
                <c:ptCount val="3"/>
                <c:pt idx="0">
                  <c:v>data issue</c:v>
                </c:pt>
                <c:pt idx="1">
                  <c:v>existing customer</c:v>
                </c:pt>
                <c:pt idx="2">
                  <c:v>new customer</c:v>
                </c:pt>
              </c:strCache>
            </c:strRef>
          </c:cat>
          <c:val>
            <c:numRef>
              <c:f>customer_performance_pivot!$B$4:$B$7</c:f>
              <c:numCache>
                <c:formatCode>General</c:formatCode>
                <c:ptCount val="3"/>
                <c:pt idx="0">
                  <c:v>6715.0600000000013</c:v>
                </c:pt>
                <c:pt idx="1">
                  <c:v>15532.750000000002</c:v>
                </c:pt>
                <c:pt idx="2">
                  <c:v>69154.079999999944</c:v>
                </c:pt>
              </c:numCache>
            </c:numRef>
          </c:val>
          <c:extLst>
            <c:ext xmlns:c16="http://schemas.microsoft.com/office/drawing/2014/chart" uri="{C3380CC4-5D6E-409C-BE32-E72D297353CC}">
              <c16:uniqueId val="{00000000-99DF-427C-8590-44D6A536EFE3}"/>
            </c:ext>
          </c:extLst>
        </c:ser>
        <c:dLbls>
          <c:showLegendKey val="0"/>
          <c:showVal val="0"/>
          <c:showCatName val="0"/>
          <c:showSerName val="0"/>
          <c:showPercent val="0"/>
          <c:showBubbleSize val="0"/>
        </c:dLbls>
        <c:gapWidth val="219"/>
        <c:axId val="1813499440"/>
        <c:axId val="1813489360"/>
      </c:barChart>
      <c:lineChart>
        <c:grouping val="standard"/>
        <c:varyColors val="0"/>
        <c:ser>
          <c:idx val="1"/>
          <c:order val="1"/>
          <c:tx>
            <c:strRef>
              <c:f>customer_performance_pivot!$C$3</c:f>
              <c:strCache>
                <c:ptCount val="1"/>
                <c:pt idx="0">
                  <c:v>Count of sale_id</c:v>
                </c:pt>
              </c:strCache>
            </c:strRef>
          </c:tx>
          <c:spPr>
            <a:ln w="28575" cap="rnd">
              <a:solidFill>
                <a:schemeClr val="accent2"/>
              </a:solidFill>
              <a:round/>
            </a:ln>
            <a:effectLst/>
          </c:spPr>
          <c:marker>
            <c:symbol val="none"/>
          </c:marker>
          <c:cat>
            <c:strRef>
              <c:f>customer_performance_pivot!$A$4:$A$7</c:f>
              <c:strCache>
                <c:ptCount val="3"/>
                <c:pt idx="0">
                  <c:v>data issue</c:v>
                </c:pt>
                <c:pt idx="1">
                  <c:v>existing customer</c:v>
                </c:pt>
                <c:pt idx="2">
                  <c:v>new customer</c:v>
                </c:pt>
              </c:strCache>
            </c:strRef>
          </c:cat>
          <c:val>
            <c:numRef>
              <c:f>customer_performance_pivot!$C$4:$C$7</c:f>
              <c:numCache>
                <c:formatCode>General</c:formatCode>
                <c:ptCount val="3"/>
                <c:pt idx="0">
                  <c:v>73</c:v>
                </c:pt>
                <c:pt idx="1">
                  <c:v>160</c:v>
                </c:pt>
                <c:pt idx="2">
                  <c:v>672</c:v>
                </c:pt>
              </c:numCache>
            </c:numRef>
          </c:val>
          <c:smooth val="0"/>
          <c:extLst>
            <c:ext xmlns:c16="http://schemas.microsoft.com/office/drawing/2014/chart" uri="{C3380CC4-5D6E-409C-BE32-E72D297353CC}">
              <c16:uniqueId val="{00000001-99DF-427C-8590-44D6A536EFE3}"/>
            </c:ext>
          </c:extLst>
        </c:ser>
        <c:dLbls>
          <c:showLegendKey val="0"/>
          <c:showVal val="0"/>
          <c:showCatName val="0"/>
          <c:showSerName val="0"/>
          <c:showPercent val="0"/>
          <c:showBubbleSize val="0"/>
        </c:dLbls>
        <c:marker val="1"/>
        <c:smooth val="0"/>
        <c:axId val="1813483600"/>
        <c:axId val="1813493680"/>
      </c:lineChart>
      <c:catAx>
        <c:axId val="181349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489360"/>
        <c:crosses val="autoZero"/>
        <c:auto val="1"/>
        <c:lblAlgn val="ctr"/>
        <c:lblOffset val="100"/>
        <c:noMultiLvlLbl val="0"/>
      </c:catAx>
      <c:valAx>
        <c:axId val="1813489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499440"/>
        <c:crosses val="autoZero"/>
        <c:crossBetween val="between"/>
      </c:valAx>
      <c:valAx>
        <c:axId val="181349368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483600"/>
        <c:crosses val="max"/>
        <c:crossBetween val="between"/>
      </c:valAx>
      <c:catAx>
        <c:axId val="1813483600"/>
        <c:scaling>
          <c:orientation val="minMax"/>
        </c:scaling>
        <c:delete val="1"/>
        <c:axPos val="b"/>
        <c:numFmt formatCode="General" sourceLinked="1"/>
        <c:majorTickMark val="out"/>
        <c:minorTickMark val="none"/>
        <c:tickLblPos val="nextTo"/>
        <c:crossAx val="1813493680"/>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[my_project_copy (version 2).xlsb.xlsx]channel_perfomance_pivot!PivotTable8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Revenue</a:t>
            </a:r>
            <a:r>
              <a:rPr lang="en-CA" baseline="0"/>
              <a:t>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channel_perfomance_pivot!$B$3</c:f>
              <c:strCache>
                <c:ptCount val="1"/>
                <c:pt idx="0">
                  <c:v>Count of sale_id</c:v>
                </c:pt>
              </c:strCache>
            </c:strRef>
          </c:tx>
          <c:spPr>
            <a:solidFill>
              <a:schemeClr val="accent1"/>
            </a:solidFill>
            <a:ln>
              <a:noFill/>
            </a:ln>
            <a:effectLst/>
          </c:spPr>
          <c:invertIfNegative val="0"/>
          <c:cat>
            <c:strRef>
              <c:f>channel_perfomance_pivot!$A$4:$A$6</c:f>
              <c:strCache>
                <c:ptCount val="2"/>
                <c:pt idx="0">
                  <c:v>App Mobile</c:v>
                </c:pt>
                <c:pt idx="1">
                  <c:v>E-commerce</c:v>
                </c:pt>
              </c:strCache>
            </c:strRef>
          </c:cat>
          <c:val>
            <c:numRef>
              <c:f>channel_perfomance_pivot!$B$4:$B$6</c:f>
              <c:numCache>
                <c:formatCode>General</c:formatCode>
                <c:ptCount val="2"/>
                <c:pt idx="0">
                  <c:v>432</c:v>
                </c:pt>
                <c:pt idx="1">
                  <c:v>473</c:v>
                </c:pt>
              </c:numCache>
            </c:numRef>
          </c:val>
          <c:extLst>
            <c:ext xmlns:c16="http://schemas.microsoft.com/office/drawing/2014/chart" uri="{C3380CC4-5D6E-409C-BE32-E72D297353CC}">
              <c16:uniqueId val="{00000002-2A6B-42D9-B6E7-EAFE91E1D534}"/>
            </c:ext>
          </c:extLst>
        </c:ser>
        <c:ser>
          <c:idx val="1"/>
          <c:order val="1"/>
          <c:tx>
            <c:strRef>
              <c:f>channel_perfomance_pivot!$C$3</c:f>
              <c:strCache>
                <c:ptCount val="1"/>
                <c:pt idx="0">
                  <c:v>Sum of revenue</c:v>
                </c:pt>
              </c:strCache>
            </c:strRef>
          </c:tx>
          <c:spPr>
            <a:solidFill>
              <a:schemeClr val="accent2"/>
            </a:solidFill>
            <a:ln w="25400">
              <a:noFill/>
            </a:ln>
            <a:effectLst/>
          </c:spPr>
          <c:invertIfNegative val="0"/>
          <c:cat>
            <c:strRef>
              <c:f>channel_perfomance_pivot!$A$4:$A$6</c:f>
              <c:strCache>
                <c:ptCount val="2"/>
                <c:pt idx="0">
                  <c:v>App Mobile</c:v>
                </c:pt>
                <c:pt idx="1">
                  <c:v>E-commerce</c:v>
                </c:pt>
              </c:strCache>
            </c:strRef>
          </c:cat>
          <c:val>
            <c:numRef>
              <c:f>channel_perfomance_pivot!$C$4:$C$6</c:f>
              <c:numCache>
                <c:formatCode>0.00%</c:formatCode>
                <c:ptCount val="2"/>
                <c:pt idx="0">
                  <c:v>0.47794843191973391</c:v>
                </c:pt>
                <c:pt idx="1">
                  <c:v>0.5220515680802662</c:v>
                </c:pt>
              </c:numCache>
            </c:numRef>
          </c:val>
          <c:extLst>
            <c:ext xmlns:c16="http://schemas.microsoft.com/office/drawing/2014/chart" uri="{C3380CC4-5D6E-409C-BE32-E72D297353CC}">
              <c16:uniqueId val="{00000003-2A6B-42D9-B6E7-EAFE91E1D534}"/>
            </c:ext>
          </c:extLst>
        </c:ser>
        <c:dLbls>
          <c:showLegendKey val="0"/>
          <c:showVal val="0"/>
          <c:showCatName val="0"/>
          <c:showSerName val="0"/>
          <c:showPercent val="0"/>
          <c:showBubbleSize val="0"/>
        </c:dLbls>
        <c:gapWidth val="219"/>
        <c:axId val="10467872"/>
        <c:axId val="10471232"/>
      </c:barChart>
      <c:catAx>
        <c:axId val="1046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1232"/>
        <c:crosses val="autoZero"/>
        <c:auto val="1"/>
        <c:lblAlgn val="ctr"/>
        <c:lblOffset val="100"/>
        <c:noMultiLvlLbl val="0"/>
      </c:catAx>
      <c:valAx>
        <c:axId val="10471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78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[my_project_copy (version 2).xlsb.xlsx]product_perfomance_pivot!PivotTable6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Top</a:t>
            </a:r>
            <a:r>
              <a:rPr lang="en-CA" baseline="0"/>
              <a:t> Categories</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product_perfomance_pivot!$B$3</c:f>
              <c:strCache>
                <c:ptCount val="1"/>
                <c:pt idx="0">
                  <c:v>Sum of revenue</c:v>
                </c:pt>
              </c:strCache>
            </c:strRef>
          </c:tx>
          <c:spPr>
            <a:solidFill>
              <a:schemeClr val="accent1"/>
            </a:solidFill>
            <a:ln>
              <a:noFill/>
            </a:ln>
            <a:effectLst/>
          </c:spPr>
          <c:invertIfNegative val="0"/>
          <c:cat>
            <c:strRef>
              <c:f>product_perfomance_pivot!$A$4:$A$9</c:f>
              <c:strCache>
                <c:ptCount val="5"/>
                <c:pt idx="0">
                  <c:v>Shoes</c:v>
                </c:pt>
                <c:pt idx="1">
                  <c:v>T-Shirts</c:v>
                </c:pt>
                <c:pt idx="2">
                  <c:v>Dresses</c:v>
                </c:pt>
                <c:pt idx="3">
                  <c:v>Sleepwear</c:v>
                </c:pt>
                <c:pt idx="4">
                  <c:v>Pants</c:v>
                </c:pt>
              </c:strCache>
            </c:strRef>
          </c:cat>
          <c:val>
            <c:numRef>
              <c:f>product_perfomance_pivot!$B$4:$B$9</c:f>
              <c:numCache>
                <c:formatCode>General</c:formatCode>
                <c:ptCount val="5"/>
                <c:pt idx="0">
                  <c:v>70074.010000000068</c:v>
                </c:pt>
                <c:pt idx="1">
                  <c:v>69692.809999999939</c:v>
                </c:pt>
                <c:pt idx="2">
                  <c:v>68390.729999999909</c:v>
                </c:pt>
                <c:pt idx="3">
                  <c:v>62276.610000000015</c:v>
                </c:pt>
                <c:pt idx="4">
                  <c:v>53802.709999999948</c:v>
                </c:pt>
              </c:numCache>
            </c:numRef>
          </c:val>
          <c:extLst>
            <c:ext xmlns:c16="http://schemas.microsoft.com/office/drawing/2014/chart" uri="{C3380CC4-5D6E-409C-BE32-E72D297353CC}">
              <c16:uniqueId val="{00000000-FBF0-4E76-B856-8D69A46C7773}"/>
            </c:ext>
          </c:extLst>
        </c:ser>
        <c:dLbls>
          <c:showLegendKey val="0"/>
          <c:showVal val="0"/>
          <c:showCatName val="0"/>
          <c:showSerName val="0"/>
          <c:showPercent val="0"/>
          <c:showBubbleSize val="0"/>
        </c:dLbls>
        <c:gapWidth val="219"/>
        <c:axId val="10415552"/>
        <c:axId val="10417472"/>
      </c:barChart>
      <c:lineChart>
        <c:grouping val="standard"/>
        <c:varyColors val="0"/>
        <c:ser>
          <c:idx val="1"/>
          <c:order val="1"/>
          <c:tx>
            <c:strRef>
              <c:f>product_perfomance_pivot!$C$3</c:f>
              <c:strCache>
                <c:ptCount val="1"/>
                <c:pt idx="0">
                  <c:v>Sum of quantity</c:v>
                </c:pt>
              </c:strCache>
            </c:strRef>
          </c:tx>
          <c:spPr>
            <a:ln w="28575" cap="rnd">
              <a:solidFill>
                <a:schemeClr val="accent2"/>
              </a:solidFill>
              <a:round/>
            </a:ln>
            <a:effectLst/>
          </c:spPr>
          <c:marker>
            <c:symbol val="none"/>
          </c:marker>
          <c:cat>
            <c:strRef>
              <c:f>product_perfomance_pivot!$A$4:$A$9</c:f>
              <c:strCache>
                <c:ptCount val="5"/>
                <c:pt idx="0">
                  <c:v>Shoes</c:v>
                </c:pt>
                <c:pt idx="1">
                  <c:v>T-Shirts</c:v>
                </c:pt>
                <c:pt idx="2">
                  <c:v>Dresses</c:v>
                </c:pt>
                <c:pt idx="3">
                  <c:v>Sleepwear</c:v>
                </c:pt>
                <c:pt idx="4">
                  <c:v>Pants</c:v>
                </c:pt>
              </c:strCache>
            </c:strRef>
          </c:cat>
          <c:val>
            <c:numRef>
              <c:f>product_perfomance_pivot!$C$4:$C$9</c:f>
              <c:numCache>
                <c:formatCode>General</c:formatCode>
                <c:ptCount val="5"/>
                <c:pt idx="0">
                  <c:v>1400</c:v>
                </c:pt>
                <c:pt idx="1">
                  <c:v>1439</c:v>
                </c:pt>
                <c:pt idx="2">
                  <c:v>1451</c:v>
                </c:pt>
                <c:pt idx="3">
                  <c:v>1362</c:v>
                </c:pt>
                <c:pt idx="4">
                  <c:v>1063</c:v>
                </c:pt>
              </c:numCache>
            </c:numRef>
          </c:val>
          <c:smooth val="0"/>
          <c:extLst>
            <c:ext xmlns:c16="http://schemas.microsoft.com/office/drawing/2014/chart" uri="{C3380CC4-5D6E-409C-BE32-E72D297353CC}">
              <c16:uniqueId val="{00000001-FBF0-4E76-B856-8D69A46C7773}"/>
            </c:ext>
          </c:extLst>
        </c:ser>
        <c:dLbls>
          <c:showLegendKey val="0"/>
          <c:showVal val="0"/>
          <c:showCatName val="0"/>
          <c:showSerName val="0"/>
          <c:showPercent val="0"/>
          <c:showBubbleSize val="0"/>
        </c:dLbls>
        <c:marker val="1"/>
        <c:smooth val="0"/>
        <c:axId val="10423712"/>
        <c:axId val="10423232"/>
      </c:lineChart>
      <c:catAx>
        <c:axId val="1041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7472"/>
        <c:crosses val="autoZero"/>
        <c:auto val="1"/>
        <c:lblAlgn val="ctr"/>
        <c:lblOffset val="100"/>
        <c:noMultiLvlLbl val="0"/>
      </c:catAx>
      <c:valAx>
        <c:axId val="10417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5552"/>
        <c:crosses val="autoZero"/>
        <c:crossBetween val="between"/>
      </c:valAx>
      <c:valAx>
        <c:axId val="1042323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3712"/>
        <c:crosses val="max"/>
        <c:crossBetween val="between"/>
      </c:valAx>
      <c:catAx>
        <c:axId val="10423712"/>
        <c:scaling>
          <c:orientation val="minMax"/>
        </c:scaling>
        <c:delete val="1"/>
        <c:axPos val="b"/>
        <c:numFmt formatCode="General" sourceLinked="1"/>
        <c:majorTickMark val="out"/>
        <c:minorTickMark val="none"/>
        <c:tickLblPos val="nextTo"/>
        <c:crossAx val="10423232"/>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[my_project_copy (version 2).xlsb.xlsx]monthly_revenue_pivot!PivotTable1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Revenue Trend</a:t>
            </a:r>
            <a:endParaRPr lang="en-US"/>
          </a:p>
        </c:rich>
      </c:tx>
      <c:layout>
        <c:manualLayout>
          <c:xMode val="edge"/>
          <c:yMode val="edge"/>
          <c:x val="0.28030555555555553"/>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monthly_revenue_pivot!$B$3</c:f>
              <c:strCache>
                <c:ptCount val="1"/>
                <c:pt idx="0">
                  <c:v>Sum of revenue</c:v>
                </c:pt>
              </c:strCache>
            </c:strRef>
          </c:tx>
          <c:spPr>
            <a:solidFill>
              <a:schemeClr val="accent1"/>
            </a:solidFill>
            <a:ln>
              <a:noFill/>
            </a:ln>
            <a:effectLst/>
          </c:spPr>
          <c:invertIfNegative val="0"/>
          <c:cat>
            <c:strRef>
              <c:f>monthly_revenue_pivot!$A$4:$A$7</c:f>
              <c:strCache>
                <c:ptCount val="3"/>
                <c:pt idx="0">
                  <c:v>Apr</c:v>
                </c:pt>
                <c:pt idx="1">
                  <c:v>May</c:v>
                </c:pt>
                <c:pt idx="2">
                  <c:v>Jun</c:v>
                </c:pt>
              </c:strCache>
            </c:strRef>
          </c:cat>
          <c:val>
            <c:numRef>
              <c:f>monthly_revenue_pivot!$B$4:$B$7</c:f>
              <c:numCache>
                <c:formatCode>General</c:formatCode>
                <c:ptCount val="3"/>
                <c:pt idx="0">
                  <c:v>132588.00999999986</c:v>
                </c:pt>
                <c:pt idx="1">
                  <c:v>143471.57000000007</c:v>
                </c:pt>
                <c:pt idx="2">
                  <c:v>48177.289999999979</c:v>
                </c:pt>
              </c:numCache>
            </c:numRef>
          </c:val>
          <c:extLst>
            <c:ext xmlns:c16="http://schemas.microsoft.com/office/drawing/2014/chart" uri="{C3380CC4-5D6E-409C-BE32-E72D297353CC}">
              <c16:uniqueId val="{00000000-869E-4C5F-9A77-78E5A5A78CDE}"/>
            </c:ext>
          </c:extLst>
        </c:ser>
        <c:dLbls>
          <c:showLegendKey val="0"/>
          <c:showVal val="0"/>
          <c:showCatName val="0"/>
          <c:showSerName val="0"/>
          <c:showPercent val="0"/>
          <c:showBubbleSize val="0"/>
        </c:dLbls>
        <c:gapWidth val="150"/>
        <c:axId val="1352755263"/>
        <c:axId val="1352756703"/>
      </c:barChart>
      <c:lineChart>
        <c:grouping val="standard"/>
        <c:varyColors val="0"/>
        <c:ser>
          <c:idx val="1"/>
          <c:order val="1"/>
          <c:tx>
            <c:strRef>
              <c:f>monthly_revenue_pivot!$C$3</c:f>
              <c:strCache>
                <c:ptCount val="1"/>
                <c:pt idx="0">
                  <c:v>Mom Growth</c:v>
                </c:pt>
              </c:strCache>
            </c:strRef>
          </c:tx>
          <c:spPr>
            <a:ln w="28575" cap="rnd">
              <a:solidFill>
                <a:schemeClr val="accent2"/>
              </a:solidFill>
              <a:round/>
            </a:ln>
            <a:effectLst/>
          </c:spPr>
          <c:marker>
            <c:symbol val="none"/>
          </c:marker>
          <c:cat>
            <c:strRef>
              <c:f>monthly_revenue_pivot!$A$4:$A$7</c:f>
              <c:strCache>
                <c:ptCount val="3"/>
                <c:pt idx="0">
                  <c:v>Apr</c:v>
                </c:pt>
                <c:pt idx="1">
                  <c:v>May</c:v>
                </c:pt>
                <c:pt idx="2">
                  <c:v>Jun</c:v>
                </c:pt>
              </c:strCache>
            </c:strRef>
          </c:cat>
          <c:val>
            <c:numRef>
              <c:f>monthly_revenue_pivot!$C$4:$C$7</c:f>
              <c:numCache>
                <c:formatCode>0.00%</c:formatCode>
                <c:ptCount val="3"/>
                <c:pt idx="1">
                  <c:v>8.2085552079710772E-2</c:v>
                </c:pt>
                <c:pt idx="2">
                  <c:v>-0.63663916518544905</c:v>
                </c:pt>
              </c:numCache>
            </c:numRef>
          </c:val>
          <c:smooth val="0"/>
          <c:extLst>
            <c:ext xmlns:c16="http://schemas.microsoft.com/office/drawing/2014/chart" uri="{C3380CC4-5D6E-409C-BE32-E72D297353CC}">
              <c16:uniqueId val="{00000001-869E-4C5F-9A77-78E5A5A78CDE}"/>
            </c:ext>
          </c:extLst>
        </c:ser>
        <c:dLbls>
          <c:showLegendKey val="0"/>
          <c:showVal val="0"/>
          <c:showCatName val="0"/>
          <c:showSerName val="0"/>
          <c:showPercent val="0"/>
          <c:showBubbleSize val="0"/>
        </c:dLbls>
        <c:marker val="1"/>
        <c:smooth val="0"/>
        <c:axId val="1813512880"/>
        <c:axId val="1813505200"/>
      </c:lineChart>
      <c:catAx>
        <c:axId val="135275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756703"/>
        <c:crosses val="autoZero"/>
        <c:auto val="1"/>
        <c:lblAlgn val="ctr"/>
        <c:lblOffset val="100"/>
        <c:noMultiLvlLbl val="0"/>
      </c:catAx>
      <c:valAx>
        <c:axId val="13527567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755263"/>
        <c:crosses val="autoZero"/>
        <c:crossBetween val="between"/>
      </c:valAx>
      <c:valAx>
        <c:axId val="181350520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512880"/>
        <c:crosses val="max"/>
        <c:crossBetween val="between"/>
      </c:valAx>
      <c:catAx>
        <c:axId val="1813512880"/>
        <c:scaling>
          <c:orientation val="minMax"/>
        </c:scaling>
        <c:delete val="1"/>
        <c:axPos val="b"/>
        <c:numFmt formatCode="General" sourceLinked="1"/>
        <c:majorTickMark val="out"/>
        <c:minorTickMark val="none"/>
        <c:tickLblPos val="nextTo"/>
        <c:crossAx val="1813505200"/>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[my_project_copy (version 2).xlsb.xlsx]customer_performance_pivot!PivotTable2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Revenue By Customer</a:t>
            </a:r>
            <a:r>
              <a:rPr lang="en-CA" baseline="0"/>
              <a:t> Type</a:t>
            </a:r>
          </a:p>
        </c:rich>
      </c:tx>
      <c:layout>
        <c:manualLayout>
          <c:xMode val="edge"/>
          <c:yMode val="edge"/>
          <c:x val="0.2979512248468941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customer_performance_pivot!$B$3</c:f>
              <c:strCache>
                <c:ptCount val="1"/>
                <c:pt idx="0">
                  <c:v>Sum of revenue</c:v>
                </c:pt>
              </c:strCache>
            </c:strRef>
          </c:tx>
          <c:spPr>
            <a:solidFill>
              <a:schemeClr val="accent1"/>
            </a:solidFill>
            <a:ln>
              <a:noFill/>
            </a:ln>
            <a:effectLst/>
          </c:spPr>
          <c:invertIfNegative val="0"/>
          <c:cat>
            <c:strRef>
              <c:f>customer_performance_pivot!$A$4:$A$7</c:f>
              <c:strCache>
                <c:ptCount val="3"/>
                <c:pt idx="0">
                  <c:v>data issue</c:v>
                </c:pt>
                <c:pt idx="1">
                  <c:v>existing customer</c:v>
                </c:pt>
                <c:pt idx="2">
                  <c:v>new customer</c:v>
                </c:pt>
              </c:strCache>
            </c:strRef>
          </c:cat>
          <c:val>
            <c:numRef>
              <c:f>customer_performance_pivot!$B$4:$B$7</c:f>
              <c:numCache>
                <c:formatCode>General</c:formatCode>
                <c:ptCount val="3"/>
                <c:pt idx="0">
                  <c:v>6715.0600000000013</c:v>
                </c:pt>
                <c:pt idx="1">
                  <c:v>15532.750000000002</c:v>
                </c:pt>
                <c:pt idx="2">
                  <c:v>69154.079999999944</c:v>
                </c:pt>
              </c:numCache>
            </c:numRef>
          </c:val>
          <c:extLst>
            <c:ext xmlns:c16="http://schemas.microsoft.com/office/drawing/2014/chart" uri="{C3380CC4-5D6E-409C-BE32-E72D297353CC}">
              <c16:uniqueId val="{00000000-99DF-427C-8590-44D6A536EFE3}"/>
            </c:ext>
          </c:extLst>
        </c:ser>
        <c:dLbls>
          <c:showLegendKey val="0"/>
          <c:showVal val="0"/>
          <c:showCatName val="0"/>
          <c:showSerName val="0"/>
          <c:showPercent val="0"/>
          <c:showBubbleSize val="0"/>
        </c:dLbls>
        <c:gapWidth val="219"/>
        <c:axId val="1813499440"/>
        <c:axId val="1813489360"/>
      </c:barChart>
      <c:lineChart>
        <c:grouping val="standard"/>
        <c:varyColors val="0"/>
        <c:ser>
          <c:idx val="1"/>
          <c:order val="1"/>
          <c:tx>
            <c:strRef>
              <c:f>customer_performance_pivot!$C$3</c:f>
              <c:strCache>
                <c:ptCount val="1"/>
                <c:pt idx="0">
                  <c:v>Count of sale_id</c:v>
                </c:pt>
              </c:strCache>
            </c:strRef>
          </c:tx>
          <c:spPr>
            <a:ln w="28575" cap="rnd">
              <a:solidFill>
                <a:schemeClr val="accent2"/>
              </a:solidFill>
              <a:round/>
            </a:ln>
            <a:effectLst/>
          </c:spPr>
          <c:marker>
            <c:symbol val="none"/>
          </c:marker>
          <c:cat>
            <c:strRef>
              <c:f>customer_performance_pivot!$A$4:$A$7</c:f>
              <c:strCache>
                <c:ptCount val="3"/>
                <c:pt idx="0">
                  <c:v>data issue</c:v>
                </c:pt>
                <c:pt idx="1">
                  <c:v>existing customer</c:v>
                </c:pt>
                <c:pt idx="2">
                  <c:v>new customer</c:v>
                </c:pt>
              </c:strCache>
            </c:strRef>
          </c:cat>
          <c:val>
            <c:numRef>
              <c:f>customer_performance_pivot!$C$4:$C$7</c:f>
              <c:numCache>
                <c:formatCode>General</c:formatCode>
                <c:ptCount val="3"/>
                <c:pt idx="0">
                  <c:v>73</c:v>
                </c:pt>
                <c:pt idx="1">
                  <c:v>160</c:v>
                </c:pt>
                <c:pt idx="2">
                  <c:v>672</c:v>
                </c:pt>
              </c:numCache>
            </c:numRef>
          </c:val>
          <c:smooth val="0"/>
          <c:extLst>
            <c:ext xmlns:c16="http://schemas.microsoft.com/office/drawing/2014/chart" uri="{C3380CC4-5D6E-409C-BE32-E72D297353CC}">
              <c16:uniqueId val="{00000001-99DF-427C-8590-44D6A536EFE3}"/>
            </c:ext>
          </c:extLst>
        </c:ser>
        <c:dLbls>
          <c:showLegendKey val="0"/>
          <c:showVal val="0"/>
          <c:showCatName val="0"/>
          <c:showSerName val="0"/>
          <c:showPercent val="0"/>
          <c:showBubbleSize val="0"/>
        </c:dLbls>
        <c:marker val="1"/>
        <c:smooth val="0"/>
        <c:axId val="1813483600"/>
        <c:axId val="1813493680"/>
      </c:lineChart>
      <c:catAx>
        <c:axId val="181349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489360"/>
        <c:crosses val="autoZero"/>
        <c:auto val="1"/>
        <c:lblAlgn val="ctr"/>
        <c:lblOffset val="100"/>
        <c:noMultiLvlLbl val="0"/>
      </c:catAx>
      <c:valAx>
        <c:axId val="1813489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499440"/>
        <c:crosses val="autoZero"/>
        <c:crossBetween val="between"/>
      </c:valAx>
      <c:valAx>
        <c:axId val="181349368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483600"/>
        <c:crosses val="max"/>
        <c:crossBetween val="between"/>
      </c:valAx>
      <c:catAx>
        <c:axId val="1813483600"/>
        <c:scaling>
          <c:orientation val="minMax"/>
        </c:scaling>
        <c:delete val="1"/>
        <c:axPos val="b"/>
        <c:numFmt formatCode="General" sourceLinked="1"/>
        <c:majorTickMark val="out"/>
        <c:minorTickMark val="none"/>
        <c:tickLblPos val="nextTo"/>
        <c:crossAx val="1813493680"/>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[my_project_copy (version 2).xlsb.xlsx]channel_perfomance_pivot!PivotTable8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Revenue</a:t>
            </a:r>
            <a:r>
              <a:rPr lang="en-CA" baseline="0"/>
              <a:t>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channel_perfomance_pivot!$B$3</c:f>
              <c:strCache>
                <c:ptCount val="1"/>
                <c:pt idx="0">
                  <c:v>Count of sale_id</c:v>
                </c:pt>
              </c:strCache>
            </c:strRef>
          </c:tx>
          <c:spPr>
            <a:solidFill>
              <a:schemeClr val="accent1"/>
            </a:solidFill>
            <a:ln>
              <a:noFill/>
            </a:ln>
            <a:effectLst/>
          </c:spPr>
          <c:invertIfNegative val="0"/>
          <c:cat>
            <c:strRef>
              <c:f>channel_perfomance_pivot!$A$4:$A$6</c:f>
              <c:strCache>
                <c:ptCount val="2"/>
                <c:pt idx="0">
                  <c:v>App Mobile</c:v>
                </c:pt>
                <c:pt idx="1">
                  <c:v>E-commerce</c:v>
                </c:pt>
              </c:strCache>
            </c:strRef>
          </c:cat>
          <c:val>
            <c:numRef>
              <c:f>channel_perfomance_pivot!$B$4:$B$6</c:f>
              <c:numCache>
                <c:formatCode>General</c:formatCode>
                <c:ptCount val="2"/>
                <c:pt idx="0">
                  <c:v>432</c:v>
                </c:pt>
                <c:pt idx="1">
                  <c:v>473</c:v>
                </c:pt>
              </c:numCache>
            </c:numRef>
          </c:val>
          <c:extLst>
            <c:ext xmlns:c16="http://schemas.microsoft.com/office/drawing/2014/chart" uri="{C3380CC4-5D6E-409C-BE32-E72D297353CC}">
              <c16:uniqueId val="{00000002-2A6B-42D9-B6E7-EAFE91E1D534}"/>
            </c:ext>
          </c:extLst>
        </c:ser>
        <c:dLbls>
          <c:showLegendKey val="0"/>
          <c:showVal val="0"/>
          <c:showCatName val="0"/>
          <c:showSerName val="0"/>
          <c:showPercent val="0"/>
          <c:showBubbleSize val="0"/>
        </c:dLbls>
        <c:gapWidth val="219"/>
        <c:axId val="10467872"/>
        <c:axId val="10471232"/>
      </c:barChart>
      <c:lineChart>
        <c:grouping val="standard"/>
        <c:varyColors val="0"/>
        <c:ser>
          <c:idx val="1"/>
          <c:order val="1"/>
          <c:tx>
            <c:strRef>
              <c:f>channel_perfomance_pivot!$C$3</c:f>
              <c:strCache>
                <c:ptCount val="1"/>
                <c:pt idx="0">
                  <c:v>Sum of revenue</c:v>
                </c:pt>
              </c:strCache>
            </c:strRef>
          </c:tx>
          <c:spPr>
            <a:ln w="28575" cap="rnd">
              <a:solidFill>
                <a:schemeClr val="accent2"/>
              </a:solidFill>
              <a:round/>
            </a:ln>
            <a:effectLst/>
          </c:spPr>
          <c:marker>
            <c:symbol val="none"/>
          </c:marker>
          <c:cat>
            <c:strRef>
              <c:f>channel_perfomance_pivot!$A$4:$A$6</c:f>
              <c:strCache>
                <c:ptCount val="2"/>
                <c:pt idx="0">
                  <c:v>App Mobile</c:v>
                </c:pt>
                <c:pt idx="1">
                  <c:v>E-commerce</c:v>
                </c:pt>
              </c:strCache>
            </c:strRef>
          </c:cat>
          <c:val>
            <c:numRef>
              <c:f>channel_perfomance_pivot!$C$4:$C$6</c:f>
              <c:numCache>
                <c:formatCode>0.00%</c:formatCode>
                <c:ptCount val="2"/>
                <c:pt idx="0">
                  <c:v>0.47794843191973391</c:v>
                </c:pt>
                <c:pt idx="1">
                  <c:v>0.5220515680802662</c:v>
                </c:pt>
              </c:numCache>
            </c:numRef>
          </c:val>
          <c:smooth val="0"/>
          <c:extLst>
            <c:ext xmlns:c16="http://schemas.microsoft.com/office/drawing/2014/chart" uri="{C3380CC4-5D6E-409C-BE32-E72D297353CC}">
              <c16:uniqueId val="{00000003-2A6B-42D9-B6E7-EAFE91E1D534}"/>
            </c:ext>
          </c:extLst>
        </c:ser>
        <c:dLbls>
          <c:showLegendKey val="0"/>
          <c:showVal val="0"/>
          <c:showCatName val="0"/>
          <c:showSerName val="0"/>
          <c:showPercent val="0"/>
          <c:showBubbleSize val="0"/>
        </c:dLbls>
        <c:marker val="1"/>
        <c:smooth val="0"/>
        <c:axId val="1565293808"/>
        <c:axId val="1565295248"/>
      </c:lineChart>
      <c:catAx>
        <c:axId val="1046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1232"/>
        <c:crosses val="autoZero"/>
        <c:auto val="1"/>
        <c:lblAlgn val="ctr"/>
        <c:lblOffset val="100"/>
        <c:noMultiLvlLbl val="0"/>
      </c:catAx>
      <c:valAx>
        <c:axId val="10471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7872"/>
        <c:crosses val="autoZero"/>
        <c:crossBetween val="between"/>
      </c:valAx>
      <c:valAx>
        <c:axId val="156529524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293808"/>
        <c:crosses val="max"/>
        <c:crossBetween val="between"/>
      </c:valAx>
      <c:catAx>
        <c:axId val="1565293808"/>
        <c:scaling>
          <c:orientation val="minMax"/>
        </c:scaling>
        <c:delete val="1"/>
        <c:axPos val="b"/>
        <c:numFmt formatCode="General" sourceLinked="1"/>
        <c:majorTickMark val="out"/>
        <c:minorTickMark val="none"/>
        <c:tickLblPos val="nextTo"/>
        <c:crossAx val="1565295248"/>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[my_project_copy (version 2).xlsb.xlsx]product_perfomance_pivot!PivotTable6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Top</a:t>
            </a:r>
            <a:r>
              <a:rPr lang="en-CA" baseline="0"/>
              <a:t> Categories</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product_perfomance_pivot!$B$3</c:f>
              <c:strCache>
                <c:ptCount val="1"/>
                <c:pt idx="0">
                  <c:v>Sum of revenue</c:v>
                </c:pt>
              </c:strCache>
            </c:strRef>
          </c:tx>
          <c:spPr>
            <a:solidFill>
              <a:schemeClr val="accent1"/>
            </a:solidFill>
            <a:ln>
              <a:noFill/>
            </a:ln>
            <a:effectLst/>
          </c:spPr>
          <c:invertIfNegative val="0"/>
          <c:cat>
            <c:strRef>
              <c:f>product_perfomance_pivot!$A$4:$A$9</c:f>
              <c:strCache>
                <c:ptCount val="5"/>
                <c:pt idx="0">
                  <c:v>Shoes</c:v>
                </c:pt>
                <c:pt idx="1">
                  <c:v>T-Shirts</c:v>
                </c:pt>
                <c:pt idx="2">
                  <c:v>Dresses</c:v>
                </c:pt>
                <c:pt idx="3">
                  <c:v>Sleepwear</c:v>
                </c:pt>
                <c:pt idx="4">
                  <c:v>Pants</c:v>
                </c:pt>
              </c:strCache>
            </c:strRef>
          </c:cat>
          <c:val>
            <c:numRef>
              <c:f>product_perfomance_pivot!$B$4:$B$9</c:f>
              <c:numCache>
                <c:formatCode>General</c:formatCode>
                <c:ptCount val="5"/>
                <c:pt idx="0">
                  <c:v>70074.010000000068</c:v>
                </c:pt>
                <c:pt idx="1">
                  <c:v>69692.809999999939</c:v>
                </c:pt>
                <c:pt idx="2">
                  <c:v>68390.729999999909</c:v>
                </c:pt>
                <c:pt idx="3">
                  <c:v>62276.610000000015</c:v>
                </c:pt>
                <c:pt idx="4">
                  <c:v>53802.709999999948</c:v>
                </c:pt>
              </c:numCache>
            </c:numRef>
          </c:val>
          <c:extLst>
            <c:ext xmlns:c16="http://schemas.microsoft.com/office/drawing/2014/chart" uri="{C3380CC4-5D6E-409C-BE32-E72D297353CC}">
              <c16:uniqueId val="{00000000-FBF0-4E76-B856-8D69A46C7773}"/>
            </c:ext>
          </c:extLst>
        </c:ser>
        <c:dLbls>
          <c:showLegendKey val="0"/>
          <c:showVal val="0"/>
          <c:showCatName val="0"/>
          <c:showSerName val="0"/>
          <c:showPercent val="0"/>
          <c:showBubbleSize val="0"/>
        </c:dLbls>
        <c:gapWidth val="219"/>
        <c:axId val="10415552"/>
        <c:axId val="10417472"/>
      </c:barChart>
      <c:lineChart>
        <c:grouping val="standard"/>
        <c:varyColors val="0"/>
        <c:ser>
          <c:idx val="1"/>
          <c:order val="1"/>
          <c:tx>
            <c:strRef>
              <c:f>product_perfomance_pivot!$C$3</c:f>
              <c:strCache>
                <c:ptCount val="1"/>
                <c:pt idx="0">
                  <c:v>Sum of quantity</c:v>
                </c:pt>
              </c:strCache>
            </c:strRef>
          </c:tx>
          <c:spPr>
            <a:ln w="28575" cap="rnd">
              <a:solidFill>
                <a:schemeClr val="accent2"/>
              </a:solidFill>
              <a:round/>
            </a:ln>
            <a:effectLst/>
          </c:spPr>
          <c:marker>
            <c:symbol val="none"/>
          </c:marker>
          <c:cat>
            <c:strRef>
              <c:f>product_perfomance_pivot!$A$4:$A$9</c:f>
              <c:strCache>
                <c:ptCount val="5"/>
                <c:pt idx="0">
                  <c:v>Shoes</c:v>
                </c:pt>
                <c:pt idx="1">
                  <c:v>T-Shirts</c:v>
                </c:pt>
                <c:pt idx="2">
                  <c:v>Dresses</c:v>
                </c:pt>
                <c:pt idx="3">
                  <c:v>Sleepwear</c:v>
                </c:pt>
                <c:pt idx="4">
                  <c:v>Pants</c:v>
                </c:pt>
              </c:strCache>
            </c:strRef>
          </c:cat>
          <c:val>
            <c:numRef>
              <c:f>product_perfomance_pivot!$C$4:$C$9</c:f>
              <c:numCache>
                <c:formatCode>General</c:formatCode>
                <c:ptCount val="5"/>
                <c:pt idx="0">
                  <c:v>1400</c:v>
                </c:pt>
                <c:pt idx="1">
                  <c:v>1439</c:v>
                </c:pt>
                <c:pt idx="2">
                  <c:v>1451</c:v>
                </c:pt>
                <c:pt idx="3">
                  <c:v>1362</c:v>
                </c:pt>
                <c:pt idx="4">
                  <c:v>1063</c:v>
                </c:pt>
              </c:numCache>
            </c:numRef>
          </c:val>
          <c:smooth val="0"/>
          <c:extLst>
            <c:ext xmlns:c16="http://schemas.microsoft.com/office/drawing/2014/chart" uri="{C3380CC4-5D6E-409C-BE32-E72D297353CC}">
              <c16:uniqueId val="{00000001-FBF0-4E76-B856-8D69A46C7773}"/>
            </c:ext>
          </c:extLst>
        </c:ser>
        <c:dLbls>
          <c:showLegendKey val="0"/>
          <c:showVal val="0"/>
          <c:showCatName val="0"/>
          <c:showSerName val="0"/>
          <c:showPercent val="0"/>
          <c:showBubbleSize val="0"/>
        </c:dLbls>
        <c:marker val="1"/>
        <c:smooth val="0"/>
        <c:axId val="10423712"/>
        <c:axId val="10423232"/>
      </c:lineChart>
      <c:catAx>
        <c:axId val="1041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7472"/>
        <c:crosses val="autoZero"/>
        <c:auto val="1"/>
        <c:lblAlgn val="ctr"/>
        <c:lblOffset val="100"/>
        <c:noMultiLvlLbl val="0"/>
      </c:catAx>
      <c:valAx>
        <c:axId val="10417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5552"/>
        <c:crosses val="autoZero"/>
        <c:crossBetween val="between"/>
      </c:valAx>
      <c:valAx>
        <c:axId val="1042323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3712"/>
        <c:crosses val="max"/>
        <c:crossBetween val="between"/>
      </c:valAx>
      <c:catAx>
        <c:axId val="10423712"/>
        <c:scaling>
          <c:orientation val="minMax"/>
        </c:scaling>
        <c:delete val="1"/>
        <c:axPos val="b"/>
        <c:numFmt formatCode="General" sourceLinked="1"/>
        <c:majorTickMark val="out"/>
        <c:minorTickMark val="none"/>
        <c:tickLblPos val="nextTo"/>
        <c:crossAx val="10423232"/>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21430</xdr:colOff>
      <xdr:row>2</xdr:row>
      <xdr:rowOff>14287</xdr:rowOff>
    </xdr:from>
    <xdr:to>
      <xdr:col>10</xdr:col>
      <xdr:colOff>59530</xdr:colOff>
      <xdr:row>17</xdr:row>
      <xdr:rowOff>42862</xdr:rowOff>
    </xdr:to>
    <xdr:graphicFrame macro="">
      <xdr:nvGraphicFramePr>
        <xdr:cNvPr id="3" name="Chart 2">
          <a:extLst>
            <a:ext uri="{FF2B5EF4-FFF2-40B4-BE49-F238E27FC236}">
              <a16:creationId xmlns:a16="http://schemas.microsoft.com/office/drawing/2014/main" id="{7A44F5CA-7436-02DD-CAAC-88F45FA232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321468</xdr:colOff>
      <xdr:row>5</xdr:row>
      <xdr:rowOff>128587</xdr:rowOff>
    </xdr:from>
    <xdr:to>
      <xdr:col>7</xdr:col>
      <xdr:colOff>340518</xdr:colOff>
      <xdr:row>20</xdr:row>
      <xdr:rowOff>157162</xdr:rowOff>
    </xdr:to>
    <xdr:graphicFrame macro="">
      <xdr:nvGraphicFramePr>
        <xdr:cNvPr id="4" name="Chart 3">
          <a:extLst>
            <a:ext uri="{FF2B5EF4-FFF2-40B4-BE49-F238E27FC236}">
              <a16:creationId xmlns:a16="http://schemas.microsoft.com/office/drawing/2014/main" id="{A532EB82-F410-FA37-B524-8E5068AB4F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xdr:row>
      <xdr:rowOff>22412</xdr:rowOff>
    </xdr:from>
    <xdr:to>
      <xdr:col>5</xdr:col>
      <xdr:colOff>179294</xdr:colOff>
      <xdr:row>17</xdr:row>
      <xdr:rowOff>76200</xdr:rowOff>
    </xdr:to>
    <xdr:graphicFrame macro="">
      <xdr:nvGraphicFramePr>
        <xdr:cNvPr id="2" name="Chart 1">
          <a:extLst>
            <a:ext uri="{FF2B5EF4-FFF2-40B4-BE49-F238E27FC236}">
              <a16:creationId xmlns:a16="http://schemas.microsoft.com/office/drawing/2014/main" id="{B9B864AD-A83C-425B-BB0F-CEC513A151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106456</xdr:rowOff>
    </xdr:from>
    <xdr:to>
      <xdr:col>5</xdr:col>
      <xdr:colOff>179294</xdr:colOff>
      <xdr:row>32</xdr:row>
      <xdr:rowOff>160244</xdr:rowOff>
    </xdr:to>
    <xdr:graphicFrame macro="">
      <xdr:nvGraphicFramePr>
        <xdr:cNvPr id="3" name="Chart 2">
          <a:extLst>
            <a:ext uri="{FF2B5EF4-FFF2-40B4-BE49-F238E27FC236}">
              <a16:creationId xmlns:a16="http://schemas.microsoft.com/office/drawing/2014/main" id="{D80441B9-262B-4BDA-B414-F82834B5AB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212911</xdr:colOff>
      <xdr:row>2</xdr:row>
      <xdr:rowOff>28014</xdr:rowOff>
    </xdr:from>
    <xdr:to>
      <xdr:col>12</xdr:col>
      <xdr:colOff>235323</xdr:colOff>
      <xdr:row>17</xdr:row>
      <xdr:rowOff>81802</xdr:rowOff>
    </xdr:to>
    <xdr:graphicFrame macro="">
      <xdr:nvGraphicFramePr>
        <xdr:cNvPr id="4" name="Chart 3">
          <a:extLst>
            <a:ext uri="{FF2B5EF4-FFF2-40B4-BE49-F238E27FC236}">
              <a16:creationId xmlns:a16="http://schemas.microsoft.com/office/drawing/2014/main" id="{9A01DBCA-B5FE-46A7-8A4B-42E266A02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212912</xdr:colOff>
      <xdr:row>17</xdr:row>
      <xdr:rowOff>117661</xdr:rowOff>
    </xdr:from>
    <xdr:to>
      <xdr:col>12</xdr:col>
      <xdr:colOff>235324</xdr:colOff>
      <xdr:row>32</xdr:row>
      <xdr:rowOff>171449</xdr:rowOff>
    </xdr:to>
    <xdr:graphicFrame macro="">
      <xdr:nvGraphicFramePr>
        <xdr:cNvPr id="5" name="Chart 4">
          <a:extLst>
            <a:ext uri="{FF2B5EF4-FFF2-40B4-BE49-F238E27FC236}">
              <a16:creationId xmlns:a16="http://schemas.microsoft.com/office/drawing/2014/main" id="{ED549B9E-49BA-49DE-8F09-C3637B11F5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16808</xdr:colOff>
      <xdr:row>2</xdr:row>
      <xdr:rowOff>16809</xdr:rowOff>
    </xdr:from>
    <xdr:to>
      <xdr:col>5</xdr:col>
      <xdr:colOff>196102</xdr:colOff>
      <xdr:row>17</xdr:row>
      <xdr:rowOff>70597</xdr:rowOff>
    </xdr:to>
    <xdr:graphicFrame macro="">
      <xdr:nvGraphicFramePr>
        <xdr:cNvPr id="6" name="Chart 5">
          <a:extLst>
            <a:ext uri="{FF2B5EF4-FFF2-40B4-BE49-F238E27FC236}">
              <a16:creationId xmlns:a16="http://schemas.microsoft.com/office/drawing/2014/main" id="{850F2B84-B595-03CF-E825-7C0EABF9F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16808</xdr:colOff>
      <xdr:row>17</xdr:row>
      <xdr:rowOff>112058</xdr:rowOff>
    </xdr:from>
    <xdr:to>
      <xdr:col>5</xdr:col>
      <xdr:colOff>196102</xdr:colOff>
      <xdr:row>32</xdr:row>
      <xdr:rowOff>165846</xdr:rowOff>
    </xdr:to>
    <xdr:graphicFrame macro="">
      <xdr:nvGraphicFramePr>
        <xdr:cNvPr id="7" name="Chart 6">
          <a:extLst>
            <a:ext uri="{FF2B5EF4-FFF2-40B4-BE49-F238E27FC236}">
              <a16:creationId xmlns:a16="http://schemas.microsoft.com/office/drawing/2014/main" id="{FCF424ED-90CF-3B26-0A5E-76737BEFF8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229719</xdr:colOff>
      <xdr:row>2</xdr:row>
      <xdr:rowOff>16809</xdr:rowOff>
    </xdr:from>
    <xdr:to>
      <xdr:col>12</xdr:col>
      <xdr:colOff>252131</xdr:colOff>
      <xdr:row>17</xdr:row>
      <xdr:rowOff>70597</xdr:rowOff>
    </xdr:to>
    <xdr:graphicFrame macro="">
      <xdr:nvGraphicFramePr>
        <xdr:cNvPr id="8" name="Chart 7">
          <a:extLst>
            <a:ext uri="{FF2B5EF4-FFF2-40B4-BE49-F238E27FC236}">
              <a16:creationId xmlns:a16="http://schemas.microsoft.com/office/drawing/2014/main" id="{9DA6DB15-A8B6-1EA1-ABBB-B87634C9E5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257314</xdr:colOff>
      <xdr:row>17</xdr:row>
      <xdr:rowOff>112058</xdr:rowOff>
    </xdr:from>
    <xdr:to>
      <xdr:col>12</xdr:col>
      <xdr:colOff>279726</xdr:colOff>
      <xdr:row>32</xdr:row>
      <xdr:rowOff>165846</xdr:rowOff>
    </xdr:to>
    <xdr:graphicFrame macro="">
      <xdr:nvGraphicFramePr>
        <xdr:cNvPr id="9" name="Chart 8">
          <a:extLst>
            <a:ext uri="{FF2B5EF4-FFF2-40B4-BE49-F238E27FC236}">
              <a16:creationId xmlns:a16="http://schemas.microsoft.com/office/drawing/2014/main" id="{C151B2EE-4984-5DFC-9ED9-03D33CA62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369793</xdr:colOff>
      <xdr:row>2</xdr:row>
      <xdr:rowOff>56029</xdr:rowOff>
    </xdr:from>
    <xdr:to>
      <xdr:col>15</xdr:col>
      <xdr:colOff>248769</xdr:colOff>
      <xdr:row>6</xdr:row>
      <xdr:rowOff>106455</xdr:rowOff>
    </xdr:to>
    <mc:AlternateContent xmlns:mc="http://schemas.openxmlformats.org/markup-compatibility/2006" xmlns:a14="http://schemas.microsoft.com/office/drawing/2010/main">
      <mc:Choice Requires="a14">
        <xdr:graphicFrame macro="">
          <xdr:nvGraphicFramePr>
            <xdr:cNvPr id="19" name="channel">
              <a:extLst>
                <a:ext uri="{FF2B5EF4-FFF2-40B4-BE49-F238E27FC236}">
                  <a16:creationId xmlns:a16="http://schemas.microsoft.com/office/drawing/2014/main" id="{3E847D43-553D-4FB6-B820-0F53CD91D97F}"/>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9312087" y="414617"/>
              <a:ext cx="1828800" cy="767603"/>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369793</xdr:colOff>
      <xdr:row>7</xdr:row>
      <xdr:rowOff>125131</xdr:rowOff>
    </xdr:from>
    <xdr:to>
      <xdr:col>15</xdr:col>
      <xdr:colOff>248769</xdr:colOff>
      <xdr:row>12</xdr:row>
      <xdr:rowOff>158749</xdr:rowOff>
    </xdr:to>
    <mc:AlternateContent xmlns:mc="http://schemas.openxmlformats.org/markup-compatibility/2006" xmlns:a14="http://schemas.microsoft.com/office/drawing/2010/main">
      <mc:Choice Requires="a14">
        <xdr:graphicFrame macro="">
          <xdr:nvGraphicFramePr>
            <xdr:cNvPr id="20" name="customer_type">
              <a:extLst>
                <a:ext uri="{FF2B5EF4-FFF2-40B4-BE49-F238E27FC236}">
                  <a16:creationId xmlns:a16="http://schemas.microsoft.com/office/drawing/2014/main" id="{E74DC93C-4F61-49FD-B8F0-99F1D3D11623}"/>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9312087" y="1380190"/>
              <a:ext cx="1828800" cy="930088"/>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369793</xdr:colOff>
      <xdr:row>13</xdr:row>
      <xdr:rowOff>177424</xdr:rowOff>
    </xdr:from>
    <xdr:to>
      <xdr:col>15</xdr:col>
      <xdr:colOff>248769</xdr:colOff>
      <xdr:row>20</xdr:row>
      <xdr:rowOff>126999</xdr:rowOff>
    </xdr:to>
    <mc:AlternateContent xmlns:mc="http://schemas.openxmlformats.org/markup-compatibility/2006" xmlns:a14="http://schemas.microsoft.com/office/drawing/2010/main">
      <mc:Choice Requires="a14">
        <xdr:graphicFrame macro="">
          <xdr:nvGraphicFramePr>
            <xdr:cNvPr id="21" name="category">
              <a:extLst>
                <a:ext uri="{FF2B5EF4-FFF2-40B4-BE49-F238E27FC236}">
                  <a16:creationId xmlns:a16="http://schemas.microsoft.com/office/drawing/2014/main" id="{F616A2AE-2250-441E-9EF5-BC9840923A4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312087" y="2508248"/>
              <a:ext cx="1828800" cy="1204633"/>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357747</xdr:colOff>
      <xdr:row>21</xdr:row>
      <xdr:rowOff>145675</xdr:rowOff>
    </xdr:from>
    <xdr:to>
      <xdr:col>15</xdr:col>
      <xdr:colOff>274544</xdr:colOff>
      <xdr:row>32</xdr:row>
      <xdr:rowOff>93679</xdr:rowOff>
    </xdr:to>
    <mc:AlternateContent xmlns:mc="http://schemas.openxmlformats.org/markup-compatibility/2006" xmlns:tsle="http://schemas.microsoft.com/office/drawing/2012/timeslicer">
      <mc:Choice Requires="tsle">
        <xdr:graphicFrame macro="">
          <xdr:nvGraphicFramePr>
            <xdr:cNvPr id="22" name="sale_date">
              <a:extLst>
                <a:ext uri="{FF2B5EF4-FFF2-40B4-BE49-F238E27FC236}">
                  <a16:creationId xmlns:a16="http://schemas.microsoft.com/office/drawing/2014/main" id="{1BE49497-5785-059B-BDB7-1A8B8E0264C8}"/>
                </a:ext>
              </a:extLst>
            </xdr:cNvPr>
            <xdr:cNvGraphicFramePr/>
          </xdr:nvGraphicFramePr>
          <xdr:xfrm>
            <a:off x="0" y="0"/>
            <a:ext cx="0" cy="0"/>
          </xdr:xfrm>
          <a:graphic>
            <a:graphicData uri="http://schemas.microsoft.com/office/drawing/2012/timeslicer">
              <tsle:timeslicer name="sale_date"/>
            </a:graphicData>
          </a:graphic>
        </xdr:graphicFrame>
      </mc:Choice>
      <mc:Fallback xmlns="">
        <xdr:sp macro="" textlink="">
          <xdr:nvSpPr>
            <xdr:cNvPr id="0" name=""/>
            <xdr:cNvSpPr>
              <a:spLocks noTextEdit="1"/>
            </xdr:cNvSpPr>
          </xdr:nvSpPr>
          <xdr:spPr>
            <a:xfrm>
              <a:off x="9300041" y="3910851"/>
              <a:ext cx="1866621" cy="1920240"/>
            </a:xfrm>
            <a:prstGeom prst="rect">
              <a:avLst/>
            </a:prstGeom>
            <a:solidFill>
              <a:prstClr val="white"/>
            </a:solidFill>
            <a:ln w="1">
              <a:solidFill>
                <a:prstClr val="green"/>
              </a:solidFill>
            </a:ln>
          </xdr:spPr>
          <xdr:txBody>
            <a:bodyPr vertOverflow="clip" horzOverflow="clip"/>
            <a:lstStyle/>
            <a:p>
              <a:r>
                <a:rPr lang="en-CA"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sen mohsen" refreshedDate="46035.557241319446" createdVersion="8" refreshedVersion="8" minRefreshableVersion="3" recordCount="7" xr:uid="{0CC78E20-49DA-4ABC-B6D8-14B6E8516B5D}">
  <cacheSource type="worksheet">
    <worksheetSource name="Table3"/>
  </cacheSource>
  <cacheFields count="8">
    <cacheField name="campaign_id" numFmtId="0">
      <sharedItems containsSemiMixedTypes="0" containsString="0" containsNumber="1" containsInteger="1" minValue="1" maxValue="7"/>
    </cacheField>
    <cacheField name="campaign_name" numFmtId="0">
      <sharedItems/>
    </cacheField>
    <cacheField name="start_date" numFmtId="14">
      <sharedItems containsSemiMixedTypes="0" containsNonDate="0" containsDate="1" containsString="0" minDate="2025-04-01T00:00:00" maxDate="2025-06-11T00:00:00"/>
    </cacheField>
    <cacheField name="end_date" numFmtId="14">
      <sharedItems containsSemiMixedTypes="0" containsNonDate="0" containsDate="1" containsString="0" minDate="2025-04-07T00:00:00" maxDate="2025-06-18T00:00:00"/>
    </cacheField>
    <cacheField name="channel" numFmtId="0">
      <sharedItems count="4">
        <s v="Email"/>
        <s v="Social Media"/>
        <s v="App Mobile"/>
        <s v="Website Banner"/>
      </sharedItems>
    </cacheField>
    <cacheField name="discount_type" numFmtId="0">
      <sharedItems/>
    </cacheField>
    <cacheField name="discount_value" numFmtId="0">
      <sharedItems containsSemiMixedTypes="0" containsString="0" containsNumber="1" containsInteger="1" minValue="10" maxValue="30"/>
    </cacheField>
    <cacheField name="revenue"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sen mohsen" refreshedDate="46037.576542939816" createdVersion="8" refreshedVersion="8" minRefreshableVersion="3" recordCount="2253" xr:uid="{3782B458-DD2A-4727-A401-697D0255FE6C}">
  <cacheSource type="worksheet">
    <worksheetSource name="salesitems"/>
  </cacheSource>
  <cacheFields count="19">
    <cacheField name="item_id" numFmtId="0">
      <sharedItems containsSemiMixedTypes="0" containsString="0" containsNumber="1" containsInteger="1" minValue="2" maxValue="3367"/>
    </cacheField>
    <cacheField name="sale_id" numFmtId="0">
      <sharedItems containsSemiMixedTypes="0" containsString="0" containsNumber="1" containsInteger="1" minValue="2" maxValue="1352" count="905">
        <n v="658"/>
        <n v="336"/>
        <n v="1255"/>
        <n v="331"/>
        <n v="1079"/>
        <n v="478"/>
        <n v="1082"/>
        <n v="747"/>
        <n v="258"/>
        <n v="1144"/>
        <n v="644"/>
        <n v="991"/>
        <n v="338"/>
        <n v="617"/>
        <n v="660"/>
        <n v="863"/>
        <n v="420"/>
        <n v="191"/>
        <n v="1013"/>
        <n v="276"/>
        <n v="473"/>
        <n v="179"/>
        <n v="482"/>
        <n v="581"/>
        <n v="31"/>
        <n v="424"/>
        <n v="33"/>
        <n v="832"/>
        <n v="670"/>
        <n v="209"/>
        <n v="1014"/>
        <n v="306"/>
        <n v="42"/>
        <n v="1213"/>
        <n v="1178"/>
        <n v="1128"/>
        <n v="180"/>
        <n v="1272"/>
        <n v="370"/>
        <n v="450"/>
        <n v="183"/>
        <n v="1136"/>
        <n v="54"/>
        <n v="204"/>
        <n v="1344"/>
        <n v="466"/>
        <n v="946"/>
        <n v="1117"/>
        <n v="394"/>
        <n v="230"/>
        <n v="207"/>
        <n v="436"/>
        <n v="1245"/>
        <n v="1135"/>
        <n v="418"/>
        <n v="626"/>
        <n v="779"/>
        <n v="168"/>
        <n v="1103"/>
        <n v="1281"/>
        <n v="43"/>
        <n v="226"/>
        <n v="509"/>
        <n v="486"/>
        <n v="510"/>
        <n v="1339"/>
        <n v="52"/>
        <n v="1329"/>
        <n v="247"/>
        <n v="1166"/>
        <n v="404"/>
        <n v="976"/>
        <n v="607"/>
        <n v="10"/>
        <n v="557"/>
        <n v="761"/>
        <n v="89"/>
        <n v="277"/>
        <n v="190"/>
        <n v="255"/>
        <n v="435"/>
        <n v="1034"/>
        <n v="1304"/>
        <n v="383"/>
        <n v="65"/>
        <n v="127"/>
        <n v="833"/>
        <n v="856"/>
        <n v="1179"/>
        <n v="647"/>
        <n v="323"/>
        <n v="231"/>
        <n v="947"/>
        <n v="594"/>
        <n v="402"/>
        <n v="264"/>
        <n v="601"/>
        <n v="294"/>
        <n v="1207"/>
        <n v="629"/>
        <n v="1036"/>
        <n v="78"/>
        <n v="11"/>
        <n v="564"/>
        <n v="1169"/>
        <n v="273"/>
        <n v="985"/>
        <n v="635"/>
        <n v="620"/>
        <n v="504"/>
        <n v="1093"/>
        <n v="539"/>
        <n v="882"/>
        <n v="646"/>
        <n v="430"/>
        <n v="265"/>
        <n v="531"/>
        <n v="577"/>
        <n v="592"/>
        <n v="578"/>
        <n v="220"/>
        <n v="1230"/>
        <n v="815"/>
        <n v="707"/>
        <n v="653"/>
        <n v="708"/>
        <n v="527"/>
        <n v="1336"/>
        <n v="41"/>
        <n v="116"/>
        <n v="193"/>
        <n v="144"/>
        <n v="212"/>
        <n v="55"/>
        <n v="675"/>
        <n v="1006"/>
        <n v="298"/>
        <n v="1004"/>
        <n v="778"/>
        <n v="749"/>
        <n v="1224"/>
        <n v="605"/>
        <n v="1256"/>
        <n v="666"/>
        <n v="1286"/>
        <n v="827"/>
        <n v="604"/>
        <n v="128"/>
        <n v="1248"/>
        <n v="250"/>
        <n v="1112"/>
        <n v="293"/>
        <n v="36"/>
        <n v="546"/>
        <n v="440"/>
        <n v="1054"/>
        <n v="543"/>
        <n v="1331"/>
        <n v="763"/>
        <n v="590"/>
        <n v="545"/>
        <n v="461"/>
        <n v="114"/>
        <n v="1045"/>
        <n v="651"/>
        <n v="1184"/>
        <n v="762"/>
        <n v="272"/>
        <n v="542"/>
        <n v="744"/>
        <n v="551"/>
        <n v="622"/>
        <n v="429"/>
        <n v="694"/>
        <n v="1291"/>
        <n v="1098"/>
        <n v="1251"/>
        <n v="709"/>
        <n v="80"/>
        <n v="1227"/>
        <n v="344"/>
        <n v="1025"/>
        <n v="346"/>
        <n v="397"/>
        <n v="623"/>
        <n v="593"/>
        <n v="307"/>
        <n v="959"/>
        <n v="160"/>
        <n v="1269"/>
        <n v="284"/>
        <n v="777"/>
        <n v="389"/>
        <n v="956"/>
        <n v="1109"/>
        <n v="235"/>
        <n v="940"/>
        <n v="613"/>
        <n v="872"/>
        <n v="103"/>
        <n v="643"/>
        <n v="489"/>
        <n v="1175"/>
        <n v="125"/>
        <n v="252"/>
        <n v="776"/>
        <n v="278"/>
        <n v="451"/>
        <n v="1328"/>
        <n v="141"/>
        <n v="72"/>
        <n v="1143"/>
        <n v="483"/>
        <n v="392"/>
        <n v="537"/>
        <n v="992"/>
        <n v="224"/>
        <n v="853"/>
        <n v="868"/>
        <n v="845"/>
        <n v="274"/>
        <n v="433"/>
        <n v="423"/>
        <n v="1296"/>
        <n v="944"/>
        <n v="963"/>
        <n v="554"/>
        <n v="241"/>
        <n v="561"/>
        <n v="75"/>
        <n v="614"/>
        <n v="384"/>
        <n v="535"/>
        <n v="121"/>
        <n v="46"/>
        <n v="332"/>
        <n v="729"/>
        <n v="245"/>
        <n v="143"/>
        <n v="432"/>
        <n v="403"/>
        <n v="318"/>
        <n v="484"/>
        <n v="1035"/>
        <n v="90"/>
        <n v="1192"/>
        <n v="96"/>
        <n v="1333"/>
        <n v="1297"/>
        <n v="639"/>
        <n v="151"/>
        <n v="873"/>
        <n v="448"/>
        <n v="132"/>
        <n v="616"/>
        <n v="567"/>
        <n v="421"/>
        <n v="259"/>
        <n v="925"/>
        <n v="449"/>
        <n v="1194"/>
        <n v="908"/>
        <n v="1070"/>
        <n v="654"/>
        <n v="356"/>
        <n v="386"/>
        <n v="427"/>
        <n v="468"/>
        <n v="349"/>
        <n v="966"/>
        <n v="525"/>
        <n v="971"/>
        <n v="618"/>
        <n v="297"/>
        <n v="558"/>
        <n v="834"/>
        <n v="200"/>
        <n v="750"/>
        <n v="44"/>
        <n v="281"/>
        <n v="53"/>
        <n v="441"/>
        <n v="39"/>
        <n v="875"/>
        <n v="706"/>
        <n v="154"/>
        <n v="858"/>
        <n v="106"/>
        <n v="999"/>
        <n v="2"/>
        <n v="677"/>
        <n v="469"/>
        <n v="817"/>
        <n v="745"/>
        <n v="378"/>
        <n v="766"/>
        <n v="87"/>
        <n v="958"/>
        <n v="199"/>
        <n v="1165"/>
        <n v="286"/>
        <n v="1332"/>
        <n v="1129"/>
        <n v="139"/>
        <n v="609"/>
        <n v="916"/>
        <n v="124"/>
        <n v="447"/>
        <n v="981"/>
        <n v="88"/>
        <n v="603"/>
        <n v="1124"/>
        <n v="138"/>
        <n v="15"/>
        <n v="839"/>
        <n v="428"/>
        <n v="722"/>
        <n v="40"/>
        <n v="73"/>
        <n v="56"/>
        <n v="705"/>
        <n v="1225"/>
        <n v="934"/>
        <n v="1223"/>
        <n v="874"/>
        <n v="115"/>
        <n v="215"/>
        <n v="1327"/>
        <n v="1290"/>
        <n v="559"/>
        <n v="369"/>
        <n v="589"/>
        <n v="1320"/>
        <n v="895"/>
        <n v="550"/>
        <n v="485"/>
        <n v="24"/>
        <n v="619"/>
        <n v="555"/>
        <n v="377"/>
        <n v="949"/>
        <n v="931"/>
        <n v="842"/>
        <n v="1195"/>
        <n v="1216"/>
        <n v="1249"/>
        <n v="490"/>
        <n v="497"/>
        <n v="467"/>
        <n v="1067"/>
        <n v="907"/>
        <n v="359"/>
        <n v="328"/>
        <n v="503"/>
        <n v="1298"/>
        <n v="1029"/>
        <n v="1108"/>
        <n v="1060"/>
        <n v="319"/>
        <n v="253"/>
        <n v="1311"/>
        <n v="1133"/>
        <n v="1316"/>
        <n v="926"/>
        <n v="442"/>
        <n v="1083"/>
        <n v="1198"/>
        <n v="615"/>
        <n v="1253"/>
        <n v="445"/>
        <n v="216"/>
        <n v="269"/>
        <n v="912"/>
        <n v="1042"/>
        <n v="588"/>
        <n v="172"/>
        <n v="376"/>
        <n v="1116"/>
        <n v="237"/>
        <n v="59"/>
        <n v="175"/>
        <n v="1152"/>
        <n v="846"/>
        <n v="1058"/>
        <n v="314"/>
        <n v="800"/>
        <n v="1158"/>
        <n v="1314"/>
        <n v="171"/>
        <n v="181"/>
        <n v="1100"/>
        <n v="8"/>
        <n v="927"/>
        <n v="978"/>
        <n v="852"/>
        <n v="32"/>
        <n v="142"/>
        <n v="1028"/>
        <n v="1047"/>
        <n v="6"/>
        <n v="92"/>
        <n v="38"/>
        <n v="802"/>
        <n v="989"/>
        <n v="899"/>
        <n v="780"/>
        <n v="843"/>
        <n v="878"/>
        <n v="1138"/>
        <n v="844"/>
        <n v="1185"/>
        <n v="686"/>
        <n v="772"/>
        <n v="969"/>
        <n v="627"/>
        <n v="1097"/>
        <n v="977"/>
        <n v="1113"/>
        <n v="710"/>
        <n v="848"/>
        <n v="98"/>
        <n v="580"/>
        <n v="530"/>
        <n v="637"/>
        <n v="1295"/>
        <n v="781"/>
        <n v="1088"/>
        <n v="1078"/>
        <n v="797"/>
        <n v="767"/>
        <n v="915"/>
        <n v="113"/>
        <n v="880"/>
        <n v="354"/>
        <n v="529"/>
        <n v="202"/>
        <n v="13"/>
        <n v="238"/>
        <n v="513"/>
        <n v="292"/>
        <n v="1239"/>
        <n v="1039"/>
        <n v="768"/>
        <n v="358"/>
        <n v="120"/>
        <n v="262"/>
        <n v="667"/>
        <n v="1348"/>
        <n v="753"/>
        <n v="505"/>
        <n v="1322"/>
        <n v="444"/>
        <n v="1313"/>
        <n v="1122"/>
        <n v="416"/>
        <n v="967"/>
        <n v="1170"/>
        <n v="1318"/>
        <n v="407"/>
        <n v="1096"/>
        <n v="146"/>
        <n v="1160"/>
        <n v="1061"/>
        <n v="711"/>
        <n v="1326"/>
        <n v="1038"/>
        <n v="582"/>
        <n v="730"/>
        <n v="165"/>
        <n v="396"/>
        <n v="1187"/>
        <n v="333"/>
        <n v="521"/>
        <n v="1317"/>
        <n v="251"/>
        <n v="512"/>
        <n v="541"/>
        <n v="566"/>
        <n v="104"/>
        <n v="1155"/>
        <n v="1335"/>
        <n v="1276"/>
        <n v="488"/>
        <n v="217"/>
        <n v="285"/>
        <n v="861"/>
        <n v="516"/>
        <n v="282"/>
        <n v="329"/>
        <n v="838"/>
        <n v="399"/>
        <n v="1196"/>
        <n v="1052"/>
        <n v="796"/>
        <n v="787"/>
        <n v="824"/>
        <n v="799"/>
        <n v="479"/>
        <n v="1275"/>
        <n v="739"/>
        <n v="937"/>
        <n v="158"/>
        <n v="348"/>
        <n v="918"/>
        <n v="1031"/>
        <n v="885"/>
        <n v="663"/>
        <n v="612"/>
        <n v="156"/>
        <n v="1085"/>
        <n v="405"/>
        <n v="1244"/>
        <n v="351"/>
        <n v="1205"/>
        <n v="760"/>
        <n v="610"/>
        <n v="1016"/>
        <n v="400"/>
        <n v="188"/>
        <n v="350"/>
        <n v="850"/>
        <n v="221"/>
        <n v="326"/>
        <n v="906"/>
        <n v="1343"/>
        <n v="932"/>
        <n v="35"/>
        <n v="414"/>
        <n v="719"/>
        <n v="1259"/>
        <n v="1263"/>
        <n v="1040"/>
        <n v="29"/>
        <n v="1066"/>
        <n v="299"/>
        <n v="1149"/>
        <n v="1214"/>
        <n v="129"/>
        <n v="335"/>
        <n v="528"/>
        <n v="131"/>
        <n v="1226"/>
        <n v="291"/>
        <n v="714"/>
        <n v="602"/>
        <n v="704"/>
        <n v="591"/>
        <n v="133"/>
        <n v="61"/>
        <n v="1000"/>
        <n v="945"/>
        <n v="514"/>
        <n v="1280"/>
        <n v="982"/>
        <n v="330"/>
        <n v="1219"/>
        <n v="289"/>
        <n v="1049"/>
        <n v="498"/>
        <n v="538"/>
        <n v="890"/>
        <n v="1199"/>
        <n v="825"/>
        <n v="536"/>
        <n v="1018"/>
        <n v="751"/>
        <n v="1201"/>
        <n v="452"/>
        <n v="465"/>
        <n v="184"/>
        <n v="746"/>
        <n v="155"/>
        <n v="301"/>
        <n v="506"/>
        <n v="952"/>
        <n v="84"/>
        <n v="303"/>
        <n v="816"/>
        <n v="1119"/>
        <n v="123"/>
        <n v="463"/>
        <n v="562"/>
        <n v="621"/>
        <n v="1106"/>
        <n v="387"/>
        <n v="979"/>
        <n v="849"/>
        <n v="470"/>
        <n v="1011"/>
        <n v="1111"/>
        <n v="408"/>
        <n v="808"/>
        <n v="371"/>
        <n v="102"/>
        <n v="1257"/>
        <n v="94"/>
        <n v="1273"/>
        <n v="248"/>
        <n v="575"/>
        <n v="167"/>
        <n v="1059"/>
        <n v="279"/>
        <n v="1071"/>
        <n v="67"/>
        <n v="876"/>
        <n v="718"/>
        <n v="524"/>
        <n v="1153"/>
        <n v="145"/>
        <n v="854"/>
        <n v="517"/>
        <n v="1211"/>
        <n v="233"/>
        <n v="1182"/>
        <n v="3"/>
        <n v="222"/>
        <n v="905"/>
        <n v="147"/>
        <n v="632"/>
        <n v="126"/>
        <n v="879"/>
        <n v="337"/>
        <n v="553"/>
        <n v="864"/>
        <n v="552"/>
        <n v="1102"/>
        <n v="886"/>
        <n v="1146"/>
        <n v="896"/>
        <n v="921"/>
        <n v="1220"/>
        <n v="1019"/>
        <n v="698"/>
        <n v="725"/>
        <n v="260"/>
        <n v="810"/>
        <n v="534"/>
        <n v="904"/>
        <n v="938"/>
        <n v="1294"/>
        <n v="1026"/>
        <n v="406"/>
        <n v="360"/>
        <n v="862"/>
        <n v="700"/>
        <n v="902"/>
        <n v="275"/>
        <n v="755"/>
        <n v="1200"/>
        <n v="85"/>
        <n v="63"/>
        <n v="1349"/>
        <n v="476"/>
        <n v="23"/>
        <n v="821"/>
        <n v="785"/>
        <n v="1209"/>
        <n v="17"/>
        <n v="960"/>
        <n v="1308"/>
        <n v="152"/>
        <n v="812"/>
        <n v="819"/>
        <n v="1173"/>
        <n v="576"/>
        <n v="234"/>
        <n v="782"/>
        <n v="401"/>
        <n v="210"/>
        <n v="495"/>
        <n v="1087"/>
        <n v="426"/>
        <n v="715"/>
        <n v="229"/>
        <n v="391"/>
        <n v="640"/>
        <n v="942"/>
        <n v="173"/>
        <n v="112"/>
        <n v="240"/>
        <n v="164"/>
        <n v="820"/>
        <n v="242"/>
        <n v="1001"/>
        <n v="68"/>
        <n v="1237"/>
        <n v="645"/>
        <n v="1277"/>
        <n v="343"/>
        <n v="201"/>
        <n v="702"/>
        <n v="305"/>
        <n v="1306"/>
        <n v="362"/>
        <n v="1055"/>
        <n v="198"/>
        <n v="1262"/>
        <n v="823"/>
        <n v="475"/>
        <n v="312"/>
        <n v="1189"/>
        <n v="382"/>
        <n v="86"/>
        <n v="195"/>
        <n v="859"/>
        <n v="1007"/>
        <n v="870"/>
        <n v="774"/>
        <n v="924"/>
        <n v="1236"/>
        <n v="795"/>
        <n v="288"/>
        <n v="703"/>
        <n v="1218"/>
        <n v="548"/>
        <n v="214"/>
        <n v="1285"/>
        <n v="818"/>
        <n v="136"/>
        <n v="857"/>
        <n v="1309"/>
        <n v="1161"/>
        <n v="130"/>
        <n v="375"/>
        <n v="163"/>
        <n v="1206"/>
        <n v="515"/>
        <n v="345"/>
        <n v="225"/>
        <n v="1229"/>
        <n v="500"/>
        <n v="1123"/>
        <n v="1342"/>
        <n v="798"/>
        <n v="965"/>
        <n v="1053"/>
        <n v="801"/>
        <n v="135"/>
        <n v="1062"/>
        <n v="871"/>
        <n v="922"/>
        <n v="556"/>
        <n v="256"/>
        <n v="672"/>
        <n v="909"/>
        <n v="986"/>
        <n v="1017"/>
        <n v="1127"/>
        <n v="309"/>
        <n v="1234"/>
        <n v="334"/>
        <n v="794"/>
        <n v="659"/>
        <n v="855"/>
        <n v="347"/>
        <n v="1271"/>
        <n v="884"/>
        <n v="642"/>
        <n v="1254"/>
        <n v="21"/>
        <n v="1168"/>
        <n v="701"/>
        <n v="1193"/>
        <n v="1134"/>
        <n v="1099"/>
        <n v="664"/>
        <n v="822"/>
        <n v="1086"/>
        <n v="511"/>
        <n v="425"/>
        <n v="1208"/>
        <n v="830"/>
        <n v="189"/>
        <n v="1137"/>
        <n v="565"/>
        <n v="1095"/>
        <n v="1064"/>
        <n v="1292"/>
        <n v="943"/>
        <n v="957"/>
        <n v="742"/>
        <n v="310"/>
        <n v="724"/>
        <n v="20"/>
        <n v="1330"/>
        <n v="993"/>
        <n v="232"/>
        <n v="728"/>
        <n v="624"/>
        <n v="961"/>
        <n v="211"/>
        <n v="1243"/>
        <n v="757"/>
        <n v="321"/>
        <n v="411"/>
        <n v="341"/>
        <n v="491"/>
        <n v="756"/>
        <n v="1150"/>
        <n v="1210"/>
        <n v="1310"/>
        <n v="713"/>
        <n v="736"/>
        <n v="571"/>
        <n v="1084"/>
        <n v="572"/>
        <n v="1162"/>
        <n v="765"/>
        <n v="313"/>
        <n v="1258"/>
        <n v="975"/>
        <n v="790"/>
        <n v="1183"/>
        <n v="118"/>
        <n v="413"/>
        <n v="678"/>
        <n v="837"/>
        <n v="1215"/>
        <n v="1130"/>
        <n v="973"/>
        <n v="37"/>
        <n v="811"/>
        <n v="1156"/>
        <n v="668"/>
        <n v="990"/>
        <n v="950"/>
        <n v="357"/>
        <n v="1110"/>
        <n v="769"/>
        <n v="1020"/>
        <n v="1197"/>
        <n v="1177"/>
        <n v="239"/>
        <n v="1315"/>
        <n v="1352"/>
        <n v="1312"/>
        <n v="1003"/>
        <n v="1044"/>
        <n v="1172"/>
        <n v="1139"/>
        <n v="1050"/>
        <n v="1008"/>
        <n v="665"/>
        <n v="903"/>
        <n v="1024"/>
        <n v="474"/>
        <n v="597"/>
        <n v="1015"/>
        <n v="691"/>
        <n v="980"/>
        <n v="82"/>
        <n v="630"/>
        <n v="480"/>
        <n v="737"/>
        <n v="1337"/>
        <n v="1270"/>
        <n v="166"/>
        <n v="518"/>
        <n v="995"/>
        <n v="1154"/>
        <n v="1321"/>
        <n v="161"/>
        <n v="865"/>
        <n v="458"/>
        <n v="1303"/>
        <n v="655"/>
        <n v="419"/>
        <n v="1186"/>
        <n v="361"/>
        <n v="695"/>
        <n v="1180"/>
        <n v="740"/>
        <n v="689"/>
        <n v="1132"/>
        <n v="913"/>
        <n v="390"/>
        <n v="1115"/>
        <n v="1252"/>
        <n v="1265"/>
        <n v="295"/>
        <n v="64"/>
        <n v="1268"/>
        <n v="81"/>
        <n v="1231"/>
        <n v="352"/>
        <n v="968"/>
        <n v="953"/>
        <n v="676"/>
        <n v="1068"/>
        <n v="1247"/>
        <n v="410"/>
        <n v="994"/>
        <n v="108"/>
        <n v="287"/>
        <n v="914"/>
        <n v="716"/>
        <n v="100"/>
        <n v="955"/>
        <n v="1148"/>
        <n v="883"/>
        <n v="727"/>
        <n v="770"/>
        <n v="866"/>
        <n v="1300"/>
        <n v="1030"/>
      </sharedItems>
    </cacheField>
    <cacheField name="product_id" numFmtId="0">
      <sharedItems containsSemiMixedTypes="0" containsString="0" containsNumber="1" containsInteger="1" minValue="1" maxValue="500"/>
    </cacheField>
    <cacheField name="quantity" numFmtId="0">
      <sharedItems containsSemiMixedTypes="0" containsString="0" containsNumber="1" containsInteger="1" minValue="1" maxValue="5"/>
    </cacheField>
    <cacheField name="original_price" numFmtId="0">
      <sharedItems containsSemiMixedTypes="0" containsString="0" containsNumber="1" minValue="13.51" maxValue="85.9"/>
    </cacheField>
    <cacheField name="unit_price" numFmtId="0">
      <sharedItems containsSemiMixedTypes="0" containsString="0" containsNumber="1" minValue="11.68" maxValue="85.9"/>
    </cacheField>
    <cacheField name="discount_applied" numFmtId="0">
      <sharedItems containsSemiMixedTypes="0" containsString="0" containsNumber="1" minValue="0" maxValue="24.51"/>
    </cacheField>
    <cacheField name="discount_percent" numFmtId="10">
      <sharedItems containsSemiMixedTypes="0" containsString="0" containsNumber="1" minValue="0" maxValue="0.3"/>
    </cacheField>
    <cacheField name="discounted" numFmtId="0">
      <sharedItems containsSemiMixedTypes="0" containsString="0" containsNumber="1" containsInteger="1" minValue="0" maxValue="1"/>
    </cacheField>
    <cacheField name="item_total" numFmtId="0">
      <sharedItems containsSemiMixedTypes="0" containsString="0" containsNumber="1" minValue="13.51" maxValue="403.8"/>
    </cacheField>
    <cacheField name="sale_date" numFmtId="14">
      <sharedItems containsSemiMixedTypes="0" containsNonDate="0" containsDate="1" containsString="0" minDate="2025-04-04T00:00:00" maxDate="2025-06-18T00:00:00" count="51">
        <d v="2025-06-16T00:00:00"/>
        <d v="2025-06-17T00:00:00"/>
        <d v="2025-04-16T00:00:00"/>
        <d v="2025-05-06T00:00:00"/>
        <d v="2025-06-15T00:00:00"/>
        <d v="2025-04-14T00:00:00"/>
        <d v="2025-04-06T00:00:00"/>
        <d v="2025-04-21T00:00:00"/>
        <d v="2025-05-29T00:00:00"/>
        <d v="2025-05-20T00:00:00"/>
        <d v="2025-04-04T00:00:00"/>
        <d v="2025-04-20T00:00:00"/>
        <d v="2025-05-18T00:00:00"/>
        <d v="2025-06-14T00:00:00"/>
        <d v="2025-04-17T00:00:00"/>
        <d v="2025-05-23T00:00:00"/>
        <d v="2025-04-30T00:00:00"/>
        <d v="2025-05-24T00:00:00"/>
        <d v="2025-05-31T00:00:00"/>
        <d v="2025-05-22T00:00:00"/>
        <d v="2025-04-23T00:00:00"/>
        <d v="2025-05-27T00:00:00"/>
        <d v="2025-05-16T00:00:00"/>
        <d v="2025-04-26T00:00:00"/>
        <d v="2025-04-15T00:00:00"/>
        <d v="2025-06-13T00:00:00"/>
        <d v="2025-05-28T00:00:00"/>
        <d v="2025-05-15T00:00:00"/>
        <d v="2025-04-28T00:00:00"/>
        <d v="2025-05-17T00:00:00"/>
        <d v="2025-06-05T00:00:00"/>
        <d v="2025-04-24T00:00:00"/>
        <d v="2025-06-04T00:00:00"/>
        <d v="2025-04-19T00:00:00"/>
        <d v="2025-05-21T00:00:00"/>
        <d v="2025-04-27T00:00:00"/>
        <d v="2025-05-26T00:00:00"/>
        <d v="2025-06-06T00:00:00"/>
        <d v="2025-04-25T00:00:00"/>
        <d v="2025-04-13T00:00:00"/>
        <d v="2025-04-29T00:00:00"/>
        <d v="2025-05-30T00:00:00"/>
        <d v="2025-05-13T00:00:00"/>
        <d v="2025-05-04T00:00:00"/>
        <d v="2025-05-25T00:00:00"/>
        <d v="2025-05-14T00:00:00"/>
        <d v="2025-04-18T00:00:00"/>
        <d v="2025-05-19T00:00:00"/>
        <d v="2025-05-05T00:00:00"/>
        <d v="2025-04-05T00:00:00"/>
        <d v="2025-04-22T00:00:00"/>
      </sharedItems>
      <fieldGroup par="18"/>
    </cacheField>
    <cacheField name="channel" numFmtId="0">
      <sharedItems/>
    </cacheField>
    <cacheField name="channel_campaigns" numFmtId="0">
      <sharedItems/>
    </cacheField>
    <cacheField name="revenue" numFmtId="0">
      <sharedItems containsSemiMixedTypes="0" containsString="0" containsNumber="1" minValue="13.51" maxValue="403.8"/>
    </cacheField>
    <cacheField name="product_name" numFmtId="0">
      <sharedItems count="499">
        <s v="Elegant Satin Dress"/>
        <s v="Essential Cotton Shoes"/>
        <s v="Modern Ribbed Trousers"/>
        <s v="Modern Boxy Shoes"/>
        <s v="Relaxed Crew Shoes"/>
        <s v="Elegant Satin Shoes"/>
        <s v="Elegant Wrap Shoes"/>
        <s v="Relaxed Linen Dress"/>
        <s v="Bold High-Waist Dress"/>
        <s v="Modern High-Waist Trousers"/>
        <s v="Tailored Silk Shoes"/>
        <s v="Essential Crew Dress"/>
        <s v="Elegant Sleeveless Shoes"/>
        <s v="Tailored Wrap Set"/>
        <s v="Elegant Linen Set"/>
        <s v="Essential Cotton Trousers"/>
        <s v="Bold Boxy Dress"/>
        <s v="Soft Silk Trousers"/>
        <s v="Relaxed High-Waist Trousers"/>
        <s v="Tailored Boxy Tee"/>
        <s v="Bold Cotton Shoes"/>
        <s v="T-Shirts Drop 4"/>
        <s v="Sleepwear Drop 2"/>
        <s v="Modern Crew Tee"/>
        <s v="Polished Wrap Trousers"/>
        <s v="Essential Crew Tee"/>
        <s v="Polished Linen Shoes"/>
        <s v="Classic Cotton Set"/>
        <s v="T-Shirts Drop 2"/>
        <s v="Modern Boxy Dress"/>
        <s v="Tailored Wrap Trousers"/>
        <s v="Relaxed High-Waist Tee"/>
        <s v="Vintage Sleeveless Set"/>
        <s v="Elegant Cotton Tee"/>
        <s v="Essential Linen Trousers"/>
        <s v="Modern Satin Trousers"/>
        <s v="Vintage Silk Trousers"/>
        <s v="Modern Wrap Shoes"/>
        <s v="Soft Crew Tee"/>
        <s v="Relaxed High-Waist Set"/>
        <s v="Modern High-Waist Set"/>
        <s v="Elegant Boxy Dress"/>
        <s v="Modern Wrap Tee"/>
        <s v="Polished Crew Trousers"/>
        <s v="Modern Ribbed Dress"/>
        <s v="Elegant Linen Shoes"/>
        <s v="Elegant High-Waist Shoes"/>
        <s v="T-Shirts Drop 3"/>
        <s v="Tailored Cotton Shoes"/>
        <s v="Classic Linen Trousers"/>
        <s v="Relaxed Ribbed Set"/>
        <s v="Modern Silk Dress"/>
        <s v="Tailored Linen Tee"/>
        <s v="Essential Boxy Trousers"/>
        <s v="Tailored Sleeveless Tee"/>
        <s v="Modern Boxy Tee"/>
        <s v="Elegant Wrap Dress"/>
        <s v="Bold Ribbed Shoes"/>
        <s v="Essential Silk Shoes"/>
        <s v="Classic High-Waist Set"/>
        <s v="Relaxed Cotton Shoes"/>
        <s v="Vintage Crew Trousers"/>
        <s v="Tailored Sleeveless Set"/>
        <s v="Soft Crew Set"/>
        <s v="Essential Wrap Trousers"/>
        <s v="Soft Satin Tee"/>
        <s v="Classic Boxy Shoes"/>
        <s v="Classic Wrap Tee"/>
        <s v="Polished Crew Shoes"/>
        <s v="Relaxed Cotton Trousers"/>
        <s v="Modern Sleeveless Tee"/>
        <s v="Polished Crew Tee"/>
        <s v="Soft Crew Shoes"/>
        <s v="Soft Boxy Dress"/>
        <s v="Soft Boxy Tee"/>
        <s v="Relaxed Wrap Dress"/>
        <s v="Soft Boxy Shoes"/>
        <s v="Essential Ribbed Tee"/>
        <s v="Classic Ribbed Tee"/>
        <s v="Essential Boxy Set"/>
        <s v="Essential High-Waist Dress"/>
        <s v="Essential Sleeveless Shoes"/>
        <s v="Relaxed Satin Set"/>
        <s v="Classic Crew Dress"/>
        <s v="Relaxed Sleeveless Set"/>
        <s v="Bold Sleeveless Shoes"/>
        <s v="Elegant High-Waist Set"/>
        <s v="Elegant Sleeveless Dress"/>
        <s v="Modern High-Waist Shoes"/>
        <s v="Relaxed Boxy Shoes"/>
        <s v="Classic Linen Shoes"/>
        <s v="Classic Linen Set"/>
        <s v="Classic Silk Shoes"/>
        <s v="Relaxed Satin Tee"/>
        <s v="Polished Wrap Shoes"/>
        <s v="Bold High-Waist Tee"/>
        <s v="Bold Crew Shoes"/>
        <s v="Soft Silk Tee"/>
        <s v="Essential Wrap Shoes"/>
        <s v="Soft Ribbed Set"/>
        <s v="Tailored Linen Trousers"/>
        <s v="Classic Crew Set"/>
        <s v="Soft High-Waist Tee"/>
        <s v="Polished Silk Tee"/>
        <s v="Modern Linen Tee"/>
        <s v="Elegant Linen Tee"/>
        <s v="Essential High-Waist Trousers"/>
        <s v="Bold Sleeveless Set"/>
        <s v="Classic Silk Dress"/>
        <s v="Bold Ribbed Dress"/>
        <s v="Soft High-Waist Trousers"/>
        <s v="Polished Sleeveless Set"/>
        <s v="Soft Wrap Set"/>
        <s v="Modern Linen Set"/>
        <s v="Essential Wrap Dress"/>
        <s v="Elegant Silk Tee"/>
        <s v="Modern Crew Dress"/>
        <s v="Bold Cotton Set"/>
        <s v="Relaxed Silk Set"/>
        <s v="Vintage High-Waist Shoes"/>
        <s v="Polished High-Waist Dress"/>
        <s v="Bold Linen Shoes"/>
        <s v="Vintage Ribbed Dress"/>
        <s v="Sleepwear Drop 1"/>
        <s v="Tailored Linen Set"/>
        <s v="Modern Cotton Trousers"/>
        <s v="Dresses Drop 5"/>
        <s v="Tailored High-Waist Dress"/>
        <s v="Tailored Silk Dress"/>
        <s v="Vintage Boxy Dress"/>
        <s v="Relaxed Ribbed Shoes"/>
        <s v="Tailored Ribbed Tee"/>
        <s v="Relaxed Linen Tee"/>
        <s v="Polished Satin Trousers"/>
        <s v="Elegant Crew Tee"/>
        <s v="Soft Linen Trousers"/>
        <s v="Modern Satin Tee"/>
        <s v="Relaxed Cotton Set"/>
        <s v="Bold Silk Set"/>
        <s v="Relaxed Crew Tee"/>
        <s v="Sleepwear Drop 3"/>
        <s v="Relaxed Ribbed Tee"/>
        <s v="Vintage Silk Tee"/>
        <s v="Elegant Ribbed Tee"/>
        <s v="Vintage Wrap Tee"/>
        <s v="Modern Linen Shoes"/>
        <s v="Bold High-Waist Shoes"/>
        <s v="Bold Wrap Shoes"/>
        <s v="Polished Silk Shoes"/>
        <s v="Polished Linen Dress"/>
        <s v="Polished Boxy Set"/>
        <s v="Polished Cotton Dress"/>
        <s v="Tailored Wrap Shoes"/>
        <s v="Polished Satin Shoes"/>
        <s v="Polished Boxy Trousers"/>
        <s v="Bold Sleeveless Tee"/>
        <s v="Essential Crew Trousers"/>
        <s v="Modern Linen Dress"/>
        <s v="Polished Ribbed Set"/>
        <s v="Tailored Ribbed Trousers"/>
        <s v="Classic Cotton Shoes"/>
        <s v="Vintage Silk Set"/>
        <s v="Vintage Linen Trousers"/>
        <s v="Bold Satin Dress"/>
        <s v="Dresses Drop 6"/>
        <s v="Elegant Satin Set"/>
        <s v="Relaxed Silk Shoes"/>
        <s v="Classic Silk Tee"/>
        <s v="Polished Cotton Tee"/>
        <s v="Relaxed Sleeveless Tee"/>
        <s v="Classic Crew Shoes"/>
        <s v="Tailored Satin Shoes"/>
        <s v="Classic Satin Trousers"/>
        <s v="Tailored Crew Tee"/>
        <s v="Relaxed Sleeveless Trousers"/>
        <s v="Modern Sleeveless Shoes"/>
        <s v="Vintage Linen Tee"/>
        <s v="Soft Silk Dress"/>
        <s v="Vintage Sleeveless Tee"/>
        <s v="Polished Sleeveless Shoes"/>
        <s v="Soft Crew Dress"/>
        <s v="Classic Sleeveless Dress"/>
        <s v="Elegant Cotton Set"/>
        <s v="Vintage Sleeveless Dress"/>
        <s v="Soft Ribbed Dress"/>
        <s v="Essential Sleeveless Dress"/>
        <s v="Modern Ribbed Tee"/>
        <s v="Essential Linen Tee"/>
        <s v="Tailored Crew Shoes"/>
        <s v="Vintage Wrap Trousers"/>
        <s v="Polished High-Waist Shoes"/>
        <s v="Relaxed Boxy Tee"/>
        <s v="Tailored Cotton Dress"/>
        <s v="Tailored Cotton Set"/>
        <s v="Essential Cotton Dress"/>
        <s v="Bold Ribbed Tee"/>
        <s v="Classic Wrap Set"/>
        <s v="Classic Linen Tee"/>
        <s v="Tailored Crew Dress"/>
        <s v="Bold Satin Shoes"/>
        <s v="Tailored Sleeveless Shoes"/>
        <s v="Vintage Cotton Set"/>
        <s v="Tailored High-Waist Shoes"/>
        <s v="Classic Sleeveless Shoes"/>
        <s v="Classic Crew Trousers"/>
        <s v="Essential Ribbed Dress"/>
        <s v="Tailored Silk Tee"/>
        <s v="Vintage High-Waist Tee"/>
        <s v="Classic Silk Trousers"/>
        <s v="Vintage Crew Shoes"/>
        <s v="Elegant Boxy Tee"/>
        <s v="Classic Sleeveless Set"/>
        <s v="Relaxed High-Waist Dress"/>
        <s v="Modern Cotton Set"/>
        <s v="Soft Satin Shoes"/>
        <s v="T-Shirts Drop 1"/>
        <s v="Essential Crew Shoes"/>
        <s v="Classic Satin Tee"/>
        <s v="Soft Linen Shoes"/>
        <s v="Soft Cotton Trousers"/>
        <s v="Modern Crew Shoes"/>
        <s v="Essential Cotton Tee"/>
        <s v="Elegant Sleeveless Tee"/>
        <s v="Tailored Linen Shoes"/>
        <s v="Polished Linen Set"/>
        <s v="Essential Ribbed Shoes"/>
        <s v="Bold Boxy Shoes"/>
        <s v="Classic Boxy Trousers"/>
        <s v="Tailored Cotton Trousers"/>
        <s v="Classic Boxy Dress"/>
        <s v="Modern Silk Trousers"/>
        <s v="Bold Sleeveless Dress"/>
        <s v="Modern High-Waist Tee"/>
        <s v="Bold Silk Shoes"/>
        <s v="Vintage Sleeveless Shoes"/>
        <s v="Bold Wrap Dress"/>
        <s v="Relaxed Wrap Shoes"/>
        <s v="Tailored Satin Set"/>
        <s v="Polished Crew Set"/>
        <s v="Polished Linen Trousers"/>
        <s v="Soft High-Waist Shoes"/>
        <s v="Tailored High-Waist Set"/>
        <s v="Dresses Drop 9"/>
        <s v="Soft Boxy Trousers"/>
        <s v="Polished Wrap Tee"/>
        <s v="Vintage Sleeveless Trousers"/>
        <s v="Polished Satin Set"/>
        <s v="Bold Linen Dress"/>
        <s v="Relaxed Wrap Tee"/>
        <s v="Soft Wrap Trousers"/>
        <s v="Dresses Drop 7"/>
        <s v="Classic Sleeveless Trousers"/>
        <s v="Bold Wrap Set"/>
        <s v="Relaxed Crew Set"/>
        <s v="Polished Boxy Dress"/>
        <s v="Elegant Crew Set"/>
        <s v="Soft Silk Set"/>
        <s v="Elegant Ribbed Set"/>
        <s v="Tailored Boxy Dress"/>
        <s v="Modern Silk Set"/>
        <s v="Essential Boxy Shoes"/>
        <s v="Classic High-Waist Tee"/>
        <s v="Essential Ribbed Set"/>
        <s v="Vintage Linen Set"/>
        <s v="Vintage Boxy Trousers"/>
        <s v="Polished Ribbed Shoes"/>
        <s v="Classic Cotton Dress"/>
        <s v="Bold Silk Tee"/>
        <s v="Classic Ribbed Dress"/>
        <s v="Elegant Crew Shoes"/>
        <s v="Modern Cotton Shoes"/>
        <s v="Modern Silk Shoes"/>
        <s v="Bold Crew Tee"/>
        <s v="Relaxed Sleeveless Shoes"/>
        <s v="Modern Crew Set"/>
        <s v="Bold Crew Dress"/>
        <s v="Elegant Cotton Dress"/>
        <s v="Elegant Boxy Shoes"/>
        <s v="Polished Wrap Dress"/>
        <s v="Soft Sleeveless Trousers"/>
        <s v="Polished Ribbed Trousers"/>
        <s v="Modern Satin Set"/>
        <s v="Essential Silk Trousers"/>
        <s v="Modern Ribbed Set"/>
        <s v="Relaxed Satin Dress"/>
        <s v="Essential Sleeveless Trousers"/>
        <s v="Polished Silk Set"/>
        <s v="Soft Satin Trousers"/>
        <s v="Tailored Wrap Dress"/>
        <s v="Soft Sleeveless Dress"/>
        <s v="Vintage Linen Dress"/>
        <s v="Bold Satin Tee"/>
        <s v="Vintage Ribbed Set"/>
        <s v="Modern Boxy Set"/>
        <s v="Polished Ribbed Dress"/>
        <s v="Soft Cotton Set"/>
        <s v="Modern Boxy Trousers"/>
        <s v="Essential Silk Dress"/>
        <s v="Essential Wrap Set"/>
        <s v="Bold Ribbed Set"/>
        <s v="Vintage High-Waist Dress"/>
        <s v="Soft Cotton Dress"/>
        <s v="Classic Ribbed Shoes"/>
        <s v="Tailored Ribbed Dress"/>
        <s v="Soft Satin Set"/>
        <s v="Vintage Satin Trousers"/>
        <s v="T-Shirts Drop 6"/>
        <s v="Polished Crew Dress"/>
        <s v="Soft Sleeveless Set"/>
        <s v="Modern Cotton Tee"/>
        <s v="Vintage Wrap Shoes"/>
        <s v="Vintage Satin Set"/>
        <s v="Soft Wrap Tee"/>
        <s v="Vintage Wrap Set"/>
        <s v="Bold Silk Dress"/>
        <s v="Essential Boxy Dress"/>
        <s v="Essential Linen Set"/>
        <s v="Soft Wrap Shoes"/>
        <s v="Vintage Boxy Tee"/>
        <s v="Elegant Wrap Tee"/>
        <s v="Vintage Satin Dress"/>
        <s v="Tailored Crew Set"/>
        <s v="Vintage Satin Shoes"/>
        <s v="Modern Wrap Trousers"/>
        <s v="Relaxed Silk Dress"/>
        <s v="Dresses Drop 1"/>
        <s v="Essential Satin Trousers"/>
        <s v="Polished Silk Dress"/>
        <s v="Essential Ribbed Trousers"/>
        <s v="Tailored Wrap Tee"/>
        <s v="Classic Silk Set"/>
        <s v="Classic Satin Shoes"/>
        <s v="Soft Cotton Tee"/>
        <s v="Essential Sleeveless Set"/>
        <s v="Relaxed Wrap Trousers"/>
        <s v="Polished Satin Dress"/>
        <s v="Modern Sleeveless Trousers"/>
        <s v="Tailored Satin Trousers"/>
        <s v="Tailored Silk Set"/>
        <s v="Modern Ribbed Shoes"/>
        <s v="Dresses Drop 2"/>
        <s v="Soft Linen Dress"/>
        <s v="Tailored Sleeveless Trousers"/>
        <s v="Vintage High-Waist Trousers"/>
        <s v="Polished Ribbed Tee"/>
        <s v="Vintage Wrap Dress"/>
        <s v="Vintage Crew Dress"/>
        <s v="Vintage Ribbed Tee"/>
        <s v="Tailored High-Waist Trousers"/>
        <s v="Soft Sleeveless Tee"/>
        <s v="Classic Wrap Trousers"/>
        <s v="Relaxed Satin Trousers"/>
        <s v="Soft Boxy Set"/>
        <s v="Classic Sleeveless Tee"/>
        <s v="Vintage Linen Shoes"/>
        <s v="Polished Wrap Set"/>
        <s v="Bold Linen Tee"/>
        <s v="Classic Linen Dress"/>
        <s v="Polished High-Waist Trousers"/>
        <s v="Elegant High-Waist Dress"/>
        <s v="Soft Satin Dress"/>
        <s v="Essential Cotton Set"/>
        <s v="Soft Sleeveless Shoes"/>
        <s v="Elegant Sleeveless Set"/>
        <s v="Modern Satin Dress"/>
        <s v="Polished Boxy Shoes"/>
        <s v="Vintage Cotton Tee"/>
        <s v="Classic Ribbed Set"/>
        <s v="Polished Satin Tee"/>
        <s v="Essential Linen Dress"/>
        <s v="Vintage Crew Set"/>
        <s v="Elegant Ribbed Shoes"/>
        <s v="Soft High-Waist Set"/>
        <s v="Relaxed Boxy Dress"/>
        <s v="Bold Satin Set"/>
        <s v="Classic Cotton Trousers"/>
        <s v="Vintage High-Waist Set"/>
        <s v="Relaxed Cotton Tee"/>
        <s v="Modern Linen Trousers"/>
        <s v="Vintage Silk Dress"/>
        <s v="Relaxed Silk Trousers"/>
        <s v="Essential High-Waist Tee"/>
        <s v="Essential Wrap Tee"/>
        <s v="Classic Crew Tee"/>
        <s v="Vintage Satin Tee"/>
        <s v="Soft Linen Set"/>
        <s v="Essential Satin Dress"/>
        <s v="Polished Cotton Shoes"/>
        <s v="Essential Satin Tee"/>
        <s v="Bold Wrap Tee"/>
        <s v="Relaxed Boxy Set"/>
        <s v="Soft High-Waist Dress"/>
        <s v="Modern Wrap Set"/>
        <s v="Relaxed Sleeveless Dress"/>
        <s v="Classic Satin Set"/>
        <s v="Dresses Drop 3"/>
        <s v="Vintage Cotton Dress"/>
        <s v="Bold Cotton Tee"/>
        <s v="Elegant Silk Shoes"/>
        <s v="T-Shirts Drop 8"/>
        <s v="Polished High-Waist Set"/>
        <s v="Classic Satin Dress"/>
        <s v="Elegant High-Waist Tee"/>
        <s v="Tailored Crew Trousers"/>
        <s v="Classic Cotton Tee"/>
        <s v="Classic Boxy Tee"/>
        <s v="Tailored Satin Dress"/>
        <s v="Dresses Drop 8"/>
        <s v="Modern Sleeveless Dress"/>
        <s v="Soft Ribbed Shoes"/>
        <s v="Polished Silk Trousers"/>
        <s v="Elegant Silk Dress"/>
        <s v="Tailored Silk Trousers"/>
        <s v="Tailored Satin Tee"/>
        <s v="Classic High-Waist Trousers"/>
        <s v="Tailored Ribbed Set"/>
        <s v="Tailored Cotton Tee"/>
        <s v="Relaxed Linen Trousers"/>
        <s v="Essential Crew Set"/>
        <s v="Modern Silk Tee"/>
        <s v="Soft Linen Tee"/>
        <s v="Polished Cotton Set"/>
        <s v="Relaxed Boxy Trousers"/>
        <s v="Relaxed Cotton Dress"/>
        <s v="Vintage Crew Tee"/>
        <s v="Soft Ribbed Trousers"/>
        <s v="Relaxed Crew Dress"/>
        <s v="Essential Linen Shoes"/>
        <s v="Polished Linen Tee"/>
        <s v="Classic Wrap Shoes"/>
        <s v="Essential High-Waist Set"/>
        <s v="Relaxed Ribbed Trousers"/>
        <s v="Modern Cotton Dress"/>
        <s v="Vintage Silk Shoes"/>
        <s v="Relaxed Silk Tee"/>
        <s v="Relaxed Satin Shoes"/>
        <s v="Essential Sleeveless Tee"/>
        <s v="Polished Sleeveless Trousers"/>
        <s v="Essential High-Waist Shoes"/>
        <s v="Relaxed Ribbed Dress"/>
        <s v="Relaxed Linen Shoes"/>
        <s v="Tailored Sleeveless Dress"/>
        <s v="Bold Cotton Dress"/>
        <s v="Classic Ribbed Trousers"/>
        <s v="Bold Boxy Tee"/>
        <s v="Vintage Boxy Shoes"/>
        <s v="Tailored Boxy Shoes"/>
        <s v="Polished Cotton Trousers"/>
        <s v="Vintage Boxy Set"/>
        <s v="Tailored Boxy Set"/>
        <s v="T-Shirts Drop 7"/>
        <s v="Vintage Cotton Trousers"/>
        <s v="Relaxed Linen Set"/>
        <s v="Soft Crew Trousers"/>
        <s v="Elegant Crew Dress"/>
        <s v="Classic High-Waist Shoes"/>
        <s v="Dresses Drop 4"/>
        <s v="Modern Satin Shoes"/>
        <s v="T-Shirts Drop 5"/>
        <s v="Elegant Silk Set"/>
        <s v="Elegant Linen Dress"/>
        <s v="Soft Wrap Dress"/>
        <s v="Essential Silk Tee"/>
        <s v="Polished Boxy Tee"/>
        <s v="Bold Crew Set"/>
        <s v="Essential Satin Set"/>
        <s v="Soft Cotton Shoes"/>
        <s v="Relaxed Wrap Set"/>
        <s v="Essential Silk Set"/>
        <s v="Sleepwear Drop 4"/>
        <s v="Bold High-Waist Set"/>
        <s v="Polished High-Waist Tee"/>
        <s v="Classic Wrap Dress"/>
        <s v="Classic Boxy Set"/>
        <s v="Tailored Linen Dress"/>
        <s v="Modern Wrap Dress"/>
        <s v="Modern Sleeveless Set"/>
        <s v="Soft Ribbed Tee"/>
        <s v="Essential Satin Shoes"/>
        <s v="Classic High-Waist Dress"/>
        <s v="Elegant Boxy Set"/>
        <s v="Elegant Wrap Set"/>
        <s v="Vintage Ribbed Shoes"/>
        <s v="Modern Crew Trousers"/>
        <s v="Tailored Ribbed Shoes"/>
        <s v="Vintage Cotton Shoes"/>
        <s v="Relaxed High-Waist Shoes"/>
        <s v="Essential Boxy Tee"/>
        <s v="Polished Sleeveless Dress"/>
        <s v="Elegant Satin Tee"/>
        <s v="Bold Linen Set"/>
        <s v="Vintage Ribbed Trousers"/>
        <s v="Elegant Ribbed Dress"/>
        <s v="Modern High-Waist Dress"/>
        <s v="Relaxed Crew Trousers"/>
        <s v="Polished Sleeveless Tee"/>
        <s v="Elegant Cotton Shoes"/>
        <s v="Tailored High-Waist Tee"/>
        <s v="Soft Silk Shoes"/>
      </sharedItems>
    </cacheField>
    <cacheField name="category" numFmtId="0">
      <sharedItems count="5">
        <s v="Dresses"/>
        <s v="Shoes"/>
        <s v="Pants"/>
        <s v="Sleepwear"/>
        <s v="T-Shirts"/>
      </sharedItems>
    </cacheField>
    <cacheField name="product_name_2" numFmtId="0">
      <sharedItems count="499">
        <s v="Elegant Satin Dress"/>
        <s v="Essential Cotton Shoes"/>
        <s v="Modern Ribbed Trousers"/>
        <s v="Modern Boxy Shoes"/>
        <s v="Relaxed Crew Shoes"/>
        <s v="Elegant Satin Shoes"/>
        <s v="Elegant Wrap Shoes"/>
        <s v="Relaxed Linen Dress"/>
        <s v="Bold High-Waist Dress"/>
        <s v="Modern High-Waist Trousers"/>
        <s v="Tailored Silk Shoes"/>
        <s v="Essential Crew Dress"/>
        <s v="Elegant Sleeveless Shoes"/>
        <s v="Tailored Wrap Set"/>
        <s v="Elegant Linen Set"/>
        <s v="Essential Cotton Trousers"/>
        <s v="Bold Boxy Dress"/>
        <s v="Soft Silk Trousers"/>
        <s v="Relaxed High-Waist Trousers"/>
        <s v="Tailored Boxy Tee"/>
        <s v="Bold Cotton Shoes"/>
        <s v="T-Shirts Drop 4"/>
        <s v="Sleepwear Drop 2"/>
        <s v="Modern Crew Tee"/>
        <s v="Polished Wrap Trousers"/>
        <s v="Essential Crew Tee"/>
        <s v="Polished Linen Shoes"/>
        <s v="Classic Cotton Set"/>
        <s v="T-Shirts Drop 2"/>
        <s v="Modern Boxy Dress"/>
        <s v="Tailored Wrap Trousers"/>
        <s v="Relaxed High-Waist Tee"/>
        <s v="Vintage Sleeveless Set"/>
        <s v="Elegant Cotton Tee"/>
        <s v="Essential Linen Trousers"/>
        <s v="Modern Satin Trousers"/>
        <s v="Vintage Silk Trousers"/>
        <s v="Modern Wrap Shoes"/>
        <s v="Soft Crew Tee"/>
        <s v="Relaxed High-Waist Set"/>
        <s v="Modern High-Waist Set"/>
        <s v="Elegant Boxy Dress"/>
        <s v="Modern Wrap Tee"/>
        <s v="Polished Crew Trousers"/>
        <s v="Modern Ribbed Dress"/>
        <s v="Elegant Linen Shoes"/>
        <s v="Elegant High-Waist Shoes"/>
        <s v="T-Shirts Drop 3"/>
        <s v="Tailored Cotton Shoes"/>
        <s v="Classic Linen Trousers"/>
        <s v="Relaxed Ribbed Set"/>
        <s v="Modern Silk Dress"/>
        <s v="Tailored Linen Tee"/>
        <s v="Essential Boxy Trousers"/>
        <s v="Tailored Sleeveless Tee"/>
        <s v="Modern Boxy Tee"/>
        <s v="Elegant Wrap Dress"/>
        <s v="Bold Ribbed Shoes"/>
        <s v="Essential Silk Shoes"/>
        <s v="Classic High-Waist Set"/>
        <s v="Relaxed Cotton Shoes"/>
        <s v="Vintage Crew Trousers"/>
        <s v="Tailored Sleeveless Set"/>
        <s v="Soft Crew Set"/>
        <s v="Essential Wrap Trousers"/>
        <s v="Soft Satin Tee"/>
        <s v="Classic Boxy Shoes"/>
        <s v="Classic Wrap Tee"/>
        <s v="Polished Crew Shoes"/>
        <s v="Relaxed Cotton Trousers"/>
        <s v="Modern Sleeveless Tee"/>
        <s v="Polished Crew Tee"/>
        <s v="Soft Crew Shoes"/>
        <s v="Soft Boxy Dress"/>
        <s v="Soft Boxy Tee"/>
        <s v="Relaxed Wrap Dress"/>
        <s v="Soft Boxy Shoes"/>
        <s v="Essential Ribbed Tee"/>
        <s v="Classic Ribbed Tee"/>
        <s v="Essential Boxy Set"/>
        <s v="Essential High-Waist Dress"/>
        <s v="Essential Sleeveless Shoes"/>
        <s v="Relaxed Satin Set"/>
        <s v="Classic Crew Dress"/>
        <s v="Relaxed Sleeveless Set"/>
        <s v="Bold Sleeveless Shoes"/>
        <s v="Elegant High-Waist Set"/>
        <s v="Elegant Sleeveless Dress"/>
        <s v="Modern High-Waist Shoes"/>
        <s v="Relaxed Boxy Shoes"/>
        <s v="Classic Linen Shoes"/>
        <s v="Classic Linen Set"/>
        <s v="Classic Silk Shoes"/>
        <s v="Relaxed Satin Tee"/>
        <s v="Polished Wrap Shoes"/>
        <s v="Bold High-Waist Tee"/>
        <s v="Bold Crew Shoes"/>
        <s v="Soft Silk Tee"/>
        <s v="Essential Wrap Shoes"/>
        <s v="Soft Ribbed Set"/>
        <s v="Tailored Linen Trousers"/>
        <s v="Classic Crew Set"/>
        <s v="Soft High-Waist Tee"/>
        <s v="Polished Silk Tee"/>
        <s v="Modern Linen Tee"/>
        <s v="Elegant Linen Tee"/>
        <s v="Essential High-Waist Trousers"/>
        <s v="Bold Sleeveless Set"/>
        <s v="Classic Silk Dress"/>
        <s v="Bold Ribbed Dress"/>
        <s v="Soft High-Waist Trousers"/>
        <s v="Polished Sleeveless Set"/>
        <s v="Soft Wrap Set"/>
        <s v="Modern Linen Set"/>
        <s v="Essential Wrap Dress"/>
        <s v="Elegant Silk Tee"/>
        <s v="Modern Crew Dress"/>
        <s v="Bold Cotton Set"/>
        <s v="Relaxed Silk Set"/>
        <s v="Vintage High-Waist Shoes"/>
        <s v="Polished High-Waist Dress"/>
        <s v="Bold Linen Shoes"/>
        <s v="Vintage Ribbed Dress"/>
        <s v="Sleepwear Drop 1"/>
        <s v="Tailored Linen Set"/>
        <s v="Modern Cotton Trousers"/>
        <s v="Dresses Drop 5"/>
        <s v="Tailored High-Waist Dress"/>
        <s v="Tailored Silk Dress"/>
        <s v="Vintage Boxy Dress"/>
        <s v="Relaxed Ribbed Shoes"/>
        <s v="Tailored Ribbed Tee"/>
        <s v="Relaxed Linen Tee"/>
        <s v="Polished Satin Trousers"/>
        <s v="Elegant Crew Tee"/>
        <s v="Soft Linen Trousers"/>
        <s v="Modern Satin Tee"/>
        <s v="Relaxed Cotton Set"/>
        <s v="Bold Silk Set"/>
        <s v="Relaxed Crew Tee"/>
        <s v="Sleepwear Drop 3"/>
        <s v="Relaxed Ribbed Tee"/>
        <s v="Vintage Silk Tee"/>
        <s v="Elegant Ribbed Tee"/>
        <s v="Vintage Wrap Tee"/>
        <s v="Modern Linen Shoes"/>
        <s v="Bold High-Waist Shoes"/>
        <s v="Bold Wrap Shoes"/>
        <s v="Polished Silk Shoes"/>
        <s v="Polished Linen Dress"/>
        <s v="Polished Boxy Set"/>
        <s v="Polished Cotton Dress"/>
        <s v="Tailored Wrap Shoes"/>
        <s v="Polished Satin Shoes"/>
        <s v="Polished Boxy Trousers"/>
        <s v="Bold Sleeveless Tee"/>
        <s v="Essential Crew Trousers"/>
        <s v="Modern Linen Dress"/>
        <s v="Polished Ribbed Set"/>
        <s v="Tailored Ribbed Trousers"/>
        <s v="Classic Cotton Shoes"/>
        <s v="Vintage Silk Set"/>
        <s v="Vintage Linen Trousers"/>
        <s v="Bold Satin Dress"/>
        <s v="Dresses Drop 6"/>
        <s v="Elegant Satin Set"/>
        <s v="Relaxed Silk Shoes"/>
        <s v="Classic Silk Tee"/>
        <s v="Polished Cotton Tee"/>
        <s v="Relaxed Sleeveless Tee"/>
        <s v="Classic Crew Shoes"/>
        <s v="Tailored Satin Shoes"/>
        <s v="Classic Satin Trousers"/>
        <s v="Tailored Crew Tee"/>
        <s v="Relaxed Sleeveless Trousers"/>
        <s v="Modern Sleeveless Shoes"/>
        <s v="Vintage Linen Tee"/>
        <s v="Soft Silk Dress"/>
        <s v="Vintage Sleeveless Tee"/>
        <s v="Polished Sleeveless Shoes"/>
        <s v="Soft Crew Dress"/>
        <s v="Classic Sleeveless Dress"/>
        <s v="Elegant Cotton Set"/>
        <s v="Vintage Sleeveless Dress"/>
        <s v="Soft Ribbed Dress"/>
        <s v="Essential Sleeveless Dress"/>
        <s v="Modern Ribbed Tee"/>
        <s v="Essential Linen Tee"/>
        <s v="Tailored Crew Shoes"/>
        <s v="Vintage Wrap Trousers"/>
        <s v="Polished High-Waist Shoes"/>
        <s v="Relaxed Boxy Tee"/>
        <s v="Tailored Cotton Dress"/>
        <s v="Tailored Cotton Set"/>
        <s v="Essential Cotton Dress"/>
        <s v="Bold Ribbed Tee"/>
        <s v="Classic Wrap Set"/>
        <s v="Classic Linen Tee"/>
        <s v="Tailored Crew Dress"/>
        <s v="Bold Satin Shoes"/>
        <s v="Tailored Sleeveless Shoes"/>
        <s v="Vintage Cotton Set"/>
        <s v="Tailored High-Waist Shoes"/>
        <s v="Classic Sleeveless Shoes"/>
        <s v="Classic Crew Trousers"/>
        <s v="Essential Ribbed Dress"/>
        <s v="Tailored Silk Tee"/>
        <s v="Vintage High-Waist Tee"/>
        <s v="Classic Silk Trousers"/>
        <s v="Vintage Crew Shoes"/>
        <s v="Elegant Boxy Tee"/>
        <s v="Classic Sleeveless Set"/>
        <s v="Relaxed High-Waist Dress"/>
        <s v="Modern Cotton Set"/>
        <s v="Soft Satin Shoes"/>
        <s v="T-Shirts Drop 1"/>
        <s v="Essential Crew Shoes"/>
        <s v="Classic Satin Tee"/>
        <s v="Soft Linen Shoes"/>
        <s v="Soft Cotton Trousers"/>
        <s v="Modern Crew Shoes"/>
        <s v="Essential Cotton Tee"/>
        <s v="Elegant Sleeveless Tee"/>
        <s v="Tailored Linen Shoes"/>
        <s v="Polished Linen Set"/>
        <s v="Essential Ribbed Shoes"/>
        <s v="Bold Boxy Shoes"/>
        <s v="Classic Boxy Trousers"/>
        <s v="Tailored Cotton Trousers"/>
        <s v="Classic Boxy Dress"/>
        <s v="Modern Silk Trousers"/>
        <s v="Bold Sleeveless Dress"/>
        <s v="Modern High-Waist Tee"/>
        <s v="Bold Silk Shoes"/>
        <s v="Vintage Sleeveless Shoes"/>
        <s v="Bold Wrap Dress"/>
        <s v="Relaxed Wrap Shoes"/>
        <s v="Tailored Satin Set"/>
        <s v="Polished Crew Set"/>
        <s v="Polished Linen Trousers"/>
        <s v="Soft High-Waist Shoes"/>
        <s v="Tailored High-Waist Set"/>
        <s v="Dresses Drop 9"/>
        <s v="Soft Boxy Trousers"/>
        <s v="Polished Wrap Tee"/>
        <s v="Vintage Sleeveless Trousers"/>
        <s v="Polished Satin Set"/>
        <s v="Bold Linen Dress"/>
        <s v="Relaxed Wrap Tee"/>
        <s v="Soft Wrap Trousers"/>
        <s v="Dresses Drop 7"/>
        <s v="Classic Sleeveless Trousers"/>
        <s v="Bold Wrap Set"/>
        <s v="Relaxed Crew Set"/>
        <s v="Polished Boxy Dress"/>
        <s v="Elegant Crew Set"/>
        <s v="Soft Silk Set"/>
        <s v="Elegant Ribbed Set"/>
        <s v="Tailored Boxy Dress"/>
        <s v="Modern Silk Set"/>
        <s v="Essential Boxy Shoes"/>
        <s v="Classic High-Waist Tee"/>
        <s v="Essential Ribbed Set"/>
        <s v="Vintage Linen Set"/>
        <s v="Vintage Boxy Trousers"/>
        <s v="Polished Ribbed Shoes"/>
        <s v="Classic Cotton Dress"/>
        <s v="Bold Silk Tee"/>
        <s v="Classic Ribbed Dress"/>
        <s v="Elegant Crew Shoes"/>
        <s v="Modern Cotton Shoes"/>
        <s v="Modern Silk Shoes"/>
        <s v="Bold Crew Tee"/>
        <s v="Relaxed Sleeveless Shoes"/>
        <s v="Modern Crew Set"/>
        <s v="Bold Crew Dress"/>
        <s v="Elegant Cotton Dress"/>
        <s v="Elegant Boxy Shoes"/>
        <s v="Polished Wrap Dress"/>
        <s v="Soft Sleeveless Trousers"/>
        <s v="Polished Ribbed Trousers"/>
        <s v="Modern Satin Set"/>
        <s v="Essential Silk Trousers"/>
        <s v="Modern Ribbed Set"/>
        <s v="Relaxed Satin Dress"/>
        <s v="Essential Sleeveless Trousers"/>
        <s v="Polished Silk Set"/>
        <s v="Soft Satin Trousers"/>
        <s v="Tailored Wrap Dress"/>
        <s v="Soft Sleeveless Dress"/>
        <s v="Vintage Linen Dress"/>
        <s v="Bold Satin Tee"/>
        <s v="Vintage Ribbed Set"/>
        <s v="Modern Boxy Set"/>
        <s v="Polished Ribbed Dress"/>
        <s v="Soft Cotton Set"/>
        <s v="Modern Boxy Trousers"/>
        <s v="Essential Silk Dress"/>
        <s v="Essential Wrap Set"/>
        <s v="Bold Ribbed Set"/>
        <s v="Vintage High-Waist Dress"/>
        <s v="Soft Cotton Dress"/>
        <s v="Classic Ribbed Shoes"/>
        <s v="Tailored Ribbed Dress"/>
        <s v="Soft Satin Set"/>
        <s v="Vintage Satin Trousers"/>
        <s v="T-Shirts Drop 6"/>
        <s v="Polished Crew Dress"/>
        <s v="Soft Sleeveless Set"/>
        <s v="Modern Cotton Tee"/>
        <s v="Vintage Wrap Shoes"/>
        <s v="Vintage Satin Set"/>
        <s v="Soft Wrap Tee"/>
        <s v="Vintage Wrap Set"/>
        <s v="Bold Silk Dress"/>
        <s v="Essential Boxy Dress"/>
        <s v="Essential Linen Set"/>
        <s v="Soft Wrap Shoes"/>
        <s v="Vintage Boxy Tee"/>
        <s v="Elegant Wrap Tee"/>
        <s v="Vintage Satin Dress"/>
        <s v="Tailored Crew Set"/>
        <s v="Vintage Satin Shoes"/>
        <s v="Modern Wrap Trousers"/>
        <s v="Relaxed Silk Dress"/>
        <s v="Dresses Drop 1"/>
        <s v="Essential Satin Trousers"/>
        <s v="Polished Silk Dress"/>
        <s v="Essential Ribbed Trousers"/>
        <s v="Tailored Wrap Tee"/>
        <s v="Classic Silk Set"/>
        <s v="Classic Satin Shoes"/>
        <s v="Soft Cotton Tee"/>
        <s v="Essential Sleeveless Set"/>
        <s v="Relaxed Wrap Trousers"/>
        <s v="Polished Satin Dress"/>
        <s v="Modern Sleeveless Trousers"/>
        <s v="Tailored Satin Trousers"/>
        <s v="Tailored Silk Set"/>
        <s v="Modern Ribbed Shoes"/>
        <s v="Dresses Drop 2"/>
        <s v="Soft Linen Dress"/>
        <s v="Tailored Sleeveless Trousers"/>
        <s v="Vintage High-Waist Trousers"/>
        <s v="Polished Ribbed Tee"/>
        <s v="Vintage Wrap Dress"/>
        <s v="Vintage Crew Dress"/>
        <s v="Vintage Ribbed Tee"/>
        <s v="Tailored High-Waist Trousers"/>
        <s v="Soft Sleeveless Tee"/>
        <s v="Classic Wrap Trousers"/>
        <s v="Relaxed Satin Trousers"/>
        <s v="Soft Boxy Set"/>
        <s v="Classic Sleeveless Tee"/>
        <s v="Vintage Linen Shoes"/>
        <s v="Polished Wrap Set"/>
        <s v="Bold Linen Tee"/>
        <s v="Classic Linen Dress"/>
        <s v="Polished High-Waist Trousers"/>
        <s v="Elegant High-Waist Dress"/>
        <s v="Soft Satin Dress"/>
        <s v="Essential Cotton Set"/>
        <s v="Soft Sleeveless Shoes"/>
        <s v="Elegant Sleeveless Set"/>
        <s v="Modern Satin Dress"/>
        <s v="Polished Boxy Shoes"/>
        <s v="Vintage Cotton Tee"/>
        <s v="Classic Ribbed Set"/>
        <s v="Polished Satin Tee"/>
        <s v="Essential Linen Dress"/>
        <s v="Vintage Crew Set"/>
        <s v="Elegant Ribbed Shoes"/>
        <s v="Soft High-Waist Set"/>
        <s v="Relaxed Boxy Dress"/>
        <s v="Bold Satin Set"/>
        <s v="Classic Cotton Trousers"/>
        <s v="Vintage High-Waist Set"/>
        <s v="Relaxed Cotton Tee"/>
        <s v="Modern Linen Trousers"/>
        <s v="Vintage Silk Dress"/>
        <s v="Relaxed Silk Trousers"/>
        <s v="Essential High-Waist Tee"/>
        <s v="Essential Wrap Tee"/>
        <s v="Classic Crew Tee"/>
        <s v="Vintage Satin Tee"/>
        <s v="Soft Linen Set"/>
        <s v="Essential Satin Dress"/>
        <s v="Polished Cotton Shoes"/>
        <s v="Essential Satin Tee"/>
        <s v="Bold Wrap Tee"/>
        <s v="Relaxed Boxy Set"/>
        <s v="Soft High-Waist Dress"/>
        <s v="Modern Wrap Set"/>
        <s v="Relaxed Sleeveless Dress"/>
        <s v="Classic Satin Set"/>
        <s v="Dresses Drop 3"/>
        <s v="Vintage Cotton Dress"/>
        <s v="Bold Cotton Tee"/>
        <s v="Elegant Silk Shoes"/>
        <s v="T-Shirts Drop 8"/>
        <s v="Polished High-Waist Set"/>
        <s v="Classic Satin Dress"/>
        <s v="Elegant High-Waist Tee"/>
        <s v="Tailored Crew Trousers"/>
        <s v="Classic Cotton Tee"/>
        <s v="Classic Boxy Tee"/>
        <s v="Tailored Satin Dress"/>
        <s v="Dresses Drop 8"/>
        <s v="Modern Sleeveless Dress"/>
        <s v="Soft Ribbed Shoes"/>
        <s v="Polished Silk Trousers"/>
        <s v="Elegant Silk Dress"/>
        <s v="Tailored Silk Trousers"/>
        <s v="Tailored Satin Tee"/>
        <s v="Classic High-Waist Trousers"/>
        <s v="Tailored Ribbed Set"/>
        <s v="Tailored Cotton Tee"/>
        <s v="Relaxed Linen Trousers"/>
        <s v="Essential Crew Set"/>
        <s v="Modern Silk Tee"/>
        <s v="Soft Linen Tee"/>
        <s v="Polished Cotton Set"/>
        <s v="Relaxed Boxy Trousers"/>
        <s v="Relaxed Cotton Dress"/>
        <s v="Vintage Crew Tee"/>
        <s v="Soft Ribbed Trousers"/>
        <s v="Relaxed Crew Dress"/>
        <s v="Essential Linen Shoes"/>
        <s v="Polished Linen Tee"/>
        <s v="Classic Wrap Shoes"/>
        <s v="Essential High-Waist Set"/>
        <s v="Relaxed Ribbed Trousers"/>
        <s v="Modern Cotton Dress"/>
        <s v="Vintage Silk Shoes"/>
        <s v="Relaxed Silk Tee"/>
        <s v="Relaxed Satin Shoes"/>
        <s v="Essential Sleeveless Tee"/>
        <s v="Polished Sleeveless Trousers"/>
        <s v="Essential High-Waist Shoes"/>
        <s v="Relaxed Ribbed Dress"/>
        <s v="Relaxed Linen Shoes"/>
        <s v="Tailored Sleeveless Dress"/>
        <s v="Bold Cotton Dress"/>
        <s v="Classic Ribbed Trousers"/>
        <s v="Bold Boxy Tee"/>
        <s v="Vintage Boxy Shoes"/>
        <s v="Tailored Boxy Shoes"/>
        <s v="Polished Cotton Trousers"/>
        <s v="Vintage Boxy Set"/>
        <s v="Tailored Boxy Set"/>
        <s v="T-Shirts Drop 7"/>
        <s v="Vintage Cotton Trousers"/>
        <s v="Relaxed Linen Set"/>
        <s v="Soft Crew Trousers"/>
        <s v="Elegant Crew Dress"/>
        <s v="Classic High-Waist Shoes"/>
        <s v="Dresses Drop 4"/>
        <s v="Modern Satin Shoes"/>
        <s v="T-Shirts Drop 5"/>
        <s v="Elegant Silk Set"/>
        <s v="Elegant Linen Dress"/>
        <s v="Soft Wrap Dress"/>
        <s v="Essential Silk Tee"/>
        <s v="Polished Boxy Tee"/>
        <s v="Bold Crew Set"/>
        <s v="Essential Satin Set"/>
        <s v="Soft Cotton Shoes"/>
        <s v="Relaxed Wrap Set"/>
        <s v="Essential Silk Set"/>
        <s v="Sleepwear Drop 4"/>
        <s v="Bold High-Waist Set"/>
        <s v="Polished High-Waist Tee"/>
        <s v="Classic Wrap Dress"/>
        <s v="Classic Boxy Set"/>
        <s v="Tailored Linen Dress"/>
        <s v="Modern Wrap Dress"/>
        <s v="Modern Sleeveless Set"/>
        <s v="Soft Ribbed Tee"/>
        <s v="Essential Satin Shoes"/>
        <s v="Classic High-Waist Dress"/>
        <s v="Elegant Boxy Set"/>
        <s v="Elegant Wrap Set"/>
        <s v="Vintage Ribbed Shoes"/>
        <s v="Modern Crew Trousers"/>
        <s v="Tailored Ribbed Shoes"/>
        <s v="Vintage Cotton Shoes"/>
        <s v="Relaxed High-Waist Shoes"/>
        <s v="Essential Boxy Tee"/>
        <s v="Polished Sleeveless Dress"/>
        <s v="Elegant Satin Tee"/>
        <s v="Bold Linen Set"/>
        <s v="Vintage Ribbed Trousers"/>
        <s v="Elegant Ribbed Dress"/>
        <s v="Modern High-Waist Dress"/>
        <s v="Relaxed Crew Trousers"/>
        <s v="Polished Sleeveless Tee"/>
        <s v="Elegant Cotton Shoes"/>
        <s v="Tailored High-Waist Tee"/>
        <s v="Soft Silk Shoes"/>
      </sharedItems>
    </cacheField>
    <cacheField name="Days (sale_date)" numFmtId="0" databaseField="0">
      <fieldGroup base="10">
        <rangePr groupBy="days" startDate="2025-04-04T00:00:00" endDate="2025-06-18T00:00:00"/>
        <groupItems count="368">
          <s v="&lt;4/4/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18/2025"/>
        </groupItems>
      </fieldGroup>
    </cacheField>
    <cacheField name="Months (sale_date)" numFmtId="0" databaseField="0">
      <fieldGroup base="10">
        <rangePr groupBy="months" startDate="2025-04-04T00:00:00" endDate="2025-06-18T00:00:00"/>
        <groupItems count="14">
          <s v="&lt;4/4/2025"/>
          <s v="Jan"/>
          <s v="Feb"/>
          <s v="Mar"/>
          <s v="Apr"/>
          <s v="May"/>
          <s v="Jun"/>
          <s v="Jul"/>
          <s v="Aug"/>
          <s v="Sep"/>
          <s v="Oct"/>
          <s v="Nov"/>
          <s v="Dec"/>
          <s v="&gt;6/18/2025"/>
        </groupItems>
      </fieldGroup>
    </cacheField>
  </cacheFields>
  <extLst>
    <ext xmlns:x14="http://schemas.microsoft.com/office/spreadsheetml/2009/9/main" uri="{725AE2AE-9491-48be-B2B4-4EB974FC3084}">
      <x14:pivotCacheDefinition pivotCacheId="48487187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sen mohsen" refreshedDate="46041.494100925927" createdVersion="8" refreshedVersion="8" minRefreshableVersion="3" recordCount="905" xr:uid="{614C6D3A-13D0-4A6B-BB0D-16E476783D82}">
  <cacheSource type="worksheet">
    <worksheetSource name="sales"/>
  </cacheSource>
  <cacheFields count="18">
    <cacheField name="sale_id" numFmtId="0">
      <sharedItems containsSemiMixedTypes="0" containsString="0" containsNumber="1" containsInteger="1" minValue="2" maxValue="1352"/>
    </cacheField>
    <cacheField name="channel" numFmtId="0">
      <sharedItems count="2">
        <s v="E-commerce"/>
        <s v="App Mobile"/>
      </sharedItems>
    </cacheField>
    <cacheField name="discounted" numFmtId="0">
      <sharedItems containsSemiMixedTypes="0" containsString="0" containsNumber="1" containsInteger="1" minValue="0" maxValue="1"/>
    </cacheField>
    <cacheField name="total_amount" numFmtId="0">
      <sharedItems containsSemiMixedTypes="0" containsString="0" containsNumber="1" minValue="45.5" maxValue="859.38"/>
    </cacheField>
    <cacheField name="sale_date" numFmtId="14">
      <sharedItems containsSemiMixedTypes="0" containsNonDate="0" containsDate="1" containsString="0" minDate="2025-04-04T00:00:00" maxDate="2025-06-18T00:00:00" count="51">
        <d v="2025-05-21T00:00:00"/>
        <d v="2025-04-21T00:00:00"/>
        <d v="2025-05-20T00:00:00"/>
        <d v="2025-04-05T00:00:00"/>
        <d v="2025-06-06T00:00:00"/>
        <d v="2025-04-27T00:00:00"/>
        <d v="2025-05-05T00:00:00"/>
        <d v="2025-04-16T00:00:00"/>
        <d v="2025-05-24T00:00:00"/>
        <d v="2025-04-17T00:00:00"/>
        <d v="2025-04-30T00:00:00"/>
        <d v="2025-05-16T00:00:00"/>
        <d v="2025-05-27T00:00:00"/>
        <d v="2025-04-22T00:00:00"/>
        <d v="2025-05-22T00:00:00"/>
        <d v="2025-05-06T00:00:00"/>
        <d v="2025-06-14T00:00:00"/>
        <d v="2025-05-17T00:00:00"/>
        <d v="2025-04-15T00:00:00"/>
        <d v="2025-05-29T00:00:00"/>
        <d v="2025-05-19T00:00:00"/>
        <d v="2025-05-25T00:00:00"/>
        <d v="2025-06-13T00:00:00"/>
        <d v="2025-06-16T00:00:00"/>
        <d v="2025-04-06T00:00:00"/>
        <d v="2025-05-31T00:00:00"/>
        <d v="2025-05-04T00:00:00"/>
        <d v="2025-04-20T00:00:00"/>
        <d v="2025-05-13T00:00:00"/>
        <d v="2025-05-14T00:00:00"/>
        <d v="2025-04-19T00:00:00"/>
        <d v="2025-04-24T00:00:00"/>
        <d v="2025-04-14T00:00:00"/>
        <d v="2025-04-28T00:00:00"/>
        <d v="2025-05-26T00:00:00"/>
        <d v="2025-05-18T00:00:00"/>
        <d v="2025-04-25T00:00:00"/>
        <d v="2025-04-18T00:00:00"/>
        <d v="2025-05-30T00:00:00"/>
        <d v="2025-06-05T00:00:00"/>
        <d v="2025-06-15T00:00:00"/>
        <d v="2025-06-04T00:00:00"/>
        <d v="2025-05-15T00:00:00"/>
        <d v="2025-04-13T00:00:00"/>
        <d v="2025-06-17T00:00:00"/>
        <d v="2025-04-29T00:00:00"/>
        <d v="2025-05-28T00:00:00"/>
        <d v="2025-05-23T00:00:00"/>
        <d v="2025-04-26T00:00:00"/>
        <d v="2025-04-23T00:00:00"/>
        <d v="2025-04-04T00:00:00"/>
      </sharedItems>
      <fieldGroup par="16"/>
    </cacheField>
    <cacheField name="customer_id" numFmtId="0">
      <sharedItems containsSemiMixedTypes="0" containsString="0" containsNumber="1" containsInteger="1" minValue="1" maxValue="999" count="580">
        <n v="195"/>
        <n v="518"/>
        <n v="439"/>
        <n v="349"/>
        <n v="727"/>
        <n v="983"/>
        <n v="309"/>
        <n v="53"/>
        <n v="593"/>
        <n v="161"/>
        <n v="296"/>
        <n v="578"/>
        <n v="151"/>
        <n v="973"/>
        <n v="613"/>
        <n v="462"/>
        <n v="43"/>
        <n v="692"/>
        <n v="120"/>
        <n v="331"/>
        <n v="318"/>
        <n v="190"/>
        <n v="475"/>
        <n v="554"/>
        <n v="76"/>
        <n v="575"/>
        <n v="896"/>
        <n v="342"/>
        <n v="857"/>
        <n v="793"/>
        <n v="203"/>
        <n v="460"/>
        <n v="373"/>
        <n v="608"/>
        <n v="822"/>
        <n v="268"/>
        <n v="113"/>
        <n v="294"/>
        <n v="122"/>
        <n v="563"/>
        <n v="620"/>
        <n v="493"/>
        <n v="492"/>
        <n v="163"/>
        <n v="640"/>
        <n v="21"/>
        <n v="648"/>
        <n v="201"/>
        <n v="100"/>
        <n v="670"/>
        <n v="340"/>
        <n v="176"/>
        <n v="104"/>
        <n v="244"/>
        <n v="338"/>
        <n v="521"/>
        <n v="837"/>
        <n v="414"/>
        <n v="774"/>
        <n v="477"/>
        <n v="51"/>
        <n v="561"/>
        <n v="628"/>
        <n v="385"/>
        <n v="474"/>
        <n v="109"/>
        <n v="867"/>
        <n v="271"/>
        <n v="564"/>
        <n v="81"/>
        <n v="187"/>
        <n v="624"/>
        <n v="393"/>
        <n v="35"/>
        <n v="58"/>
        <n v="359"/>
        <n v="402"/>
        <n v="687"/>
        <n v="953"/>
        <n v="958"/>
        <n v="872"/>
        <n v="660"/>
        <n v="976"/>
        <n v="876"/>
        <n v="609"/>
        <n v="18"/>
        <n v="314"/>
        <n v="144"/>
        <n v="759"/>
        <n v="892"/>
        <n v="231"/>
        <n v="745"/>
        <n v="580"/>
        <n v="946"/>
        <n v="505"/>
        <n v="903"/>
        <n v="472"/>
        <n v="700"/>
        <n v="15"/>
        <n v="562"/>
        <n v="948"/>
        <n v="879"/>
        <n v="220"/>
        <n v="157"/>
        <n v="177"/>
        <n v="843"/>
        <n v="963"/>
        <n v="764"/>
        <n v="706"/>
        <n v="264"/>
        <n v="152"/>
        <n v="830"/>
        <n v="664"/>
        <n v="243"/>
        <n v="490"/>
        <n v="547"/>
        <n v="63"/>
        <n v="689"/>
        <n v="960"/>
        <n v="274"/>
        <n v="92"/>
        <n v="777"/>
        <n v="936"/>
        <n v="792"/>
        <n v="752"/>
        <n v="749"/>
        <n v="365"/>
        <n v="131"/>
        <n v="702"/>
        <n v="864"/>
        <n v="816"/>
        <n v="403"/>
        <n v="160"/>
        <n v="390"/>
        <n v="914"/>
        <n v="922"/>
        <n v="999"/>
        <n v="171"/>
        <n v="625"/>
        <n v="88"/>
        <n v="701"/>
        <n v="907"/>
        <n v="388"/>
        <n v="90"/>
        <n v="346"/>
        <n v="155"/>
        <n v="280"/>
        <n v="638"/>
        <n v="915"/>
        <n v="497"/>
        <n v="234"/>
        <n v="150"/>
        <n v="380"/>
        <n v="461"/>
        <n v="204"/>
        <n v="36"/>
        <n v="780"/>
        <n v="503"/>
        <n v="769"/>
        <n v="954"/>
        <n v="641"/>
        <n v="305"/>
        <n v="253"/>
        <n v="99"/>
        <n v="263"/>
        <n v="348"/>
        <n v="898"/>
        <n v="467"/>
        <n v="601"/>
        <n v="662"/>
        <n v="986"/>
        <n v="611"/>
        <n v="103"/>
        <n v="464"/>
        <n v="510"/>
        <n v="5"/>
        <n v="762"/>
        <n v="476"/>
        <n v="456"/>
        <n v="974"/>
        <n v="116"/>
        <n v="767"/>
        <n v="930"/>
        <n v="459"/>
        <n v="633"/>
        <n v="254"/>
        <n v="655"/>
        <n v="704"/>
        <n v="277"/>
        <n v="115"/>
        <n v="647"/>
        <n v="772"/>
        <n v="581"/>
        <n v="615"/>
        <n v="407"/>
        <n v="14"/>
        <n v="993"/>
        <n v="962"/>
        <n v="147"/>
        <n v="22"/>
        <n v="839"/>
        <n v="188"/>
        <n v="798"/>
        <n v="841"/>
        <n v="776"/>
        <n v="344"/>
        <n v="392"/>
        <n v="285"/>
        <n v="265"/>
        <n v="730"/>
        <n v="217"/>
        <n v="27"/>
        <n v="883"/>
        <n v="770"/>
        <n v="28"/>
        <n v="570"/>
        <n v="447"/>
        <n v="783"/>
        <n v="215"/>
        <n v="557"/>
        <n v="943"/>
        <n v="796"/>
        <n v="990"/>
        <n v="473"/>
        <n v="37"/>
        <n v="607"/>
        <n v="574"/>
        <n v="206"/>
        <n v="106"/>
        <n v="861"/>
        <n v="956"/>
        <n v="961"/>
        <n v="135"/>
        <n v="420"/>
        <n v="386"/>
        <n v="33"/>
        <n v="818"/>
        <n v="551"/>
        <n v="516"/>
        <n v="819"/>
        <n v="813"/>
        <n v="1"/>
        <n v="703"/>
        <n v="283"/>
        <n v="442"/>
        <n v="748"/>
        <n v="354"/>
        <n v="158"/>
        <n v="398"/>
        <n v="279"/>
        <n v="663"/>
        <n v="252"/>
        <n v="871"/>
        <n v="192"/>
        <n v="684"/>
        <n v="247"/>
        <n v="367"/>
        <n v="302"/>
        <n v="929"/>
        <n v="41"/>
        <n v="162"/>
        <n v="675"/>
        <n v="972"/>
        <n v="884"/>
        <n v="436"/>
        <n v="685"/>
        <n v="676"/>
        <n v="572"/>
        <n v="691"/>
        <n v="968"/>
        <n v="646"/>
        <n v="566"/>
        <n v="107"/>
        <n v="288"/>
        <n v="773"/>
        <n v="806"/>
        <n v="699"/>
        <n v="987"/>
        <n v="428"/>
        <n v="453"/>
        <n v="499"/>
        <n v="198"/>
        <n v="411"/>
        <n v="167"/>
        <n v="2"/>
        <n v="750"/>
        <n v="270"/>
        <n v="725"/>
        <n v="673"/>
        <n v="672"/>
        <n v="49"/>
        <n v="996"/>
        <n v="836"/>
        <n v="233"/>
        <n v="509"/>
        <n v="881"/>
        <n v="94"/>
        <n v="48"/>
        <n v="298"/>
        <n v="718"/>
        <n v="682"/>
        <n v="791"/>
        <n v="626"/>
        <n v="852"/>
        <n v="736"/>
        <n v="880"/>
        <n v="415"/>
        <n v="184"/>
        <n v="556"/>
        <n v="208"/>
        <n v="379"/>
        <n v="489"/>
        <n v="720"/>
        <n v="235"/>
        <n v="401"/>
        <n v="139"/>
        <n v="825"/>
        <n v="396"/>
        <n v="878"/>
        <n v="567"/>
        <n v="726"/>
        <n v="72"/>
        <n v="377"/>
        <n v="681"/>
        <n v="728"/>
        <n v="982"/>
        <n v="779"/>
        <n v="512"/>
        <n v="316"/>
        <n v="805"/>
        <n v="920"/>
        <n v="932"/>
        <n v="842"/>
        <n v="642"/>
        <n v="790"/>
        <n v="873"/>
        <n v="170"/>
        <n v="485"/>
        <n v="854"/>
        <n v="129"/>
        <n v="840"/>
        <n v="545"/>
        <n v="59"/>
        <n v="519"/>
        <n v="587"/>
        <n v="981"/>
        <n v="289"/>
        <n v="832"/>
        <n v="225"/>
        <n v="470"/>
        <n v="823"/>
        <n v="484"/>
        <n v="451"/>
        <n v="242"/>
        <n v="445"/>
        <n v="457"/>
        <n v="955"/>
        <n v="975"/>
        <n v="435"/>
        <n v="612"/>
        <n v="17"/>
        <n v="96"/>
        <n v="928"/>
        <n v="397"/>
        <n v="301"/>
        <n v="657"/>
        <n v="677"/>
        <n v="12"/>
        <n v="202"/>
        <n v="419"/>
        <n v="207"/>
        <n v="69"/>
        <n v="404"/>
        <n v="336"/>
        <n v="384"/>
        <n v="148"/>
        <n v="191"/>
        <n v="828"/>
        <n v="230"/>
        <n v="729"/>
        <n v="124"/>
        <n v="38"/>
        <n v="978"/>
        <n v="654"/>
        <n v="432"/>
        <n v="481"/>
        <n v="957"/>
        <n v="698"/>
        <n v="858"/>
        <n v="408"/>
        <n v="734"/>
        <n v="143"/>
        <n v="997"/>
        <n v="605"/>
        <n v="538"/>
        <n v="273"/>
        <n v="180"/>
        <n v="820"/>
        <n v="831"/>
        <n v="511"/>
        <n v="908"/>
        <n v="455"/>
        <n v="272"/>
        <n v="218"/>
        <n v="241"/>
        <n v="693"/>
        <n v="588"/>
        <n v="9"/>
        <n v="341"/>
        <n v="795"/>
        <n v="754"/>
        <n v="189"/>
        <n v="617"/>
        <n v="525"/>
        <n v="438"/>
        <n v="851"/>
        <n v="921"/>
        <n v="885"/>
        <n v="900"/>
        <n v="652"/>
        <n v="174"/>
        <n v="47"/>
        <n v="897"/>
        <n v="739"/>
        <n v="422"/>
        <n v="517"/>
        <n v="877"/>
        <n v="771"/>
        <n v="787"/>
        <n v="916"/>
        <n v="54"/>
        <n v="804"/>
        <n v="751"/>
        <n v="194"/>
        <n v="223"/>
        <n v="829"/>
        <n v="325"/>
        <n v="686"/>
        <n v="506"/>
        <n v="20"/>
        <n v="849"/>
        <n v="833"/>
        <n v="125"/>
        <n v="357"/>
        <n v="906"/>
        <n v="758"/>
        <n v="132"/>
        <n v="659"/>
        <n v="387"/>
        <n v="284"/>
        <n v="182"/>
        <n v="118"/>
        <n v="785"/>
        <n v="444"/>
        <n v="504"/>
        <n v="488"/>
        <n v="112"/>
        <n v="761"/>
        <n v="23"/>
        <n v="838"/>
        <n v="62"/>
        <n v="653"/>
        <n v="895"/>
        <n v="65"/>
        <n v="86"/>
        <n v="376"/>
        <n v="186"/>
        <n v="196"/>
        <n v="259"/>
        <n v="374"/>
        <n v="688"/>
        <n v="168"/>
        <n v="16"/>
        <n v="835"/>
        <n v="656"/>
        <n v="743"/>
        <n v="128"/>
        <n v="807"/>
        <n v="126"/>
        <n v="827"/>
        <n v="413"/>
        <n v="25"/>
        <n v="891"/>
        <n v="634"/>
        <n v="801"/>
        <n v="855"/>
        <n v="418"/>
        <n v="154"/>
        <n v="951"/>
        <n v="596"/>
        <n v="826"/>
        <n v="695"/>
        <n v="508"/>
        <n v="952"/>
        <n v="992"/>
        <n v="710"/>
        <n v="227"/>
        <n v="834"/>
        <n v="258"/>
        <n v="802"/>
        <n v="370"/>
        <n v="123"/>
        <n v="522"/>
        <n v="469"/>
        <n v="665"/>
        <n v="811"/>
        <n v="369"/>
        <n v="172"/>
        <n v="602"/>
        <n v="417"/>
        <n v="427"/>
        <n v="501"/>
        <n v="714"/>
        <n v="970"/>
        <n v="361"/>
        <n v="548"/>
        <n v="577"/>
        <n v="321"/>
        <n v="639"/>
        <n v="19"/>
        <n v="610"/>
        <n v="741"/>
        <n v="565"/>
        <n v="735"/>
        <n v="153"/>
        <n v="130"/>
        <n v="913"/>
        <n v="29"/>
        <n v="256"/>
        <n v="690"/>
        <n v="323"/>
        <n v="604"/>
        <n v="643"/>
        <n v="935"/>
        <n v="636"/>
        <n v="541"/>
        <n v="500"/>
        <n v="869"/>
        <n v="658"/>
        <n v="133"/>
        <n v="39"/>
        <n v="912"/>
        <n v="117"/>
        <n v="394"/>
        <n v="863"/>
        <n v="471"/>
        <n v="531"/>
        <n v="513"/>
        <n v="800"/>
        <n v="569"/>
        <n v="46"/>
        <n v="711"/>
        <n v="339"/>
        <n v="226"/>
        <n v="246"/>
        <n v="74"/>
        <n v="269"/>
        <n v="649"/>
        <n v="42"/>
        <n v="165"/>
        <n v="988"/>
        <n v="75"/>
        <n v="173"/>
        <n v="304"/>
        <n v="127"/>
        <n v="91"/>
        <n v="400"/>
        <n v="181"/>
        <n v="959"/>
        <n v="237"/>
        <n v="326"/>
        <n v="496"/>
        <n v="350"/>
        <n v="560"/>
        <n v="733"/>
        <n v="70"/>
        <n v="697"/>
        <n v="327"/>
        <n v="375"/>
        <n v="416"/>
      </sharedItems>
    </cacheField>
    <cacheField name="country" numFmtId="0">
      <sharedItems count="6">
        <s v="France"/>
        <s v="Germany"/>
        <s v="Portugal"/>
        <s v="Spain"/>
        <s v="Italy"/>
        <s v="Netherlands"/>
      </sharedItems>
    </cacheField>
    <cacheField name="weekday" numFmtId="0">
      <sharedItems count="7">
        <s v="Wednesday"/>
        <s v="Monday"/>
        <s v="Tuesday"/>
        <s v="Saturday"/>
        <s v="Friday"/>
        <s v="Sunday"/>
        <s v="Thursday"/>
      </sharedItems>
    </cacheField>
    <cacheField name="revenue" numFmtId="0">
      <sharedItems containsSemiMixedTypes="0" containsString="0" containsNumber="1" minValue="13.51" maxValue="326.8"/>
    </cacheField>
    <cacheField name="counter" numFmtId="0">
      <sharedItems containsSemiMixedTypes="0" containsString="0" containsNumber="1" containsInteger="1" minValue="1" maxValue="1"/>
    </cacheField>
    <cacheField name="age_range" numFmtId="2">
      <sharedItems count="5">
        <s v="56-65"/>
        <s v="46-55"/>
        <s v="36-45"/>
        <s v="26-35"/>
        <s v="16-25"/>
      </sharedItems>
    </cacheField>
    <cacheField name="sighnup_date" numFmtId="14">
      <sharedItems containsSemiMixedTypes="0" containsNonDate="0" containsDate="1" containsString="0" minDate="2025-01-07T00:00:00" maxDate="2025-06-13T00:00:00"/>
    </cacheField>
    <cacheField name="customer_tenure" numFmtId="0">
      <sharedItems containsSemiMixedTypes="0" containsString="0" containsNumber="1" containsInteger="1" minValue="-51" maxValue="145"/>
    </cacheField>
    <cacheField name="customer_type" numFmtId="0">
      <sharedItems count="3">
        <s v="new customer"/>
        <s v="data issue"/>
        <s v="existing customer"/>
      </sharedItems>
    </cacheField>
    <cacheField name="category" numFmtId="0">
      <sharedItems count="5">
        <s v="T-Shirts"/>
        <s v="Sleepwear"/>
        <s v="Pants"/>
        <s v="Dresses"/>
        <s v="Shoes"/>
      </sharedItems>
    </cacheField>
    <cacheField name="Months (sale_date)" numFmtId="0" databaseField="0">
      <fieldGroup base="4">
        <rangePr groupBy="months" startDate="2025-04-04T00:00:00" endDate="2025-06-18T00:00:00"/>
        <groupItems count="14">
          <s v="&lt;4/4/2025"/>
          <s v="Jan"/>
          <s v="Feb"/>
          <s v="Mar"/>
          <s v="Apr"/>
          <s v="May"/>
          <s v="Jun"/>
          <s v="Jul"/>
          <s v="Aug"/>
          <s v="Sep"/>
          <s v="Oct"/>
          <s v="Nov"/>
          <s v="Dec"/>
          <s v="&gt;6/18/2025"/>
        </groupItems>
      </fieldGroup>
    </cacheField>
    <cacheField name="Years (sale_date)" numFmtId="0" databaseField="0">
      <fieldGroup base="4">
        <rangePr groupBy="years" startDate="2025-04-04T00:00:00" endDate="2025-06-18T00:00:00"/>
        <groupItems count="3">
          <s v="&lt;4/4/2025"/>
          <s v="2025"/>
          <s v="&gt;6/18/2025"/>
        </groupItems>
      </fieldGroup>
    </cacheField>
    <cacheField name="Field1" numFmtId="0" formula="revenue/counter" databaseField="0"/>
  </cacheFields>
  <extLst>
    <ext xmlns:x14="http://schemas.microsoft.com/office/spreadsheetml/2009/9/main" uri="{725AE2AE-9491-48be-B2B4-4EB974FC3084}">
      <x14:pivotCacheDefinition pivotCacheId="5792668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n v="1"/>
    <s v="Spring Flash Sale"/>
    <d v="2025-04-01T00:00:00"/>
    <d v="2025-04-07T00:00:00"/>
    <x v="0"/>
    <s v="Percentage"/>
    <n v="10"/>
    <m/>
  </r>
  <r>
    <n v="2"/>
    <s v="Easter Promotion"/>
    <d v="2025-04-08T00:00:00"/>
    <d v="2025-04-15T00:00:00"/>
    <x v="1"/>
    <s v="Fixed"/>
    <n v="10"/>
    <m/>
  </r>
  <r>
    <n v="3"/>
    <s v="Mother's Day Campaign"/>
    <d v="2025-05-01T00:00:00"/>
    <d v="2025-05-09T00:00:00"/>
    <x v="0"/>
    <s v="Percentage"/>
    <n v="25"/>
    <m/>
  </r>
  <r>
    <n v="4"/>
    <s v="Mid-Season Clearance"/>
    <d v="2025-05-10T00:00:00"/>
    <d v="2025-05-19T00:00:00"/>
    <x v="2"/>
    <s v="Percentage"/>
    <n v="30"/>
    <m/>
  </r>
  <r>
    <n v="5"/>
    <s v="TIVA Week"/>
    <d v="2025-05-20T00:00:00"/>
    <d v="2025-05-31T00:00:00"/>
    <x v="1"/>
    <s v="Percentage"/>
    <n v="30"/>
    <m/>
  </r>
  <r>
    <n v="6"/>
    <s v="June Price Drop"/>
    <d v="2025-06-01T00:00:00"/>
    <d v="2025-06-09T00:00:00"/>
    <x v="3"/>
    <s v="Percentage"/>
    <n v="10"/>
    <m/>
  </r>
  <r>
    <n v="7"/>
    <s v="Early Summer Deals"/>
    <d v="2025-06-10T00:00:00"/>
    <d v="2025-06-17T00:00:00"/>
    <x v="0"/>
    <s v="Fixed"/>
    <n v="1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53">
  <r>
    <n v="2270"/>
    <x v="0"/>
    <n v="403"/>
    <n v="1"/>
    <n v="81.8"/>
    <n v="81.8"/>
    <n v="0"/>
    <n v="0"/>
    <n v="0"/>
    <n v="81.8"/>
    <x v="0"/>
    <s v="App Mobile"/>
    <s v="App Mobile"/>
    <n v="81.8"/>
    <x v="0"/>
    <x v="0"/>
    <x v="0"/>
  </r>
  <r>
    <n v="1170"/>
    <x v="1"/>
    <n v="284"/>
    <n v="1"/>
    <n v="81.790000000000006"/>
    <n v="81.790000000000006"/>
    <n v="0"/>
    <n v="0"/>
    <n v="0"/>
    <n v="81.790000000000006"/>
    <x v="1"/>
    <s v="E-commerce"/>
    <s v="Website Banner"/>
    <n v="81.790000000000006"/>
    <x v="1"/>
    <x v="1"/>
    <x v="1"/>
  </r>
  <r>
    <n v="2496"/>
    <x v="2"/>
    <n v="71"/>
    <n v="1"/>
    <n v="80.760000000000005"/>
    <n v="80.760000000000005"/>
    <n v="0"/>
    <n v="0"/>
    <n v="0"/>
    <n v="80.760000000000005"/>
    <x v="2"/>
    <s v="App Mobile"/>
    <s v="App Mobile"/>
    <n v="80.760000000000005"/>
    <x v="2"/>
    <x v="2"/>
    <x v="2"/>
  </r>
  <r>
    <n v="1273"/>
    <x v="3"/>
    <n v="98"/>
    <n v="1"/>
    <n v="78.52"/>
    <n v="78.52"/>
    <n v="0"/>
    <n v="0"/>
    <n v="0"/>
    <n v="78.52"/>
    <x v="3"/>
    <s v="App Mobile"/>
    <s v="App Mobile"/>
    <n v="78.52"/>
    <x v="3"/>
    <x v="1"/>
    <x v="3"/>
  </r>
  <r>
    <n v="1829"/>
    <x v="4"/>
    <n v="98"/>
    <n v="1"/>
    <n v="78.52"/>
    <n v="78.52"/>
    <n v="0"/>
    <n v="0"/>
    <n v="0"/>
    <n v="78.52"/>
    <x v="4"/>
    <s v="App Mobile"/>
    <s v="App Mobile"/>
    <n v="78.52"/>
    <x v="3"/>
    <x v="1"/>
    <x v="3"/>
  </r>
  <r>
    <n v="3221"/>
    <x v="5"/>
    <n v="98"/>
    <n v="1"/>
    <n v="78.52"/>
    <n v="78.52"/>
    <n v="0"/>
    <n v="0"/>
    <n v="0"/>
    <n v="78.52"/>
    <x v="5"/>
    <s v="App Mobile"/>
    <s v="App Mobile"/>
    <n v="78.52"/>
    <x v="3"/>
    <x v="1"/>
    <x v="3"/>
  </r>
  <r>
    <n v="2442"/>
    <x v="6"/>
    <n v="257"/>
    <n v="1"/>
    <n v="77.900000000000006"/>
    <n v="77.900000000000006"/>
    <n v="0"/>
    <n v="0"/>
    <n v="0"/>
    <n v="77.900000000000006"/>
    <x v="6"/>
    <s v="App Mobile"/>
    <s v="App Mobile"/>
    <n v="77.900000000000006"/>
    <x v="4"/>
    <x v="1"/>
    <x v="4"/>
  </r>
  <r>
    <n v="730"/>
    <x v="7"/>
    <n v="413"/>
    <n v="1"/>
    <n v="76.150000000000006"/>
    <n v="76.150000000000006"/>
    <n v="0"/>
    <n v="0"/>
    <n v="0"/>
    <n v="76.150000000000006"/>
    <x v="7"/>
    <s v="App Mobile"/>
    <s v="App Mobile"/>
    <n v="76.150000000000006"/>
    <x v="5"/>
    <x v="1"/>
    <x v="5"/>
  </r>
  <r>
    <n v="2917"/>
    <x v="8"/>
    <n v="392"/>
    <n v="1"/>
    <n v="75.47"/>
    <n v="75.47"/>
    <n v="0"/>
    <n v="0"/>
    <n v="0"/>
    <n v="75.47"/>
    <x v="8"/>
    <s v="E-commerce"/>
    <s v="Website Banner"/>
    <n v="75.47"/>
    <x v="6"/>
    <x v="1"/>
    <x v="6"/>
  </r>
  <r>
    <n v="3142"/>
    <x v="9"/>
    <n v="392"/>
    <n v="1"/>
    <n v="75.47"/>
    <n v="75.47"/>
    <n v="0"/>
    <n v="0"/>
    <n v="0"/>
    <n v="75.47"/>
    <x v="9"/>
    <s v="E-commerce"/>
    <s v="Website Banner"/>
    <n v="75.47"/>
    <x v="6"/>
    <x v="1"/>
    <x v="6"/>
  </r>
  <r>
    <n v="209"/>
    <x v="10"/>
    <n v="224"/>
    <n v="1"/>
    <n v="75.400000000000006"/>
    <n v="75.400000000000006"/>
    <n v="0"/>
    <n v="0"/>
    <n v="0"/>
    <n v="75.400000000000006"/>
    <x v="10"/>
    <s v="E-commerce"/>
    <s v="Website Banner"/>
    <n v="75.400000000000006"/>
    <x v="7"/>
    <x v="0"/>
    <x v="7"/>
  </r>
  <r>
    <n v="1138"/>
    <x v="11"/>
    <n v="224"/>
    <n v="1"/>
    <n v="75.400000000000006"/>
    <n v="75.400000000000006"/>
    <n v="0"/>
    <n v="0"/>
    <n v="0"/>
    <n v="75.400000000000006"/>
    <x v="11"/>
    <s v="App Mobile"/>
    <s v="App Mobile"/>
    <n v="75.400000000000006"/>
    <x v="7"/>
    <x v="0"/>
    <x v="7"/>
  </r>
  <r>
    <n v="1968"/>
    <x v="12"/>
    <n v="459"/>
    <n v="1"/>
    <n v="75.17"/>
    <n v="75.17"/>
    <n v="0"/>
    <n v="0"/>
    <n v="0"/>
    <n v="75.17"/>
    <x v="7"/>
    <s v="E-commerce"/>
    <s v="Website Banner"/>
    <n v="75.17"/>
    <x v="8"/>
    <x v="0"/>
    <x v="8"/>
  </r>
  <r>
    <n v="2063"/>
    <x v="13"/>
    <n v="459"/>
    <n v="1"/>
    <n v="75.17"/>
    <n v="75.17"/>
    <n v="0"/>
    <n v="0"/>
    <n v="0"/>
    <n v="75.17"/>
    <x v="12"/>
    <s v="E-commerce"/>
    <s v="Website Banner"/>
    <n v="75.17"/>
    <x v="8"/>
    <x v="0"/>
    <x v="8"/>
  </r>
  <r>
    <n v="2211"/>
    <x v="14"/>
    <n v="116"/>
    <n v="1"/>
    <n v="74.81"/>
    <n v="74.81"/>
    <n v="0"/>
    <n v="0"/>
    <n v="0"/>
    <n v="74.81"/>
    <x v="13"/>
    <s v="App Mobile"/>
    <s v="App Mobile"/>
    <n v="74.81"/>
    <x v="9"/>
    <x v="2"/>
    <x v="9"/>
  </r>
  <r>
    <n v="3058"/>
    <x v="15"/>
    <n v="359"/>
    <n v="1"/>
    <n v="74.28"/>
    <n v="74.28"/>
    <n v="0"/>
    <n v="0"/>
    <n v="0"/>
    <n v="74.28"/>
    <x v="14"/>
    <s v="E-commerce"/>
    <s v="Website Banner"/>
    <n v="74.28"/>
    <x v="10"/>
    <x v="1"/>
    <x v="10"/>
  </r>
  <r>
    <n v="1707"/>
    <x v="16"/>
    <n v="320"/>
    <n v="1"/>
    <n v="74.260000000000005"/>
    <n v="74.260000000000005"/>
    <n v="0"/>
    <n v="0"/>
    <n v="0"/>
    <n v="74.260000000000005"/>
    <x v="0"/>
    <s v="App Mobile"/>
    <s v="App Mobile"/>
    <n v="74.260000000000005"/>
    <x v="11"/>
    <x v="0"/>
    <x v="11"/>
  </r>
  <r>
    <n v="1831"/>
    <x v="17"/>
    <n v="320"/>
    <n v="1"/>
    <n v="74.260000000000005"/>
    <n v="74.260000000000005"/>
    <n v="0"/>
    <n v="0"/>
    <n v="0"/>
    <n v="74.260000000000005"/>
    <x v="15"/>
    <s v="App Mobile"/>
    <s v="App Mobile"/>
    <n v="74.260000000000005"/>
    <x v="11"/>
    <x v="0"/>
    <x v="11"/>
  </r>
  <r>
    <n v="2454"/>
    <x v="18"/>
    <n v="420"/>
    <n v="1"/>
    <n v="72.58"/>
    <n v="72.58"/>
    <n v="0"/>
    <n v="0"/>
    <n v="0"/>
    <n v="72.58"/>
    <x v="16"/>
    <s v="App Mobile"/>
    <s v="App Mobile"/>
    <n v="72.58"/>
    <x v="12"/>
    <x v="1"/>
    <x v="12"/>
  </r>
  <r>
    <n v="732"/>
    <x v="19"/>
    <n v="358"/>
    <n v="1"/>
    <n v="71.86"/>
    <n v="71.86"/>
    <n v="0"/>
    <n v="0"/>
    <n v="0"/>
    <n v="71.86"/>
    <x v="6"/>
    <s v="App Mobile"/>
    <s v="App Mobile"/>
    <n v="71.86"/>
    <x v="13"/>
    <x v="3"/>
    <x v="13"/>
  </r>
  <r>
    <n v="202"/>
    <x v="20"/>
    <n v="398"/>
    <n v="1"/>
    <n v="71.150000000000006"/>
    <n v="71.150000000000006"/>
    <n v="0"/>
    <n v="0"/>
    <n v="0"/>
    <n v="71.150000000000006"/>
    <x v="16"/>
    <s v="E-commerce"/>
    <s v="Website Banner"/>
    <n v="71.150000000000006"/>
    <x v="14"/>
    <x v="3"/>
    <x v="14"/>
  </r>
  <r>
    <n v="3189"/>
    <x v="21"/>
    <n v="379"/>
    <n v="1"/>
    <n v="70.819999999999993"/>
    <n v="70.819999999999993"/>
    <n v="0"/>
    <n v="0"/>
    <n v="0"/>
    <n v="70.819999999999993"/>
    <x v="8"/>
    <s v="App Mobile"/>
    <s v="App Mobile"/>
    <n v="70.819999999999993"/>
    <x v="15"/>
    <x v="2"/>
    <x v="15"/>
  </r>
  <r>
    <n v="3113"/>
    <x v="22"/>
    <n v="463"/>
    <n v="1"/>
    <n v="70.56"/>
    <n v="70.56"/>
    <n v="0"/>
    <n v="0"/>
    <n v="0"/>
    <n v="70.56"/>
    <x v="17"/>
    <s v="App Mobile"/>
    <s v="App Mobile"/>
    <n v="70.56"/>
    <x v="16"/>
    <x v="0"/>
    <x v="16"/>
  </r>
  <r>
    <n v="41"/>
    <x v="23"/>
    <n v="31"/>
    <n v="1"/>
    <n v="69.819999999999993"/>
    <n v="69.819999999999993"/>
    <n v="0"/>
    <n v="0"/>
    <n v="0"/>
    <n v="69.819999999999993"/>
    <x v="18"/>
    <s v="E-commerce"/>
    <s v="Website Banner"/>
    <n v="69.819999999999993"/>
    <x v="17"/>
    <x v="2"/>
    <x v="17"/>
  </r>
  <r>
    <n v="1406"/>
    <x v="24"/>
    <n v="31"/>
    <n v="1"/>
    <n v="69.819999999999993"/>
    <n v="69.819999999999993"/>
    <n v="0"/>
    <n v="0"/>
    <n v="0"/>
    <n v="69.819999999999993"/>
    <x v="9"/>
    <s v="App Mobile"/>
    <s v="App Mobile"/>
    <n v="69.819999999999993"/>
    <x v="17"/>
    <x v="2"/>
    <x v="17"/>
  </r>
  <r>
    <n v="2490"/>
    <x v="25"/>
    <n v="31"/>
    <n v="1"/>
    <n v="69.819999999999993"/>
    <n v="69.819999999999993"/>
    <n v="0"/>
    <n v="0"/>
    <n v="0"/>
    <n v="69.819999999999993"/>
    <x v="19"/>
    <s v="App Mobile"/>
    <s v="App Mobile"/>
    <n v="69.819999999999993"/>
    <x v="17"/>
    <x v="2"/>
    <x v="17"/>
  </r>
  <r>
    <n v="929"/>
    <x v="26"/>
    <n v="353"/>
    <n v="1"/>
    <n v="69.540000000000006"/>
    <n v="69.540000000000006"/>
    <n v="0"/>
    <n v="0"/>
    <n v="0"/>
    <n v="69.540000000000006"/>
    <x v="20"/>
    <s v="E-commerce"/>
    <s v="Website Banner"/>
    <n v="69.540000000000006"/>
    <x v="18"/>
    <x v="2"/>
    <x v="18"/>
  </r>
  <r>
    <n v="22"/>
    <x v="27"/>
    <n v="360"/>
    <n v="1"/>
    <n v="69.48"/>
    <n v="69.48"/>
    <n v="0"/>
    <n v="0"/>
    <n v="0"/>
    <n v="69.48"/>
    <x v="20"/>
    <s v="E-commerce"/>
    <s v="Website Banner"/>
    <n v="69.48"/>
    <x v="19"/>
    <x v="4"/>
    <x v="19"/>
  </r>
  <r>
    <n v="1785"/>
    <x v="28"/>
    <n v="360"/>
    <n v="1"/>
    <n v="69.48"/>
    <n v="69.48"/>
    <n v="0"/>
    <n v="0"/>
    <n v="0"/>
    <n v="69.48"/>
    <x v="21"/>
    <s v="App Mobile"/>
    <s v="App Mobile"/>
    <n v="69.48"/>
    <x v="19"/>
    <x v="4"/>
    <x v="19"/>
  </r>
  <r>
    <n v="684"/>
    <x v="29"/>
    <n v="474"/>
    <n v="1"/>
    <n v="68.47"/>
    <n v="68.47"/>
    <n v="0"/>
    <n v="0"/>
    <n v="0"/>
    <n v="68.47"/>
    <x v="18"/>
    <s v="App Mobile"/>
    <s v="App Mobile"/>
    <n v="68.47"/>
    <x v="20"/>
    <x v="1"/>
    <x v="20"/>
  </r>
  <r>
    <n v="1253"/>
    <x v="30"/>
    <n v="474"/>
    <n v="1"/>
    <n v="68.47"/>
    <n v="68.47"/>
    <n v="0"/>
    <n v="0"/>
    <n v="0"/>
    <n v="68.47"/>
    <x v="22"/>
    <s v="E-commerce"/>
    <s v="Website Banner"/>
    <n v="68.47"/>
    <x v="20"/>
    <x v="1"/>
    <x v="20"/>
  </r>
  <r>
    <n v="3167"/>
    <x v="31"/>
    <n v="486"/>
    <n v="1"/>
    <n v="68.03"/>
    <n v="68.03"/>
    <n v="0"/>
    <n v="0"/>
    <n v="0"/>
    <n v="68.03"/>
    <x v="23"/>
    <s v="E-commerce"/>
    <s v="Website Banner"/>
    <n v="68.03"/>
    <x v="21"/>
    <x v="4"/>
    <x v="21"/>
  </r>
  <r>
    <n v="3055"/>
    <x v="32"/>
    <n v="470"/>
    <n v="1"/>
    <n v="67.73"/>
    <n v="67.73"/>
    <n v="0"/>
    <n v="0"/>
    <n v="0"/>
    <n v="67.73"/>
    <x v="18"/>
    <s v="App Mobile"/>
    <s v="App Mobile"/>
    <n v="67.73"/>
    <x v="22"/>
    <x v="3"/>
    <x v="22"/>
  </r>
  <r>
    <n v="1724"/>
    <x v="33"/>
    <n v="67"/>
    <n v="1"/>
    <n v="67.37"/>
    <n v="67.37"/>
    <n v="0"/>
    <n v="0"/>
    <n v="0"/>
    <n v="67.37"/>
    <x v="22"/>
    <s v="E-commerce"/>
    <s v="Website Banner"/>
    <n v="67.37"/>
    <x v="23"/>
    <x v="4"/>
    <x v="23"/>
  </r>
  <r>
    <n v="1762"/>
    <x v="34"/>
    <n v="239"/>
    <n v="1"/>
    <n v="66.989999999999995"/>
    <n v="66.989999999999995"/>
    <n v="0"/>
    <n v="0"/>
    <n v="0"/>
    <n v="66.989999999999995"/>
    <x v="24"/>
    <s v="App Mobile"/>
    <s v="App Mobile"/>
    <n v="66.989999999999995"/>
    <x v="24"/>
    <x v="2"/>
    <x v="24"/>
  </r>
  <r>
    <n v="1356"/>
    <x v="35"/>
    <n v="307"/>
    <n v="1"/>
    <n v="66.87"/>
    <n v="66.87"/>
    <n v="0"/>
    <n v="0"/>
    <n v="0"/>
    <n v="66.87"/>
    <x v="18"/>
    <s v="App Mobile"/>
    <s v="App Mobile"/>
    <n v="66.87"/>
    <x v="25"/>
    <x v="4"/>
    <x v="25"/>
  </r>
  <r>
    <n v="1050"/>
    <x v="36"/>
    <n v="197"/>
    <n v="1"/>
    <n v="66.680000000000007"/>
    <n v="66.680000000000007"/>
    <n v="0"/>
    <n v="0"/>
    <n v="0"/>
    <n v="66.680000000000007"/>
    <x v="25"/>
    <s v="App Mobile"/>
    <s v="App Mobile"/>
    <n v="66.680000000000007"/>
    <x v="26"/>
    <x v="1"/>
    <x v="26"/>
  </r>
  <r>
    <n v="2153"/>
    <x v="37"/>
    <n v="197"/>
    <n v="1"/>
    <n v="66.680000000000007"/>
    <n v="66.680000000000007"/>
    <n v="0"/>
    <n v="0"/>
    <n v="0"/>
    <n v="66.680000000000007"/>
    <x v="24"/>
    <s v="App Mobile"/>
    <s v="App Mobile"/>
    <n v="66.680000000000007"/>
    <x v="26"/>
    <x v="1"/>
    <x v="26"/>
  </r>
  <r>
    <n v="2909"/>
    <x v="38"/>
    <n v="131"/>
    <n v="1"/>
    <n v="66.63"/>
    <n v="66.63"/>
    <n v="0"/>
    <n v="0"/>
    <n v="0"/>
    <n v="66.63"/>
    <x v="7"/>
    <s v="App Mobile"/>
    <s v="App Mobile"/>
    <n v="66.63"/>
    <x v="27"/>
    <x v="3"/>
    <x v="27"/>
  </r>
  <r>
    <n v="719"/>
    <x v="39"/>
    <n v="478"/>
    <n v="1"/>
    <n v="66.52"/>
    <n v="66.52"/>
    <n v="0"/>
    <n v="0"/>
    <n v="0"/>
    <n v="66.52"/>
    <x v="16"/>
    <s v="App Mobile"/>
    <s v="App Mobile"/>
    <n v="66.52"/>
    <x v="28"/>
    <x v="4"/>
    <x v="28"/>
  </r>
  <r>
    <n v="2134"/>
    <x v="9"/>
    <n v="478"/>
    <n v="1"/>
    <n v="66.52"/>
    <n v="66.52"/>
    <n v="0"/>
    <n v="0"/>
    <n v="0"/>
    <n v="66.52"/>
    <x v="9"/>
    <s v="E-commerce"/>
    <s v="Website Banner"/>
    <n v="66.52"/>
    <x v="28"/>
    <x v="4"/>
    <x v="28"/>
  </r>
  <r>
    <n v="1640"/>
    <x v="40"/>
    <n v="70"/>
    <n v="1"/>
    <n v="66.33"/>
    <n v="66.33"/>
    <n v="0"/>
    <n v="0"/>
    <n v="0"/>
    <n v="66.33"/>
    <x v="22"/>
    <s v="E-commerce"/>
    <s v="Website Banner"/>
    <n v="66.33"/>
    <x v="29"/>
    <x v="0"/>
    <x v="29"/>
  </r>
  <r>
    <n v="185"/>
    <x v="41"/>
    <n v="435"/>
    <n v="1"/>
    <n v="64.5"/>
    <n v="64.5"/>
    <n v="0"/>
    <n v="0"/>
    <n v="0"/>
    <n v="64.5"/>
    <x v="13"/>
    <s v="App Mobile"/>
    <s v="App Mobile"/>
    <n v="64.5"/>
    <x v="30"/>
    <x v="2"/>
    <x v="30"/>
  </r>
  <r>
    <n v="1624"/>
    <x v="42"/>
    <n v="435"/>
    <n v="1"/>
    <n v="64.5"/>
    <n v="64.5"/>
    <n v="0"/>
    <n v="0"/>
    <n v="0"/>
    <n v="64.5"/>
    <x v="26"/>
    <s v="App Mobile"/>
    <s v="App Mobile"/>
    <n v="64.5"/>
    <x v="30"/>
    <x v="2"/>
    <x v="30"/>
  </r>
  <r>
    <n v="1894"/>
    <x v="43"/>
    <n v="276"/>
    <n v="1"/>
    <n v="64.44"/>
    <n v="64.44"/>
    <n v="0"/>
    <n v="0"/>
    <n v="0"/>
    <n v="64.44"/>
    <x v="3"/>
    <s v="E-commerce"/>
    <s v="Website Banner"/>
    <n v="64.44"/>
    <x v="31"/>
    <x v="4"/>
    <x v="31"/>
  </r>
  <r>
    <n v="2601"/>
    <x v="44"/>
    <n v="276"/>
    <n v="1"/>
    <n v="64.44"/>
    <n v="64.44"/>
    <n v="0"/>
    <n v="0"/>
    <n v="0"/>
    <n v="64.44"/>
    <x v="7"/>
    <s v="App Mobile"/>
    <s v="App Mobile"/>
    <n v="64.44"/>
    <x v="31"/>
    <x v="4"/>
    <x v="31"/>
  </r>
  <r>
    <n v="2521"/>
    <x v="45"/>
    <n v="194"/>
    <n v="1"/>
    <n v="64.11"/>
    <n v="64.11"/>
    <n v="0"/>
    <n v="0"/>
    <n v="0"/>
    <n v="64.11"/>
    <x v="14"/>
    <s v="E-commerce"/>
    <s v="Website Banner"/>
    <n v="64.11"/>
    <x v="32"/>
    <x v="3"/>
    <x v="32"/>
  </r>
  <r>
    <n v="674"/>
    <x v="46"/>
    <n v="371"/>
    <n v="1"/>
    <n v="63.82"/>
    <n v="63.82"/>
    <n v="0"/>
    <n v="0"/>
    <n v="0"/>
    <n v="63.82"/>
    <x v="2"/>
    <s v="App Mobile"/>
    <s v="App Mobile"/>
    <n v="63.82"/>
    <x v="33"/>
    <x v="4"/>
    <x v="33"/>
  </r>
  <r>
    <n v="2257"/>
    <x v="47"/>
    <n v="372"/>
    <n v="1"/>
    <n v="63.79"/>
    <n v="63.79"/>
    <n v="0"/>
    <n v="0"/>
    <n v="0"/>
    <n v="63.79"/>
    <x v="4"/>
    <s v="E-commerce"/>
    <s v="Website Banner"/>
    <n v="63.79"/>
    <x v="34"/>
    <x v="2"/>
    <x v="34"/>
  </r>
  <r>
    <n v="174"/>
    <x v="48"/>
    <n v="79"/>
    <n v="1"/>
    <n v="63.22"/>
    <n v="63.22"/>
    <n v="0"/>
    <n v="0"/>
    <n v="0"/>
    <n v="63.22"/>
    <x v="4"/>
    <s v="E-commerce"/>
    <s v="Website Banner"/>
    <n v="63.22"/>
    <x v="35"/>
    <x v="2"/>
    <x v="35"/>
  </r>
  <r>
    <n v="115"/>
    <x v="49"/>
    <n v="206"/>
    <n v="1"/>
    <n v="63.03"/>
    <n v="63.03"/>
    <n v="0"/>
    <n v="0"/>
    <n v="0"/>
    <n v="63.03"/>
    <x v="7"/>
    <s v="App Mobile"/>
    <s v="App Mobile"/>
    <n v="63.03"/>
    <x v="36"/>
    <x v="2"/>
    <x v="36"/>
  </r>
  <r>
    <n v="1404"/>
    <x v="50"/>
    <n v="56"/>
    <n v="1"/>
    <n v="62.92"/>
    <n v="62.92"/>
    <n v="0"/>
    <n v="0"/>
    <n v="0"/>
    <n v="62.92"/>
    <x v="27"/>
    <s v="E-commerce"/>
    <s v="Website Banner"/>
    <n v="62.92"/>
    <x v="37"/>
    <x v="1"/>
    <x v="37"/>
  </r>
  <r>
    <n v="2400"/>
    <x v="51"/>
    <n v="38"/>
    <n v="1"/>
    <n v="62.8"/>
    <n v="62.8"/>
    <n v="0"/>
    <n v="0"/>
    <n v="0"/>
    <n v="62.8"/>
    <x v="28"/>
    <s v="App Mobile"/>
    <s v="App Mobile"/>
    <n v="62.8"/>
    <x v="38"/>
    <x v="4"/>
    <x v="38"/>
  </r>
  <r>
    <n v="718"/>
    <x v="51"/>
    <n v="317"/>
    <n v="1"/>
    <n v="62.63"/>
    <n v="62.63"/>
    <n v="0"/>
    <n v="0"/>
    <n v="0"/>
    <n v="62.63"/>
    <x v="28"/>
    <s v="App Mobile"/>
    <s v="App Mobile"/>
    <n v="62.63"/>
    <x v="39"/>
    <x v="3"/>
    <x v="39"/>
  </r>
  <r>
    <n v="1997"/>
    <x v="52"/>
    <n v="115"/>
    <n v="1"/>
    <n v="62.27"/>
    <n v="62.27"/>
    <n v="0"/>
    <n v="0"/>
    <n v="0"/>
    <n v="62.27"/>
    <x v="29"/>
    <s v="E-commerce"/>
    <s v="Website Banner"/>
    <n v="62.27"/>
    <x v="40"/>
    <x v="3"/>
    <x v="40"/>
  </r>
  <r>
    <n v="1481"/>
    <x v="53"/>
    <n v="437"/>
    <n v="1"/>
    <n v="62.17"/>
    <n v="62.17"/>
    <n v="0"/>
    <n v="0"/>
    <n v="0"/>
    <n v="62.17"/>
    <x v="9"/>
    <s v="App Mobile"/>
    <s v="App Mobile"/>
    <n v="62.17"/>
    <x v="41"/>
    <x v="0"/>
    <x v="41"/>
  </r>
  <r>
    <n v="1538"/>
    <x v="54"/>
    <n v="437"/>
    <n v="1"/>
    <n v="62.17"/>
    <n v="62.17"/>
    <n v="0"/>
    <n v="0"/>
    <n v="0"/>
    <n v="62.17"/>
    <x v="30"/>
    <s v="App Mobile"/>
    <s v="App Mobile"/>
    <n v="62.17"/>
    <x v="41"/>
    <x v="0"/>
    <x v="41"/>
  </r>
  <r>
    <n v="1044"/>
    <x v="55"/>
    <n v="50"/>
    <n v="1"/>
    <n v="61.95"/>
    <n v="61.95"/>
    <n v="0"/>
    <n v="0"/>
    <n v="0"/>
    <n v="61.95"/>
    <x v="31"/>
    <s v="App Mobile"/>
    <s v="App Mobile"/>
    <n v="61.95"/>
    <x v="42"/>
    <x v="4"/>
    <x v="42"/>
  </r>
  <r>
    <n v="2354"/>
    <x v="56"/>
    <n v="266"/>
    <n v="1"/>
    <n v="61.67"/>
    <n v="61.67"/>
    <n v="0"/>
    <n v="0"/>
    <n v="0"/>
    <n v="61.67"/>
    <x v="14"/>
    <s v="App Mobile"/>
    <s v="App Mobile"/>
    <n v="61.67"/>
    <x v="43"/>
    <x v="2"/>
    <x v="43"/>
  </r>
  <r>
    <n v="1311"/>
    <x v="57"/>
    <n v="35"/>
    <n v="1"/>
    <n v="61.61"/>
    <n v="61.61"/>
    <n v="0"/>
    <n v="0"/>
    <n v="0"/>
    <n v="61.61"/>
    <x v="10"/>
    <s v="App Mobile"/>
    <s v="App Mobile"/>
    <n v="61.61"/>
    <x v="44"/>
    <x v="0"/>
    <x v="44"/>
  </r>
  <r>
    <n v="2658"/>
    <x v="58"/>
    <n v="35"/>
    <n v="1"/>
    <n v="61.61"/>
    <n v="61.61"/>
    <n v="0"/>
    <n v="0"/>
    <n v="0"/>
    <n v="61.61"/>
    <x v="18"/>
    <s v="E-commerce"/>
    <s v="Website Banner"/>
    <n v="61.61"/>
    <x v="44"/>
    <x v="0"/>
    <x v="44"/>
  </r>
  <r>
    <n v="131"/>
    <x v="59"/>
    <n v="399"/>
    <n v="1"/>
    <n v="61.6"/>
    <n v="61.6"/>
    <n v="0"/>
    <n v="0"/>
    <n v="0"/>
    <n v="61.6"/>
    <x v="32"/>
    <s v="App Mobile"/>
    <s v="App Mobile"/>
    <n v="61.6"/>
    <x v="45"/>
    <x v="1"/>
    <x v="45"/>
  </r>
  <r>
    <n v="589"/>
    <x v="60"/>
    <n v="399"/>
    <n v="1"/>
    <n v="61.6"/>
    <n v="61.6"/>
    <n v="0"/>
    <n v="0"/>
    <n v="0"/>
    <n v="61.6"/>
    <x v="24"/>
    <s v="App Mobile"/>
    <s v="App Mobile"/>
    <n v="61.6"/>
    <x v="45"/>
    <x v="1"/>
    <x v="45"/>
  </r>
  <r>
    <n v="60"/>
    <x v="61"/>
    <n v="428"/>
    <n v="1"/>
    <n v="61.22"/>
    <n v="61.22"/>
    <n v="0"/>
    <n v="0"/>
    <n v="0"/>
    <n v="61.22"/>
    <x v="20"/>
    <s v="App Mobile"/>
    <s v="App Mobile"/>
    <n v="61.22"/>
    <x v="46"/>
    <x v="1"/>
    <x v="46"/>
  </r>
  <r>
    <n v="539"/>
    <x v="62"/>
    <n v="483"/>
    <n v="1"/>
    <n v="60.89"/>
    <n v="60.89"/>
    <n v="0"/>
    <n v="0"/>
    <n v="0"/>
    <n v="60.89"/>
    <x v="27"/>
    <s v="E-commerce"/>
    <s v="Website Banner"/>
    <n v="60.89"/>
    <x v="47"/>
    <x v="4"/>
    <x v="47"/>
  </r>
  <r>
    <n v="2091"/>
    <x v="38"/>
    <n v="483"/>
    <n v="1"/>
    <n v="60.89"/>
    <n v="60.89"/>
    <n v="0"/>
    <n v="0"/>
    <n v="0"/>
    <n v="60.89"/>
    <x v="7"/>
    <s v="App Mobile"/>
    <s v="App Mobile"/>
    <n v="60.89"/>
    <x v="47"/>
    <x v="4"/>
    <x v="47"/>
  </r>
  <r>
    <n v="2727"/>
    <x v="63"/>
    <n v="483"/>
    <n v="1"/>
    <n v="60.89"/>
    <n v="60.89"/>
    <n v="0"/>
    <n v="0"/>
    <n v="0"/>
    <n v="60.89"/>
    <x v="33"/>
    <s v="App Mobile"/>
    <s v="App Mobile"/>
    <n v="60.89"/>
    <x v="47"/>
    <x v="4"/>
    <x v="47"/>
  </r>
  <r>
    <n v="2291"/>
    <x v="64"/>
    <n v="340"/>
    <n v="1"/>
    <n v="60.83"/>
    <n v="60.83"/>
    <n v="0"/>
    <n v="0"/>
    <n v="0"/>
    <n v="60.83"/>
    <x v="16"/>
    <s v="E-commerce"/>
    <s v="Website Banner"/>
    <n v="60.83"/>
    <x v="48"/>
    <x v="1"/>
    <x v="48"/>
  </r>
  <r>
    <n v="1551"/>
    <x v="65"/>
    <n v="129"/>
    <n v="1"/>
    <n v="60.68"/>
    <n v="60.68"/>
    <n v="0"/>
    <n v="0"/>
    <n v="0"/>
    <n v="60.68"/>
    <x v="20"/>
    <s v="App Mobile"/>
    <s v="App Mobile"/>
    <n v="60.68"/>
    <x v="49"/>
    <x v="2"/>
    <x v="49"/>
  </r>
  <r>
    <n v="2342"/>
    <x v="66"/>
    <n v="129"/>
    <n v="1"/>
    <n v="60.68"/>
    <n v="60.68"/>
    <n v="0"/>
    <n v="0"/>
    <n v="0"/>
    <n v="60.68"/>
    <x v="34"/>
    <s v="E-commerce"/>
    <s v="Website Banner"/>
    <n v="60.68"/>
    <x v="49"/>
    <x v="2"/>
    <x v="49"/>
  </r>
  <r>
    <n v="67"/>
    <x v="67"/>
    <n v="287"/>
    <n v="1"/>
    <n v="60.34"/>
    <n v="60.34"/>
    <n v="0"/>
    <n v="0"/>
    <n v="0"/>
    <n v="60.34"/>
    <x v="35"/>
    <s v="App Mobile"/>
    <s v="App Mobile"/>
    <n v="60.34"/>
    <x v="50"/>
    <x v="3"/>
    <x v="50"/>
  </r>
  <r>
    <n v="271"/>
    <x v="68"/>
    <n v="287"/>
    <n v="1"/>
    <n v="60.34"/>
    <n v="60.34"/>
    <n v="0"/>
    <n v="0"/>
    <n v="0"/>
    <n v="60.34"/>
    <x v="10"/>
    <s v="App Mobile"/>
    <s v="App Mobile"/>
    <n v="60.34"/>
    <x v="50"/>
    <x v="3"/>
    <x v="50"/>
  </r>
  <r>
    <n v="2913"/>
    <x v="69"/>
    <n v="287"/>
    <n v="1"/>
    <n v="60.34"/>
    <n v="60.34"/>
    <n v="0"/>
    <n v="0"/>
    <n v="0"/>
    <n v="60.34"/>
    <x v="29"/>
    <s v="E-commerce"/>
    <s v="Website Banner"/>
    <n v="60.34"/>
    <x v="50"/>
    <x v="3"/>
    <x v="50"/>
  </r>
  <r>
    <n v="2981"/>
    <x v="65"/>
    <n v="54"/>
    <n v="1"/>
    <n v="60.33"/>
    <n v="60.33"/>
    <n v="0"/>
    <n v="0"/>
    <n v="0"/>
    <n v="60.33"/>
    <x v="20"/>
    <s v="App Mobile"/>
    <s v="App Mobile"/>
    <n v="60.33"/>
    <x v="51"/>
    <x v="0"/>
    <x v="51"/>
  </r>
  <r>
    <n v="507"/>
    <x v="70"/>
    <n v="324"/>
    <n v="1"/>
    <n v="60.31"/>
    <n v="60.31"/>
    <n v="0"/>
    <n v="0"/>
    <n v="0"/>
    <n v="60.31"/>
    <x v="36"/>
    <s v="E-commerce"/>
    <s v="Website Banner"/>
    <n v="60.31"/>
    <x v="52"/>
    <x v="4"/>
    <x v="52"/>
  </r>
  <r>
    <n v="471"/>
    <x v="71"/>
    <n v="307"/>
    <n v="1"/>
    <n v="66.87"/>
    <n v="60.18"/>
    <n v="6.69"/>
    <n v="0.1"/>
    <n v="1"/>
    <n v="60.18"/>
    <x v="37"/>
    <s v="E-commerce"/>
    <s v="Website Banner"/>
    <n v="60.18"/>
    <x v="25"/>
    <x v="4"/>
    <x v="25"/>
  </r>
  <r>
    <n v="1786"/>
    <x v="72"/>
    <n v="433"/>
    <n v="1"/>
    <n v="60.12"/>
    <n v="60.12"/>
    <n v="0"/>
    <n v="0"/>
    <n v="0"/>
    <n v="60.12"/>
    <x v="16"/>
    <s v="App Mobile"/>
    <s v="App Mobile"/>
    <n v="60.12"/>
    <x v="53"/>
    <x v="2"/>
    <x v="53"/>
  </r>
  <r>
    <n v="2423"/>
    <x v="73"/>
    <n v="347"/>
    <n v="1"/>
    <n v="59.92"/>
    <n v="59.92"/>
    <n v="0"/>
    <n v="0"/>
    <n v="0"/>
    <n v="59.92"/>
    <x v="34"/>
    <s v="E-commerce"/>
    <s v="Website Banner"/>
    <n v="59.92"/>
    <x v="54"/>
    <x v="4"/>
    <x v="54"/>
  </r>
  <r>
    <n v="143"/>
    <x v="74"/>
    <n v="99"/>
    <n v="1"/>
    <n v="59.78"/>
    <n v="59.78"/>
    <n v="0"/>
    <n v="0"/>
    <n v="0"/>
    <n v="59.78"/>
    <x v="38"/>
    <s v="App Mobile"/>
    <s v="App Mobile"/>
    <n v="59.78"/>
    <x v="55"/>
    <x v="4"/>
    <x v="55"/>
  </r>
  <r>
    <n v="3191"/>
    <x v="75"/>
    <n v="391"/>
    <n v="1"/>
    <n v="59.77"/>
    <n v="59.77"/>
    <n v="0"/>
    <n v="0"/>
    <n v="0"/>
    <n v="59.77"/>
    <x v="18"/>
    <s v="E-commerce"/>
    <s v="Website Banner"/>
    <n v="59.77"/>
    <x v="56"/>
    <x v="0"/>
    <x v="56"/>
  </r>
  <r>
    <n v="1991"/>
    <x v="76"/>
    <n v="464"/>
    <n v="1"/>
    <n v="59.58"/>
    <n v="59.58"/>
    <n v="0"/>
    <n v="0"/>
    <n v="0"/>
    <n v="59.58"/>
    <x v="38"/>
    <s v="E-commerce"/>
    <s v="Website Banner"/>
    <n v="59.58"/>
    <x v="57"/>
    <x v="1"/>
    <x v="57"/>
  </r>
  <r>
    <n v="2437"/>
    <x v="77"/>
    <n v="291"/>
    <n v="1"/>
    <n v="59.56"/>
    <n v="59.56"/>
    <n v="0"/>
    <n v="0"/>
    <n v="0"/>
    <n v="59.56"/>
    <x v="36"/>
    <s v="E-commerce"/>
    <s v="Website Banner"/>
    <n v="59.56"/>
    <x v="58"/>
    <x v="1"/>
    <x v="58"/>
  </r>
  <r>
    <n v="676"/>
    <x v="78"/>
    <n v="160"/>
    <n v="1"/>
    <n v="59.38"/>
    <n v="59.38"/>
    <n v="0"/>
    <n v="0"/>
    <n v="0"/>
    <n v="59.38"/>
    <x v="1"/>
    <s v="App Mobile"/>
    <s v="App Mobile"/>
    <n v="59.38"/>
    <x v="59"/>
    <x v="3"/>
    <x v="59"/>
  </r>
  <r>
    <n v="3071"/>
    <x v="79"/>
    <n v="160"/>
    <n v="1"/>
    <n v="59.38"/>
    <n v="59.38"/>
    <n v="0"/>
    <n v="0"/>
    <n v="0"/>
    <n v="59.38"/>
    <x v="16"/>
    <s v="E-commerce"/>
    <s v="Website Banner"/>
    <n v="59.38"/>
    <x v="59"/>
    <x v="3"/>
    <x v="59"/>
  </r>
  <r>
    <n v="3078"/>
    <x v="80"/>
    <n v="244"/>
    <n v="1"/>
    <n v="59.32"/>
    <n v="59.32"/>
    <n v="0"/>
    <n v="0"/>
    <n v="0"/>
    <n v="59.32"/>
    <x v="35"/>
    <s v="App Mobile"/>
    <s v="App Mobile"/>
    <n v="59.32"/>
    <x v="60"/>
    <x v="1"/>
    <x v="60"/>
  </r>
  <r>
    <n v="110"/>
    <x v="81"/>
    <n v="214"/>
    <n v="1"/>
    <n v="59.07"/>
    <n v="59.07"/>
    <n v="0"/>
    <n v="0"/>
    <n v="0"/>
    <n v="59.07"/>
    <x v="18"/>
    <s v="App Mobile"/>
    <s v="App Mobile"/>
    <n v="59.07"/>
    <x v="61"/>
    <x v="2"/>
    <x v="61"/>
  </r>
  <r>
    <n v="889"/>
    <x v="82"/>
    <n v="214"/>
    <n v="1"/>
    <n v="59.07"/>
    <n v="59.07"/>
    <n v="0"/>
    <n v="0"/>
    <n v="0"/>
    <n v="59.07"/>
    <x v="5"/>
    <s v="App Mobile"/>
    <s v="App Mobile"/>
    <n v="59.07"/>
    <x v="61"/>
    <x v="2"/>
    <x v="61"/>
  </r>
  <r>
    <n v="1597"/>
    <x v="83"/>
    <n v="214"/>
    <n v="1"/>
    <n v="59.07"/>
    <n v="59.07"/>
    <n v="0"/>
    <n v="0"/>
    <n v="0"/>
    <n v="59.07"/>
    <x v="24"/>
    <s v="App Mobile"/>
    <s v="App Mobile"/>
    <n v="59.07"/>
    <x v="61"/>
    <x v="2"/>
    <x v="61"/>
  </r>
  <r>
    <n v="1836"/>
    <x v="84"/>
    <n v="384"/>
    <n v="1"/>
    <n v="58.94"/>
    <n v="58.94"/>
    <n v="0"/>
    <n v="0"/>
    <n v="0"/>
    <n v="58.94"/>
    <x v="3"/>
    <s v="E-commerce"/>
    <s v="Website Banner"/>
    <n v="58.94"/>
    <x v="62"/>
    <x v="3"/>
    <x v="62"/>
  </r>
  <r>
    <n v="759"/>
    <x v="85"/>
    <n v="63"/>
    <n v="1"/>
    <n v="58.67"/>
    <n v="58.67"/>
    <n v="0"/>
    <n v="0"/>
    <n v="0"/>
    <n v="58.67"/>
    <x v="39"/>
    <s v="App Mobile"/>
    <s v="App Mobile"/>
    <n v="58.67"/>
    <x v="63"/>
    <x v="3"/>
    <x v="63"/>
  </r>
  <r>
    <n v="705"/>
    <x v="86"/>
    <n v="366"/>
    <n v="1"/>
    <n v="58.34"/>
    <n v="58.34"/>
    <n v="0"/>
    <n v="0"/>
    <n v="0"/>
    <n v="58.34"/>
    <x v="40"/>
    <s v="E-commerce"/>
    <s v="Website Banner"/>
    <n v="58.34"/>
    <x v="64"/>
    <x v="2"/>
    <x v="64"/>
  </r>
  <r>
    <n v="1370"/>
    <x v="87"/>
    <n v="366"/>
    <n v="1"/>
    <n v="58.34"/>
    <n v="58.34"/>
    <n v="0"/>
    <n v="0"/>
    <n v="0"/>
    <n v="58.34"/>
    <x v="14"/>
    <s v="E-commerce"/>
    <s v="Website Banner"/>
    <n v="58.34"/>
    <x v="64"/>
    <x v="2"/>
    <x v="64"/>
  </r>
  <r>
    <n v="2021"/>
    <x v="88"/>
    <n v="366"/>
    <n v="1"/>
    <n v="58.34"/>
    <n v="58.34"/>
    <n v="0"/>
    <n v="0"/>
    <n v="0"/>
    <n v="58.34"/>
    <x v="40"/>
    <s v="E-commerce"/>
    <s v="Website Banner"/>
    <n v="58.34"/>
    <x v="64"/>
    <x v="2"/>
    <x v="64"/>
  </r>
  <r>
    <n v="71"/>
    <x v="89"/>
    <n v="22"/>
    <n v="1"/>
    <n v="58.26"/>
    <n v="58.26"/>
    <n v="0"/>
    <n v="0"/>
    <n v="0"/>
    <n v="58.26"/>
    <x v="16"/>
    <s v="E-commerce"/>
    <s v="Website Banner"/>
    <n v="58.26"/>
    <x v="65"/>
    <x v="4"/>
    <x v="65"/>
  </r>
  <r>
    <n v="1315"/>
    <x v="90"/>
    <n v="22"/>
    <n v="1"/>
    <n v="58.26"/>
    <n v="58.26"/>
    <n v="0"/>
    <n v="0"/>
    <n v="0"/>
    <n v="58.26"/>
    <x v="3"/>
    <s v="E-commerce"/>
    <s v="Website Banner"/>
    <n v="58.26"/>
    <x v="65"/>
    <x v="4"/>
    <x v="65"/>
  </r>
  <r>
    <n v="2065"/>
    <x v="91"/>
    <n v="145"/>
    <n v="1"/>
    <n v="58.25"/>
    <n v="58.25"/>
    <n v="0"/>
    <n v="0"/>
    <n v="0"/>
    <n v="58.25"/>
    <x v="31"/>
    <s v="E-commerce"/>
    <s v="Website Banner"/>
    <n v="58.25"/>
    <x v="66"/>
    <x v="1"/>
    <x v="66"/>
  </r>
  <r>
    <n v="2140"/>
    <x v="92"/>
    <n v="101"/>
    <n v="1"/>
    <n v="58.11"/>
    <n v="58.11"/>
    <n v="0"/>
    <n v="0"/>
    <n v="0"/>
    <n v="58.11"/>
    <x v="0"/>
    <s v="E-commerce"/>
    <s v="Website Banner"/>
    <n v="58.11"/>
    <x v="67"/>
    <x v="4"/>
    <x v="67"/>
  </r>
  <r>
    <n v="2175"/>
    <x v="93"/>
    <n v="101"/>
    <n v="1"/>
    <n v="58.11"/>
    <n v="58.11"/>
    <n v="0"/>
    <n v="0"/>
    <n v="0"/>
    <n v="58.11"/>
    <x v="41"/>
    <s v="App Mobile"/>
    <s v="App Mobile"/>
    <n v="58.11"/>
    <x v="67"/>
    <x v="4"/>
    <x v="67"/>
  </r>
  <r>
    <n v="2696"/>
    <x v="94"/>
    <n v="225"/>
    <n v="1"/>
    <n v="58.11"/>
    <n v="58.11"/>
    <n v="0"/>
    <n v="0"/>
    <n v="0"/>
    <n v="58.11"/>
    <x v="42"/>
    <s v="E-commerce"/>
    <s v="Website Banner"/>
    <n v="58.11"/>
    <x v="68"/>
    <x v="1"/>
    <x v="68"/>
  </r>
  <r>
    <n v="1745"/>
    <x v="95"/>
    <n v="321"/>
    <n v="1"/>
    <n v="58.09"/>
    <n v="58.09"/>
    <n v="0"/>
    <n v="0"/>
    <n v="0"/>
    <n v="58.09"/>
    <x v="18"/>
    <s v="App Mobile"/>
    <s v="App Mobile"/>
    <n v="58.09"/>
    <x v="69"/>
    <x v="2"/>
    <x v="69"/>
  </r>
  <r>
    <n v="2846"/>
    <x v="96"/>
    <n v="83"/>
    <n v="1"/>
    <n v="57.8"/>
    <n v="57.8"/>
    <n v="0"/>
    <n v="0"/>
    <n v="0"/>
    <n v="57.8"/>
    <x v="18"/>
    <s v="E-commerce"/>
    <s v="Website Banner"/>
    <n v="57.8"/>
    <x v="70"/>
    <x v="4"/>
    <x v="70"/>
  </r>
  <r>
    <n v="974"/>
    <x v="97"/>
    <n v="227"/>
    <n v="1"/>
    <n v="57.51"/>
    <n v="57.51"/>
    <n v="0"/>
    <n v="0"/>
    <n v="0"/>
    <n v="57.51"/>
    <x v="1"/>
    <s v="E-commerce"/>
    <s v="Website Banner"/>
    <n v="57.51"/>
    <x v="71"/>
    <x v="4"/>
    <x v="71"/>
  </r>
  <r>
    <n v="1632"/>
    <x v="98"/>
    <n v="26"/>
    <n v="1"/>
    <n v="57.48"/>
    <n v="57.48"/>
    <n v="0"/>
    <n v="0"/>
    <n v="0"/>
    <n v="57.48"/>
    <x v="43"/>
    <s v="App Mobile"/>
    <s v="App Mobile"/>
    <n v="57.48"/>
    <x v="72"/>
    <x v="1"/>
    <x v="72"/>
  </r>
  <r>
    <n v="1413"/>
    <x v="68"/>
    <n v="27"/>
    <n v="1"/>
    <n v="57.35"/>
    <n v="57.35"/>
    <n v="0"/>
    <n v="0"/>
    <n v="0"/>
    <n v="57.35"/>
    <x v="10"/>
    <s v="App Mobile"/>
    <s v="App Mobile"/>
    <n v="57.35"/>
    <x v="73"/>
    <x v="0"/>
    <x v="73"/>
  </r>
  <r>
    <n v="2368"/>
    <x v="99"/>
    <n v="49"/>
    <n v="1"/>
    <n v="57.35"/>
    <n v="57.35"/>
    <n v="0"/>
    <n v="0"/>
    <n v="0"/>
    <n v="57.35"/>
    <x v="36"/>
    <s v="App Mobile"/>
    <s v="App Mobile"/>
    <n v="57.35"/>
    <x v="74"/>
    <x v="4"/>
    <x v="74"/>
  </r>
  <r>
    <n v="357"/>
    <x v="3"/>
    <n v="222"/>
    <n v="1"/>
    <n v="57.19"/>
    <n v="57.19"/>
    <n v="0"/>
    <n v="0"/>
    <n v="0"/>
    <n v="57.19"/>
    <x v="3"/>
    <s v="App Mobile"/>
    <s v="App Mobile"/>
    <n v="57.19"/>
    <x v="75"/>
    <x v="0"/>
    <x v="75"/>
  </r>
  <r>
    <n v="3316"/>
    <x v="100"/>
    <n v="222"/>
    <n v="1"/>
    <n v="57.19"/>
    <n v="57.19"/>
    <n v="0"/>
    <n v="0"/>
    <n v="0"/>
    <n v="57.19"/>
    <x v="25"/>
    <s v="E-commerce"/>
    <s v="Website Banner"/>
    <n v="57.19"/>
    <x v="75"/>
    <x v="0"/>
    <x v="75"/>
  </r>
  <r>
    <n v="602"/>
    <x v="101"/>
    <n v="53"/>
    <n v="1"/>
    <n v="57.17"/>
    <n v="57.17"/>
    <n v="0"/>
    <n v="0"/>
    <n v="0"/>
    <n v="57.17"/>
    <x v="12"/>
    <s v="E-commerce"/>
    <s v="Website Banner"/>
    <n v="57.17"/>
    <x v="76"/>
    <x v="1"/>
    <x v="76"/>
  </r>
  <r>
    <n v="116"/>
    <x v="102"/>
    <n v="288"/>
    <n v="1"/>
    <n v="57.11"/>
    <n v="57.11"/>
    <n v="0"/>
    <n v="0"/>
    <n v="0"/>
    <n v="57.11"/>
    <x v="9"/>
    <s v="App Mobile"/>
    <s v="App Mobile"/>
    <n v="57.11"/>
    <x v="77"/>
    <x v="4"/>
    <x v="77"/>
  </r>
  <r>
    <n v="200"/>
    <x v="103"/>
    <n v="288"/>
    <n v="1"/>
    <n v="57.11"/>
    <n v="57.11"/>
    <n v="0"/>
    <n v="0"/>
    <n v="0"/>
    <n v="57.11"/>
    <x v="26"/>
    <s v="E-commerce"/>
    <s v="Website Banner"/>
    <n v="57.11"/>
    <x v="77"/>
    <x v="4"/>
    <x v="77"/>
  </r>
  <r>
    <n v="2830"/>
    <x v="104"/>
    <n v="288"/>
    <n v="1"/>
    <n v="57.11"/>
    <n v="57.11"/>
    <n v="0"/>
    <n v="0"/>
    <n v="0"/>
    <n v="57.11"/>
    <x v="22"/>
    <s v="E-commerce"/>
    <s v="Website Banner"/>
    <n v="57.11"/>
    <x v="77"/>
    <x v="4"/>
    <x v="77"/>
  </r>
  <r>
    <n v="2946"/>
    <x v="105"/>
    <n v="103"/>
    <n v="1"/>
    <n v="57"/>
    <n v="57"/>
    <n v="0"/>
    <n v="0"/>
    <n v="0"/>
    <n v="57"/>
    <x v="0"/>
    <s v="App Mobile"/>
    <s v="App Mobile"/>
    <n v="57"/>
    <x v="78"/>
    <x v="4"/>
    <x v="78"/>
  </r>
  <r>
    <n v="2276"/>
    <x v="106"/>
    <n v="357"/>
    <n v="1"/>
    <n v="56.91"/>
    <n v="56.91"/>
    <n v="0"/>
    <n v="0"/>
    <n v="0"/>
    <n v="56.91"/>
    <x v="43"/>
    <s v="E-commerce"/>
    <s v="Website Banner"/>
    <n v="56.91"/>
    <x v="79"/>
    <x v="3"/>
    <x v="79"/>
  </r>
  <r>
    <n v="2750"/>
    <x v="107"/>
    <n v="357"/>
    <n v="1"/>
    <n v="56.91"/>
    <n v="56.91"/>
    <n v="0"/>
    <n v="0"/>
    <n v="0"/>
    <n v="56.91"/>
    <x v="2"/>
    <s v="App Mobile"/>
    <s v="App Mobile"/>
    <n v="56.91"/>
    <x v="79"/>
    <x v="3"/>
    <x v="79"/>
  </r>
  <r>
    <n v="1325"/>
    <x v="108"/>
    <n v="326"/>
    <n v="1"/>
    <n v="56.7"/>
    <n v="56.7"/>
    <n v="0"/>
    <n v="0"/>
    <n v="0"/>
    <n v="56.7"/>
    <x v="9"/>
    <s v="E-commerce"/>
    <s v="Website Banner"/>
    <n v="56.7"/>
    <x v="80"/>
    <x v="0"/>
    <x v="80"/>
  </r>
  <r>
    <n v="1574"/>
    <x v="109"/>
    <n v="326"/>
    <n v="1"/>
    <n v="56.7"/>
    <n v="56.7"/>
    <n v="0"/>
    <n v="0"/>
    <n v="0"/>
    <n v="56.7"/>
    <x v="6"/>
    <s v="App Mobile"/>
    <s v="App Mobile"/>
    <n v="56.7"/>
    <x v="80"/>
    <x v="0"/>
    <x v="80"/>
  </r>
  <r>
    <n v="513"/>
    <x v="110"/>
    <n v="294"/>
    <n v="1"/>
    <n v="56.69"/>
    <n v="56.69"/>
    <n v="0"/>
    <n v="0"/>
    <n v="0"/>
    <n v="56.69"/>
    <x v="44"/>
    <s v="App Mobile"/>
    <s v="App Mobile"/>
    <n v="56.69"/>
    <x v="81"/>
    <x v="1"/>
    <x v="81"/>
  </r>
  <r>
    <n v="731"/>
    <x v="111"/>
    <n v="303"/>
    <n v="1"/>
    <n v="56.58"/>
    <n v="56.58"/>
    <n v="0"/>
    <n v="0"/>
    <n v="0"/>
    <n v="56.58"/>
    <x v="23"/>
    <s v="E-commerce"/>
    <s v="Website Banner"/>
    <n v="56.58"/>
    <x v="82"/>
    <x v="3"/>
    <x v="82"/>
  </r>
  <r>
    <n v="3347"/>
    <x v="112"/>
    <n v="100"/>
    <n v="1"/>
    <n v="56.44"/>
    <n v="56.44"/>
    <n v="0"/>
    <n v="0"/>
    <n v="0"/>
    <n v="56.44"/>
    <x v="4"/>
    <s v="App Mobile"/>
    <s v="App Mobile"/>
    <n v="56.44"/>
    <x v="83"/>
    <x v="0"/>
    <x v="83"/>
  </r>
  <r>
    <n v="312"/>
    <x v="40"/>
    <n v="314"/>
    <n v="1"/>
    <n v="56.29"/>
    <n v="56.29"/>
    <n v="0"/>
    <n v="0"/>
    <n v="0"/>
    <n v="56.29"/>
    <x v="22"/>
    <s v="E-commerce"/>
    <s v="Website Banner"/>
    <n v="56.29"/>
    <x v="84"/>
    <x v="3"/>
    <x v="84"/>
  </r>
  <r>
    <n v="1124"/>
    <x v="113"/>
    <n v="485"/>
    <n v="1"/>
    <n v="56.2"/>
    <n v="56.2"/>
    <n v="0"/>
    <n v="0"/>
    <n v="0"/>
    <n v="56.2"/>
    <x v="45"/>
    <s v="E-commerce"/>
    <s v="Website Banner"/>
    <n v="56.2"/>
    <x v="85"/>
    <x v="1"/>
    <x v="85"/>
  </r>
  <r>
    <n v="2954"/>
    <x v="114"/>
    <n v="422"/>
    <n v="1"/>
    <n v="55.91"/>
    <n v="55.91"/>
    <n v="0"/>
    <n v="0"/>
    <n v="0"/>
    <n v="55.91"/>
    <x v="46"/>
    <s v="E-commerce"/>
    <s v="Website Banner"/>
    <n v="55.91"/>
    <x v="86"/>
    <x v="3"/>
    <x v="86"/>
  </r>
  <r>
    <n v="2362"/>
    <x v="115"/>
    <n v="424"/>
    <n v="1"/>
    <n v="55.39"/>
    <n v="55.39"/>
    <n v="0"/>
    <n v="0"/>
    <n v="0"/>
    <n v="55.39"/>
    <x v="36"/>
    <s v="App Mobile"/>
    <s v="App Mobile"/>
    <n v="55.39"/>
    <x v="87"/>
    <x v="0"/>
    <x v="87"/>
  </r>
  <r>
    <n v="2538"/>
    <x v="116"/>
    <n v="97"/>
    <n v="1"/>
    <n v="55.27"/>
    <n v="55.27"/>
    <n v="0"/>
    <n v="0"/>
    <n v="0"/>
    <n v="55.27"/>
    <x v="41"/>
    <s v="App Mobile"/>
    <s v="App Mobile"/>
    <n v="55.27"/>
    <x v="88"/>
    <x v="1"/>
    <x v="88"/>
  </r>
  <r>
    <n v="921"/>
    <x v="117"/>
    <n v="265"/>
    <n v="1"/>
    <n v="55.25"/>
    <n v="55.25"/>
    <n v="0"/>
    <n v="0"/>
    <n v="0"/>
    <n v="55.25"/>
    <x v="21"/>
    <s v="E-commerce"/>
    <s v="Website Banner"/>
    <n v="55.25"/>
    <x v="89"/>
    <x v="1"/>
    <x v="89"/>
  </r>
  <r>
    <n v="424"/>
    <x v="118"/>
    <n v="107"/>
    <n v="1"/>
    <n v="55.06"/>
    <n v="55.06"/>
    <n v="0"/>
    <n v="0"/>
    <n v="0"/>
    <n v="55.06"/>
    <x v="29"/>
    <s v="E-commerce"/>
    <s v="Website Banner"/>
    <n v="55.06"/>
    <x v="90"/>
    <x v="1"/>
    <x v="90"/>
  </r>
  <r>
    <n v="3198"/>
    <x v="119"/>
    <n v="107"/>
    <n v="1"/>
    <n v="55.06"/>
    <n v="55.06"/>
    <n v="0"/>
    <n v="0"/>
    <n v="0"/>
    <n v="55.06"/>
    <x v="38"/>
    <s v="App Mobile"/>
    <s v="App Mobile"/>
    <n v="55.06"/>
    <x v="90"/>
    <x v="1"/>
    <x v="90"/>
  </r>
  <r>
    <n v="2384"/>
    <x v="120"/>
    <n v="124"/>
    <n v="1"/>
    <n v="55.04"/>
    <n v="55.04"/>
    <n v="0"/>
    <n v="0"/>
    <n v="0"/>
    <n v="55.04"/>
    <x v="46"/>
    <s v="E-commerce"/>
    <s v="Website Banner"/>
    <n v="55.04"/>
    <x v="91"/>
    <x v="3"/>
    <x v="91"/>
  </r>
  <r>
    <n v="1598"/>
    <x v="121"/>
    <n v="126"/>
    <n v="1"/>
    <n v="55.03"/>
    <n v="55.03"/>
    <n v="0"/>
    <n v="0"/>
    <n v="0"/>
    <n v="55.03"/>
    <x v="47"/>
    <s v="E-commerce"/>
    <s v="Website Banner"/>
    <n v="55.03"/>
    <x v="92"/>
    <x v="1"/>
    <x v="92"/>
  </r>
  <r>
    <n v="1027"/>
    <x v="122"/>
    <n v="264"/>
    <n v="1"/>
    <n v="55.01"/>
    <n v="55.01"/>
    <n v="0"/>
    <n v="0"/>
    <n v="0"/>
    <n v="55.01"/>
    <x v="35"/>
    <s v="App Mobile"/>
    <s v="App Mobile"/>
    <n v="55.01"/>
    <x v="93"/>
    <x v="4"/>
    <x v="93"/>
  </r>
  <r>
    <n v="2453"/>
    <x v="123"/>
    <n v="188"/>
    <n v="1"/>
    <n v="55.01"/>
    <n v="55.01"/>
    <n v="0"/>
    <n v="0"/>
    <n v="0"/>
    <n v="55.01"/>
    <x v="15"/>
    <s v="E-commerce"/>
    <s v="Website Banner"/>
    <n v="55.01"/>
    <x v="94"/>
    <x v="1"/>
    <x v="94"/>
  </r>
  <r>
    <n v="29"/>
    <x v="124"/>
    <n v="461"/>
    <n v="1"/>
    <n v="54.91"/>
    <n v="54.91"/>
    <n v="0"/>
    <n v="0"/>
    <n v="0"/>
    <n v="54.91"/>
    <x v="34"/>
    <s v="E-commerce"/>
    <s v="Website Banner"/>
    <n v="54.91"/>
    <x v="95"/>
    <x v="4"/>
    <x v="95"/>
  </r>
  <r>
    <n v="2440"/>
    <x v="125"/>
    <n v="461"/>
    <n v="1"/>
    <n v="54.91"/>
    <n v="54.91"/>
    <n v="0"/>
    <n v="0"/>
    <n v="0"/>
    <n v="54.91"/>
    <x v="2"/>
    <s v="App Mobile"/>
    <s v="App Mobile"/>
    <n v="54.91"/>
    <x v="95"/>
    <x v="4"/>
    <x v="95"/>
  </r>
  <r>
    <n v="2524"/>
    <x v="126"/>
    <n v="481"/>
    <n v="1"/>
    <n v="54.87"/>
    <n v="54.87"/>
    <n v="0"/>
    <n v="0"/>
    <n v="0"/>
    <n v="54.87"/>
    <x v="26"/>
    <s v="E-commerce"/>
    <s v="Website Banner"/>
    <n v="54.87"/>
    <x v="96"/>
    <x v="1"/>
    <x v="96"/>
  </r>
  <r>
    <n v="79"/>
    <x v="127"/>
    <n v="32"/>
    <n v="1"/>
    <n v="54.83"/>
    <n v="54.83"/>
    <n v="0"/>
    <n v="0"/>
    <n v="0"/>
    <n v="54.83"/>
    <x v="10"/>
    <s v="E-commerce"/>
    <s v="Website Banner"/>
    <n v="54.83"/>
    <x v="97"/>
    <x v="4"/>
    <x v="97"/>
  </r>
  <r>
    <n v="1554"/>
    <x v="128"/>
    <n v="32"/>
    <n v="1"/>
    <n v="54.83"/>
    <n v="54.83"/>
    <n v="0"/>
    <n v="0"/>
    <n v="0"/>
    <n v="54.83"/>
    <x v="5"/>
    <s v="E-commerce"/>
    <s v="Website Banner"/>
    <n v="54.83"/>
    <x v="97"/>
    <x v="4"/>
    <x v="97"/>
  </r>
  <r>
    <n v="2801"/>
    <x v="129"/>
    <n v="32"/>
    <n v="1"/>
    <n v="54.83"/>
    <n v="54.83"/>
    <n v="0"/>
    <n v="0"/>
    <n v="0"/>
    <n v="54.83"/>
    <x v="43"/>
    <s v="App Mobile"/>
    <s v="App Mobile"/>
    <n v="54.83"/>
    <x v="97"/>
    <x v="4"/>
    <x v="97"/>
  </r>
  <r>
    <n v="1536"/>
    <x v="130"/>
    <n v="271"/>
    <n v="1"/>
    <n v="54.28"/>
    <n v="54.28"/>
    <n v="0"/>
    <n v="0"/>
    <n v="0"/>
    <n v="54.28"/>
    <x v="12"/>
    <s v="E-commerce"/>
    <s v="Website Banner"/>
    <n v="54.28"/>
    <x v="98"/>
    <x v="1"/>
    <x v="98"/>
  </r>
  <r>
    <n v="2426"/>
    <x v="131"/>
    <n v="42"/>
    <n v="1"/>
    <n v="54.2"/>
    <n v="54.2"/>
    <n v="0"/>
    <n v="0"/>
    <n v="0"/>
    <n v="54.2"/>
    <x v="11"/>
    <s v="App Mobile"/>
    <s v="App Mobile"/>
    <n v="54.2"/>
    <x v="99"/>
    <x v="3"/>
    <x v="99"/>
  </r>
  <r>
    <n v="2952"/>
    <x v="43"/>
    <n v="42"/>
    <n v="1"/>
    <n v="54.2"/>
    <n v="54.2"/>
    <n v="0"/>
    <n v="0"/>
    <n v="0"/>
    <n v="54.2"/>
    <x v="3"/>
    <s v="E-commerce"/>
    <s v="Website Banner"/>
    <n v="54.2"/>
    <x v="99"/>
    <x v="3"/>
    <x v="99"/>
  </r>
  <r>
    <n v="2713"/>
    <x v="132"/>
    <n v="439"/>
    <n v="1"/>
    <n v="53.93"/>
    <n v="53.93"/>
    <n v="0"/>
    <n v="0"/>
    <n v="0"/>
    <n v="53.93"/>
    <x v="48"/>
    <s v="App Mobile"/>
    <s v="App Mobile"/>
    <n v="53.93"/>
    <x v="100"/>
    <x v="2"/>
    <x v="100"/>
  </r>
  <r>
    <n v="1206"/>
    <x v="133"/>
    <n v="154"/>
    <n v="1"/>
    <n v="53.74"/>
    <n v="53.74"/>
    <n v="0"/>
    <n v="0"/>
    <n v="0"/>
    <n v="53.74"/>
    <x v="14"/>
    <s v="E-commerce"/>
    <s v="Website Banner"/>
    <n v="53.74"/>
    <x v="101"/>
    <x v="3"/>
    <x v="101"/>
  </r>
  <r>
    <n v="964"/>
    <x v="134"/>
    <n v="47"/>
    <n v="1"/>
    <n v="53.73"/>
    <n v="53.73"/>
    <n v="0"/>
    <n v="0"/>
    <n v="0"/>
    <n v="53.73"/>
    <x v="15"/>
    <s v="E-commerce"/>
    <s v="Website Banner"/>
    <n v="53.73"/>
    <x v="102"/>
    <x v="4"/>
    <x v="102"/>
  </r>
  <r>
    <n v="3185"/>
    <x v="135"/>
    <n v="221"/>
    <n v="1"/>
    <n v="53.7"/>
    <n v="53.7"/>
    <n v="0"/>
    <n v="0"/>
    <n v="0"/>
    <n v="53.7"/>
    <x v="48"/>
    <s v="E-commerce"/>
    <s v="Website Banner"/>
    <n v="53.7"/>
    <x v="103"/>
    <x v="4"/>
    <x v="103"/>
  </r>
  <r>
    <n v="2293"/>
    <x v="136"/>
    <n v="52"/>
    <n v="1"/>
    <n v="53.61"/>
    <n v="53.61"/>
    <n v="0"/>
    <n v="0"/>
    <n v="0"/>
    <n v="53.61"/>
    <x v="12"/>
    <s v="E-commerce"/>
    <s v="Website Banner"/>
    <n v="53.61"/>
    <x v="104"/>
    <x v="4"/>
    <x v="104"/>
  </r>
  <r>
    <n v="2959"/>
    <x v="137"/>
    <n v="368"/>
    <n v="1"/>
    <n v="53.48"/>
    <n v="53.48"/>
    <n v="0"/>
    <n v="0"/>
    <n v="0"/>
    <n v="53.48"/>
    <x v="35"/>
    <s v="App Mobile"/>
    <s v="App Mobile"/>
    <n v="53.48"/>
    <x v="105"/>
    <x v="4"/>
    <x v="105"/>
  </r>
  <r>
    <n v="2972"/>
    <x v="138"/>
    <n v="416"/>
    <n v="1"/>
    <n v="53.46"/>
    <n v="53.46"/>
    <n v="0"/>
    <n v="0"/>
    <n v="0"/>
    <n v="53.46"/>
    <x v="39"/>
    <s v="E-commerce"/>
    <s v="Website Banner"/>
    <n v="53.46"/>
    <x v="106"/>
    <x v="2"/>
    <x v="106"/>
  </r>
  <r>
    <n v="610"/>
    <x v="139"/>
    <n v="458"/>
    <n v="1"/>
    <n v="53.35"/>
    <n v="53.35"/>
    <n v="0"/>
    <n v="0"/>
    <n v="0"/>
    <n v="53.35"/>
    <x v="23"/>
    <s v="E-commerce"/>
    <s v="Website Banner"/>
    <n v="53.35"/>
    <x v="107"/>
    <x v="3"/>
    <x v="107"/>
  </r>
  <r>
    <n v="1501"/>
    <x v="140"/>
    <n v="458"/>
    <n v="1"/>
    <n v="53.35"/>
    <n v="53.35"/>
    <n v="0"/>
    <n v="0"/>
    <n v="0"/>
    <n v="53.35"/>
    <x v="33"/>
    <s v="E-commerce"/>
    <s v="Website Banner"/>
    <n v="53.35"/>
    <x v="107"/>
    <x v="3"/>
    <x v="107"/>
  </r>
  <r>
    <n v="1407"/>
    <x v="141"/>
    <n v="87"/>
    <n v="1"/>
    <n v="53.32"/>
    <n v="53.32"/>
    <n v="0"/>
    <n v="0"/>
    <n v="0"/>
    <n v="53.32"/>
    <x v="6"/>
    <s v="App Mobile"/>
    <s v="App Mobile"/>
    <n v="53.32"/>
    <x v="108"/>
    <x v="0"/>
    <x v="108"/>
  </r>
  <r>
    <n v="1226"/>
    <x v="142"/>
    <n v="442"/>
    <n v="1"/>
    <n v="53.27"/>
    <n v="53.27"/>
    <n v="0"/>
    <n v="0"/>
    <n v="0"/>
    <n v="53.27"/>
    <x v="2"/>
    <s v="App Mobile"/>
    <s v="App Mobile"/>
    <n v="53.27"/>
    <x v="109"/>
    <x v="0"/>
    <x v="109"/>
  </r>
  <r>
    <n v="1950"/>
    <x v="143"/>
    <n v="40"/>
    <n v="1"/>
    <n v="53.19"/>
    <n v="53.19"/>
    <n v="0"/>
    <n v="0"/>
    <n v="0"/>
    <n v="53.19"/>
    <x v="17"/>
    <s v="E-commerce"/>
    <s v="Website Banner"/>
    <n v="53.19"/>
    <x v="110"/>
    <x v="2"/>
    <x v="110"/>
  </r>
  <r>
    <n v="1857"/>
    <x v="144"/>
    <n v="214"/>
    <n v="1"/>
    <n v="59.07"/>
    <n v="53.16"/>
    <n v="5.91"/>
    <n v="0.1"/>
    <n v="1"/>
    <n v="53.16"/>
    <x v="37"/>
    <s v="E-commerce"/>
    <s v="Website Banner"/>
    <n v="53.16"/>
    <x v="61"/>
    <x v="2"/>
    <x v="61"/>
  </r>
  <r>
    <n v="2305"/>
    <x v="145"/>
    <n v="262"/>
    <n v="1"/>
    <n v="52.94"/>
    <n v="52.94"/>
    <n v="0"/>
    <n v="0"/>
    <n v="0"/>
    <n v="52.94"/>
    <x v="13"/>
    <s v="E-commerce"/>
    <s v="Website Banner"/>
    <n v="52.94"/>
    <x v="111"/>
    <x v="3"/>
    <x v="111"/>
  </r>
  <r>
    <n v="2438"/>
    <x v="146"/>
    <n v="25"/>
    <n v="1"/>
    <n v="52.94"/>
    <n v="52.94"/>
    <n v="0"/>
    <n v="0"/>
    <n v="0"/>
    <n v="52.94"/>
    <x v="36"/>
    <s v="E-commerce"/>
    <s v="Website Banner"/>
    <n v="52.94"/>
    <x v="112"/>
    <x v="3"/>
    <x v="112"/>
  </r>
  <r>
    <n v="1150"/>
    <x v="147"/>
    <n v="75"/>
    <n v="1"/>
    <n v="52.83"/>
    <n v="52.83"/>
    <n v="0"/>
    <n v="0"/>
    <n v="0"/>
    <n v="52.83"/>
    <x v="33"/>
    <s v="E-commerce"/>
    <s v="Website Banner"/>
    <n v="52.83"/>
    <x v="113"/>
    <x v="3"/>
    <x v="113"/>
  </r>
  <r>
    <n v="707"/>
    <x v="148"/>
    <n v="299"/>
    <n v="1"/>
    <n v="52.65"/>
    <n v="52.65"/>
    <n v="0"/>
    <n v="0"/>
    <n v="0"/>
    <n v="52.65"/>
    <x v="39"/>
    <s v="App Mobile"/>
    <s v="App Mobile"/>
    <n v="52.65"/>
    <x v="114"/>
    <x v="0"/>
    <x v="114"/>
  </r>
  <r>
    <n v="1905"/>
    <x v="149"/>
    <n v="299"/>
    <n v="1"/>
    <n v="52.65"/>
    <n v="52.65"/>
    <n v="0"/>
    <n v="0"/>
    <n v="0"/>
    <n v="52.65"/>
    <x v="0"/>
    <s v="App Mobile"/>
    <s v="App Mobile"/>
    <n v="52.65"/>
    <x v="114"/>
    <x v="0"/>
    <x v="114"/>
  </r>
  <r>
    <n v="260"/>
    <x v="150"/>
    <n v="394"/>
    <n v="1"/>
    <n v="52.58"/>
    <n v="52.58"/>
    <n v="0"/>
    <n v="0"/>
    <n v="0"/>
    <n v="52.58"/>
    <x v="38"/>
    <s v="App Mobile"/>
    <s v="App Mobile"/>
    <n v="52.58"/>
    <x v="115"/>
    <x v="4"/>
    <x v="115"/>
  </r>
  <r>
    <n v="2901"/>
    <x v="151"/>
    <n v="394"/>
    <n v="1"/>
    <n v="52.58"/>
    <n v="52.58"/>
    <n v="0"/>
    <n v="0"/>
    <n v="0"/>
    <n v="52.58"/>
    <x v="43"/>
    <s v="E-commerce"/>
    <s v="Website Banner"/>
    <n v="52.58"/>
    <x v="115"/>
    <x v="4"/>
    <x v="115"/>
  </r>
  <r>
    <n v="665"/>
    <x v="24"/>
    <n v="57"/>
    <n v="1"/>
    <n v="52.28"/>
    <n v="52.28"/>
    <n v="0"/>
    <n v="0"/>
    <n v="0"/>
    <n v="52.28"/>
    <x v="9"/>
    <s v="App Mobile"/>
    <s v="App Mobile"/>
    <n v="52.28"/>
    <x v="116"/>
    <x v="0"/>
    <x v="116"/>
  </r>
  <r>
    <n v="2245"/>
    <x v="152"/>
    <n v="445"/>
    <n v="1"/>
    <n v="52.28"/>
    <n v="52.28"/>
    <n v="0"/>
    <n v="0"/>
    <n v="0"/>
    <n v="52.28"/>
    <x v="26"/>
    <s v="E-commerce"/>
    <s v="Website Banner"/>
    <n v="52.28"/>
    <x v="117"/>
    <x v="3"/>
    <x v="117"/>
  </r>
  <r>
    <n v="2803"/>
    <x v="153"/>
    <n v="445"/>
    <n v="1"/>
    <n v="52.28"/>
    <n v="52.28"/>
    <n v="0"/>
    <n v="0"/>
    <n v="0"/>
    <n v="52.28"/>
    <x v="28"/>
    <s v="E-commerce"/>
    <s v="Website Banner"/>
    <n v="52.28"/>
    <x v="117"/>
    <x v="3"/>
    <x v="117"/>
  </r>
  <r>
    <n v="145"/>
    <x v="154"/>
    <n v="306"/>
    <n v="1"/>
    <n v="74.67"/>
    <n v="52.27"/>
    <n v="22.4"/>
    <n v="0.3"/>
    <n v="1"/>
    <n v="52.27"/>
    <x v="27"/>
    <s v="App Mobile"/>
    <s v="Social Media"/>
    <n v="52.27"/>
    <x v="118"/>
    <x v="3"/>
    <x v="118"/>
  </r>
  <r>
    <n v="1425"/>
    <x v="155"/>
    <n v="181"/>
    <n v="1"/>
    <n v="52.18"/>
    <n v="52.18"/>
    <n v="0"/>
    <n v="0"/>
    <n v="0"/>
    <n v="52.18"/>
    <x v="28"/>
    <s v="App Mobile"/>
    <s v="App Mobile"/>
    <n v="52.18"/>
    <x v="119"/>
    <x v="1"/>
    <x v="119"/>
  </r>
  <r>
    <n v="1005"/>
    <x v="156"/>
    <n v="203"/>
    <n v="1"/>
    <n v="52.1"/>
    <n v="52.1"/>
    <n v="0"/>
    <n v="0"/>
    <n v="0"/>
    <n v="52.1"/>
    <x v="23"/>
    <s v="E-commerce"/>
    <s v="Website Banner"/>
    <n v="52.1"/>
    <x v="120"/>
    <x v="0"/>
    <x v="120"/>
  </r>
  <r>
    <n v="606"/>
    <x v="157"/>
    <n v="440"/>
    <n v="1"/>
    <n v="52.08"/>
    <n v="52.08"/>
    <n v="0"/>
    <n v="0"/>
    <n v="0"/>
    <n v="52.08"/>
    <x v="23"/>
    <s v="App Mobile"/>
    <s v="App Mobile"/>
    <n v="52.08"/>
    <x v="121"/>
    <x v="1"/>
    <x v="121"/>
  </r>
  <r>
    <n v="1263"/>
    <x v="158"/>
    <n v="440"/>
    <n v="1"/>
    <n v="52.08"/>
    <n v="52.08"/>
    <n v="0"/>
    <n v="0"/>
    <n v="0"/>
    <n v="52.08"/>
    <x v="7"/>
    <s v="E-commerce"/>
    <s v="Website Banner"/>
    <n v="52.08"/>
    <x v="121"/>
    <x v="1"/>
    <x v="121"/>
  </r>
  <r>
    <n v="1300"/>
    <x v="147"/>
    <n v="440"/>
    <n v="1"/>
    <n v="52.08"/>
    <n v="52.08"/>
    <n v="0"/>
    <n v="0"/>
    <n v="0"/>
    <n v="52.08"/>
    <x v="33"/>
    <s v="E-commerce"/>
    <s v="Website Banner"/>
    <n v="52.08"/>
    <x v="121"/>
    <x v="1"/>
    <x v="121"/>
  </r>
  <r>
    <n v="2463"/>
    <x v="159"/>
    <n v="140"/>
    <n v="1"/>
    <n v="52.08"/>
    <n v="52.08"/>
    <n v="0"/>
    <n v="0"/>
    <n v="0"/>
    <n v="52.08"/>
    <x v="39"/>
    <s v="E-commerce"/>
    <s v="Website Banner"/>
    <n v="52.08"/>
    <x v="122"/>
    <x v="0"/>
    <x v="122"/>
  </r>
  <r>
    <n v="625"/>
    <x v="160"/>
    <n v="468"/>
    <n v="1"/>
    <n v="51.8"/>
    <n v="51.8"/>
    <n v="0"/>
    <n v="0"/>
    <n v="0"/>
    <n v="51.8"/>
    <x v="43"/>
    <s v="E-commerce"/>
    <s v="Website Banner"/>
    <n v="51.8"/>
    <x v="123"/>
    <x v="3"/>
    <x v="123"/>
  </r>
  <r>
    <n v="839"/>
    <x v="161"/>
    <n v="468"/>
    <n v="1"/>
    <n v="51.8"/>
    <n v="51.8"/>
    <n v="0"/>
    <n v="0"/>
    <n v="0"/>
    <n v="51.8"/>
    <x v="21"/>
    <s v="E-commerce"/>
    <s v="Website Banner"/>
    <n v="51.8"/>
    <x v="123"/>
    <x v="3"/>
    <x v="123"/>
  </r>
  <r>
    <n v="343"/>
    <x v="94"/>
    <n v="361"/>
    <n v="1"/>
    <n v="51.76"/>
    <n v="51.76"/>
    <n v="0"/>
    <n v="0"/>
    <n v="0"/>
    <n v="51.76"/>
    <x v="42"/>
    <s v="E-commerce"/>
    <s v="Website Banner"/>
    <n v="51.76"/>
    <x v="124"/>
    <x v="3"/>
    <x v="124"/>
  </r>
  <r>
    <n v="2951"/>
    <x v="162"/>
    <n v="76"/>
    <n v="1"/>
    <n v="51.7"/>
    <n v="51.7"/>
    <n v="0"/>
    <n v="0"/>
    <n v="0"/>
    <n v="51.7"/>
    <x v="38"/>
    <s v="App Mobile"/>
    <s v="App Mobile"/>
    <n v="51.7"/>
    <x v="125"/>
    <x v="2"/>
    <x v="125"/>
  </r>
  <r>
    <n v="1680"/>
    <x v="163"/>
    <n v="480"/>
    <n v="1"/>
    <n v="51.63"/>
    <n v="51.63"/>
    <n v="0"/>
    <n v="0"/>
    <n v="0"/>
    <n v="51.63"/>
    <x v="45"/>
    <s v="E-commerce"/>
    <s v="Website Banner"/>
    <n v="51.63"/>
    <x v="126"/>
    <x v="0"/>
    <x v="126"/>
  </r>
  <r>
    <n v="1641"/>
    <x v="164"/>
    <n v="386"/>
    <n v="1"/>
    <n v="51.38"/>
    <n v="51.38"/>
    <n v="0"/>
    <n v="0"/>
    <n v="0"/>
    <n v="51.38"/>
    <x v="2"/>
    <s v="E-commerce"/>
    <s v="Website Banner"/>
    <n v="51.38"/>
    <x v="127"/>
    <x v="0"/>
    <x v="127"/>
  </r>
  <r>
    <n v="1949"/>
    <x v="165"/>
    <n v="367"/>
    <n v="1"/>
    <n v="51.38"/>
    <n v="51.38"/>
    <n v="0"/>
    <n v="0"/>
    <n v="0"/>
    <n v="51.38"/>
    <x v="38"/>
    <s v="App Mobile"/>
    <s v="App Mobile"/>
    <n v="51.38"/>
    <x v="128"/>
    <x v="0"/>
    <x v="128"/>
  </r>
  <r>
    <n v="3076"/>
    <x v="166"/>
    <n v="170"/>
    <n v="1"/>
    <n v="51.27"/>
    <n v="51.27"/>
    <n v="0"/>
    <n v="0"/>
    <n v="0"/>
    <n v="51.27"/>
    <x v="25"/>
    <s v="E-commerce"/>
    <s v="Website Banner"/>
    <n v="51.27"/>
    <x v="129"/>
    <x v="0"/>
    <x v="129"/>
  </r>
  <r>
    <n v="2445"/>
    <x v="137"/>
    <n v="242"/>
    <n v="1"/>
    <n v="51.25"/>
    <n v="51.25"/>
    <n v="0"/>
    <n v="0"/>
    <n v="0"/>
    <n v="51.25"/>
    <x v="35"/>
    <s v="App Mobile"/>
    <s v="App Mobile"/>
    <n v="51.25"/>
    <x v="130"/>
    <x v="1"/>
    <x v="130"/>
  </r>
  <r>
    <n v="3110"/>
    <x v="113"/>
    <n v="336"/>
    <n v="1"/>
    <n v="51.22"/>
    <n v="51.22"/>
    <n v="0"/>
    <n v="0"/>
    <n v="0"/>
    <n v="51.22"/>
    <x v="45"/>
    <s v="E-commerce"/>
    <s v="Website Banner"/>
    <n v="51.22"/>
    <x v="131"/>
    <x v="4"/>
    <x v="131"/>
  </r>
  <r>
    <n v="1654"/>
    <x v="167"/>
    <n v="252"/>
    <n v="1"/>
    <n v="51.17"/>
    <n v="51.17"/>
    <n v="0"/>
    <n v="0"/>
    <n v="0"/>
    <n v="51.17"/>
    <x v="48"/>
    <s v="App Mobile"/>
    <s v="App Mobile"/>
    <n v="51.17"/>
    <x v="132"/>
    <x v="4"/>
    <x v="132"/>
  </r>
  <r>
    <n v="2177"/>
    <x v="168"/>
    <n v="252"/>
    <n v="1"/>
    <n v="51.17"/>
    <n v="51.17"/>
    <n v="0"/>
    <n v="0"/>
    <n v="0"/>
    <n v="51.17"/>
    <x v="17"/>
    <s v="E-commerce"/>
    <s v="Website Banner"/>
    <n v="51.17"/>
    <x v="132"/>
    <x v="4"/>
    <x v="132"/>
  </r>
  <r>
    <n v="3233"/>
    <x v="169"/>
    <n v="252"/>
    <n v="1"/>
    <n v="51.17"/>
    <n v="51.17"/>
    <n v="0"/>
    <n v="0"/>
    <n v="0"/>
    <n v="51.17"/>
    <x v="37"/>
    <s v="App Mobile"/>
    <s v="App Mobile"/>
    <n v="51.17"/>
    <x v="132"/>
    <x v="4"/>
    <x v="132"/>
  </r>
  <r>
    <n v="1590"/>
    <x v="170"/>
    <n v="255"/>
    <n v="1"/>
    <n v="51"/>
    <n v="51"/>
    <n v="0"/>
    <n v="0"/>
    <n v="0"/>
    <n v="51"/>
    <x v="18"/>
    <s v="E-commerce"/>
    <s v="Website Banner"/>
    <n v="51"/>
    <x v="133"/>
    <x v="2"/>
    <x v="133"/>
  </r>
  <r>
    <n v="2089"/>
    <x v="171"/>
    <n v="396"/>
    <n v="1"/>
    <n v="51"/>
    <n v="51"/>
    <n v="0"/>
    <n v="0"/>
    <n v="0"/>
    <n v="51"/>
    <x v="23"/>
    <s v="E-commerce"/>
    <s v="Website Banner"/>
    <n v="51"/>
    <x v="134"/>
    <x v="4"/>
    <x v="134"/>
  </r>
  <r>
    <n v="3334"/>
    <x v="172"/>
    <n v="255"/>
    <n v="1"/>
    <n v="51"/>
    <n v="51"/>
    <n v="0"/>
    <n v="0"/>
    <n v="0"/>
    <n v="51"/>
    <x v="13"/>
    <s v="App Mobile"/>
    <s v="App Mobile"/>
    <n v="51"/>
    <x v="133"/>
    <x v="2"/>
    <x v="133"/>
  </r>
  <r>
    <n v="3099"/>
    <x v="173"/>
    <n v="8"/>
    <n v="1"/>
    <n v="50.91"/>
    <n v="50.91"/>
    <n v="0"/>
    <n v="0"/>
    <n v="0"/>
    <n v="50.91"/>
    <x v="3"/>
    <s v="App Mobile"/>
    <s v="App Mobile"/>
    <n v="50.91"/>
    <x v="135"/>
    <x v="2"/>
    <x v="135"/>
  </r>
  <r>
    <n v="382"/>
    <x v="174"/>
    <n v="61"/>
    <n v="1"/>
    <n v="50.88"/>
    <n v="50.88"/>
    <n v="0"/>
    <n v="0"/>
    <n v="0"/>
    <n v="50.88"/>
    <x v="47"/>
    <s v="E-commerce"/>
    <s v="Website Banner"/>
    <n v="50.88"/>
    <x v="136"/>
    <x v="4"/>
    <x v="136"/>
  </r>
  <r>
    <n v="180"/>
    <x v="110"/>
    <n v="290"/>
    <n v="1"/>
    <n v="50.86"/>
    <n v="50.86"/>
    <n v="0"/>
    <n v="0"/>
    <n v="0"/>
    <n v="50.86"/>
    <x v="44"/>
    <s v="App Mobile"/>
    <s v="App Mobile"/>
    <n v="50.86"/>
    <x v="137"/>
    <x v="3"/>
    <x v="137"/>
  </r>
  <r>
    <n v="2274"/>
    <x v="175"/>
    <n v="450"/>
    <n v="1"/>
    <n v="50.85"/>
    <n v="50.85"/>
    <n v="0"/>
    <n v="0"/>
    <n v="0"/>
    <n v="50.85"/>
    <x v="21"/>
    <s v="App Mobile"/>
    <s v="App Mobile"/>
    <n v="50.85"/>
    <x v="138"/>
    <x v="3"/>
    <x v="138"/>
  </r>
  <r>
    <n v="998"/>
    <x v="176"/>
    <n v="273"/>
    <n v="1"/>
    <n v="50.72"/>
    <n v="50.72"/>
    <n v="0"/>
    <n v="0"/>
    <n v="0"/>
    <n v="50.72"/>
    <x v="16"/>
    <s v="App Mobile"/>
    <s v="App Mobile"/>
    <n v="50.72"/>
    <x v="139"/>
    <x v="4"/>
    <x v="139"/>
  </r>
  <r>
    <n v="3037"/>
    <x v="177"/>
    <n v="273"/>
    <n v="1"/>
    <n v="50.72"/>
    <n v="50.72"/>
    <n v="0"/>
    <n v="0"/>
    <n v="0"/>
    <n v="50.72"/>
    <x v="28"/>
    <s v="App Mobile"/>
    <s v="App Mobile"/>
    <n v="50.72"/>
    <x v="139"/>
    <x v="4"/>
    <x v="139"/>
  </r>
  <r>
    <n v="843"/>
    <x v="178"/>
    <n v="488"/>
    <n v="1"/>
    <n v="50.68"/>
    <n v="50.68"/>
    <n v="0"/>
    <n v="0"/>
    <n v="0"/>
    <n v="50.68"/>
    <x v="44"/>
    <s v="E-commerce"/>
    <s v="Website Banner"/>
    <n v="50.68"/>
    <x v="140"/>
    <x v="3"/>
    <x v="140"/>
  </r>
  <r>
    <n v="2908"/>
    <x v="179"/>
    <n v="488"/>
    <n v="1"/>
    <n v="50.68"/>
    <n v="50.68"/>
    <n v="0"/>
    <n v="0"/>
    <n v="0"/>
    <n v="50.68"/>
    <x v="39"/>
    <s v="App Mobile"/>
    <s v="App Mobile"/>
    <n v="50.68"/>
    <x v="140"/>
    <x v="3"/>
    <x v="140"/>
  </r>
  <r>
    <n v="1812"/>
    <x v="180"/>
    <n v="253"/>
    <n v="1"/>
    <n v="50.55"/>
    <n v="50.55"/>
    <n v="0"/>
    <n v="0"/>
    <n v="0"/>
    <n v="50.55"/>
    <x v="13"/>
    <s v="App Mobile"/>
    <s v="App Mobile"/>
    <n v="50.55"/>
    <x v="141"/>
    <x v="4"/>
    <x v="141"/>
  </r>
  <r>
    <n v="2421"/>
    <x v="181"/>
    <n v="253"/>
    <n v="1"/>
    <n v="50.55"/>
    <n v="50.55"/>
    <n v="0"/>
    <n v="0"/>
    <n v="0"/>
    <n v="50.55"/>
    <x v="8"/>
    <s v="App Mobile"/>
    <s v="App Mobile"/>
    <n v="50.55"/>
    <x v="141"/>
    <x v="4"/>
    <x v="141"/>
  </r>
  <r>
    <n v="2759"/>
    <x v="182"/>
    <n v="253"/>
    <n v="1"/>
    <n v="50.55"/>
    <n v="50.55"/>
    <n v="0"/>
    <n v="0"/>
    <n v="0"/>
    <n v="50.55"/>
    <x v="36"/>
    <s v="App Mobile"/>
    <s v="App Mobile"/>
    <n v="50.55"/>
    <x v="141"/>
    <x v="4"/>
    <x v="141"/>
  </r>
  <r>
    <n v="2939"/>
    <x v="183"/>
    <n v="253"/>
    <n v="1"/>
    <n v="50.55"/>
    <n v="50.55"/>
    <n v="0"/>
    <n v="0"/>
    <n v="0"/>
    <n v="50.55"/>
    <x v="40"/>
    <s v="E-commerce"/>
    <s v="Website Banner"/>
    <n v="50.55"/>
    <x v="141"/>
    <x v="4"/>
    <x v="141"/>
  </r>
  <r>
    <n v="939"/>
    <x v="184"/>
    <n v="193"/>
    <n v="1"/>
    <n v="50.52"/>
    <n v="50.52"/>
    <n v="0"/>
    <n v="0"/>
    <n v="0"/>
    <n v="50.52"/>
    <x v="5"/>
    <s v="E-commerce"/>
    <s v="Website Banner"/>
    <n v="50.52"/>
    <x v="142"/>
    <x v="4"/>
    <x v="142"/>
  </r>
  <r>
    <n v="1582"/>
    <x v="185"/>
    <n v="193"/>
    <n v="1"/>
    <n v="50.52"/>
    <n v="50.52"/>
    <n v="0"/>
    <n v="0"/>
    <n v="0"/>
    <n v="50.52"/>
    <x v="0"/>
    <s v="App Mobile"/>
    <s v="App Mobile"/>
    <n v="50.52"/>
    <x v="142"/>
    <x v="4"/>
    <x v="142"/>
  </r>
  <r>
    <n v="3295"/>
    <x v="186"/>
    <n v="193"/>
    <n v="1"/>
    <n v="50.52"/>
    <n v="50.52"/>
    <n v="0"/>
    <n v="0"/>
    <n v="0"/>
    <n v="50.52"/>
    <x v="34"/>
    <s v="E-commerce"/>
    <s v="Website Banner"/>
    <n v="50.52"/>
    <x v="142"/>
    <x v="4"/>
    <x v="142"/>
  </r>
  <r>
    <n v="2404"/>
    <x v="187"/>
    <n v="370"/>
    <n v="1"/>
    <n v="50.34"/>
    <n v="50.34"/>
    <n v="0"/>
    <n v="0"/>
    <n v="0"/>
    <n v="50.34"/>
    <x v="49"/>
    <s v="E-commerce"/>
    <s v="Website Banner"/>
    <n v="50.34"/>
    <x v="143"/>
    <x v="4"/>
    <x v="143"/>
  </r>
  <r>
    <n v="1176"/>
    <x v="188"/>
    <n v="150"/>
    <n v="1"/>
    <n v="50.04"/>
    <n v="50.04"/>
    <n v="0"/>
    <n v="0"/>
    <n v="0"/>
    <n v="50.04"/>
    <x v="38"/>
    <s v="App Mobile"/>
    <s v="App Mobile"/>
    <n v="50.04"/>
    <x v="144"/>
    <x v="4"/>
    <x v="144"/>
  </r>
  <r>
    <n v="1621"/>
    <x v="170"/>
    <n v="69"/>
    <n v="1"/>
    <n v="49.98"/>
    <n v="49.98"/>
    <n v="0"/>
    <n v="0"/>
    <n v="0"/>
    <n v="49.98"/>
    <x v="18"/>
    <s v="E-commerce"/>
    <s v="Website Banner"/>
    <n v="49.98"/>
    <x v="145"/>
    <x v="1"/>
    <x v="145"/>
  </r>
  <r>
    <n v="1297"/>
    <x v="189"/>
    <n v="487"/>
    <n v="1"/>
    <n v="49.84"/>
    <n v="49.84"/>
    <n v="0"/>
    <n v="0"/>
    <n v="0"/>
    <n v="49.84"/>
    <x v="13"/>
    <s v="App Mobile"/>
    <s v="App Mobile"/>
    <n v="49.84"/>
    <x v="146"/>
    <x v="1"/>
    <x v="146"/>
  </r>
  <r>
    <n v="1792"/>
    <x v="190"/>
    <n v="487"/>
    <n v="1"/>
    <n v="49.84"/>
    <n v="49.84"/>
    <n v="0"/>
    <n v="0"/>
    <n v="0"/>
    <n v="49.84"/>
    <x v="40"/>
    <s v="App Mobile"/>
    <s v="App Mobile"/>
    <n v="49.84"/>
    <x v="146"/>
    <x v="1"/>
    <x v="146"/>
  </r>
  <r>
    <n v="1078"/>
    <x v="191"/>
    <n v="436"/>
    <n v="1"/>
    <n v="49.81"/>
    <n v="49.81"/>
    <n v="0"/>
    <n v="0"/>
    <n v="0"/>
    <n v="49.81"/>
    <x v="26"/>
    <s v="E-commerce"/>
    <s v="Website Banner"/>
    <n v="49.81"/>
    <x v="147"/>
    <x v="1"/>
    <x v="147"/>
  </r>
  <r>
    <n v="2074"/>
    <x v="192"/>
    <n v="219"/>
    <n v="1"/>
    <n v="49.76"/>
    <n v="49.76"/>
    <n v="0"/>
    <n v="0"/>
    <n v="0"/>
    <n v="49.76"/>
    <x v="46"/>
    <s v="E-commerce"/>
    <s v="Website Banner"/>
    <n v="49.76"/>
    <x v="148"/>
    <x v="1"/>
    <x v="148"/>
  </r>
  <r>
    <n v="2677"/>
    <x v="76"/>
    <n v="173"/>
    <n v="1"/>
    <n v="49.74"/>
    <n v="49.74"/>
    <n v="0"/>
    <n v="0"/>
    <n v="0"/>
    <n v="49.74"/>
    <x v="38"/>
    <s v="E-commerce"/>
    <s v="Website Banner"/>
    <n v="49.74"/>
    <x v="149"/>
    <x v="0"/>
    <x v="149"/>
  </r>
  <r>
    <n v="3059"/>
    <x v="193"/>
    <n v="268"/>
    <n v="1"/>
    <n v="49.59"/>
    <n v="49.59"/>
    <n v="0"/>
    <n v="0"/>
    <n v="0"/>
    <n v="49.59"/>
    <x v="18"/>
    <s v="App Mobile"/>
    <s v="App Mobile"/>
    <n v="49.59"/>
    <x v="150"/>
    <x v="3"/>
    <x v="150"/>
  </r>
  <r>
    <n v="1262"/>
    <x v="194"/>
    <n v="190"/>
    <n v="1"/>
    <n v="49.41"/>
    <n v="49.41"/>
    <n v="0"/>
    <n v="0"/>
    <n v="0"/>
    <n v="49.41"/>
    <x v="21"/>
    <s v="E-commerce"/>
    <s v="Website Banner"/>
    <n v="49.41"/>
    <x v="151"/>
    <x v="0"/>
    <x v="151"/>
  </r>
  <r>
    <n v="2756"/>
    <x v="134"/>
    <n v="300"/>
    <n v="1"/>
    <n v="48.88"/>
    <n v="48.88"/>
    <n v="0"/>
    <n v="0"/>
    <n v="0"/>
    <n v="48.88"/>
    <x v="15"/>
    <s v="E-commerce"/>
    <s v="Website Banner"/>
    <n v="48.88"/>
    <x v="152"/>
    <x v="1"/>
    <x v="152"/>
  </r>
  <r>
    <n v="1127"/>
    <x v="195"/>
    <n v="216"/>
    <n v="1"/>
    <n v="48.86"/>
    <n v="48.86"/>
    <n v="0"/>
    <n v="0"/>
    <n v="0"/>
    <n v="48.86"/>
    <x v="6"/>
    <s v="E-commerce"/>
    <s v="Website Banner"/>
    <n v="48.86"/>
    <x v="153"/>
    <x v="1"/>
    <x v="153"/>
  </r>
  <r>
    <n v="862"/>
    <x v="196"/>
    <n v="295"/>
    <n v="1"/>
    <n v="48.73"/>
    <n v="48.73"/>
    <n v="0"/>
    <n v="0"/>
    <n v="0"/>
    <n v="48.73"/>
    <x v="7"/>
    <s v="App Mobile"/>
    <s v="App Mobile"/>
    <n v="48.73"/>
    <x v="154"/>
    <x v="2"/>
    <x v="154"/>
  </r>
  <r>
    <n v="1086"/>
    <x v="197"/>
    <n v="460"/>
    <n v="1"/>
    <n v="48.64"/>
    <n v="48.64"/>
    <n v="0"/>
    <n v="0"/>
    <n v="0"/>
    <n v="48.64"/>
    <x v="4"/>
    <s v="E-commerce"/>
    <s v="Website Banner"/>
    <n v="48.64"/>
    <x v="155"/>
    <x v="4"/>
    <x v="155"/>
  </r>
  <r>
    <n v="2517"/>
    <x v="198"/>
    <n v="406"/>
    <n v="1"/>
    <n v="53.74"/>
    <n v="48.37"/>
    <n v="5.37"/>
    <n v="0.1"/>
    <n v="1"/>
    <n v="48.37"/>
    <x v="32"/>
    <s v="E-commerce"/>
    <s v="Website Banner"/>
    <n v="48.37"/>
    <x v="156"/>
    <x v="2"/>
    <x v="156"/>
  </r>
  <r>
    <n v="1219"/>
    <x v="78"/>
    <n v="34"/>
    <n v="1"/>
    <n v="48.34"/>
    <n v="48.34"/>
    <n v="0"/>
    <n v="0"/>
    <n v="0"/>
    <n v="48.34"/>
    <x v="1"/>
    <s v="App Mobile"/>
    <s v="App Mobile"/>
    <n v="48.34"/>
    <x v="157"/>
    <x v="0"/>
    <x v="157"/>
  </r>
  <r>
    <n v="1375"/>
    <x v="199"/>
    <n v="34"/>
    <n v="1"/>
    <n v="48.34"/>
    <n v="48.34"/>
    <n v="0"/>
    <n v="0"/>
    <n v="0"/>
    <n v="48.34"/>
    <x v="25"/>
    <s v="E-commerce"/>
    <s v="Website Banner"/>
    <n v="48.34"/>
    <x v="157"/>
    <x v="0"/>
    <x v="157"/>
  </r>
  <r>
    <n v="214"/>
    <x v="129"/>
    <n v="230"/>
    <n v="1"/>
    <n v="48.3"/>
    <n v="48.3"/>
    <n v="0"/>
    <n v="0"/>
    <n v="0"/>
    <n v="48.3"/>
    <x v="43"/>
    <s v="App Mobile"/>
    <s v="App Mobile"/>
    <n v="48.3"/>
    <x v="158"/>
    <x v="3"/>
    <x v="158"/>
  </r>
  <r>
    <n v="391"/>
    <x v="184"/>
    <n v="230"/>
    <n v="1"/>
    <n v="48.3"/>
    <n v="48.3"/>
    <n v="0"/>
    <n v="0"/>
    <n v="0"/>
    <n v="48.3"/>
    <x v="5"/>
    <s v="E-commerce"/>
    <s v="Website Banner"/>
    <n v="48.3"/>
    <x v="158"/>
    <x v="3"/>
    <x v="158"/>
  </r>
  <r>
    <n v="154"/>
    <x v="200"/>
    <n v="455"/>
    <n v="1"/>
    <n v="48.03"/>
    <n v="48.03"/>
    <n v="0"/>
    <n v="0"/>
    <n v="0"/>
    <n v="48.03"/>
    <x v="31"/>
    <s v="E-commerce"/>
    <s v="Website Banner"/>
    <n v="48.03"/>
    <x v="159"/>
    <x v="2"/>
    <x v="159"/>
  </r>
  <r>
    <n v="1374"/>
    <x v="118"/>
    <n v="455"/>
    <n v="1"/>
    <n v="48.03"/>
    <n v="48.03"/>
    <n v="0"/>
    <n v="0"/>
    <n v="0"/>
    <n v="48.03"/>
    <x v="29"/>
    <s v="E-commerce"/>
    <s v="Website Banner"/>
    <n v="48.03"/>
    <x v="159"/>
    <x v="2"/>
    <x v="159"/>
  </r>
  <r>
    <n v="1672"/>
    <x v="201"/>
    <n v="121"/>
    <n v="1"/>
    <n v="47.91"/>
    <n v="47.91"/>
    <n v="0"/>
    <n v="0"/>
    <n v="0"/>
    <n v="47.91"/>
    <x v="25"/>
    <s v="E-commerce"/>
    <s v="Website Banner"/>
    <n v="47.91"/>
    <x v="160"/>
    <x v="1"/>
    <x v="160"/>
  </r>
  <r>
    <n v="3146"/>
    <x v="202"/>
    <n v="183"/>
    <n v="1"/>
    <n v="47.87"/>
    <n v="47.87"/>
    <n v="0"/>
    <n v="0"/>
    <n v="0"/>
    <n v="47.87"/>
    <x v="48"/>
    <s v="E-commerce"/>
    <s v="Website Banner"/>
    <n v="47.87"/>
    <x v="161"/>
    <x v="3"/>
    <x v="161"/>
  </r>
  <r>
    <n v="410"/>
    <x v="203"/>
    <n v="185"/>
    <n v="1"/>
    <n v="47.73"/>
    <n v="47.73"/>
    <n v="0"/>
    <n v="0"/>
    <n v="0"/>
    <n v="47.73"/>
    <x v="30"/>
    <s v="App Mobile"/>
    <s v="App Mobile"/>
    <n v="47.73"/>
    <x v="162"/>
    <x v="2"/>
    <x v="162"/>
  </r>
  <r>
    <n v="1805"/>
    <x v="204"/>
    <n v="447"/>
    <n v="1"/>
    <n v="47.66"/>
    <n v="47.66"/>
    <n v="0"/>
    <n v="0"/>
    <n v="0"/>
    <n v="47.66"/>
    <x v="46"/>
    <s v="App Mobile"/>
    <s v="App Mobile"/>
    <n v="47.66"/>
    <x v="163"/>
    <x v="0"/>
    <x v="163"/>
  </r>
  <r>
    <n v="2126"/>
    <x v="205"/>
    <n v="447"/>
    <n v="1"/>
    <n v="47.66"/>
    <n v="47.66"/>
    <n v="0"/>
    <n v="0"/>
    <n v="0"/>
    <n v="47.66"/>
    <x v="12"/>
    <s v="E-commerce"/>
    <s v="Website Banner"/>
    <n v="47.66"/>
    <x v="163"/>
    <x v="0"/>
    <x v="163"/>
  </r>
  <r>
    <n v="128"/>
    <x v="206"/>
    <n v="482"/>
    <n v="1"/>
    <n v="47.59"/>
    <n v="47.59"/>
    <n v="0"/>
    <n v="0"/>
    <n v="0"/>
    <n v="47.59"/>
    <x v="25"/>
    <s v="App Mobile"/>
    <s v="App Mobile"/>
    <n v="47.59"/>
    <x v="164"/>
    <x v="0"/>
    <x v="164"/>
  </r>
  <r>
    <n v="1247"/>
    <x v="41"/>
    <n v="410"/>
    <n v="1"/>
    <n v="47.47"/>
    <n v="47.47"/>
    <n v="0"/>
    <n v="0"/>
    <n v="0"/>
    <n v="47.47"/>
    <x v="13"/>
    <s v="App Mobile"/>
    <s v="App Mobile"/>
    <n v="47.47"/>
    <x v="165"/>
    <x v="3"/>
    <x v="165"/>
  </r>
  <r>
    <n v="2469"/>
    <x v="207"/>
    <n v="410"/>
    <n v="1"/>
    <n v="47.47"/>
    <n v="47.47"/>
    <n v="0"/>
    <n v="0"/>
    <n v="0"/>
    <n v="47.47"/>
    <x v="24"/>
    <s v="E-commerce"/>
    <s v="Website Banner"/>
    <n v="47.47"/>
    <x v="165"/>
    <x v="3"/>
    <x v="165"/>
  </r>
  <r>
    <n v="3079"/>
    <x v="208"/>
    <n v="410"/>
    <n v="1"/>
    <n v="47.47"/>
    <n v="47.47"/>
    <n v="0"/>
    <n v="0"/>
    <n v="0"/>
    <n v="47.47"/>
    <x v="0"/>
    <s v="E-commerce"/>
    <s v="Website Banner"/>
    <n v="47.47"/>
    <x v="165"/>
    <x v="3"/>
    <x v="165"/>
  </r>
  <r>
    <n v="371"/>
    <x v="209"/>
    <n v="254"/>
    <n v="1"/>
    <n v="47.44"/>
    <n v="47.44"/>
    <n v="0"/>
    <n v="0"/>
    <n v="0"/>
    <n v="47.44"/>
    <x v="4"/>
    <s v="E-commerce"/>
    <s v="Website Banner"/>
    <n v="47.44"/>
    <x v="166"/>
    <x v="1"/>
    <x v="166"/>
  </r>
  <r>
    <n v="1783"/>
    <x v="210"/>
    <n v="118"/>
    <n v="1"/>
    <n v="46.99"/>
    <n v="46.99"/>
    <n v="0"/>
    <n v="0"/>
    <n v="0"/>
    <n v="46.99"/>
    <x v="47"/>
    <s v="E-commerce"/>
    <s v="Website Banner"/>
    <n v="46.99"/>
    <x v="167"/>
    <x v="4"/>
    <x v="167"/>
  </r>
  <r>
    <n v="1570"/>
    <x v="211"/>
    <n v="217"/>
    <n v="1"/>
    <n v="52.12"/>
    <n v="46.91"/>
    <n v="5.21"/>
    <n v="0.1"/>
    <n v="1"/>
    <n v="46.91"/>
    <x v="32"/>
    <s v="E-commerce"/>
    <s v="Email"/>
    <n v="46.91"/>
    <x v="168"/>
    <x v="4"/>
    <x v="168"/>
  </r>
  <r>
    <n v="1718"/>
    <x v="212"/>
    <n v="275"/>
    <n v="1"/>
    <n v="52.11"/>
    <n v="46.9"/>
    <n v="5.21"/>
    <n v="0.1"/>
    <n v="1"/>
    <n v="46.9"/>
    <x v="37"/>
    <s v="E-commerce"/>
    <s v="Email"/>
    <n v="46.9"/>
    <x v="169"/>
    <x v="4"/>
    <x v="169"/>
  </r>
  <r>
    <n v="1984"/>
    <x v="213"/>
    <n v="132"/>
    <n v="1"/>
    <n v="46.9"/>
    <n v="46.9"/>
    <n v="0"/>
    <n v="0"/>
    <n v="0"/>
    <n v="46.9"/>
    <x v="34"/>
    <s v="E-commerce"/>
    <s v="Website Banner"/>
    <n v="46.9"/>
    <x v="170"/>
    <x v="1"/>
    <x v="170"/>
  </r>
  <r>
    <n v="2000"/>
    <x v="214"/>
    <n v="349"/>
    <n v="1"/>
    <n v="46.72"/>
    <n v="46.72"/>
    <n v="0"/>
    <n v="0"/>
    <n v="0"/>
    <n v="46.72"/>
    <x v="16"/>
    <s v="E-commerce"/>
    <s v="Website Banner"/>
    <n v="46.72"/>
    <x v="171"/>
    <x v="1"/>
    <x v="171"/>
  </r>
  <r>
    <n v="1147"/>
    <x v="215"/>
    <n v="131"/>
    <n v="1"/>
    <n v="66.63"/>
    <n v="46.64"/>
    <n v="19.989999999999998"/>
    <n v="0.3"/>
    <n v="1"/>
    <n v="46.64"/>
    <x v="42"/>
    <s v="App Mobile"/>
    <s v="Social Media"/>
    <n v="46.64"/>
    <x v="27"/>
    <x v="3"/>
    <x v="27"/>
  </r>
  <r>
    <n v="591"/>
    <x v="216"/>
    <n v="137"/>
    <n v="1"/>
    <n v="46.52"/>
    <n v="46.52"/>
    <n v="0"/>
    <n v="0"/>
    <n v="0"/>
    <n v="46.52"/>
    <x v="38"/>
    <s v="App Mobile"/>
    <s v="App Mobile"/>
    <n v="46.52"/>
    <x v="172"/>
    <x v="2"/>
    <x v="172"/>
  </r>
  <r>
    <n v="2413"/>
    <x v="58"/>
    <n v="137"/>
    <n v="1"/>
    <n v="46.52"/>
    <n v="46.52"/>
    <n v="0"/>
    <n v="0"/>
    <n v="0"/>
    <n v="46.52"/>
    <x v="18"/>
    <s v="E-commerce"/>
    <s v="Website Banner"/>
    <n v="46.52"/>
    <x v="172"/>
    <x v="2"/>
    <x v="172"/>
  </r>
  <r>
    <n v="2958"/>
    <x v="217"/>
    <n v="345"/>
    <n v="1"/>
    <n v="46.36"/>
    <n v="46.36"/>
    <n v="0"/>
    <n v="0"/>
    <n v="0"/>
    <n v="46.36"/>
    <x v="28"/>
    <s v="App Mobile"/>
    <s v="App Mobile"/>
    <n v="46.36"/>
    <x v="173"/>
    <x v="4"/>
    <x v="173"/>
  </r>
  <r>
    <n v="2594"/>
    <x v="218"/>
    <n v="351"/>
    <n v="1"/>
    <n v="46.11"/>
    <n v="46.11"/>
    <n v="0"/>
    <n v="0"/>
    <n v="0"/>
    <n v="46.11"/>
    <x v="17"/>
    <s v="App Mobile"/>
    <s v="App Mobile"/>
    <n v="46.11"/>
    <x v="174"/>
    <x v="2"/>
    <x v="174"/>
  </r>
  <r>
    <n v="1172"/>
    <x v="219"/>
    <n v="94"/>
    <n v="1"/>
    <n v="45.8"/>
    <n v="45.8"/>
    <n v="0"/>
    <n v="0"/>
    <n v="0"/>
    <n v="45.8"/>
    <x v="36"/>
    <s v="E-commerce"/>
    <s v="Website Banner"/>
    <n v="45.8"/>
    <x v="175"/>
    <x v="1"/>
    <x v="175"/>
  </r>
  <r>
    <n v="2591"/>
    <x v="220"/>
    <n v="94"/>
    <n v="1"/>
    <n v="45.8"/>
    <n v="45.8"/>
    <n v="0"/>
    <n v="0"/>
    <n v="0"/>
    <n v="45.8"/>
    <x v="33"/>
    <s v="E-commerce"/>
    <s v="Website Banner"/>
    <n v="45.8"/>
    <x v="175"/>
    <x v="1"/>
    <x v="175"/>
  </r>
  <r>
    <n v="264"/>
    <x v="221"/>
    <n v="161"/>
    <n v="1"/>
    <n v="45.75"/>
    <n v="45.75"/>
    <n v="0"/>
    <n v="0"/>
    <n v="0"/>
    <n v="45.75"/>
    <x v="41"/>
    <s v="App Mobile"/>
    <s v="App Mobile"/>
    <n v="45.75"/>
    <x v="176"/>
    <x v="4"/>
    <x v="176"/>
  </r>
  <r>
    <n v="601"/>
    <x v="222"/>
    <n v="19"/>
    <n v="1"/>
    <n v="65.260000000000005"/>
    <n v="45.68"/>
    <n v="19.579999999999998"/>
    <n v="0.3"/>
    <n v="1"/>
    <n v="45.68"/>
    <x v="42"/>
    <s v="App Mobile"/>
    <s v="Social Media"/>
    <n v="45.68"/>
    <x v="177"/>
    <x v="0"/>
    <x v="177"/>
  </r>
  <r>
    <n v="2347"/>
    <x v="223"/>
    <n v="19"/>
    <n v="1"/>
    <n v="65.260000000000005"/>
    <n v="45.68"/>
    <n v="19.579999999999998"/>
    <n v="0.3"/>
    <n v="1"/>
    <n v="45.68"/>
    <x v="12"/>
    <s v="App Mobile"/>
    <s v="Social Media"/>
    <n v="45.68"/>
    <x v="177"/>
    <x v="0"/>
    <x v="177"/>
  </r>
  <r>
    <n v="872"/>
    <x v="224"/>
    <n v="201"/>
    <n v="1"/>
    <n v="45.62"/>
    <n v="45.62"/>
    <n v="0"/>
    <n v="0"/>
    <n v="0"/>
    <n v="45.62"/>
    <x v="13"/>
    <s v="E-commerce"/>
    <s v="Website Banner"/>
    <n v="45.62"/>
    <x v="178"/>
    <x v="4"/>
    <x v="178"/>
  </r>
  <r>
    <n v="1607"/>
    <x v="107"/>
    <n v="229"/>
    <n v="1"/>
    <n v="45.58"/>
    <n v="45.58"/>
    <n v="0"/>
    <n v="0"/>
    <n v="0"/>
    <n v="45.58"/>
    <x v="2"/>
    <s v="App Mobile"/>
    <s v="App Mobile"/>
    <n v="45.58"/>
    <x v="179"/>
    <x v="1"/>
    <x v="179"/>
  </r>
  <r>
    <n v="3056"/>
    <x v="225"/>
    <n v="229"/>
    <n v="1"/>
    <n v="45.58"/>
    <n v="45.58"/>
    <n v="0"/>
    <n v="0"/>
    <n v="0"/>
    <n v="45.58"/>
    <x v="6"/>
    <s v="E-commerce"/>
    <s v="Website Banner"/>
    <n v="45.58"/>
    <x v="179"/>
    <x v="1"/>
    <x v="179"/>
  </r>
  <r>
    <n v="2148"/>
    <x v="226"/>
    <n v="20"/>
    <n v="1"/>
    <n v="45.42"/>
    <n v="45.42"/>
    <n v="0"/>
    <n v="0"/>
    <n v="0"/>
    <n v="45.42"/>
    <x v="25"/>
    <s v="E-commerce"/>
    <s v="Website Banner"/>
    <n v="45.42"/>
    <x v="180"/>
    <x v="0"/>
    <x v="180"/>
  </r>
  <r>
    <n v="2786"/>
    <x v="227"/>
    <n v="20"/>
    <n v="1"/>
    <n v="45.42"/>
    <n v="45.42"/>
    <n v="0"/>
    <n v="0"/>
    <n v="0"/>
    <n v="45.42"/>
    <x v="37"/>
    <s v="App Mobile"/>
    <s v="App Mobile"/>
    <n v="45.42"/>
    <x v="180"/>
    <x v="0"/>
    <x v="180"/>
  </r>
  <r>
    <n v="2593"/>
    <x v="228"/>
    <n v="370"/>
    <n v="1"/>
    <n v="50.34"/>
    <n v="45.31"/>
    <n v="5.03"/>
    <n v="0.1"/>
    <n v="1"/>
    <n v="45.31"/>
    <x v="37"/>
    <s v="E-commerce"/>
    <s v="Email"/>
    <n v="45.31"/>
    <x v="143"/>
    <x v="4"/>
    <x v="143"/>
  </r>
  <r>
    <n v="1417"/>
    <x v="229"/>
    <n v="109"/>
    <n v="1"/>
    <n v="45.27"/>
    <n v="45.27"/>
    <n v="0"/>
    <n v="0"/>
    <n v="0"/>
    <n v="45.27"/>
    <x v="19"/>
    <s v="App Mobile"/>
    <s v="App Mobile"/>
    <n v="45.27"/>
    <x v="181"/>
    <x v="0"/>
    <x v="181"/>
  </r>
  <r>
    <n v="1448"/>
    <x v="230"/>
    <n v="109"/>
    <n v="1"/>
    <n v="45.27"/>
    <n v="45.27"/>
    <n v="0"/>
    <n v="0"/>
    <n v="0"/>
    <n v="45.27"/>
    <x v="8"/>
    <s v="App Mobile"/>
    <s v="App Mobile"/>
    <n v="45.27"/>
    <x v="181"/>
    <x v="0"/>
    <x v="181"/>
  </r>
  <r>
    <n v="2480"/>
    <x v="231"/>
    <n v="109"/>
    <n v="1"/>
    <n v="45.27"/>
    <n v="45.27"/>
    <n v="0"/>
    <n v="0"/>
    <n v="0"/>
    <n v="45.27"/>
    <x v="35"/>
    <s v="E-commerce"/>
    <s v="Website Banner"/>
    <n v="45.27"/>
    <x v="181"/>
    <x v="0"/>
    <x v="181"/>
  </r>
  <r>
    <n v="3144"/>
    <x v="232"/>
    <n v="404"/>
    <n v="1"/>
    <n v="45.19"/>
    <n v="45.19"/>
    <n v="0"/>
    <n v="0"/>
    <n v="0"/>
    <n v="45.19"/>
    <x v="18"/>
    <s v="App Mobile"/>
    <s v="App Mobile"/>
    <n v="45.19"/>
    <x v="182"/>
    <x v="3"/>
    <x v="182"/>
  </r>
  <r>
    <n v="2470"/>
    <x v="233"/>
    <n v="158"/>
    <n v="1"/>
    <n v="45.15"/>
    <n v="45.15"/>
    <n v="0"/>
    <n v="0"/>
    <n v="0"/>
    <n v="45.15"/>
    <x v="38"/>
    <s v="App Mobile"/>
    <s v="App Mobile"/>
    <n v="45.15"/>
    <x v="183"/>
    <x v="0"/>
    <x v="183"/>
  </r>
  <r>
    <n v="2722"/>
    <x v="234"/>
    <n v="12"/>
    <n v="1"/>
    <n v="44.77"/>
    <n v="44.77"/>
    <n v="0"/>
    <n v="0"/>
    <n v="0"/>
    <n v="44.77"/>
    <x v="13"/>
    <s v="App Mobile"/>
    <s v="App Mobile"/>
    <n v="44.77"/>
    <x v="184"/>
    <x v="0"/>
    <x v="184"/>
  </r>
  <r>
    <n v="1295"/>
    <x v="235"/>
    <n v="322"/>
    <n v="1"/>
    <n v="44.45"/>
    <n v="44.45"/>
    <n v="0"/>
    <n v="0"/>
    <n v="0"/>
    <n v="44.45"/>
    <x v="17"/>
    <s v="App Mobile"/>
    <s v="App Mobile"/>
    <n v="44.45"/>
    <x v="185"/>
    <x v="0"/>
    <x v="185"/>
  </r>
  <r>
    <n v="1130"/>
    <x v="113"/>
    <n v="55"/>
    <n v="1"/>
    <n v="44.32"/>
    <n v="44.32"/>
    <n v="0"/>
    <n v="0"/>
    <n v="0"/>
    <n v="44.32"/>
    <x v="45"/>
    <s v="E-commerce"/>
    <s v="Website Banner"/>
    <n v="44.32"/>
    <x v="186"/>
    <x v="4"/>
    <x v="186"/>
  </r>
  <r>
    <n v="1193"/>
    <x v="236"/>
    <n v="55"/>
    <n v="1"/>
    <n v="44.32"/>
    <n v="44.32"/>
    <n v="0"/>
    <n v="0"/>
    <n v="0"/>
    <n v="44.32"/>
    <x v="35"/>
    <s v="E-commerce"/>
    <s v="Website Banner"/>
    <n v="44.32"/>
    <x v="186"/>
    <x v="4"/>
    <x v="186"/>
  </r>
  <r>
    <n v="73"/>
    <x v="5"/>
    <n v="280"/>
    <n v="1"/>
    <n v="44.14"/>
    <n v="44.14"/>
    <n v="0"/>
    <n v="0"/>
    <n v="0"/>
    <n v="44.14"/>
    <x v="5"/>
    <s v="App Mobile"/>
    <s v="App Mobile"/>
    <n v="44.14"/>
    <x v="187"/>
    <x v="4"/>
    <x v="187"/>
  </r>
  <r>
    <n v="350"/>
    <x v="237"/>
    <n v="373"/>
    <n v="1"/>
    <n v="44.12"/>
    <n v="44.12"/>
    <n v="0"/>
    <n v="0"/>
    <n v="0"/>
    <n v="44.12"/>
    <x v="8"/>
    <s v="E-commerce"/>
    <s v="Website Banner"/>
    <n v="44.12"/>
    <x v="188"/>
    <x v="1"/>
    <x v="188"/>
  </r>
  <r>
    <n v="3019"/>
    <x v="238"/>
    <n v="373"/>
    <n v="1"/>
    <n v="44.12"/>
    <n v="44.12"/>
    <n v="0"/>
    <n v="0"/>
    <n v="0"/>
    <n v="44.12"/>
    <x v="0"/>
    <s v="E-commerce"/>
    <s v="Website Banner"/>
    <n v="44.12"/>
    <x v="188"/>
    <x v="1"/>
    <x v="188"/>
  </r>
  <r>
    <n v="565"/>
    <x v="239"/>
    <n v="184"/>
    <n v="1"/>
    <n v="44.08"/>
    <n v="44.08"/>
    <n v="0"/>
    <n v="0"/>
    <n v="0"/>
    <n v="44.08"/>
    <x v="11"/>
    <s v="E-commerce"/>
    <s v="Website Banner"/>
    <n v="44.08"/>
    <x v="189"/>
    <x v="2"/>
    <x v="189"/>
  </r>
  <r>
    <n v="2655"/>
    <x v="55"/>
    <n v="184"/>
    <n v="1"/>
    <n v="44.08"/>
    <n v="44.08"/>
    <n v="0"/>
    <n v="0"/>
    <n v="0"/>
    <n v="44.08"/>
    <x v="31"/>
    <s v="App Mobile"/>
    <s v="App Mobile"/>
    <n v="44.08"/>
    <x v="189"/>
    <x v="2"/>
    <x v="189"/>
  </r>
  <r>
    <n v="1143"/>
    <x v="240"/>
    <n v="231"/>
    <n v="1"/>
    <n v="44.06"/>
    <n v="44.06"/>
    <n v="0"/>
    <n v="0"/>
    <n v="0"/>
    <n v="44.06"/>
    <x v="35"/>
    <s v="App Mobile"/>
    <s v="App Mobile"/>
    <n v="44.06"/>
    <x v="190"/>
    <x v="1"/>
    <x v="190"/>
  </r>
  <r>
    <n v="3118"/>
    <x v="241"/>
    <n v="231"/>
    <n v="1"/>
    <n v="44.06"/>
    <n v="44.06"/>
    <n v="0"/>
    <n v="0"/>
    <n v="0"/>
    <n v="44.06"/>
    <x v="14"/>
    <s v="E-commerce"/>
    <s v="Website Banner"/>
    <n v="44.06"/>
    <x v="190"/>
    <x v="1"/>
    <x v="190"/>
  </r>
  <r>
    <n v="1119"/>
    <x v="242"/>
    <n v="277"/>
    <n v="1"/>
    <n v="43.92"/>
    <n v="43.92"/>
    <n v="0"/>
    <n v="0"/>
    <n v="0"/>
    <n v="43.92"/>
    <x v="23"/>
    <s v="App Mobile"/>
    <s v="App Mobile"/>
    <n v="43.92"/>
    <x v="191"/>
    <x v="4"/>
    <x v="191"/>
  </r>
  <r>
    <n v="2358"/>
    <x v="243"/>
    <n v="277"/>
    <n v="1"/>
    <n v="43.92"/>
    <n v="43.92"/>
    <n v="0"/>
    <n v="0"/>
    <n v="0"/>
    <n v="43.92"/>
    <x v="48"/>
    <s v="E-commerce"/>
    <s v="Website Banner"/>
    <n v="43.92"/>
    <x v="191"/>
    <x v="4"/>
    <x v="191"/>
  </r>
  <r>
    <n v="1793"/>
    <x v="244"/>
    <n v="363"/>
    <n v="1"/>
    <n v="43.64"/>
    <n v="43.64"/>
    <n v="0"/>
    <n v="0"/>
    <n v="0"/>
    <n v="43.64"/>
    <x v="36"/>
    <s v="E-commerce"/>
    <s v="Website Banner"/>
    <n v="43.64"/>
    <x v="192"/>
    <x v="0"/>
    <x v="192"/>
  </r>
  <r>
    <n v="1056"/>
    <x v="245"/>
    <n v="374"/>
    <n v="1"/>
    <n v="43.43"/>
    <n v="43.43"/>
    <n v="0"/>
    <n v="0"/>
    <n v="0"/>
    <n v="43.43"/>
    <x v="19"/>
    <s v="App Mobile"/>
    <s v="App Mobile"/>
    <n v="43.43"/>
    <x v="193"/>
    <x v="3"/>
    <x v="193"/>
  </r>
  <r>
    <n v="1780"/>
    <x v="10"/>
    <n v="311"/>
    <n v="1"/>
    <n v="43.38"/>
    <n v="43.38"/>
    <n v="0"/>
    <n v="0"/>
    <n v="0"/>
    <n v="43.38"/>
    <x v="10"/>
    <s v="E-commerce"/>
    <s v="Website Banner"/>
    <n v="43.38"/>
    <x v="194"/>
    <x v="0"/>
    <x v="194"/>
  </r>
  <r>
    <n v="1957"/>
    <x v="246"/>
    <n v="434"/>
    <n v="1"/>
    <n v="43.14"/>
    <n v="43.14"/>
    <n v="0"/>
    <n v="0"/>
    <n v="0"/>
    <n v="43.14"/>
    <x v="11"/>
    <s v="E-commerce"/>
    <s v="Website Banner"/>
    <n v="43.14"/>
    <x v="195"/>
    <x v="4"/>
    <x v="195"/>
  </r>
  <r>
    <n v="2131"/>
    <x v="247"/>
    <n v="123"/>
    <n v="1"/>
    <n v="61.51"/>
    <n v="43.06"/>
    <n v="18.45"/>
    <n v="0.3"/>
    <n v="1"/>
    <n v="43.06"/>
    <x v="45"/>
    <s v="App Mobile"/>
    <s v="Social Media"/>
    <n v="43.06"/>
    <x v="196"/>
    <x v="3"/>
    <x v="196"/>
  </r>
  <r>
    <n v="3227"/>
    <x v="248"/>
    <n v="102"/>
    <n v="1"/>
    <n v="43.06"/>
    <n v="43.06"/>
    <n v="0"/>
    <n v="0"/>
    <n v="0"/>
    <n v="43.06"/>
    <x v="40"/>
    <s v="App Mobile"/>
    <s v="App Mobile"/>
    <n v="43.06"/>
    <x v="197"/>
    <x v="4"/>
    <x v="197"/>
  </r>
  <r>
    <n v="2532"/>
    <x v="249"/>
    <n v="369"/>
    <n v="1"/>
    <n v="43.04"/>
    <n v="43.04"/>
    <n v="0"/>
    <n v="0"/>
    <n v="0"/>
    <n v="43.04"/>
    <x v="50"/>
    <s v="E-commerce"/>
    <s v="Website Banner"/>
    <n v="43.04"/>
    <x v="198"/>
    <x v="0"/>
    <x v="198"/>
  </r>
  <r>
    <n v="461"/>
    <x v="138"/>
    <n v="476"/>
    <n v="1"/>
    <n v="42.72"/>
    <n v="42.72"/>
    <n v="0"/>
    <n v="0"/>
    <n v="0"/>
    <n v="42.72"/>
    <x v="39"/>
    <s v="E-commerce"/>
    <s v="Website Banner"/>
    <n v="42.72"/>
    <x v="199"/>
    <x v="1"/>
    <x v="199"/>
  </r>
  <r>
    <n v="1765"/>
    <x v="250"/>
    <n v="476"/>
    <n v="1"/>
    <n v="42.72"/>
    <n v="42.72"/>
    <n v="0"/>
    <n v="0"/>
    <n v="0"/>
    <n v="42.72"/>
    <x v="5"/>
    <s v="E-commerce"/>
    <s v="Website Banner"/>
    <n v="42.72"/>
    <x v="199"/>
    <x v="1"/>
    <x v="199"/>
  </r>
  <r>
    <n v="2242"/>
    <x v="251"/>
    <n v="375"/>
    <n v="1"/>
    <n v="42.67"/>
    <n v="42.67"/>
    <n v="0"/>
    <n v="0"/>
    <n v="0"/>
    <n v="42.67"/>
    <x v="19"/>
    <s v="E-commerce"/>
    <s v="Website Banner"/>
    <n v="42.67"/>
    <x v="200"/>
    <x v="1"/>
    <x v="200"/>
  </r>
  <r>
    <n v="2158"/>
    <x v="252"/>
    <n v="177"/>
    <n v="1"/>
    <n v="42.66"/>
    <n v="42.66"/>
    <n v="0"/>
    <n v="0"/>
    <n v="0"/>
    <n v="42.66"/>
    <x v="40"/>
    <s v="App Mobile"/>
    <s v="App Mobile"/>
    <n v="42.66"/>
    <x v="201"/>
    <x v="3"/>
    <x v="201"/>
  </r>
  <r>
    <n v="2563"/>
    <x v="253"/>
    <n v="377"/>
    <n v="1"/>
    <n v="42.5"/>
    <n v="42.5"/>
    <n v="0"/>
    <n v="0"/>
    <n v="0"/>
    <n v="42.5"/>
    <x v="11"/>
    <s v="App Mobile"/>
    <s v="App Mobile"/>
    <n v="42.5"/>
    <x v="202"/>
    <x v="1"/>
    <x v="202"/>
  </r>
  <r>
    <n v="1635"/>
    <x v="254"/>
    <n v="135"/>
    <n v="1"/>
    <n v="42.47"/>
    <n v="42.47"/>
    <n v="0"/>
    <n v="0"/>
    <n v="0"/>
    <n v="42.47"/>
    <x v="20"/>
    <s v="E-commerce"/>
    <s v="Website Banner"/>
    <n v="42.47"/>
    <x v="203"/>
    <x v="1"/>
    <x v="203"/>
  </r>
  <r>
    <n v="1697"/>
    <x v="255"/>
    <n v="135"/>
    <n v="1"/>
    <n v="42.47"/>
    <n v="42.47"/>
    <n v="0"/>
    <n v="0"/>
    <n v="0"/>
    <n v="42.47"/>
    <x v="29"/>
    <s v="E-commerce"/>
    <s v="Website Banner"/>
    <n v="42.47"/>
    <x v="203"/>
    <x v="1"/>
    <x v="203"/>
  </r>
  <r>
    <n v="278"/>
    <x v="256"/>
    <n v="149"/>
    <n v="1"/>
    <n v="42.24"/>
    <n v="42.24"/>
    <n v="0"/>
    <n v="0"/>
    <n v="0"/>
    <n v="42.24"/>
    <x v="47"/>
    <s v="E-commerce"/>
    <s v="Website Banner"/>
    <n v="42.24"/>
    <x v="204"/>
    <x v="2"/>
    <x v="204"/>
  </r>
  <r>
    <n v="1354"/>
    <x v="257"/>
    <n v="287"/>
    <n v="1"/>
    <n v="60.34"/>
    <n v="42.24"/>
    <n v="18.100000000000001"/>
    <n v="0.3"/>
    <n v="1"/>
    <n v="42.24"/>
    <x v="47"/>
    <s v="App Mobile"/>
    <s v="Social Media"/>
    <n v="42.24"/>
    <x v="50"/>
    <x v="3"/>
    <x v="50"/>
  </r>
  <r>
    <n v="1749"/>
    <x v="258"/>
    <n v="309"/>
    <n v="1"/>
    <n v="42.14"/>
    <n v="42.14"/>
    <n v="0"/>
    <n v="0"/>
    <n v="0"/>
    <n v="42.14"/>
    <x v="31"/>
    <s v="E-commerce"/>
    <s v="Website Banner"/>
    <n v="42.14"/>
    <x v="205"/>
    <x v="0"/>
    <x v="205"/>
  </r>
  <r>
    <n v="2637"/>
    <x v="259"/>
    <n v="309"/>
    <n v="1"/>
    <n v="42.14"/>
    <n v="42.14"/>
    <n v="0"/>
    <n v="0"/>
    <n v="0"/>
    <n v="42.14"/>
    <x v="15"/>
    <s v="E-commerce"/>
    <s v="Website Banner"/>
    <n v="42.14"/>
    <x v="205"/>
    <x v="0"/>
    <x v="205"/>
  </r>
  <r>
    <n v="1072"/>
    <x v="260"/>
    <n v="344"/>
    <n v="1"/>
    <n v="42.1"/>
    <n v="42.1"/>
    <n v="0"/>
    <n v="0"/>
    <n v="0"/>
    <n v="42.1"/>
    <x v="42"/>
    <s v="E-commerce"/>
    <s v="Website Banner"/>
    <n v="42.1"/>
    <x v="206"/>
    <x v="4"/>
    <x v="206"/>
  </r>
  <r>
    <n v="923"/>
    <x v="261"/>
    <n v="202"/>
    <n v="1"/>
    <n v="41.88"/>
    <n v="41.88"/>
    <n v="0"/>
    <n v="0"/>
    <n v="0"/>
    <n v="41.88"/>
    <x v="23"/>
    <s v="App Mobile"/>
    <s v="App Mobile"/>
    <n v="41.88"/>
    <x v="207"/>
    <x v="4"/>
    <x v="207"/>
  </r>
  <r>
    <n v="1456"/>
    <x v="262"/>
    <n v="144"/>
    <n v="1"/>
    <n v="41.84"/>
    <n v="41.84"/>
    <n v="0"/>
    <n v="0"/>
    <n v="0"/>
    <n v="41.84"/>
    <x v="16"/>
    <s v="App Mobile"/>
    <s v="App Mobile"/>
    <n v="41.84"/>
    <x v="208"/>
    <x v="2"/>
    <x v="208"/>
  </r>
  <r>
    <n v="1669"/>
    <x v="263"/>
    <n v="172"/>
    <n v="1"/>
    <n v="41.7"/>
    <n v="41.7"/>
    <n v="0"/>
    <n v="0"/>
    <n v="0"/>
    <n v="41.7"/>
    <x v="43"/>
    <s v="App Mobile"/>
    <s v="App Mobile"/>
    <n v="41.7"/>
    <x v="209"/>
    <x v="1"/>
    <x v="209"/>
  </r>
  <r>
    <n v="3108"/>
    <x v="264"/>
    <n v="291"/>
    <n v="1"/>
    <n v="59.56"/>
    <n v="41.69"/>
    <n v="17.87"/>
    <n v="0.3"/>
    <n v="1"/>
    <n v="41.69"/>
    <x v="42"/>
    <s v="App Mobile"/>
    <s v="Social Media"/>
    <n v="41.69"/>
    <x v="58"/>
    <x v="1"/>
    <x v="58"/>
  </r>
  <r>
    <n v="2724"/>
    <x v="63"/>
    <n v="423"/>
    <n v="1"/>
    <n v="41.64"/>
    <n v="41.64"/>
    <n v="0"/>
    <n v="0"/>
    <n v="0"/>
    <n v="41.64"/>
    <x v="33"/>
    <s v="App Mobile"/>
    <s v="App Mobile"/>
    <n v="41.64"/>
    <x v="210"/>
    <x v="4"/>
    <x v="210"/>
  </r>
  <r>
    <n v="495"/>
    <x v="265"/>
    <n v="157"/>
    <n v="1"/>
    <n v="41.56"/>
    <n v="41.56"/>
    <n v="0"/>
    <n v="0"/>
    <n v="0"/>
    <n v="41.56"/>
    <x v="7"/>
    <s v="App Mobile"/>
    <s v="App Mobile"/>
    <n v="41.56"/>
    <x v="211"/>
    <x v="3"/>
    <x v="211"/>
  </r>
  <r>
    <n v="967"/>
    <x v="266"/>
    <n v="289"/>
    <n v="1"/>
    <n v="41.51"/>
    <n v="41.51"/>
    <n v="0"/>
    <n v="0"/>
    <n v="0"/>
    <n v="41.51"/>
    <x v="1"/>
    <s v="App Mobile"/>
    <s v="App Mobile"/>
    <n v="41.51"/>
    <x v="212"/>
    <x v="0"/>
    <x v="212"/>
  </r>
  <r>
    <n v="1477"/>
    <x v="55"/>
    <n v="86"/>
    <n v="1"/>
    <n v="41.26"/>
    <n v="41.26"/>
    <n v="0"/>
    <n v="0"/>
    <n v="0"/>
    <n v="41.26"/>
    <x v="31"/>
    <s v="App Mobile"/>
    <s v="App Mobile"/>
    <n v="41.26"/>
    <x v="213"/>
    <x v="3"/>
    <x v="213"/>
  </r>
  <r>
    <n v="1806"/>
    <x v="31"/>
    <n v="86"/>
    <n v="1"/>
    <n v="41.26"/>
    <n v="41.26"/>
    <n v="0"/>
    <n v="0"/>
    <n v="0"/>
    <n v="41.26"/>
    <x v="23"/>
    <s v="E-commerce"/>
    <s v="Website Banner"/>
    <n v="41.26"/>
    <x v="213"/>
    <x v="3"/>
    <x v="213"/>
  </r>
  <r>
    <n v="4"/>
    <x v="267"/>
    <n v="18"/>
    <n v="1"/>
    <n v="40.99"/>
    <n v="40.99"/>
    <n v="0"/>
    <n v="0"/>
    <n v="0"/>
    <n v="40.99"/>
    <x v="48"/>
    <s v="App Mobile"/>
    <s v="App Mobile"/>
    <n v="40.99"/>
    <x v="214"/>
    <x v="1"/>
    <x v="214"/>
  </r>
  <r>
    <n v="387"/>
    <x v="268"/>
    <n v="18"/>
    <n v="1"/>
    <n v="40.99"/>
    <n v="40.99"/>
    <n v="0"/>
    <n v="0"/>
    <n v="0"/>
    <n v="40.99"/>
    <x v="4"/>
    <s v="App Mobile"/>
    <s v="App Mobile"/>
    <n v="40.99"/>
    <x v="214"/>
    <x v="1"/>
    <x v="214"/>
  </r>
  <r>
    <n v="1242"/>
    <x v="269"/>
    <n v="18"/>
    <n v="1"/>
    <n v="40.99"/>
    <n v="40.99"/>
    <n v="0"/>
    <n v="0"/>
    <n v="0"/>
    <n v="40.99"/>
    <x v="29"/>
    <s v="E-commerce"/>
    <s v="Website Banner"/>
    <n v="40.99"/>
    <x v="214"/>
    <x v="1"/>
    <x v="214"/>
  </r>
  <r>
    <n v="984"/>
    <x v="270"/>
    <n v="471"/>
    <n v="1"/>
    <n v="40.92"/>
    <n v="40.92"/>
    <n v="0"/>
    <n v="0"/>
    <n v="0"/>
    <n v="40.92"/>
    <x v="34"/>
    <s v="App Mobile"/>
    <s v="App Mobile"/>
    <n v="40.92"/>
    <x v="215"/>
    <x v="4"/>
    <x v="215"/>
  </r>
  <r>
    <n v="1289"/>
    <x v="271"/>
    <n v="471"/>
    <n v="1"/>
    <n v="40.92"/>
    <n v="40.92"/>
    <n v="0"/>
    <n v="0"/>
    <n v="0"/>
    <n v="40.92"/>
    <x v="34"/>
    <s v="App Mobile"/>
    <s v="App Mobile"/>
    <n v="40.92"/>
    <x v="215"/>
    <x v="4"/>
    <x v="215"/>
  </r>
  <r>
    <n v="2048"/>
    <x v="272"/>
    <n v="471"/>
    <n v="1"/>
    <n v="40.92"/>
    <n v="40.92"/>
    <n v="0"/>
    <n v="0"/>
    <n v="0"/>
    <n v="40.92"/>
    <x v="33"/>
    <s v="App Mobile"/>
    <s v="App Mobile"/>
    <n v="40.92"/>
    <x v="215"/>
    <x v="4"/>
    <x v="215"/>
  </r>
  <r>
    <n v="3242"/>
    <x v="273"/>
    <n v="366"/>
    <n v="1"/>
    <n v="58.34"/>
    <n v="40.840000000000003"/>
    <n v="17.5"/>
    <n v="0.3"/>
    <n v="1"/>
    <n v="40.840000000000003"/>
    <x v="29"/>
    <s v="App Mobile"/>
    <s v="Social Media"/>
    <n v="40.840000000000003"/>
    <x v="64"/>
    <x v="2"/>
    <x v="64"/>
  </r>
  <r>
    <n v="94"/>
    <x v="274"/>
    <n v="22"/>
    <n v="1"/>
    <n v="58.26"/>
    <n v="40.78"/>
    <n v="17.48"/>
    <n v="0.3"/>
    <n v="1"/>
    <n v="40.78"/>
    <x v="29"/>
    <s v="App Mobile"/>
    <s v="Social Media"/>
    <n v="40.78"/>
    <x v="65"/>
    <x v="4"/>
    <x v="65"/>
  </r>
  <r>
    <n v="1093"/>
    <x v="275"/>
    <n v="293"/>
    <n v="1"/>
    <n v="40.770000000000003"/>
    <n v="40.770000000000003"/>
    <n v="0"/>
    <n v="0"/>
    <n v="0"/>
    <n v="40.770000000000003"/>
    <x v="1"/>
    <s v="App Mobile"/>
    <s v="App Mobile"/>
    <n v="40.770000000000003"/>
    <x v="216"/>
    <x v="1"/>
    <x v="216"/>
  </r>
  <r>
    <n v="1596"/>
    <x v="276"/>
    <n v="293"/>
    <n v="1"/>
    <n v="40.770000000000003"/>
    <n v="40.770000000000003"/>
    <n v="0"/>
    <n v="0"/>
    <n v="0"/>
    <n v="40.770000000000003"/>
    <x v="43"/>
    <s v="App Mobile"/>
    <s v="App Mobile"/>
    <n v="40.770000000000003"/>
    <x v="216"/>
    <x v="1"/>
    <x v="216"/>
  </r>
  <r>
    <n v="2328"/>
    <x v="277"/>
    <n v="293"/>
    <n v="1"/>
    <n v="40.770000000000003"/>
    <n v="40.770000000000003"/>
    <n v="0"/>
    <n v="0"/>
    <n v="0"/>
    <n v="40.770000000000003"/>
    <x v="2"/>
    <s v="E-commerce"/>
    <s v="Website Banner"/>
    <n v="40.770000000000003"/>
    <x v="216"/>
    <x v="1"/>
    <x v="216"/>
  </r>
  <r>
    <n v="341"/>
    <x v="278"/>
    <n v="106"/>
    <n v="1"/>
    <n v="40.75"/>
    <n v="40.75"/>
    <n v="0"/>
    <n v="0"/>
    <n v="0"/>
    <n v="40.75"/>
    <x v="45"/>
    <s v="E-commerce"/>
    <s v="Website Banner"/>
    <n v="40.75"/>
    <x v="217"/>
    <x v="4"/>
    <x v="217"/>
  </r>
  <r>
    <n v="2604"/>
    <x v="213"/>
    <n v="106"/>
    <n v="1"/>
    <n v="40.75"/>
    <n v="40.75"/>
    <n v="0"/>
    <n v="0"/>
    <n v="0"/>
    <n v="40.75"/>
    <x v="34"/>
    <s v="E-commerce"/>
    <s v="Website Banner"/>
    <n v="40.75"/>
    <x v="217"/>
    <x v="4"/>
    <x v="217"/>
  </r>
  <r>
    <n v="1528"/>
    <x v="90"/>
    <n v="9"/>
    <n v="1"/>
    <n v="40.5"/>
    <n v="40.5"/>
    <n v="0"/>
    <n v="0"/>
    <n v="0"/>
    <n v="40.5"/>
    <x v="3"/>
    <s v="E-commerce"/>
    <s v="Website Banner"/>
    <n v="40.5"/>
    <x v="218"/>
    <x v="1"/>
    <x v="218"/>
  </r>
  <r>
    <n v="2929"/>
    <x v="279"/>
    <n v="83"/>
    <n v="1"/>
    <n v="57.8"/>
    <n v="40.46"/>
    <n v="17.34"/>
    <n v="0.3"/>
    <n v="1"/>
    <n v="40.46"/>
    <x v="29"/>
    <s v="App Mobile"/>
    <s v="Social Media"/>
    <n v="40.46"/>
    <x v="70"/>
    <x v="4"/>
    <x v="70"/>
  </r>
  <r>
    <n v="1164"/>
    <x v="280"/>
    <n v="16"/>
    <n v="1"/>
    <n v="40.36"/>
    <n v="40.36"/>
    <n v="0"/>
    <n v="0"/>
    <n v="0"/>
    <n v="40.36"/>
    <x v="5"/>
    <s v="E-commerce"/>
    <s v="Website Banner"/>
    <n v="40.36"/>
    <x v="219"/>
    <x v="2"/>
    <x v="219"/>
  </r>
  <r>
    <n v="583"/>
    <x v="281"/>
    <n v="92"/>
    <n v="1"/>
    <n v="40.25"/>
    <n v="40.25"/>
    <n v="0"/>
    <n v="0"/>
    <n v="0"/>
    <n v="40.25"/>
    <x v="28"/>
    <s v="E-commerce"/>
    <s v="Website Banner"/>
    <n v="40.25"/>
    <x v="220"/>
    <x v="1"/>
    <x v="220"/>
  </r>
  <r>
    <n v="2279"/>
    <x v="282"/>
    <n v="292"/>
    <n v="1"/>
    <n v="40.119999999999997"/>
    <n v="40.119999999999997"/>
    <n v="0"/>
    <n v="0"/>
    <n v="0"/>
    <n v="40.119999999999997"/>
    <x v="45"/>
    <s v="E-commerce"/>
    <s v="Website Banner"/>
    <n v="40.119999999999997"/>
    <x v="221"/>
    <x v="4"/>
    <x v="221"/>
  </r>
  <r>
    <n v="3073"/>
    <x v="283"/>
    <n v="407"/>
    <n v="1"/>
    <n v="56.84"/>
    <n v="39.79"/>
    <n v="17.05"/>
    <n v="0.3"/>
    <n v="1"/>
    <n v="39.79"/>
    <x v="29"/>
    <s v="App Mobile"/>
    <s v="Social Media"/>
    <n v="39.79"/>
    <x v="222"/>
    <x v="4"/>
    <x v="222"/>
  </r>
  <r>
    <n v="1031"/>
    <x v="5"/>
    <n v="325"/>
    <n v="1"/>
    <n v="39.78"/>
    <n v="39.78"/>
    <n v="0"/>
    <n v="0"/>
    <n v="0"/>
    <n v="39.78"/>
    <x v="5"/>
    <s v="App Mobile"/>
    <s v="App Mobile"/>
    <n v="39.78"/>
    <x v="223"/>
    <x v="1"/>
    <x v="223"/>
  </r>
  <r>
    <n v="1366"/>
    <x v="284"/>
    <n v="226"/>
    <n v="1"/>
    <n v="39.78"/>
    <n v="39.78"/>
    <n v="0"/>
    <n v="0"/>
    <n v="0"/>
    <n v="39.78"/>
    <x v="48"/>
    <s v="App Mobile"/>
    <s v="App Mobile"/>
    <n v="39.78"/>
    <x v="224"/>
    <x v="3"/>
    <x v="224"/>
  </r>
  <r>
    <n v="2032"/>
    <x v="285"/>
    <n v="325"/>
    <n v="1"/>
    <n v="39.78"/>
    <n v="39.78"/>
    <n v="0"/>
    <n v="0"/>
    <n v="0"/>
    <n v="39.78"/>
    <x v="50"/>
    <s v="E-commerce"/>
    <s v="Website Banner"/>
    <n v="39.78"/>
    <x v="223"/>
    <x v="1"/>
    <x v="223"/>
  </r>
  <r>
    <n v="2802"/>
    <x v="92"/>
    <n v="283"/>
    <n v="1"/>
    <n v="39.619999999999997"/>
    <n v="39.619999999999997"/>
    <n v="0"/>
    <n v="0"/>
    <n v="0"/>
    <n v="39.619999999999997"/>
    <x v="0"/>
    <s v="E-commerce"/>
    <s v="Website Banner"/>
    <n v="39.619999999999997"/>
    <x v="225"/>
    <x v="1"/>
    <x v="225"/>
  </r>
  <r>
    <n v="490"/>
    <x v="181"/>
    <n v="490"/>
    <n v="1"/>
    <n v="39.42"/>
    <n v="39.42"/>
    <n v="0"/>
    <n v="0"/>
    <n v="0"/>
    <n v="39.42"/>
    <x v="8"/>
    <s v="App Mobile"/>
    <s v="App Mobile"/>
    <n v="39.42"/>
    <x v="226"/>
    <x v="1"/>
    <x v="226"/>
  </r>
  <r>
    <n v="1057"/>
    <x v="286"/>
    <n v="178"/>
    <n v="1"/>
    <n v="39.340000000000003"/>
    <n v="39.340000000000003"/>
    <n v="0"/>
    <n v="0"/>
    <n v="0"/>
    <n v="39.340000000000003"/>
    <x v="45"/>
    <s v="E-commerce"/>
    <s v="Website Banner"/>
    <n v="39.340000000000003"/>
    <x v="227"/>
    <x v="2"/>
    <x v="227"/>
  </r>
  <r>
    <n v="1817"/>
    <x v="287"/>
    <n v="178"/>
    <n v="1"/>
    <n v="39.340000000000003"/>
    <n v="39.340000000000003"/>
    <n v="0"/>
    <n v="0"/>
    <n v="0"/>
    <n v="39.340000000000003"/>
    <x v="38"/>
    <s v="E-commerce"/>
    <s v="Website Banner"/>
    <n v="39.340000000000003"/>
    <x v="227"/>
    <x v="2"/>
    <x v="227"/>
  </r>
  <r>
    <n v="3205"/>
    <x v="288"/>
    <n v="467"/>
    <n v="1"/>
    <n v="39.22"/>
    <n v="39.22"/>
    <n v="0"/>
    <n v="0"/>
    <n v="0"/>
    <n v="39.22"/>
    <x v="0"/>
    <s v="E-commerce"/>
    <s v="Website Banner"/>
    <n v="39.22"/>
    <x v="228"/>
    <x v="2"/>
    <x v="228"/>
  </r>
  <r>
    <n v="69"/>
    <x v="289"/>
    <n v="113"/>
    <n v="1"/>
    <n v="39.18"/>
    <n v="39.18"/>
    <n v="0"/>
    <n v="0"/>
    <n v="0"/>
    <n v="39.18"/>
    <x v="22"/>
    <s v="E-commerce"/>
    <s v="Website Banner"/>
    <n v="39.18"/>
    <x v="229"/>
    <x v="0"/>
    <x v="229"/>
  </r>
  <r>
    <n v="2633"/>
    <x v="79"/>
    <n v="93"/>
    <n v="1"/>
    <n v="39.18"/>
    <n v="39.18"/>
    <n v="0"/>
    <n v="0"/>
    <n v="0"/>
    <n v="39.18"/>
    <x v="16"/>
    <s v="E-commerce"/>
    <s v="Website Banner"/>
    <n v="39.18"/>
    <x v="230"/>
    <x v="2"/>
    <x v="230"/>
  </r>
  <r>
    <n v="1517"/>
    <x v="290"/>
    <n v="456"/>
    <n v="1"/>
    <n v="39.090000000000003"/>
    <n v="39.090000000000003"/>
    <n v="0"/>
    <n v="0"/>
    <n v="0"/>
    <n v="39.090000000000003"/>
    <x v="13"/>
    <s v="E-commerce"/>
    <s v="Website Banner"/>
    <n v="39.090000000000003"/>
    <x v="231"/>
    <x v="0"/>
    <x v="231"/>
  </r>
  <r>
    <n v="2921"/>
    <x v="291"/>
    <n v="456"/>
    <n v="1"/>
    <n v="39.090000000000003"/>
    <n v="39.090000000000003"/>
    <n v="0"/>
    <n v="0"/>
    <n v="0"/>
    <n v="39.090000000000003"/>
    <x v="44"/>
    <s v="E-commerce"/>
    <s v="Website Banner"/>
    <n v="39.090000000000003"/>
    <x v="231"/>
    <x v="0"/>
    <x v="231"/>
  </r>
  <r>
    <n v="924"/>
    <x v="292"/>
    <n v="311"/>
    <n v="1"/>
    <n v="43.38"/>
    <n v="39.04"/>
    <n v="4.34"/>
    <n v="0.1"/>
    <n v="1"/>
    <n v="39.04"/>
    <x v="30"/>
    <s v="E-commerce"/>
    <s v="Email"/>
    <n v="39.04"/>
    <x v="194"/>
    <x v="0"/>
    <x v="194"/>
  </r>
  <r>
    <n v="938"/>
    <x v="293"/>
    <n v="96"/>
    <n v="1"/>
    <n v="39.03"/>
    <n v="39.03"/>
    <n v="0"/>
    <n v="0"/>
    <n v="0"/>
    <n v="39.03"/>
    <x v="28"/>
    <s v="E-commerce"/>
    <s v="Website Banner"/>
    <n v="39.03"/>
    <x v="232"/>
    <x v="4"/>
    <x v="232"/>
  </r>
  <r>
    <n v="2316"/>
    <x v="294"/>
    <n v="477"/>
    <n v="1"/>
    <n v="38.9"/>
    <n v="38.9"/>
    <n v="0"/>
    <n v="0"/>
    <n v="0"/>
    <n v="38.9"/>
    <x v="14"/>
    <s v="App Mobile"/>
    <s v="App Mobile"/>
    <n v="38.9"/>
    <x v="233"/>
    <x v="1"/>
    <x v="233"/>
  </r>
  <r>
    <n v="949"/>
    <x v="40"/>
    <n v="180"/>
    <n v="1"/>
    <n v="38.81"/>
    <n v="38.81"/>
    <n v="0"/>
    <n v="0"/>
    <n v="0"/>
    <n v="38.81"/>
    <x v="22"/>
    <s v="E-commerce"/>
    <s v="Website Banner"/>
    <n v="38.81"/>
    <x v="234"/>
    <x v="1"/>
    <x v="234"/>
  </r>
  <r>
    <n v="1280"/>
    <x v="295"/>
    <n v="180"/>
    <n v="1"/>
    <n v="38.81"/>
    <n v="38.81"/>
    <n v="0"/>
    <n v="0"/>
    <n v="0"/>
    <n v="38.81"/>
    <x v="0"/>
    <s v="App Mobile"/>
    <s v="App Mobile"/>
    <n v="38.81"/>
    <x v="234"/>
    <x v="1"/>
    <x v="234"/>
  </r>
  <r>
    <n v="2905"/>
    <x v="296"/>
    <n v="438"/>
    <n v="1"/>
    <n v="38.74"/>
    <n v="38.74"/>
    <n v="0"/>
    <n v="0"/>
    <n v="0"/>
    <n v="38.74"/>
    <x v="5"/>
    <s v="E-commerce"/>
    <s v="Website Banner"/>
    <n v="38.74"/>
    <x v="235"/>
    <x v="0"/>
    <x v="235"/>
  </r>
  <r>
    <n v="779"/>
    <x v="297"/>
    <n v="233"/>
    <n v="1"/>
    <n v="38.68"/>
    <n v="38.68"/>
    <n v="0"/>
    <n v="0"/>
    <n v="0"/>
    <n v="38.68"/>
    <x v="19"/>
    <s v="E-commerce"/>
    <s v="Website Banner"/>
    <n v="38.68"/>
    <x v="236"/>
    <x v="1"/>
    <x v="236"/>
  </r>
  <r>
    <n v="2927"/>
    <x v="32"/>
    <n v="233"/>
    <n v="1"/>
    <n v="38.68"/>
    <n v="38.68"/>
    <n v="0"/>
    <n v="0"/>
    <n v="0"/>
    <n v="38.68"/>
    <x v="18"/>
    <s v="App Mobile"/>
    <s v="App Mobile"/>
    <n v="38.68"/>
    <x v="236"/>
    <x v="1"/>
    <x v="236"/>
  </r>
  <r>
    <n v="1363"/>
    <x v="298"/>
    <n v="107"/>
    <n v="1"/>
    <n v="55.06"/>
    <n v="38.54"/>
    <n v="16.52"/>
    <n v="0.3"/>
    <n v="1"/>
    <n v="38.54"/>
    <x v="47"/>
    <s v="App Mobile"/>
    <s v="Social Media"/>
    <n v="38.54"/>
    <x v="90"/>
    <x v="1"/>
    <x v="90"/>
  </r>
  <r>
    <n v="654"/>
    <x v="299"/>
    <n v="376"/>
    <n v="1"/>
    <n v="38.520000000000003"/>
    <n v="38.520000000000003"/>
    <n v="0"/>
    <n v="0"/>
    <n v="0"/>
    <n v="38.520000000000003"/>
    <x v="50"/>
    <s v="E-commerce"/>
    <s v="Website Banner"/>
    <n v="38.520000000000003"/>
    <x v="237"/>
    <x v="3"/>
    <x v="237"/>
  </r>
  <r>
    <n v="740"/>
    <x v="300"/>
    <n v="188"/>
    <n v="1"/>
    <n v="55.01"/>
    <n v="38.51"/>
    <n v="16.5"/>
    <n v="0.3"/>
    <n v="1"/>
    <n v="38.51"/>
    <x v="12"/>
    <s v="App Mobile"/>
    <s v="Social Media"/>
    <n v="38.51"/>
    <x v="94"/>
    <x v="1"/>
    <x v="94"/>
  </r>
  <r>
    <n v="420"/>
    <x v="301"/>
    <n v="256"/>
    <n v="1"/>
    <n v="38.409999999999997"/>
    <n v="38.409999999999997"/>
    <n v="0"/>
    <n v="0"/>
    <n v="0"/>
    <n v="38.409999999999997"/>
    <x v="42"/>
    <s v="E-commerce"/>
    <s v="Website Banner"/>
    <n v="38.409999999999997"/>
    <x v="238"/>
    <x v="3"/>
    <x v="238"/>
  </r>
  <r>
    <n v="599"/>
    <x v="220"/>
    <n v="256"/>
    <n v="1"/>
    <n v="38.409999999999997"/>
    <n v="38.409999999999997"/>
    <n v="0"/>
    <n v="0"/>
    <n v="0"/>
    <n v="38.409999999999997"/>
    <x v="33"/>
    <s v="E-commerce"/>
    <s v="Website Banner"/>
    <n v="38.409999999999997"/>
    <x v="238"/>
    <x v="3"/>
    <x v="238"/>
  </r>
  <r>
    <n v="3272"/>
    <x v="222"/>
    <n v="32"/>
    <n v="1"/>
    <n v="54.83"/>
    <n v="38.380000000000003"/>
    <n v="16.45"/>
    <n v="0.3"/>
    <n v="1"/>
    <n v="38.380000000000003"/>
    <x v="42"/>
    <s v="App Mobile"/>
    <s v="Social Media"/>
    <n v="38.380000000000003"/>
    <x v="97"/>
    <x v="4"/>
    <x v="97"/>
  </r>
  <r>
    <n v="78"/>
    <x v="302"/>
    <n v="240"/>
    <n v="1"/>
    <n v="38.14"/>
    <n v="38.14"/>
    <n v="0"/>
    <n v="0"/>
    <n v="0"/>
    <n v="38.14"/>
    <x v="34"/>
    <s v="App Mobile"/>
    <s v="App Mobile"/>
    <n v="38.14"/>
    <x v="239"/>
    <x v="2"/>
    <x v="239"/>
  </r>
  <r>
    <n v="629"/>
    <x v="303"/>
    <n v="240"/>
    <n v="1"/>
    <n v="38.14"/>
    <n v="38.14"/>
    <n v="0"/>
    <n v="0"/>
    <n v="0"/>
    <n v="38.14"/>
    <x v="34"/>
    <s v="App Mobile"/>
    <s v="App Mobile"/>
    <n v="38.14"/>
    <x v="239"/>
    <x v="2"/>
    <x v="239"/>
  </r>
  <r>
    <n v="2511"/>
    <x v="304"/>
    <n v="240"/>
    <n v="1"/>
    <n v="38.14"/>
    <n v="38.14"/>
    <n v="0"/>
    <n v="0"/>
    <n v="0"/>
    <n v="38.14"/>
    <x v="19"/>
    <s v="App Mobile"/>
    <s v="App Mobile"/>
    <n v="38.14"/>
    <x v="239"/>
    <x v="2"/>
    <x v="239"/>
  </r>
  <r>
    <n v="281"/>
    <x v="305"/>
    <n v="48"/>
    <n v="1"/>
    <n v="54.38"/>
    <n v="38.07"/>
    <n v="16.309999999999999"/>
    <n v="0.3"/>
    <n v="1"/>
    <n v="38.07"/>
    <x v="12"/>
    <s v="App Mobile"/>
    <s v="Social Media"/>
    <n v="38.07"/>
    <x v="240"/>
    <x v="1"/>
    <x v="240"/>
  </r>
  <r>
    <n v="242"/>
    <x v="306"/>
    <n v="387"/>
    <n v="1"/>
    <n v="38.06"/>
    <n v="38.06"/>
    <n v="0"/>
    <n v="0"/>
    <n v="0"/>
    <n v="38.06"/>
    <x v="33"/>
    <s v="E-commerce"/>
    <s v="Website Banner"/>
    <n v="38.06"/>
    <x v="241"/>
    <x v="3"/>
    <x v="241"/>
  </r>
  <r>
    <n v="1060"/>
    <x v="307"/>
    <n v="387"/>
    <n v="1"/>
    <n v="38.06"/>
    <n v="38.06"/>
    <n v="0"/>
    <n v="0"/>
    <n v="0"/>
    <n v="38.06"/>
    <x v="33"/>
    <s v="App Mobile"/>
    <s v="App Mobile"/>
    <n v="38.06"/>
    <x v="241"/>
    <x v="3"/>
    <x v="241"/>
  </r>
  <r>
    <n v="106"/>
    <x v="308"/>
    <n v="500"/>
    <n v="1"/>
    <n v="38.03"/>
    <n v="38.03"/>
    <n v="0"/>
    <n v="0"/>
    <n v="0"/>
    <n v="38.03"/>
    <x v="24"/>
    <s v="E-commerce"/>
    <s v="Website Banner"/>
    <n v="38.03"/>
    <x v="242"/>
    <x v="0"/>
    <x v="242"/>
  </r>
  <r>
    <n v="2217"/>
    <x v="309"/>
    <n v="500"/>
    <n v="1"/>
    <n v="38.03"/>
    <n v="38.03"/>
    <n v="0"/>
    <n v="0"/>
    <n v="0"/>
    <n v="38.03"/>
    <x v="39"/>
    <s v="App Mobile"/>
    <s v="App Mobile"/>
    <n v="38.03"/>
    <x v="242"/>
    <x v="0"/>
    <x v="242"/>
  </r>
  <r>
    <n v="1405"/>
    <x v="310"/>
    <n v="41"/>
    <n v="1"/>
    <n v="37.94"/>
    <n v="37.94"/>
    <n v="0"/>
    <n v="0"/>
    <n v="0"/>
    <n v="37.94"/>
    <x v="18"/>
    <s v="App Mobile"/>
    <s v="App Mobile"/>
    <n v="37.94"/>
    <x v="243"/>
    <x v="2"/>
    <x v="243"/>
  </r>
  <r>
    <n v="233"/>
    <x v="311"/>
    <n v="208"/>
    <n v="1"/>
    <n v="37.450000000000003"/>
    <n v="37.450000000000003"/>
    <n v="0"/>
    <n v="0"/>
    <n v="0"/>
    <n v="37.450000000000003"/>
    <x v="40"/>
    <s v="E-commerce"/>
    <s v="Website Banner"/>
    <n v="37.450000000000003"/>
    <x v="244"/>
    <x v="4"/>
    <x v="244"/>
  </r>
  <r>
    <n v="1063"/>
    <x v="267"/>
    <n v="208"/>
    <n v="1"/>
    <n v="37.450000000000003"/>
    <n v="37.450000000000003"/>
    <n v="0"/>
    <n v="0"/>
    <n v="0"/>
    <n v="37.450000000000003"/>
    <x v="48"/>
    <s v="App Mobile"/>
    <s v="App Mobile"/>
    <n v="37.450000000000003"/>
    <x v="244"/>
    <x v="4"/>
    <x v="244"/>
  </r>
  <r>
    <n v="2906"/>
    <x v="312"/>
    <n v="215"/>
    <n v="1"/>
    <n v="37.11"/>
    <n v="37.11"/>
    <n v="0"/>
    <n v="0"/>
    <n v="0"/>
    <n v="37.11"/>
    <x v="13"/>
    <s v="E-commerce"/>
    <s v="Website Banner"/>
    <n v="37.11"/>
    <x v="245"/>
    <x v="2"/>
    <x v="245"/>
  </r>
  <r>
    <n v="844"/>
    <x v="313"/>
    <n v="243"/>
    <n v="1"/>
    <n v="37.06"/>
    <n v="37.06"/>
    <n v="0"/>
    <n v="0"/>
    <n v="0"/>
    <n v="37.06"/>
    <x v="9"/>
    <s v="E-commerce"/>
    <s v="Website Banner"/>
    <n v="37.06"/>
    <x v="246"/>
    <x v="3"/>
    <x v="246"/>
  </r>
  <r>
    <n v="1842"/>
    <x v="314"/>
    <n v="243"/>
    <n v="1"/>
    <n v="37.06"/>
    <n v="37.06"/>
    <n v="0"/>
    <n v="0"/>
    <n v="0"/>
    <n v="37.06"/>
    <x v="18"/>
    <s v="App Mobile"/>
    <s v="App Mobile"/>
    <n v="37.06"/>
    <x v="246"/>
    <x v="3"/>
    <x v="246"/>
  </r>
  <r>
    <n v="2664"/>
    <x v="315"/>
    <n v="262"/>
    <n v="1"/>
    <n v="52.94"/>
    <n v="37.06"/>
    <n v="15.88"/>
    <n v="0.3"/>
    <n v="1"/>
    <n v="37.06"/>
    <x v="45"/>
    <s v="App Mobile"/>
    <s v="Social Media"/>
    <n v="37.06"/>
    <x v="111"/>
    <x v="3"/>
    <x v="111"/>
  </r>
  <r>
    <n v="2778"/>
    <x v="64"/>
    <n v="243"/>
    <n v="1"/>
    <n v="37.06"/>
    <n v="37.06"/>
    <n v="0"/>
    <n v="0"/>
    <n v="0"/>
    <n v="37.06"/>
    <x v="16"/>
    <s v="E-commerce"/>
    <s v="Website Banner"/>
    <n v="37.06"/>
    <x v="246"/>
    <x v="3"/>
    <x v="246"/>
  </r>
  <r>
    <n v="3062"/>
    <x v="316"/>
    <n v="441"/>
    <n v="1"/>
    <n v="36.99"/>
    <n v="36.99"/>
    <n v="0"/>
    <n v="0"/>
    <n v="0"/>
    <n v="36.99"/>
    <x v="49"/>
    <s v="App Mobile"/>
    <s v="App Mobile"/>
    <n v="36.99"/>
    <x v="247"/>
    <x v="0"/>
    <x v="247"/>
  </r>
  <r>
    <n v="443"/>
    <x v="317"/>
    <n v="75"/>
    <n v="1"/>
    <n v="52.83"/>
    <n v="36.979999999999997"/>
    <n v="15.85"/>
    <n v="0.3"/>
    <n v="1"/>
    <n v="36.979999999999997"/>
    <x v="42"/>
    <s v="App Mobile"/>
    <s v="Social Media"/>
    <n v="36.979999999999997"/>
    <x v="113"/>
    <x v="3"/>
    <x v="113"/>
  </r>
  <r>
    <n v="1519"/>
    <x v="313"/>
    <n v="251"/>
    <n v="1"/>
    <n v="36.880000000000003"/>
    <n v="36.880000000000003"/>
    <n v="0"/>
    <n v="0"/>
    <n v="0"/>
    <n v="36.880000000000003"/>
    <x v="9"/>
    <s v="E-commerce"/>
    <s v="Website Banner"/>
    <n v="36.880000000000003"/>
    <x v="248"/>
    <x v="4"/>
    <x v="248"/>
  </r>
  <r>
    <n v="2643"/>
    <x v="318"/>
    <n v="251"/>
    <n v="1"/>
    <n v="36.880000000000003"/>
    <n v="36.880000000000003"/>
    <n v="0"/>
    <n v="0"/>
    <n v="0"/>
    <n v="36.880000000000003"/>
    <x v="47"/>
    <s v="E-commerce"/>
    <s v="Website Banner"/>
    <n v="36.880000000000003"/>
    <x v="248"/>
    <x v="4"/>
    <x v="248"/>
  </r>
  <r>
    <n v="2630"/>
    <x v="319"/>
    <n v="5"/>
    <n v="1"/>
    <n v="36.840000000000003"/>
    <n v="36.840000000000003"/>
    <n v="0"/>
    <n v="0"/>
    <n v="0"/>
    <n v="36.840000000000003"/>
    <x v="8"/>
    <s v="App Mobile"/>
    <s v="App Mobile"/>
    <n v="36.840000000000003"/>
    <x v="249"/>
    <x v="2"/>
    <x v="249"/>
  </r>
  <r>
    <n v="3365"/>
    <x v="320"/>
    <n v="495"/>
    <n v="1"/>
    <n v="36.65"/>
    <n v="36.65"/>
    <n v="0"/>
    <n v="0"/>
    <n v="0"/>
    <n v="36.65"/>
    <x v="46"/>
    <s v="E-commerce"/>
    <s v="Website Banner"/>
    <n v="36.65"/>
    <x v="250"/>
    <x v="0"/>
    <x v="250"/>
  </r>
  <r>
    <n v="1466"/>
    <x v="321"/>
    <n v="151"/>
    <n v="1"/>
    <n v="36.47"/>
    <n v="36.47"/>
    <n v="0"/>
    <n v="0"/>
    <n v="0"/>
    <n v="36.47"/>
    <x v="35"/>
    <s v="App Mobile"/>
    <s v="App Mobile"/>
    <n v="36.47"/>
    <x v="251"/>
    <x v="2"/>
    <x v="251"/>
  </r>
  <r>
    <n v="1588"/>
    <x v="317"/>
    <n v="140"/>
    <n v="1"/>
    <n v="52.08"/>
    <n v="36.46"/>
    <n v="15.62"/>
    <n v="0.3"/>
    <n v="1"/>
    <n v="36.46"/>
    <x v="42"/>
    <s v="App Mobile"/>
    <s v="Social Media"/>
    <n v="36.46"/>
    <x v="122"/>
    <x v="0"/>
    <x v="122"/>
  </r>
  <r>
    <n v="1543"/>
    <x v="322"/>
    <n v="427"/>
    <n v="1"/>
    <n v="36.01"/>
    <n v="36.01"/>
    <n v="0"/>
    <n v="0"/>
    <n v="0"/>
    <n v="36.01"/>
    <x v="22"/>
    <s v="E-commerce"/>
    <s v="Website Banner"/>
    <n v="36.01"/>
    <x v="252"/>
    <x v="3"/>
    <x v="252"/>
  </r>
  <r>
    <n v="83"/>
    <x v="323"/>
    <n v="367"/>
    <n v="1"/>
    <n v="51.38"/>
    <n v="35.97"/>
    <n v="15.41"/>
    <n v="0.3"/>
    <n v="1"/>
    <n v="35.97"/>
    <x v="29"/>
    <s v="App Mobile"/>
    <s v="Social Media"/>
    <n v="35.97"/>
    <x v="128"/>
    <x v="0"/>
    <x v="128"/>
  </r>
  <r>
    <n v="2390"/>
    <x v="324"/>
    <n v="313"/>
    <n v="1"/>
    <n v="35.69"/>
    <n v="35.69"/>
    <n v="0"/>
    <n v="0"/>
    <n v="0"/>
    <n v="35.69"/>
    <x v="0"/>
    <s v="E-commerce"/>
    <s v="Website Banner"/>
    <n v="35.69"/>
    <x v="253"/>
    <x v="3"/>
    <x v="253"/>
  </r>
  <r>
    <n v="3152"/>
    <x v="325"/>
    <n v="313"/>
    <n v="1"/>
    <n v="35.69"/>
    <n v="35.69"/>
    <n v="0"/>
    <n v="0"/>
    <n v="0"/>
    <n v="35.69"/>
    <x v="49"/>
    <s v="App Mobile"/>
    <s v="App Mobile"/>
    <n v="35.69"/>
    <x v="253"/>
    <x v="3"/>
    <x v="253"/>
  </r>
  <r>
    <n v="2001"/>
    <x v="326"/>
    <n v="204"/>
    <n v="1"/>
    <n v="39.200000000000003"/>
    <n v="35.28"/>
    <n v="3.92"/>
    <n v="0.1"/>
    <n v="1"/>
    <n v="35.28"/>
    <x v="32"/>
    <s v="E-commerce"/>
    <s v="Email"/>
    <n v="35.28"/>
    <x v="254"/>
    <x v="0"/>
    <x v="254"/>
  </r>
  <r>
    <n v="92"/>
    <x v="327"/>
    <n v="414"/>
    <n v="1"/>
    <n v="35.200000000000003"/>
    <n v="35.200000000000003"/>
    <n v="0"/>
    <n v="0"/>
    <n v="0"/>
    <n v="35.200000000000003"/>
    <x v="33"/>
    <s v="E-commerce"/>
    <s v="Website Banner"/>
    <n v="35.200000000000003"/>
    <x v="255"/>
    <x v="3"/>
    <x v="255"/>
  </r>
  <r>
    <n v="1576"/>
    <x v="328"/>
    <n v="414"/>
    <n v="1"/>
    <n v="35.200000000000003"/>
    <n v="35.200000000000003"/>
    <n v="0"/>
    <n v="0"/>
    <n v="0"/>
    <n v="35.200000000000003"/>
    <x v="50"/>
    <s v="E-commerce"/>
    <s v="Website Banner"/>
    <n v="35.200000000000003"/>
    <x v="255"/>
    <x v="3"/>
    <x v="255"/>
  </r>
  <r>
    <n v="3321"/>
    <x v="329"/>
    <n v="477"/>
    <n v="1"/>
    <n v="38.9"/>
    <n v="35.01"/>
    <n v="3.89"/>
    <n v="0.1"/>
    <n v="1"/>
    <n v="35.01"/>
    <x v="32"/>
    <s v="E-commerce"/>
    <s v="Email"/>
    <n v="35.01"/>
    <x v="233"/>
    <x v="1"/>
    <x v="233"/>
  </r>
  <r>
    <n v="712"/>
    <x v="323"/>
    <n v="190"/>
    <n v="1"/>
    <n v="49.41"/>
    <n v="34.590000000000003"/>
    <n v="14.82"/>
    <n v="0.3"/>
    <n v="1"/>
    <n v="34.590000000000003"/>
    <x v="29"/>
    <s v="App Mobile"/>
    <s v="Social Media"/>
    <n v="34.590000000000003"/>
    <x v="151"/>
    <x v="0"/>
    <x v="151"/>
  </r>
  <r>
    <n v="2163"/>
    <x v="67"/>
    <n v="59"/>
    <n v="1"/>
    <n v="34.58"/>
    <n v="34.58"/>
    <n v="0"/>
    <n v="0"/>
    <n v="0"/>
    <n v="34.58"/>
    <x v="35"/>
    <s v="App Mobile"/>
    <s v="App Mobile"/>
    <n v="34.58"/>
    <x v="256"/>
    <x v="3"/>
    <x v="256"/>
  </r>
  <r>
    <n v="1976"/>
    <x v="168"/>
    <n v="402"/>
    <n v="1"/>
    <n v="34.450000000000003"/>
    <n v="34.450000000000003"/>
    <n v="0"/>
    <n v="0"/>
    <n v="0"/>
    <n v="34.450000000000003"/>
    <x v="17"/>
    <s v="E-commerce"/>
    <s v="Website Banner"/>
    <n v="34.450000000000003"/>
    <x v="257"/>
    <x v="3"/>
    <x v="257"/>
  </r>
  <r>
    <n v="2577"/>
    <x v="123"/>
    <n v="402"/>
    <n v="1"/>
    <n v="34.450000000000003"/>
    <n v="34.450000000000003"/>
    <n v="0"/>
    <n v="0"/>
    <n v="0"/>
    <n v="34.450000000000003"/>
    <x v="15"/>
    <s v="E-commerce"/>
    <s v="Website Banner"/>
    <n v="34.450000000000003"/>
    <x v="257"/>
    <x v="3"/>
    <x v="257"/>
  </r>
  <r>
    <n v="1163"/>
    <x v="330"/>
    <n v="388"/>
    <n v="1"/>
    <n v="34.229999999999997"/>
    <n v="34.229999999999997"/>
    <n v="0"/>
    <n v="0"/>
    <n v="0"/>
    <n v="34.229999999999997"/>
    <x v="40"/>
    <s v="E-commerce"/>
    <s v="Website Banner"/>
    <n v="34.229999999999997"/>
    <x v="258"/>
    <x v="0"/>
    <x v="258"/>
  </r>
  <r>
    <n v="1507"/>
    <x v="331"/>
    <n v="91"/>
    <n v="1"/>
    <n v="33.950000000000003"/>
    <n v="33.950000000000003"/>
    <n v="0"/>
    <n v="0"/>
    <n v="0"/>
    <n v="33.950000000000003"/>
    <x v="1"/>
    <s v="App Mobile"/>
    <s v="App Mobile"/>
    <n v="33.950000000000003"/>
    <x v="259"/>
    <x v="3"/>
    <x v="259"/>
  </r>
  <r>
    <n v="2863"/>
    <x v="131"/>
    <n v="91"/>
    <n v="1"/>
    <n v="33.950000000000003"/>
    <n v="33.950000000000003"/>
    <n v="0"/>
    <n v="0"/>
    <n v="0"/>
    <n v="33.950000000000003"/>
    <x v="11"/>
    <s v="App Mobile"/>
    <s v="App Mobile"/>
    <n v="33.950000000000003"/>
    <x v="259"/>
    <x v="3"/>
    <x v="259"/>
  </r>
  <r>
    <n v="1482"/>
    <x v="332"/>
    <n v="298"/>
    <n v="1"/>
    <n v="33.94"/>
    <n v="33.94"/>
    <n v="0"/>
    <n v="0"/>
    <n v="0"/>
    <n v="33.94"/>
    <x v="14"/>
    <s v="E-commerce"/>
    <s v="Website Banner"/>
    <n v="33.94"/>
    <x v="260"/>
    <x v="1"/>
    <x v="260"/>
  </r>
  <r>
    <n v="379"/>
    <x v="333"/>
    <n v="139"/>
    <n v="1"/>
    <n v="33.590000000000003"/>
    <n v="33.590000000000003"/>
    <n v="0"/>
    <n v="0"/>
    <n v="0"/>
    <n v="33.590000000000003"/>
    <x v="18"/>
    <s v="App Mobile"/>
    <s v="App Mobile"/>
    <n v="33.590000000000003"/>
    <x v="261"/>
    <x v="4"/>
    <x v="261"/>
  </r>
  <r>
    <n v="2717"/>
    <x v="334"/>
    <n v="139"/>
    <n v="1"/>
    <n v="33.590000000000003"/>
    <n v="33.590000000000003"/>
    <n v="0"/>
    <n v="0"/>
    <n v="0"/>
    <n v="33.590000000000003"/>
    <x v="22"/>
    <s v="E-commerce"/>
    <s v="Website Banner"/>
    <n v="33.590000000000003"/>
    <x v="261"/>
    <x v="4"/>
    <x v="261"/>
  </r>
  <r>
    <n v="215"/>
    <x v="70"/>
    <n v="338"/>
    <n v="1"/>
    <n v="33.39"/>
    <n v="33.39"/>
    <n v="0"/>
    <n v="0"/>
    <n v="0"/>
    <n v="33.39"/>
    <x v="36"/>
    <s v="E-commerce"/>
    <s v="Website Banner"/>
    <n v="33.39"/>
    <x v="262"/>
    <x v="3"/>
    <x v="262"/>
  </r>
  <r>
    <n v="920"/>
    <x v="335"/>
    <n v="338"/>
    <n v="1"/>
    <n v="33.39"/>
    <n v="33.39"/>
    <n v="0"/>
    <n v="0"/>
    <n v="0"/>
    <n v="33.39"/>
    <x v="25"/>
    <s v="E-commerce"/>
    <s v="Website Banner"/>
    <n v="33.39"/>
    <x v="262"/>
    <x v="3"/>
    <x v="262"/>
  </r>
  <r>
    <n v="2094"/>
    <x v="336"/>
    <n v="410"/>
    <n v="1"/>
    <n v="47.47"/>
    <n v="33.229999999999997"/>
    <n v="14.24"/>
    <n v="0.3"/>
    <n v="1"/>
    <n v="33.229999999999997"/>
    <x v="42"/>
    <s v="App Mobile"/>
    <s v="Social Media"/>
    <n v="33.229999999999997"/>
    <x v="165"/>
    <x v="3"/>
    <x v="165"/>
  </r>
  <r>
    <n v="136"/>
    <x v="206"/>
    <n v="169"/>
    <n v="1"/>
    <n v="32.94"/>
    <n v="32.94"/>
    <n v="0"/>
    <n v="0"/>
    <n v="0"/>
    <n v="32.94"/>
    <x v="25"/>
    <s v="App Mobile"/>
    <s v="App Mobile"/>
    <n v="32.94"/>
    <x v="263"/>
    <x v="3"/>
    <x v="263"/>
  </r>
  <r>
    <n v="358"/>
    <x v="337"/>
    <n v="228"/>
    <n v="1"/>
    <n v="46.89"/>
    <n v="32.82"/>
    <n v="14.07"/>
    <n v="0.3"/>
    <n v="1"/>
    <n v="32.82"/>
    <x v="27"/>
    <s v="App Mobile"/>
    <s v="Social Media"/>
    <n v="32.82"/>
    <x v="264"/>
    <x v="2"/>
    <x v="264"/>
  </r>
  <r>
    <n v="1387"/>
    <x v="338"/>
    <n v="209"/>
    <n v="1"/>
    <n v="32.409999999999997"/>
    <n v="32.409999999999997"/>
    <n v="0"/>
    <n v="0"/>
    <n v="0"/>
    <n v="32.409999999999997"/>
    <x v="44"/>
    <s v="App Mobile"/>
    <s v="App Mobile"/>
    <n v="32.409999999999997"/>
    <x v="265"/>
    <x v="1"/>
    <x v="265"/>
  </r>
  <r>
    <n v="1133"/>
    <x v="339"/>
    <n v="82"/>
    <n v="1"/>
    <n v="32.21"/>
    <n v="32.21"/>
    <n v="0"/>
    <n v="0"/>
    <n v="0"/>
    <n v="32.21"/>
    <x v="45"/>
    <s v="E-commerce"/>
    <s v="Website Banner"/>
    <n v="32.21"/>
    <x v="266"/>
    <x v="0"/>
    <x v="266"/>
  </r>
  <r>
    <n v="2578"/>
    <x v="340"/>
    <n v="82"/>
    <n v="1"/>
    <n v="32.21"/>
    <n v="32.21"/>
    <n v="0"/>
    <n v="0"/>
    <n v="0"/>
    <n v="32.21"/>
    <x v="41"/>
    <s v="E-commerce"/>
    <s v="Website Banner"/>
    <n v="32.21"/>
    <x v="266"/>
    <x v="0"/>
    <x v="266"/>
  </r>
  <r>
    <n v="118"/>
    <x v="117"/>
    <n v="453"/>
    <n v="1"/>
    <n v="32.049999999999997"/>
    <n v="32.049999999999997"/>
    <n v="0"/>
    <n v="0"/>
    <n v="0"/>
    <n v="32.049999999999997"/>
    <x v="21"/>
    <s v="E-commerce"/>
    <s v="Website Banner"/>
    <n v="32.049999999999997"/>
    <x v="267"/>
    <x v="4"/>
    <x v="267"/>
  </r>
  <r>
    <n v="799"/>
    <x v="341"/>
    <n v="80"/>
    <n v="1"/>
    <n v="31.86"/>
    <n v="31.86"/>
    <n v="0"/>
    <n v="0"/>
    <n v="0"/>
    <n v="31.86"/>
    <x v="1"/>
    <s v="E-commerce"/>
    <s v="Website Banner"/>
    <n v="31.86"/>
    <x v="268"/>
    <x v="0"/>
    <x v="268"/>
  </r>
  <r>
    <n v="2744"/>
    <x v="342"/>
    <n v="80"/>
    <n v="1"/>
    <n v="31.86"/>
    <n v="31.86"/>
    <n v="0"/>
    <n v="0"/>
    <n v="0"/>
    <n v="31.86"/>
    <x v="7"/>
    <s v="App Mobile"/>
    <s v="App Mobile"/>
    <n v="31.86"/>
    <x v="268"/>
    <x v="0"/>
    <x v="268"/>
  </r>
  <r>
    <n v="842"/>
    <x v="343"/>
    <n v="418"/>
    <n v="1"/>
    <n v="31.84"/>
    <n v="31.84"/>
    <n v="0"/>
    <n v="0"/>
    <n v="0"/>
    <n v="31.84"/>
    <x v="50"/>
    <s v="App Mobile"/>
    <s v="App Mobile"/>
    <n v="31.84"/>
    <x v="269"/>
    <x v="1"/>
    <x v="269"/>
  </r>
  <r>
    <n v="2495"/>
    <x v="344"/>
    <n v="84"/>
    <n v="1"/>
    <n v="31.84"/>
    <n v="31.84"/>
    <n v="0"/>
    <n v="0"/>
    <n v="0"/>
    <n v="31.84"/>
    <x v="35"/>
    <s v="App Mobile"/>
    <s v="App Mobile"/>
    <n v="31.84"/>
    <x v="270"/>
    <x v="1"/>
    <x v="270"/>
  </r>
  <r>
    <n v="2882"/>
    <x v="118"/>
    <n v="418"/>
    <n v="1"/>
    <n v="31.84"/>
    <n v="31.84"/>
    <n v="0"/>
    <n v="0"/>
    <n v="0"/>
    <n v="31.84"/>
    <x v="29"/>
    <s v="E-commerce"/>
    <s v="Website Banner"/>
    <n v="31.84"/>
    <x v="269"/>
    <x v="1"/>
    <x v="269"/>
  </r>
  <r>
    <n v="2733"/>
    <x v="112"/>
    <n v="90"/>
    <n v="1"/>
    <n v="31.67"/>
    <n v="31.67"/>
    <n v="0"/>
    <n v="0"/>
    <n v="0"/>
    <n v="31.67"/>
    <x v="4"/>
    <s v="App Mobile"/>
    <s v="App Mobile"/>
    <n v="31.67"/>
    <x v="271"/>
    <x v="1"/>
    <x v="271"/>
  </r>
  <r>
    <n v="3219"/>
    <x v="345"/>
    <n v="457"/>
    <n v="1"/>
    <n v="31.61"/>
    <n v="31.61"/>
    <n v="0"/>
    <n v="0"/>
    <n v="0"/>
    <n v="31.61"/>
    <x v="25"/>
    <s v="E-commerce"/>
    <s v="Website Banner"/>
    <n v="31.61"/>
    <x v="272"/>
    <x v="4"/>
    <x v="272"/>
  </r>
  <r>
    <n v="82"/>
    <x v="346"/>
    <n v="258"/>
    <n v="1"/>
    <n v="31.48"/>
    <n v="31.48"/>
    <n v="0"/>
    <n v="0"/>
    <n v="0"/>
    <n v="31.48"/>
    <x v="17"/>
    <s v="App Mobile"/>
    <s v="App Mobile"/>
    <n v="31.48"/>
    <x v="273"/>
    <x v="1"/>
    <x v="273"/>
  </r>
  <r>
    <n v="3278"/>
    <x v="347"/>
    <n v="12"/>
    <n v="1"/>
    <n v="44.77"/>
    <n v="31.34"/>
    <n v="13.43"/>
    <n v="0.3"/>
    <n v="1"/>
    <n v="31.34"/>
    <x v="42"/>
    <s v="App Mobile"/>
    <s v="Social Media"/>
    <n v="31.34"/>
    <x v="184"/>
    <x v="0"/>
    <x v="184"/>
  </r>
  <r>
    <n v="733"/>
    <x v="348"/>
    <n v="95"/>
    <n v="1"/>
    <n v="31.15"/>
    <n v="31.15"/>
    <n v="0"/>
    <n v="0"/>
    <n v="0"/>
    <n v="31.15"/>
    <x v="11"/>
    <s v="App Mobile"/>
    <s v="App Mobile"/>
    <n v="31.15"/>
    <x v="274"/>
    <x v="3"/>
    <x v="274"/>
  </r>
  <r>
    <n v="1210"/>
    <x v="26"/>
    <n v="452"/>
    <n v="1"/>
    <n v="30.85"/>
    <n v="30.85"/>
    <n v="0"/>
    <n v="0"/>
    <n v="0"/>
    <n v="30.85"/>
    <x v="20"/>
    <s v="E-commerce"/>
    <s v="Website Banner"/>
    <n v="30.85"/>
    <x v="275"/>
    <x v="0"/>
    <x v="275"/>
  </r>
  <r>
    <n v="2645"/>
    <x v="349"/>
    <n v="452"/>
    <n v="1"/>
    <n v="30.85"/>
    <n v="30.85"/>
    <n v="0"/>
    <n v="0"/>
    <n v="0"/>
    <n v="30.85"/>
    <x v="41"/>
    <s v="App Mobile"/>
    <s v="App Mobile"/>
    <n v="30.85"/>
    <x v="275"/>
    <x v="0"/>
    <x v="275"/>
  </r>
  <r>
    <n v="928"/>
    <x v="350"/>
    <n v="401"/>
    <n v="1"/>
    <n v="30.83"/>
    <n v="30.83"/>
    <n v="0"/>
    <n v="0"/>
    <n v="0"/>
    <n v="30.83"/>
    <x v="46"/>
    <s v="E-commerce"/>
    <s v="Website Banner"/>
    <n v="30.83"/>
    <x v="276"/>
    <x v="0"/>
    <x v="276"/>
  </r>
  <r>
    <n v="2809"/>
    <x v="351"/>
    <n v="401"/>
    <n v="1"/>
    <n v="30.83"/>
    <n v="30.83"/>
    <n v="0"/>
    <n v="0"/>
    <n v="0"/>
    <n v="30.83"/>
    <x v="46"/>
    <s v="App Mobile"/>
    <s v="App Mobile"/>
    <n v="30.83"/>
    <x v="276"/>
    <x v="0"/>
    <x v="276"/>
  </r>
  <r>
    <n v="2779"/>
    <x v="352"/>
    <n v="431"/>
    <n v="1"/>
    <n v="30.41"/>
    <n v="30.41"/>
    <n v="0"/>
    <n v="0"/>
    <n v="0"/>
    <n v="30.41"/>
    <x v="42"/>
    <s v="E-commerce"/>
    <s v="Website Banner"/>
    <n v="30.41"/>
    <x v="277"/>
    <x v="1"/>
    <x v="277"/>
  </r>
  <r>
    <n v="2543"/>
    <x v="353"/>
    <n v="171"/>
    <n v="1"/>
    <n v="30.26"/>
    <n v="30.26"/>
    <n v="0"/>
    <n v="0"/>
    <n v="0"/>
    <n v="30.26"/>
    <x v="19"/>
    <s v="E-commerce"/>
    <s v="Website Banner"/>
    <n v="30.26"/>
    <x v="278"/>
    <x v="0"/>
    <x v="278"/>
  </r>
  <r>
    <n v="1944"/>
    <x v="35"/>
    <n v="39"/>
    <n v="1"/>
    <n v="29.97"/>
    <n v="29.97"/>
    <n v="0"/>
    <n v="0"/>
    <n v="0"/>
    <n v="29.97"/>
    <x v="18"/>
    <s v="App Mobile"/>
    <s v="App Mobile"/>
    <n v="29.97"/>
    <x v="279"/>
    <x v="2"/>
    <x v="279"/>
  </r>
  <r>
    <n v="1923"/>
    <x v="354"/>
    <n v="241"/>
    <n v="1"/>
    <n v="29.82"/>
    <n v="29.82"/>
    <n v="0"/>
    <n v="0"/>
    <n v="0"/>
    <n v="29.82"/>
    <x v="22"/>
    <s v="E-commerce"/>
    <s v="Website Banner"/>
    <n v="29.82"/>
    <x v="280"/>
    <x v="2"/>
    <x v="280"/>
  </r>
  <r>
    <n v="2219"/>
    <x v="355"/>
    <n v="88"/>
    <n v="1"/>
    <n v="29.81"/>
    <n v="29.81"/>
    <n v="0"/>
    <n v="0"/>
    <n v="0"/>
    <n v="29.81"/>
    <x v="14"/>
    <s v="E-commerce"/>
    <s v="Website Banner"/>
    <n v="29.81"/>
    <x v="281"/>
    <x v="3"/>
    <x v="281"/>
  </r>
  <r>
    <n v="2853"/>
    <x v="356"/>
    <n v="400"/>
    <n v="1"/>
    <n v="29.68"/>
    <n v="29.68"/>
    <n v="0"/>
    <n v="0"/>
    <n v="0"/>
    <n v="29.68"/>
    <x v="21"/>
    <s v="E-commerce"/>
    <s v="Website Banner"/>
    <n v="29.68"/>
    <x v="282"/>
    <x v="2"/>
    <x v="282"/>
  </r>
  <r>
    <n v="359"/>
    <x v="297"/>
    <n v="81"/>
    <n v="1"/>
    <n v="29.63"/>
    <n v="29.63"/>
    <n v="0"/>
    <n v="0"/>
    <n v="0"/>
    <n v="29.63"/>
    <x v="19"/>
    <s v="E-commerce"/>
    <s v="Website Banner"/>
    <n v="29.63"/>
    <x v="283"/>
    <x v="3"/>
    <x v="283"/>
  </r>
  <r>
    <n v="3065"/>
    <x v="357"/>
    <n v="202"/>
    <n v="1"/>
    <n v="41.88"/>
    <n v="29.32"/>
    <n v="12.56"/>
    <n v="0.3"/>
    <n v="1"/>
    <n v="29.32"/>
    <x v="12"/>
    <s v="App Mobile"/>
    <s v="Social Media"/>
    <n v="29.32"/>
    <x v="207"/>
    <x v="4"/>
    <x v="207"/>
  </r>
  <r>
    <n v="864"/>
    <x v="358"/>
    <n v="246"/>
    <n v="1"/>
    <n v="28.98"/>
    <n v="28.98"/>
    <n v="0"/>
    <n v="0"/>
    <n v="0"/>
    <n v="28.98"/>
    <x v="18"/>
    <s v="App Mobile"/>
    <s v="App Mobile"/>
    <n v="28.98"/>
    <x v="284"/>
    <x v="0"/>
    <x v="284"/>
  </r>
  <r>
    <n v="1134"/>
    <x v="359"/>
    <n v="246"/>
    <n v="1"/>
    <n v="28.98"/>
    <n v="28.98"/>
    <n v="0"/>
    <n v="0"/>
    <n v="0"/>
    <n v="28.98"/>
    <x v="35"/>
    <s v="App Mobile"/>
    <s v="App Mobile"/>
    <n v="28.98"/>
    <x v="284"/>
    <x v="0"/>
    <x v="284"/>
  </r>
  <r>
    <n v="1520"/>
    <x v="360"/>
    <n v="415"/>
    <n v="1"/>
    <n v="28.73"/>
    <n v="28.73"/>
    <n v="0"/>
    <n v="0"/>
    <n v="0"/>
    <n v="28.73"/>
    <x v="18"/>
    <s v="E-commerce"/>
    <s v="Website Banner"/>
    <n v="28.73"/>
    <x v="285"/>
    <x v="2"/>
    <x v="285"/>
  </r>
  <r>
    <n v="504"/>
    <x v="20"/>
    <n v="249"/>
    <n v="1"/>
    <n v="28.42"/>
    <n v="28.42"/>
    <n v="0"/>
    <n v="0"/>
    <n v="0"/>
    <n v="28.42"/>
    <x v="16"/>
    <s v="E-commerce"/>
    <s v="Website Banner"/>
    <n v="28.42"/>
    <x v="286"/>
    <x v="3"/>
    <x v="286"/>
  </r>
  <r>
    <n v="3356"/>
    <x v="361"/>
    <n v="249"/>
    <n v="1"/>
    <n v="28.42"/>
    <n v="28.42"/>
    <n v="0"/>
    <n v="0"/>
    <n v="0"/>
    <n v="28.42"/>
    <x v="38"/>
    <s v="E-commerce"/>
    <s v="Website Banner"/>
    <n v="28.42"/>
    <x v="286"/>
    <x v="3"/>
    <x v="286"/>
  </r>
  <r>
    <n v="2415"/>
    <x v="292"/>
    <n v="30"/>
    <n v="1"/>
    <n v="31.09"/>
    <n v="27.98"/>
    <n v="3.11"/>
    <n v="0.1"/>
    <n v="1"/>
    <n v="27.98"/>
    <x v="30"/>
    <s v="E-commerce"/>
    <s v="Email"/>
    <n v="27.98"/>
    <x v="287"/>
    <x v="2"/>
    <x v="287"/>
  </r>
  <r>
    <n v="293"/>
    <x v="362"/>
    <n v="328"/>
    <n v="1"/>
    <n v="39.83"/>
    <n v="27.88"/>
    <n v="11.95"/>
    <n v="0.3"/>
    <n v="1"/>
    <n v="27.88"/>
    <x v="27"/>
    <s v="App Mobile"/>
    <s v="Social Media"/>
    <n v="27.88"/>
    <x v="288"/>
    <x v="0"/>
    <x v="288"/>
  </r>
  <r>
    <n v="1436"/>
    <x v="333"/>
    <n v="23"/>
    <n v="1"/>
    <n v="27.5"/>
    <n v="27.5"/>
    <n v="0"/>
    <n v="0"/>
    <n v="0"/>
    <n v="27.5"/>
    <x v="18"/>
    <s v="App Mobile"/>
    <s v="App Mobile"/>
    <n v="27.5"/>
    <x v="289"/>
    <x v="0"/>
    <x v="289"/>
  </r>
  <r>
    <n v="3288"/>
    <x v="363"/>
    <n v="23"/>
    <n v="1"/>
    <n v="27.5"/>
    <n v="27.5"/>
    <n v="0"/>
    <n v="0"/>
    <n v="0"/>
    <n v="27.5"/>
    <x v="8"/>
    <s v="E-commerce"/>
    <s v="Website Banner"/>
    <n v="27.5"/>
    <x v="289"/>
    <x v="0"/>
    <x v="289"/>
  </r>
  <r>
    <n v="1075"/>
    <x v="364"/>
    <n v="431"/>
    <n v="1"/>
    <n v="30.41"/>
    <n v="27.37"/>
    <n v="3.04"/>
    <n v="0.1"/>
    <n v="1"/>
    <n v="27.37"/>
    <x v="37"/>
    <s v="E-commerce"/>
    <s v="Email"/>
    <n v="27.37"/>
    <x v="277"/>
    <x v="1"/>
    <x v="277"/>
  </r>
  <r>
    <n v="3229"/>
    <x v="365"/>
    <n v="119"/>
    <n v="1"/>
    <n v="27.34"/>
    <n v="27.34"/>
    <n v="0"/>
    <n v="0"/>
    <n v="0"/>
    <n v="27.34"/>
    <x v="27"/>
    <s v="E-commerce"/>
    <s v="Website Banner"/>
    <n v="27.34"/>
    <x v="290"/>
    <x v="0"/>
    <x v="290"/>
  </r>
  <r>
    <n v="1784"/>
    <x v="366"/>
    <n v="241"/>
    <n v="1"/>
    <n v="29.82"/>
    <n v="26.84"/>
    <n v="2.98"/>
    <n v="0.1"/>
    <n v="1"/>
    <n v="26.84"/>
    <x v="30"/>
    <s v="E-commerce"/>
    <s v="Email"/>
    <n v="26.84"/>
    <x v="280"/>
    <x v="2"/>
    <x v="280"/>
  </r>
  <r>
    <n v="2636"/>
    <x v="367"/>
    <n v="451"/>
    <n v="1"/>
    <n v="37.799999999999997"/>
    <n v="26.46"/>
    <n v="11.34"/>
    <n v="0.3"/>
    <n v="1"/>
    <n v="26.46"/>
    <x v="22"/>
    <s v="App Mobile"/>
    <s v="Social Media"/>
    <n v="26.46"/>
    <x v="291"/>
    <x v="4"/>
    <x v="291"/>
  </r>
  <r>
    <n v="2878"/>
    <x v="368"/>
    <n v="174"/>
    <n v="1"/>
    <n v="26.41"/>
    <n v="26.41"/>
    <n v="0"/>
    <n v="0"/>
    <n v="0"/>
    <n v="26.41"/>
    <x v="31"/>
    <s v="E-commerce"/>
    <s v="Website Banner"/>
    <n v="26.41"/>
    <x v="292"/>
    <x v="3"/>
    <x v="292"/>
  </r>
  <r>
    <n v="2062"/>
    <x v="16"/>
    <n v="120"/>
    <n v="1"/>
    <n v="25.7"/>
    <n v="25.7"/>
    <n v="0"/>
    <n v="0"/>
    <n v="0"/>
    <n v="25.7"/>
    <x v="0"/>
    <s v="App Mobile"/>
    <s v="App Mobile"/>
    <n v="25.7"/>
    <x v="293"/>
    <x v="3"/>
    <x v="293"/>
  </r>
  <r>
    <n v="2130"/>
    <x v="234"/>
    <n v="120"/>
    <n v="1"/>
    <n v="25.7"/>
    <n v="25.7"/>
    <n v="0"/>
    <n v="0"/>
    <n v="0"/>
    <n v="25.7"/>
    <x v="13"/>
    <s v="App Mobile"/>
    <s v="App Mobile"/>
    <n v="25.7"/>
    <x v="293"/>
    <x v="3"/>
    <x v="293"/>
  </r>
  <r>
    <n v="989"/>
    <x v="369"/>
    <n v="176"/>
    <n v="1"/>
    <n v="27.94"/>
    <n v="25.15"/>
    <n v="2.79"/>
    <n v="0.1"/>
    <n v="1"/>
    <n v="25.15"/>
    <x v="30"/>
    <s v="E-commerce"/>
    <s v="Email"/>
    <n v="25.15"/>
    <x v="294"/>
    <x v="0"/>
    <x v="294"/>
  </r>
  <r>
    <n v="3196"/>
    <x v="171"/>
    <n v="46"/>
    <n v="1"/>
    <n v="25.15"/>
    <n v="25.15"/>
    <n v="0"/>
    <n v="0"/>
    <n v="0"/>
    <n v="25.15"/>
    <x v="23"/>
    <s v="E-commerce"/>
    <s v="Website Banner"/>
    <n v="25.15"/>
    <x v="295"/>
    <x v="3"/>
    <x v="295"/>
  </r>
  <r>
    <n v="3160"/>
    <x v="370"/>
    <n v="122"/>
    <n v="1"/>
    <n v="24.8"/>
    <n v="24.8"/>
    <n v="0"/>
    <n v="0"/>
    <n v="0"/>
    <n v="24.8"/>
    <x v="19"/>
    <s v="E-commerce"/>
    <s v="Website Banner"/>
    <n v="24.8"/>
    <x v="296"/>
    <x v="2"/>
    <x v="296"/>
  </r>
  <r>
    <n v="3216"/>
    <x v="195"/>
    <n v="122"/>
    <n v="1"/>
    <n v="24.8"/>
    <n v="24.8"/>
    <n v="0"/>
    <n v="0"/>
    <n v="0"/>
    <n v="24.8"/>
    <x v="6"/>
    <s v="E-commerce"/>
    <s v="Website Banner"/>
    <n v="24.8"/>
    <x v="296"/>
    <x v="2"/>
    <x v="296"/>
  </r>
  <r>
    <n v="1478"/>
    <x v="2"/>
    <n v="319"/>
    <n v="1"/>
    <n v="24.05"/>
    <n v="24.05"/>
    <n v="0"/>
    <n v="0"/>
    <n v="0"/>
    <n v="24.05"/>
    <x v="2"/>
    <s v="App Mobile"/>
    <s v="App Mobile"/>
    <n v="24.05"/>
    <x v="297"/>
    <x v="0"/>
    <x v="297"/>
  </r>
  <r>
    <n v="3047"/>
    <x v="202"/>
    <n v="319"/>
    <n v="1"/>
    <n v="24.05"/>
    <n v="24.05"/>
    <n v="0"/>
    <n v="0"/>
    <n v="0"/>
    <n v="24.05"/>
    <x v="48"/>
    <s v="E-commerce"/>
    <s v="Website Banner"/>
    <n v="24.05"/>
    <x v="297"/>
    <x v="0"/>
    <x v="297"/>
  </r>
  <r>
    <n v="2138"/>
    <x v="298"/>
    <n v="330"/>
    <n v="1"/>
    <n v="33.94"/>
    <n v="23.76"/>
    <n v="10.18"/>
    <n v="0.3"/>
    <n v="1"/>
    <n v="23.76"/>
    <x v="47"/>
    <s v="App Mobile"/>
    <s v="Social Media"/>
    <n v="23.76"/>
    <x v="298"/>
    <x v="3"/>
    <x v="298"/>
  </r>
  <r>
    <n v="2359"/>
    <x v="371"/>
    <n v="443"/>
    <n v="1"/>
    <n v="23.13"/>
    <n v="23.13"/>
    <n v="0"/>
    <n v="0"/>
    <n v="0"/>
    <n v="23.13"/>
    <x v="17"/>
    <s v="App Mobile"/>
    <s v="App Mobile"/>
    <n v="23.13"/>
    <x v="299"/>
    <x v="3"/>
    <x v="299"/>
  </r>
  <r>
    <n v="2360"/>
    <x v="153"/>
    <n v="164"/>
    <n v="1"/>
    <n v="22.96"/>
    <n v="22.96"/>
    <n v="0"/>
    <n v="0"/>
    <n v="0"/>
    <n v="22.96"/>
    <x v="28"/>
    <s v="E-commerce"/>
    <s v="Website Banner"/>
    <n v="22.96"/>
    <x v="300"/>
    <x v="0"/>
    <x v="300"/>
  </r>
  <r>
    <n v="3238"/>
    <x v="372"/>
    <n v="14"/>
    <n v="1"/>
    <n v="24.96"/>
    <n v="22.46"/>
    <n v="2.5"/>
    <n v="0.1"/>
    <n v="1"/>
    <n v="22.46"/>
    <x v="32"/>
    <s v="E-commerce"/>
    <s v="Email"/>
    <n v="22.46"/>
    <x v="301"/>
    <x v="0"/>
    <x v="301"/>
  </r>
  <r>
    <n v="1235"/>
    <x v="373"/>
    <n v="457"/>
    <n v="1"/>
    <n v="31.61"/>
    <n v="22.13"/>
    <n v="9.48"/>
    <n v="0.3"/>
    <n v="1"/>
    <n v="22.13"/>
    <x v="42"/>
    <s v="App Mobile"/>
    <s v="Social Media"/>
    <n v="22.13"/>
    <x v="272"/>
    <x v="4"/>
    <x v="272"/>
  </r>
  <r>
    <n v="89"/>
    <x v="162"/>
    <n v="114"/>
    <n v="1"/>
    <n v="21.53"/>
    <n v="21.53"/>
    <n v="0"/>
    <n v="0"/>
    <n v="0"/>
    <n v="21.53"/>
    <x v="38"/>
    <s v="App Mobile"/>
    <s v="App Mobile"/>
    <n v="21.53"/>
    <x v="302"/>
    <x v="1"/>
    <x v="302"/>
  </r>
  <r>
    <n v="362"/>
    <x v="218"/>
    <n v="334"/>
    <n v="1"/>
    <n v="20.82"/>
    <n v="20.82"/>
    <n v="0"/>
    <n v="0"/>
    <n v="0"/>
    <n v="20.82"/>
    <x v="17"/>
    <s v="App Mobile"/>
    <s v="App Mobile"/>
    <n v="20.82"/>
    <x v="303"/>
    <x v="0"/>
    <x v="303"/>
  </r>
  <r>
    <n v="1068"/>
    <x v="315"/>
    <n v="51"/>
    <n v="1"/>
    <n v="25.38"/>
    <n v="17.77"/>
    <n v="7.61"/>
    <n v="0.3"/>
    <n v="1"/>
    <n v="17.77"/>
    <x v="45"/>
    <s v="App Mobile"/>
    <s v="Social Media"/>
    <n v="17.77"/>
    <x v="304"/>
    <x v="3"/>
    <x v="304"/>
  </r>
  <r>
    <n v="2405"/>
    <x v="374"/>
    <n v="14"/>
    <n v="1"/>
    <n v="24.96"/>
    <n v="17.47"/>
    <n v="7.49"/>
    <n v="0.3"/>
    <n v="1"/>
    <n v="17.47"/>
    <x v="45"/>
    <s v="App Mobile"/>
    <s v="Social Media"/>
    <n v="17.47"/>
    <x v="301"/>
    <x v="0"/>
    <x v="301"/>
  </r>
  <r>
    <n v="1340"/>
    <x v="336"/>
    <n v="205"/>
    <n v="1"/>
    <n v="24.05"/>
    <n v="16.84"/>
    <n v="7.22"/>
    <n v="0.3"/>
    <n v="1"/>
    <n v="16.84"/>
    <x v="42"/>
    <s v="App Mobile"/>
    <s v="Social Media"/>
    <n v="16.84"/>
    <x v="305"/>
    <x v="2"/>
    <x v="305"/>
  </r>
  <r>
    <n v="2382"/>
    <x v="375"/>
    <n v="443"/>
    <n v="1"/>
    <n v="23.13"/>
    <n v="16.190000000000001"/>
    <n v="6.94"/>
    <n v="0.3"/>
    <n v="1"/>
    <n v="16.190000000000001"/>
    <x v="42"/>
    <s v="App Mobile"/>
    <s v="Social Media"/>
    <n v="16.190000000000001"/>
    <x v="299"/>
    <x v="3"/>
    <x v="299"/>
  </r>
  <r>
    <n v="1102"/>
    <x v="274"/>
    <n v="164"/>
    <n v="1"/>
    <n v="22.96"/>
    <n v="16.07"/>
    <n v="6.89"/>
    <n v="0.3"/>
    <n v="1"/>
    <n v="16.07"/>
    <x v="29"/>
    <s v="App Mobile"/>
    <s v="Social Media"/>
    <n v="16.07"/>
    <x v="300"/>
    <x v="0"/>
    <x v="300"/>
  </r>
  <r>
    <n v="433"/>
    <x v="315"/>
    <n v="491"/>
    <n v="1"/>
    <n v="22.66"/>
    <n v="15.86"/>
    <n v="6.8"/>
    <n v="0.3"/>
    <n v="1"/>
    <n v="15.86"/>
    <x v="45"/>
    <s v="App Mobile"/>
    <s v="Social Media"/>
    <n v="15.86"/>
    <x v="306"/>
    <x v="4"/>
    <x v="306"/>
  </r>
  <r>
    <n v="406"/>
    <x v="376"/>
    <n v="114"/>
    <n v="1"/>
    <n v="21.53"/>
    <n v="15.07"/>
    <n v="6.46"/>
    <n v="0.3"/>
    <n v="1"/>
    <n v="15.07"/>
    <x v="47"/>
    <s v="App Mobile"/>
    <s v="Social Media"/>
    <n v="15.07"/>
    <x v="302"/>
    <x v="1"/>
    <x v="302"/>
  </r>
  <r>
    <n v="813"/>
    <x v="377"/>
    <n v="198"/>
    <n v="1"/>
    <n v="14.64"/>
    <n v="14.64"/>
    <n v="0"/>
    <n v="0"/>
    <n v="0"/>
    <n v="14.64"/>
    <x v="34"/>
    <s v="E-commerce"/>
    <s v="Website Banner"/>
    <n v="14.64"/>
    <x v="307"/>
    <x v="0"/>
    <x v="307"/>
  </r>
  <r>
    <n v="1913"/>
    <x v="378"/>
    <n v="64"/>
    <n v="1"/>
    <n v="13.51"/>
    <n v="13.51"/>
    <n v="0"/>
    <n v="0"/>
    <n v="0"/>
    <n v="13.51"/>
    <x v="22"/>
    <s v="E-commerce"/>
    <s v="Website Banner"/>
    <n v="13.51"/>
    <x v="308"/>
    <x v="3"/>
    <x v="308"/>
  </r>
  <r>
    <n v="3141"/>
    <x v="379"/>
    <n v="284"/>
    <n v="2"/>
    <n v="81.790000000000006"/>
    <n v="81.790000000000006"/>
    <n v="0"/>
    <n v="0"/>
    <n v="0"/>
    <n v="163.58000000000001"/>
    <x v="45"/>
    <s v="E-commerce"/>
    <s v="Website Banner"/>
    <n v="163.58000000000001"/>
    <x v="1"/>
    <x v="1"/>
    <x v="1"/>
  </r>
  <r>
    <n v="2715"/>
    <x v="380"/>
    <n v="60"/>
    <n v="2"/>
    <n v="81.7"/>
    <n v="81.7"/>
    <n v="0"/>
    <n v="0"/>
    <n v="0"/>
    <n v="163.4"/>
    <x v="46"/>
    <s v="App Mobile"/>
    <s v="App Mobile"/>
    <n v="163.4"/>
    <x v="309"/>
    <x v="4"/>
    <x v="309"/>
  </r>
  <r>
    <n v="203"/>
    <x v="381"/>
    <n v="146"/>
    <n v="2"/>
    <n v="81.06"/>
    <n v="81.06"/>
    <n v="0"/>
    <n v="0"/>
    <n v="0"/>
    <n v="162.12"/>
    <x v="50"/>
    <s v="E-commerce"/>
    <s v="Website Banner"/>
    <n v="162.12"/>
    <x v="310"/>
    <x v="1"/>
    <x v="310"/>
  </r>
  <r>
    <n v="425"/>
    <x v="160"/>
    <n v="146"/>
    <n v="2"/>
    <n v="81.06"/>
    <n v="81.06"/>
    <n v="0"/>
    <n v="0"/>
    <n v="0"/>
    <n v="162.12"/>
    <x v="43"/>
    <s v="E-commerce"/>
    <s v="Website Banner"/>
    <n v="162.12"/>
    <x v="310"/>
    <x v="1"/>
    <x v="310"/>
  </r>
  <r>
    <n v="757"/>
    <x v="382"/>
    <n v="146"/>
    <n v="2"/>
    <n v="81.06"/>
    <n v="81.06"/>
    <n v="0"/>
    <n v="0"/>
    <n v="0"/>
    <n v="162.12"/>
    <x v="14"/>
    <s v="App Mobile"/>
    <s v="App Mobile"/>
    <n v="162.12"/>
    <x v="310"/>
    <x v="1"/>
    <x v="310"/>
  </r>
  <r>
    <n v="951"/>
    <x v="383"/>
    <n v="146"/>
    <n v="2"/>
    <n v="81.06"/>
    <n v="81.06"/>
    <n v="0"/>
    <n v="0"/>
    <n v="0"/>
    <n v="162.12"/>
    <x v="36"/>
    <s v="E-commerce"/>
    <s v="Website Banner"/>
    <n v="162.12"/>
    <x v="310"/>
    <x v="1"/>
    <x v="310"/>
  </r>
  <r>
    <n v="2023"/>
    <x v="384"/>
    <n v="71"/>
    <n v="2"/>
    <n v="80.760000000000005"/>
    <n v="80.760000000000005"/>
    <n v="0"/>
    <n v="0"/>
    <n v="0"/>
    <n v="161.52000000000001"/>
    <x v="12"/>
    <s v="E-commerce"/>
    <s v="Website Banner"/>
    <n v="161.52000000000001"/>
    <x v="2"/>
    <x v="2"/>
    <x v="2"/>
  </r>
  <r>
    <n v="2755"/>
    <x v="115"/>
    <n v="182"/>
    <n v="2"/>
    <n v="78.63"/>
    <n v="78.63"/>
    <n v="0"/>
    <n v="0"/>
    <n v="0"/>
    <n v="157.26"/>
    <x v="36"/>
    <s v="App Mobile"/>
    <s v="App Mobile"/>
    <n v="157.26"/>
    <x v="311"/>
    <x v="3"/>
    <x v="311"/>
  </r>
  <r>
    <n v="680"/>
    <x v="385"/>
    <n v="2"/>
    <n v="2"/>
    <n v="78.45"/>
    <n v="78.45"/>
    <n v="0"/>
    <n v="0"/>
    <n v="0"/>
    <n v="156.9"/>
    <x v="17"/>
    <s v="E-commerce"/>
    <s v="Website Banner"/>
    <n v="156.9"/>
    <x v="312"/>
    <x v="4"/>
    <x v="312"/>
  </r>
  <r>
    <n v="970"/>
    <x v="386"/>
    <n v="163"/>
    <n v="2"/>
    <n v="76.959999999999994"/>
    <n v="76.959999999999994"/>
    <n v="0"/>
    <n v="0"/>
    <n v="0"/>
    <n v="153.91999999999999"/>
    <x v="40"/>
    <s v="E-commerce"/>
    <s v="Website Banner"/>
    <n v="153.91999999999999"/>
    <x v="313"/>
    <x v="3"/>
    <x v="313"/>
  </r>
  <r>
    <n v="1533"/>
    <x v="263"/>
    <n v="163"/>
    <n v="2"/>
    <n v="76.959999999999994"/>
    <n v="76.959999999999994"/>
    <n v="0"/>
    <n v="0"/>
    <n v="0"/>
    <n v="153.91999999999999"/>
    <x v="43"/>
    <s v="App Mobile"/>
    <s v="App Mobile"/>
    <n v="153.91999999999999"/>
    <x v="313"/>
    <x v="3"/>
    <x v="313"/>
  </r>
  <r>
    <n v="2146"/>
    <x v="387"/>
    <n v="448"/>
    <n v="2"/>
    <n v="75.62"/>
    <n v="75.62"/>
    <n v="0"/>
    <n v="0"/>
    <n v="0"/>
    <n v="151.24"/>
    <x v="32"/>
    <s v="App Mobile"/>
    <s v="App Mobile"/>
    <n v="151.24"/>
    <x v="314"/>
    <x v="0"/>
    <x v="314"/>
  </r>
  <r>
    <n v="3254"/>
    <x v="388"/>
    <n v="459"/>
    <n v="2"/>
    <n v="75.17"/>
    <n v="75.17"/>
    <n v="0"/>
    <n v="0"/>
    <n v="0"/>
    <n v="150.34"/>
    <x v="24"/>
    <s v="E-commerce"/>
    <s v="Website Banner"/>
    <n v="150.34"/>
    <x v="8"/>
    <x v="0"/>
    <x v="8"/>
  </r>
  <r>
    <n v="2859"/>
    <x v="389"/>
    <n v="116"/>
    <n v="2"/>
    <n v="74.81"/>
    <n v="74.81"/>
    <n v="0"/>
    <n v="0"/>
    <n v="0"/>
    <n v="149.62"/>
    <x v="30"/>
    <s v="App Mobile"/>
    <s v="App Mobile"/>
    <n v="149.62"/>
    <x v="9"/>
    <x v="2"/>
    <x v="9"/>
  </r>
  <r>
    <n v="2957"/>
    <x v="190"/>
    <n v="116"/>
    <n v="2"/>
    <n v="74.81"/>
    <n v="74.81"/>
    <n v="0"/>
    <n v="0"/>
    <n v="0"/>
    <n v="149.62"/>
    <x v="40"/>
    <s v="App Mobile"/>
    <s v="App Mobile"/>
    <n v="149.62"/>
    <x v="9"/>
    <x v="2"/>
    <x v="9"/>
  </r>
  <r>
    <n v="792"/>
    <x v="338"/>
    <n v="359"/>
    <n v="2"/>
    <n v="74.28"/>
    <n v="74.28"/>
    <n v="0"/>
    <n v="0"/>
    <n v="0"/>
    <n v="148.56"/>
    <x v="44"/>
    <s v="App Mobile"/>
    <s v="App Mobile"/>
    <n v="148.56"/>
    <x v="10"/>
    <x v="1"/>
    <x v="10"/>
  </r>
  <r>
    <n v="3154"/>
    <x v="87"/>
    <n v="359"/>
    <n v="2"/>
    <n v="74.28"/>
    <n v="74.28"/>
    <n v="0"/>
    <n v="0"/>
    <n v="0"/>
    <n v="148.56"/>
    <x v="14"/>
    <s v="E-commerce"/>
    <s v="Website Banner"/>
    <n v="148.56"/>
    <x v="10"/>
    <x v="1"/>
    <x v="10"/>
  </r>
  <r>
    <n v="888"/>
    <x v="390"/>
    <n v="327"/>
    <n v="2"/>
    <n v="74.239999999999995"/>
    <n v="74.239999999999995"/>
    <n v="0"/>
    <n v="0"/>
    <n v="0"/>
    <n v="148.47999999999999"/>
    <x v="1"/>
    <s v="E-commerce"/>
    <s v="Website Banner"/>
    <n v="148.47999999999999"/>
    <x v="315"/>
    <x v="0"/>
    <x v="315"/>
  </r>
  <r>
    <n v="764"/>
    <x v="391"/>
    <n v="420"/>
    <n v="2"/>
    <n v="72.58"/>
    <n v="72.58"/>
    <n v="0"/>
    <n v="0"/>
    <n v="0"/>
    <n v="145.16"/>
    <x v="36"/>
    <s v="App Mobile"/>
    <s v="App Mobile"/>
    <n v="145.16"/>
    <x v="12"/>
    <x v="1"/>
    <x v="12"/>
  </r>
  <r>
    <n v="1946"/>
    <x v="392"/>
    <n v="420"/>
    <n v="2"/>
    <n v="72.58"/>
    <n v="72.58"/>
    <n v="0"/>
    <n v="0"/>
    <n v="0"/>
    <n v="145.16"/>
    <x v="4"/>
    <s v="App Mobile"/>
    <s v="App Mobile"/>
    <n v="145.16"/>
    <x v="12"/>
    <x v="1"/>
    <x v="12"/>
  </r>
  <r>
    <n v="560"/>
    <x v="393"/>
    <n v="358"/>
    <n v="2"/>
    <n v="71.86"/>
    <n v="71.86"/>
    <n v="0"/>
    <n v="0"/>
    <n v="0"/>
    <n v="143.72"/>
    <x v="11"/>
    <s v="E-commerce"/>
    <s v="Website Banner"/>
    <n v="143.72"/>
    <x v="13"/>
    <x v="3"/>
    <x v="13"/>
  </r>
  <r>
    <n v="930"/>
    <x v="394"/>
    <n v="337"/>
    <n v="2"/>
    <n v="71.72"/>
    <n v="71.72"/>
    <n v="0"/>
    <n v="0"/>
    <n v="0"/>
    <n v="143.44"/>
    <x v="20"/>
    <s v="App Mobile"/>
    <s v="App Mobile"/>
    <n v="143.44"/>
    <x v="316"/>
    <x v="3"/>
    <x v="316"/>
  </r>
  <r>
    <n v="496"/>
    <x v="395"/>
    <n v="6"/>
    <n v="2"/>
    <n v="70.86"/>
    <n v="70.86"/>
    <n v="0"/>
    <n v="0"/>
    <n v="0"/>
    <n v="141.72"/>
    <x v="7"/>
    <s v="App Mobile"/>
    <s v="App Mobile"/>
    <n v="141.72"/>
    <x v="317"/>
    <x v="1"/>
    <x v="317"/>
  </r>
  <r>
    <n v="1881"/>
    <x v="116"/>
    <n v="463"/>
    <n v="2"/>
    <n v="70.56"/>
    <n v="70.56"/>
    <n v="0"/>
    <n v="0"/>
    <n v="0"/>
    <n v="141.12"/>
    <x v="41"/>
    <s v="App Mobile"/>
    <s v="App Mobile"/>
    <n v="141.12"/>
    <x v="16"/>
    <x v="0"/>
    <x v="16"/>
  </r>
  <r>
    <n v="2433"/>
    <x v="396"/>
    <n v="207"/>
    <n v="2"/>
    <n v="67.98"/>
    <n v="67.98"/>
    <n v="0"/>
    <n v="0"/>
    <n v="0"/>
    <n v="135.96"/>
    <x v="44"/>
    <s v="E-commerce"/>
    <s v="Website Banner"/>
    <n v="135.96"/>
    <x v="318"/>
    <x v="4"/>
    <x v="318"/>
  </r>
  <r>
    <n v="3194"/>
    <x v="397"/>
    <n v="207"/>
    <n v="2"/>
    <n v="67.98"/>
    <n v="67.98"/>
    <n v="0"/>
    <n v="0"/>
    <n v="0"/>
    <n v="135.96"/>
    <x v="44"/>
    <s v="E-commerce"/>
    <s v="Website Banner"/>
    <n v="135.96"/>
    <x v="318"/>
    <x v="4"/>
    <x v="318"/>
  </r>
  <r>
    <n v="1750"/>
    <x v="398"/>
    <n v="365"/>
    <n v="2"/>
    <n v="67.760000000000005"/>
    <n v="67.760000000000005"/>
    <n v="0"/>
    <n v="0"/>
    <n v="0"/>
    <n v="135.52000000000001"/>
    <x v="14"/>
    <s v="E-commerce"/>
    <s v="Website Banner"/>
    <n v="135.52000000000001"/>
    <x v="319"/>
    <x v="4"/>
    <x v="319"/>
  </r>
  <r>
    <n v="1849"/>
    <x v="399"/>
    <n v="365"/>
    <n v="2"/>
    <n v="67.760000000000005"/>
    <n v="67.760000000000005"/>
    <n v="0"/>
    <n v="0"/>
    <n v="0"/>
    <n v="135.52000000000001"/>
    <x v="13"/>
    <s v="E-commerce"/>
    <s v="Website Banner"/>
    <n v="135.52000000000001"/>
    <x v="319"/>
    <x v="4"/>
    <x v="319"/>
  </r>
  <r>
    <n v="170"/>
    <x v="400"/>
    <n v="142"/>
    <n v="2"/>
    <n v="67.290000000000006"/>
    <n v="67.290000000000006"/>
    <n v="0"/>
    <n v="0"/>
    <n v="0"/>
    <n v="134.58000000000001"/>
    <x v="41"/>
    <s v="App Mobile"/>
    <s v="App Mobile"/>
    <n v="134.58000000000001"/>
    <x v="320"/>
    <x v="0"/>
    <x v="320"/>
  </r>
  <r>
    <n v="451"/>
    <x v="401"/>
    <n v="142"/>
    <n v="2"/>
    <n v="67.290000000000006"/>
    <n v="67.290000000000006"/>
    <n v="0"/>
    <n v="0"/>
    <n v="0"/>
    <n v="134.58000000000001"/>
    <x v="36"/>
    <s v="E-commerce"/>
    <s v="Website Banner"/>
    <n v="134.58000000000001"/>
    <x v="320"/>
    <x v="0"/>
    <x v="320"/>
  </r>
  <r>
    <n v="1942"/>
    <x v="402"/>
    <n v="239"/>
    <n v="2"/>
    <n v="66.989999999999995"/>
    <n v="66.989999999999995"/>
    <n v="0"/>
    <n v="0"/>
    <n v="0"/>
    <n v="133.97999999999999"/>
    <x v="16"/>
    <s v="App Mobile"/>
    <s v="App Mobile"/>
    <n v="133.97999999999999"/>
    <x v="24"/>
    <x v="2"/>
    <x v="24"/>
  </r>
  <r>
    <n v="1979"/>
    <x v="403"/>
    <n v="239"/>
    <n v="2"/>
    <n v="66.989999999999995"/>
    <n v="66.989999999999995"/>
    <n v="0"/>
    <n v="0"/>
    <n v="0"/>
    <n v="133.97999999999999"/>
    <x v="21"/>
    <s v="E-commerce"/>
    <s v="Website Banner"/>
    <n v="133.97999999999999"/>
    <x v="24"/>
    <x v="2"/>
    <x v="24"/>
  </r>
  <r>
    <n v="32"/>
    <x v="263"/>
    <n v="197"/>
    <n v="2"/>
    <n v="66.680000000000007"/>
    <n v="66.680000000000007"/>
    <n v="0"/>
    <n v="0"/>
    <n v="0"/>
    <n v="133.36000000000001"/>
    <x v="43"/>
    <s v="App Mobile"/>
    <s v="App Mobile"/>
    <n v="133.36000000000001"/>
    <x v="26"/>
    <x v="1"/>
    <x v="26"/>
  </r>
  <r>
    <n v="1437"/>
    <x v="404"/>
    <n v="197"/>
    <n v="2"/>
    <n v="66.680000000000007"/>
    <n v="66.680000000000007"/>
    <n v="0"/>
    <n v="0"/>
    <n v="0"/>
    <n v="133.36000000000001"/>
    <x v="17"/>
    <s v="App Mobile"/>
    <s v="App Mobile"/>
    <n v="133.36000000000001"/>
    <x v="26"/>
    <x v="1"/>
    <x v="26"/>
  </r>
  <r>
    <n v="2231"/>
    <x v="39"/>
    <n v="197"/>
    <n v="2"/>
    <n v="66.680000000000007"/>
    <n v="66.680000000000007"/>
    <n v="0"/>
    <n v="0"/>
    <n v="0"/>
    <n v="133.36000000000001"/>
    <x v="16"/>
    <s v="App Mobile"/>
    <s v="App Mobile"/>
    <n v="133.36000000000001"/>
    <x v="26"/>
    <x v="1"/>
    <x v="26"/>
  </r>
  <r>
    <n v="2224"/>
    <x v="335"/>
    <n v="383"/>
    <n v="2"/>
    <n v="66.38"/>
    <n v="66.38"/>
    <n v="0"/>
    <n v="0"/>
    <n v="0"/>
    <n v="132.76"/>
    <x v="25"/>
    <s v="E-commerce"/>
    <s v="Website Banner"/>
    <n v="132.76"/>
    <x v="321"/>
    <x v="3"/>
    <x v="321"/>
  </r>
  <r>
    <n v="2244"/>
    <x v="405"/>
    <n v="383"/>
    <n v="2"/>
    <n v="66.38"/>
    <n v="66.38"/>
    <n v="0"/>
    <n v="0"/>
    <n v="0"/>
    <n v="132.76"/>
    <x v="39"/>
    <s v="App Mobile"/>
    <s v="App Mobile"/>
    <n v="132.76"/>
    <x v="321"/>
    <x v="3"/>
    <x v="321"/>
  </r>
  <r>
    <n v="3069"/>
    <x v="406"/>
    <n v="70"/>
    <n v="2"/>
    <n v="66.33"/>
    <n v="66.33"/>
    <n v="0"/>
    <n v="0"/>
    <n v="0"/>
    <n v="132.66"/>
    <x v="37"/>
    <s v="App Mobile"/>
    <s v="App Mobile"/>
    <n v="132.66"/>
    <x v="29"/>
    <x v="0"/>
    <x v="29"/>
  </r>
  <r>
    <n v="530"/>
    <x v="407"/>
    <n v="19"/>
    <n v="2"/>
    <n v="65.260000000000005"/>
    <n v="65.260000000000005"/>
    <n v="0"/>
    <n v="0"/>
    <n v="0"/>
    <n v="130.52000000000001"/>
    <x v="2"/>
    <s v="E-commerce"/>
    <s v="Website Banner"/>
    <n v="130.52000000000001"/>
    <x v="177"/>
    <x v="0"/>
    <x v="177"/>
  </r>
  <r>
    <n v="1293"/>
    <x v="408"/>
    <n v="19"/>
    <n v="2"/>
    <n v="65.260000000000005"/>
    <n v="65.260000000000005"/>
    <n v="0"/>
    <n v="0"/>
    <n v="0"/>
    <n v="130.52000000000001"/>
    <x v="35"/>
    <s v="E-commerce"/>
    <s v="Website Banner"/>
    <n v="130.52000000000001"/>
    <x v="177"/>
    <x v="0"/>
    <x v="177"/>
  </r>
  <r>
    <n v="1429"/>
    <x v="409"/>
    <n v="19"/>
    <n v="2"/>
    <n v="65.260000000000005"/>
    <n v="65.260000000000005"/>
    <n v="0"/>
    <n v="0"/>
    <n v="0"/>
    <n v="130.52000000000001"/>
    <x v="44"/>
    <s v="E-commerce"/>
    <s v="Website Banner"/>
    <n v="130.52000000000001"/>
    <x v="177"/>
    <x v="0"/>
    <x v="177"/>
  </r>
  <r>
    <n v="2890"/>
    <x v="410"/>
    <n v="166"/>
    <n v="2"/>
    <n v="65.260000000000005"/>
    <n v="65.260000000000005"/>
    <n v="0"/>
    <n v="0"/>
    <n v="0"/>
    <n v="130.52000000000001"/>
    <x v="48"/>
    <s v="E-commerce"/>
    <s v="Website Banner"/>
    <n v="130.52000000000001"/>
    <x v="322"/>
    <x v="1"/>
    <x v="322"/>
  </r>
  <r>
    <n v="168"/>
    <x v="411"/>
    <n v="44"/>
    <n v="2"/>
    <n v="64.84"/>
    <n v="64.84"/>
    <n v="0"/>
    <n v="0"/>
    <n v="0"/>
    <n v="129.68"/>
    <x v="41"/>
    <s v="E-commerce"/>
    <s v="Website Banner"/>
    <n v="129.68"/>
    <x v="323"/>
    <x v="2"/>
    <x v="323"/>
  </r>
  <r>
    <n v="3149"/>
    <x v="412"/>
    <n v="44"/>
    <n v="2"/>
    <n v="64.84"/>
    <n v="64.84"/>
    <n v="0"/>
    <n v="0"/>
    <n v="0"/>
    <n v="129.68"/>
    <x v="28"/>
    <s v="E-commerce"/>
    <s v="Website Banner"/>
    <n v="129.68"/>
    <x v="323"/>
    <x v="2"/>
    <x v="323"/>
  </r>
  <r>
    <n v="2234"/>
    <x v="413"/>
    <n v="260"/>
    <n v="2"/>
    <n v="64.28"/>
    <n v="64.28"/>
    <n v="0"/>
    <n v="0"/>
    <n v="0"/>
    <n v="128.56"/>
    <x v="19"/>
    <s v="E-commerce"/>
    <s v="Website Banner"/>
    <n v="128.56"/>
    <x v="324"/>
    <x v="0"/>
    <x v="324"/>
  </r>
  <r>
    <n v="880"/>
    <x v="280"/>
    <n v="194"/>
    <n v="2"/>
    <n v="64.11"/>
    <n v="64.11"/>
    <n v="0"/>
    <n v="0"/>
    <n v="0"/>
    <n v="128.22"/>
    <x v="5"/>
    <s v="E-commerce"/>
    <s v="Website Banner"/>
    <n v="128.22"/>
    <x v="32"/>
    <x v="3"/>
    <x v="32"/>
  </r>
  <r>
    <n v="1188"/>
    <x v="120"/>
    <n v="469"/>
    <n v="2"/>
    <n v="64.08"/>
    <n v="64.08"/>
    <n v="0"/>
    <n v="0"/>
    <n v="0"/>
    <n v="128.16"/>
    <x v="46"/>
    <s v="E-commerce"/>
    <s v="Website Banner"/>
    <n v="128.16"/>
    <x v="325"/>
    <x v="0"/>
    <x v="325"/>
  </r>
  <r>
    <n v="3239"/>
    <x v="414"/>
    <n v="469"/>
    <n v="2"/>
    <n v="64.08"/>
    <n v="64.08"/>
    <n v="0"/>
    <n v="0"/>
    <n v="0"/>
    <n v="128.16"/>
    <x v="15"/>
    <s v="App Mobile"/>
    <s v="App Mobile"/>
    <n v="128.16"/>
    <x v="325"/>
    <x v="0"/>
    <x v="325"/>
  </r>
  <r>
    <n v="1402"/>
    <x v="415"/>
    <n v="371"/>
    <n v="2"/>
    <n v="63.82"/>
    <n v="63.82"/>
    <n v="0"/>
    <n v="0"/>
    <n v="0"/>
    <n v="127.64"/>
    <x v="4"/>
    <s v="App Mobile"/>
    <s v="App Mobile"/>
    <n v="127.64"/>
    <x v="33"/>
    <x v="4"/>
    <x v="33"/>
  </r>
  <r>
    <n v="468"/>
    <x v="225"/>
    <n v="372"/>
    <n v="2"/>
    <n v="63.79"/>
    <n v="63.79"/>
    <n v="0"/>
    <n v="0"/>
    <n v="0"/>
    <n v="127.58"/>
    <x v="6"/>
    <s v="E-commerce"/>
    <s v="Website Banner"/>
    <n v="127.58"/>
    <x v="34"/>
    <x v="2"/>
    <x v="34"/>
  </r>
  <r>
    <n v="1035"/>
    <x v="47"/>
    <n v="385"/>
    <n v="2"/>
    <n v="63.23"/>
    <n v="63.23"/>
    <n v="0"/>
    <n v="0"/>
    <n v="0"/>
    <n v="126.46"/>
    <x v="4"/>
    <s v="E-commerce"/>
    <s v="Website Banner"/>
    <n v="126.46"/>
    <x v="326"/>
    <x v="2"/>
    <x v="326"/>
  </r>
  <r>
    <n v="1041"/>
    <x v="416"/>
    <n v="206"/>
    <n v="2"/>
    <n v="63.03"/>
    <n v="63.03"/>
    <n v="0"/>
    <n v="0"/>
    <n v="0"/>
    <n v="126.06"/>
    <x v="50"/>
    <s v="App Mobile"/>
    <s v="App Mobile"/>
    <n v="126.06"/>
    <x v="36"/>
    <x v="2"/>
    <x v="36"/>
  </r>
  <r>
    <n v="1562"/>
    <x v="417"/>
    <n v="206"/>
    <n v="2"/>
    <n v="63.03"/>
    <n v="63.03"/>
    <n v="0"/>
    <n v="0"/>
    <n v="0"/>
    <n v="126.06"/>
    <x v="33"/>
    <s v="App Mobile"/>
    <s v="App Mobile"/>
    <n v="126.06"/>
    <x v="36"/>
    <x v="2"/>
    <x v="36"/>
  </r>
  <r>
    <n v="2849"/>
    <x v="418"/>
    <n v="206"/>
    <n v="2"/>
    <n v="63.03"/>
    <n v="63.03"/>
    <n v="0"/>
    <n v="0"/>
    <n v="0"/>
    <n v="126.06"/>
    <x v="1"/>
    <s v="E-commerce"/>
    <s v="Website Banner"/>
    <n v="126.06"/>
    <x v="36"/>
    <x v="2"/>
    <x v="36"/>
  </r>
  <r>
    <n v="3067"/>
    <x v="419"/>
    <n v="56"/>
    <n v="2"/>
    <n v="62.92"/>
    <n v="62.92"/>
    <n v="0"/>
    <n v="0"/>
    <n v="0"/>
    <n v="125.84"/>
    <x v="37"/>
    <s v="App Mobile"/>
    <s v="App Mobile"/>
    <n v="125.84"/>
    <x v="37"/>
    <x v="1"/>
    <x v="37"/>
  </r>
  <r>
    <n v="1772"/>
    <x v="378"/>
    <n v="38"/>
    <n v="2"/>
    <n v="62.8"/>
    <n v="62.8"/>
    <n v="0"/>
    <n v="0"/>
    <n v="0"/>
    <n v="125.6"/>
    <x v="22"/>
    <s v="E-commerce"/>
    <s v="Website Banner"/>
    <n v="125.6"/>
    <x v="38"/>
    <x v="4"/>
    <x v="38"/>
  </r>
  <r>
    <n v="1223"/>
    <x v="420"/>
    <n v="192"/>
    <n v="2"/>
    <n v="62.48"/>
    <n v="62.48"/>
    <n v="0"/>
    <n v="0"/>
    <n v="0"/>
    <n v="124.96"/>
    <x v="9"/>
    <s v="E-commerce"/>
    <s v="Website Banner"/>
    <n v="124.96"/>
    <x v="327"/>
    <x v="0"/>
    <x v="327"/>
  </r>
  <r>
    <n v="377"/>
    <x v="311"/>
    <n v="378"/>
    <n v="2"/>
    <n v="62.39"/>
    <n v="62.39"/>
    <n v="0"/>
    <n v="0"/>
    <n v="0"/>
    <n v="124.78"/>
    <x v="40"/>
    <s v="E-commerce"/>
    <s v="Website Banner"/>
    <n v="124.78"/>
    <x v="328"/>
    <x v="2"/>
    <x v="328"/>
  </r>
  <r>
    <n v="2376"/>
    <x v="11"/>
    <n v="323"/>
    <n v="2"/>
    <n v="62.34"/>
    <n v="62.34"/>
    <n v="0"/>
    <n v="0"/>
    <n v="0"/>
    <n v="124.68"/>
    <x v="11"/>
    <s v="App Mobile"/>
    <s v="App Mobile"/>
    <n v="124.68"/>
    <x v="329"/>
    <x v="4"/>
    <x v="329"/>
  </r>
  <r>
    <n v="473"/>
    <x v="421"/>
    <n v="115"/>
    <n v="2"/>
    <n v="62.27"/>
    <n v="62.27"/>
    <n v="0"/>
    <n v="0"/>
    <n v="0"/>
    <n v="124.54"/>
    <x v="18"/>
    <s v="App Mobile"/>
    <s v="App Mobile"/>
    <n v="124.54"/>
    <x v="40"/>
    <x v="3"/>
    <x v="40"/>
  </r>
  <r>
    <n v="737"/>
    <x v="180"/>
    <n v="115"/>
    <n v="2"/>
    <n v="62.27"/>
    <n v="62.27"/>
    <n v="0"/>
    <n v="0"/>
    <n v="0"/>
    <n v="124.54"/>
    <x v="13"/>
    <s v="App Mobile"/>
    <s v="App Mobile"/>
    <n v="124.54"/>
    <x v="40"/>
    <x v="3"/>
    <x v="40"/>
  </r>
  <r>
    <n v="978"/>
    <x v="330"/>
    <n v="437"/>
    <n v="2"/>
    <n v="62.17"/>
    <n v="62.17"/>
    <n v="0"/>
    <n v="0"/>
    <n v="0"/>
    <n v="124.34"/>
    <x v="40"/>
    <s v="E-commerce"/>
    <s v="Website Banner"/>
    <n v="124.34"/>
    <x v="41"/>
    <x v="0"/>
    <x v="41"/>
  </r>
  <r>
    <n v="979"/>
    <x v="422"/>
    <n v="152"/>
    <n v="2"/>
    <n v="61.7"/>
    <n v="61.7"/>
    <n v="0"/>
    <n v="0"/>
    <n v="0"/>
    <n v="123.4"/>
    <x v="33"/>
    <s v="App Mobile"/>
    <s v="App Mobile"/>
    <n v="123.4"/>
    <x v="330"/>
    <x v="3"/>
    <x v="330"/>
  </r>
  <r>
    <n v="1998"/>
    <x v="423"/>
    <n v="152"/>
    <n v="2"/>
    <n v="61.7"/>
    <n v="61.7"/>
    <n v="0"/>
    <n v="0"/>
    <n v="0"/>
    <n v="123.4"/>
    <x v="46"/>
    <s v="App Mobile"/>
    <s v="App Mobile"/>
    <n v="123.4"/>
    <x v="330"/>
    <x v="3"/>
    <x v="330"/>
  </r>
  <r>
    <n v="2302"/>
    <x v="424"/>
    <n v="266"/>
    <n v="2"/>
    <n v="61.67"/>
    <n v="61.67"/>
    <n v="0"/>
    <n v="0"/>
    <n v="0"/>
    <n v="123.34"/>
    <x v="29"/>
    <s v="E-commerce"/>
    <s v="Website Banner"/>
    <n v="123.34"/>
    <x v="43"/>
    <x v="2"/>
    <x v="43"/>
  </r>
  <r>
    <n v="776"/>
    <x v="425"/>
    <n v="399"/>
    <n v="2"/>
    <n v="61.6"/>
    <n v="61.6"/>
    <n v="0"/>
    <n v="0"/>
    <n v="0"/>
    <n v="123.2"/>
    <x v="20"/>
    <s v="App Mobile"/>
    <s v="App Mobile"/>
    <n v="123.2"/>
    <x v="45"/>
    <x v="1"/>
    <x v="45"/>
  </r>
  <r>
    <n v="2066"/>
    <x v="426"/>
    <n v="399"/>
    <n v="2"/>
    <n v="61.6"/>
    <n v="61.6"/>
    <n v="0"/>
    <n v="0"/>
    <n v="0"/>
    <n v="123.2"/>
    <x v="39"/>
    <s v="App Mobile"/>
    <s v="App Mobile"/>
    <n v="123.2"/>
    <x v="45"/>
    <x v="1"/>
    <x v="45"/>
  </r>
  <r>
    <n v="338"/>
    <x v="427"/>
    <n v="125"/>
    <n v="2"/>
    <n v="61.27"/>
    <n v="61.27"/>
    <n v="0"/>
    <n v="0"/>
    <n v="0"/>
    <n v="122.54"/>
    <x v="0"/>
    <s v="E-commerce"/>
    <s v="Website Banner"/>
    <n v="122.54"/>
    <x v="331"/>
    <x v="1"/>
    <x v="331"/>
  </r>
  <r>
    <n v="2758"/>
    <x v="428"/>
    <n v="125"/>
    <n v="2"/>
    <n v="61.27"/>
    <n v="61.27"/>
    <n v="0"/>
    <n v="0"/>
    <n v="0"/>
    <n v="122.54"/>
    <x v="34"/>
    <s v="E-commerce"/>
    <s v="Website Banner"/>
    <n v="122.54"/>
    <x v="331"/>
    <x v="1"/>
    <x v="331"/>
  </r>
  <r>
    <n v="3044"/>
    <x v="429"/>
    <n v="15"/>
    <n v="2"/>
    <n v="61.26"/>
    <n v="61.26"/>
    <n v="0"/>
    <n v="0"/>
    <n v="0"/>
    <n v="122.52"/>
    <x v="33"/>
    <s v="App Mobile"/>
    <s v="App Mobile"/>
    <n v="122.52"/>
    <x v="332"/>
    <x v="4"/>
    <x v="332"/>
  </r>
  <r>
    <n v="1299"/>
    <x v="159"/>
    <n v="352"/>
    <n v="2"/>
    <n v="61.12"/>
    <n v="61.12"/>
    <n v="0"/>
    <n v="0"/>
    <n v="0"/>
    <n v="122.24"/>
    <x v="39"/>
    <s v="E-commerce"/>
    <s v="Website Banner"/>
    <n v="122.24"/>
    <x v="333"/>
    <x v="3"/>
    <x v="333"/>
  </r>
  <r>
    <n v="2225"/>
    <x v="430"/>
    <n v="352"/>
    <n v="2"/>
    <n v="61.12"/>
    <n v="61.12"/>
    <n v="0"/>
    <n v="0"/>
    <n v="0"/>
    <n v="122.24"/>
    <x v="11"/>
    <s v="E-commerce"/>
    <s v="Website Banner"/>
    <n v="122.24"/>
    <x v="333"/>
    <x v="3"/>
    <x v="333"/>
  </r>
  <r>
    <n v="223"/>
    <x v="431"/>
    <n v="483"/>
    <n v="2"/>
    <n v="60.89"/>
    <n v="60.89"/>
    <n v="0"/>
    <n v="0"/>
    <n v="0"/>
    <n v="121.78"/>
    <x v="44"/>
    <s v="App Mobile"/>
    <s v="App Mobile"/>
    <n v="121.78"/>
    <x v="47"/>
    <x v="4"/>
    <x v="47"/>
  </r>
  <r>
    <n v="3257"/>
    <x v="37"/>
    <n v="305"/>
    <n v="2"/>
    <n v="60.79"/>
    <n v="60.79"/>
    <n v="0"/>
    <n v="0"/>
    <n v="0"/>
    <n v="121.58"/>
    <x v="24"/>
    <s v="App Mobile"/>
    <s v="App Mobile"/>
    <n v="121.58"/>
    <x v="334"/>
    <x v="2"/>
    <x v="334"/>
  </r>
  <r>
    <n v="2492"/>
    <x v="432"/>
    <n v="129"/>
    <n v="2"/>
    <n v="60.68"/>
    <n v="60.68"/>
    <n v="0"/>
    <n v="0"/>
    <n v="0"/>
    <n v="121.36"/>
    <x v="33"/>
    <s v="App Mobile"/>
    <s v="App Mobile"/>
    <n v="121.36"/>
    <x v="49"/>
    <x v="2"/>
    <x v="49"/>
  </r>
  <r>
    <n v="1129"/>
    <x v="433"/>
    <n v="191"/>
    <n v="2"/>
    <n v="60.52"/>
    <n v="60.52"/>
    <n v="0"/>
    <n v="0"/>
    <n v="0"/>
    <n v="121.04"/>
    <x v="10"/>
    <s v="App Mobile"/>
    <s v="App Mobile"/>
    <n v="121.04"/>
    <x v="335"/>
    <x v="0"/>
    <x v="335"/>
  </r>
  <r>
    <n v="2450"/>
    <x v="434"/>
    <n v="111"/>
    <n v="2"/>
    <n v="60.36"/>
    <n v="60.36"/>
    <n v="0"/>
    <n v="0"/>
    <n v="0"/>
    <n v="120.72"/>
    <x v="5"/>
    <s v="App Mobile"/>
    <s v="App Mobile"/>
    <n v="120.72"/>
    <x v="336"/>
    <x v="2"/>
    <x v="336"/>
  </r>
  <r>
    <n v="828"/>
    <x v="435"/>
    <n v="54"/>
    <n v="2"/>
    <n v="60.33"/>
    <n v="60.33"/>
    <n v="0"/>
    <n v="0"/>
    <n v="0"/>
    <n v="120.66"/>
    <x v="26"/>
    <s v="App Mobile"/>
    <s v="App Mobile"/>
    <n v="120.66"/>
    <x v="51"/>
    <x v="0"/>
    <x v="51"/>
  </r>
  <r>
    <n v="2703"/>
    <x v="436"/>
    <n v="54"/>
    <n v="2"/>
    <n v="60.33"/>
    <n v="60.33"/>
    <n v="0"/>
    <n v="0"/>
    <n v="0"/>
    <n v="120.66"/>
    <x v="2"/>
    <s v="App Mobile"/>
    <s v="App Mobile"/>
    <n v="120.66"/>
    <x v="51"/>
    <x v="0"/>
    <x v="51"/>
  </r>
  <r>
    <n v="1261"/>
    <x v="437"/>
    <n v="433"/>
    <n v="2"/>
    <n v="60.12"/>
    <n v="60.12"/>
    <n v="0"/>
    <n v="0"/>
    <n v="0"/>
    <n v="120.24"/>
    <x v="47"/>
    <s v="E-commerce"/>
    <s v="Website Banner"/>
    <n v="120.24"/>
    <x v="53"/>
    <x v="2"/>
    <x v="53"/>
  </r>
  <r>
    <n v="825"/>
    <x v="438"/>
    <n v="347"/>
    <n v="2"/>
    <n v="59.92"/>
    <n v="59.92"/>
    <n v="0"/>
    <n v="0"/>
    <n v="0"/>
    <n v="119.84"/>
    <x v="13"/>
    <s v="E-commerce"/>
    <s v="Website Banner"/>
    <n v="119.84"/>
    <x v="54"/>
    <x v="4"/>
    <x v="54"/>
  </r>
  <r>
    <n v="1523"/>
    <x v="439"/>
    <n v="347"/>
    <n v="2"/>
    <n v="59.92"/>
    <n v="59.92"/>
    <n v="0"/>
    <n v="0"/>
    <n v="0"/>
    <n v="119.84"/>
    <x v="16"/>
    <s v="App Mobile"/>
    <s v="App Mobile"/>
    <n v="119.84"/>
    <x v="54"/>
    <x v="4"/>
    <x v="54"/>
  </r>
  <r>
    <n v="1245"/>
    <x v="294"/>
    <n v="472"/>
    <n v="2"/>
    <n v="59.9"/>
    <n v="59.9"/>
    <n v="0"/>
    <n v="0"/>
    <n v="0"/>
    <n v="119.8"/>
    <x v="14"/>
    <s v="App Mobile"/>
    <s v="App Mobile"/>
    <n v="119.8"/>
    <x v="337"/>
    <x v="2"/>
    <x v="337"/>
  </r>
  <r>
    <n v="1667"/>
    <x v="440"/>
    <n v="472"/>
    <n v="2"/>
    <n v="59.9"/>
    <n v="59.9"/>
    <n v="0"/>
    <n v="0"/>
    <n v="0"/>
    <n v="119.8"/>
    <x v="26"/>
    <s v="E-commerce"/>
    <s v="Website Banner"/>
    <n v="119.8"/>
    <x v="337"/>
    <x v="2"/>
    <x v="337"/>
  </r>
  <r>
    <n v="1439"/>
    <x v="441"/>
    <n v="380"/>
    <n v="2"/>
    <n v="59.84"/>
    <n v="59.84"/>
    <n v="0"/>
    <n v="0"/>
    <n v="0"/>
    <n v="119.68"/>
    <x v="25"/>
    <s v="App Mobile"/>
    <s v="App Mobile"/>
    <n v="119.68"/>
    <x v="338"/>
    <x v="3"/>
    <x v="338"/>
  </r>
  <r>
    <n v="2261"/>
    <x v="140"/>
    <n v="391"/>
    <n v="2"/>
    <n v="59.77"/>
    <n v="59.77"/>
    <n v="0"/>
    <n v="0"/>
    <n v="0"/>
    <n v="119.54"/>
    <x v="33"/>
    <s v="E-commerce"/>
    <s v="Website Banner"/>
    <n v="119.54"/>
    <x v="56"/>
    <x v="0"/>
    <x v="56"/>
  </r>
  <r>
    <n v="2700"/>
    <x v="442"/>
    <n v="244"/>
    <n v="2"/>
    <n v="59.32"/>
    <n v="59.32"/>
    <n v="0"/>
    <n v="0"/>
    <n v="0"/>
    <n v="118.64"/>
    <x v="26"/>
    <s v="E-commerce"/>
    <s v="Website Banner"/>
    <n v="118.64"/>
    <x v="60"/>
    <x v="1"/>
    <x v="60"/>
  </r>
  <r>
    <n v="1317"/>
    <x v="443"/>
    <n v="78"/>
    <n v="2"/>
    <n v="59.21"/>
    <n v="59.21"/>
    <n v="0"/>
    <n v="0"/>
    <n v="0"/>
    <n v="118.42"/>
    <x v="32"/>
    <s v="App Mobile"/>
    <s v="App Mobile"/>
    <n v="118.42"/>
    <x v="339"/>
    <x v="1"/>
    <x v="339"/>
  </r>
  <r>
    <n v="2395"/>
    <x v="171"/>
    <n v="78"/>
    <n v="2"/>
    <n v="59.21"/>
    <n v="59.21"/>
    <n v="0"/>
    <n v="0"/>
    <n v="0"/>
    <n v="118.42"/>
    <x v="23"/>
    <s v="E-commerce"/>
    <s v="Website Banner"/>
    <n v="118.42"/>
    <x v="339"/>
    <x v="1"/>
    <x v="339"/>
  </r>
  <r>
    <n v="3311"/>
    <x v="431"/>
    <n v="78"/>
    <n v="2"/>
    <n v="59.21"/>
    <n v="59.21"/>
    <n v="0"/>
    <n v="0"/>
    <n v="0"/>
    <n v="118.42"/>
    <x v="44"/>
    <s v="App Mobile"/>
    <s v="App Mobile"/>
    <n v="118.42"/>
    <x v="339"/>
    <x v="1"/>
    <x v="339"/>
  </r>
  <r>
    <n v="2251"/>
    <x v="444"/>
    <n v="166"/>
    <n v="2"/>
    <n v="65.260000000000005"/>
    <n v="58.73"/>
    <n v="6.53"/>
    <n v="0.1"/>
    <n v="1"/>
    <n v="117.47"/>
    <x v="37"/>
    <s v="E-commerce"/>
    <s v="Email"/>
    <n v="117.46"/>
    <x v="322"/>
    <x v="1"/>
    <x v="322"/>
  </r>
  <r>
    <n v="1209"/>
    <x v="445"/>
    <n v="63"/>
    <n v="2"/>
    <n v="58.67"/>
    <n v="58.67"/>
    <n v="0"/>
    <n v="0"/>
    <n v="0"/>
    <n v="117.34"/>
    <x v="40"/>
    <s v="App Mobile"/>
    <s v="App Mobile"/>
    <n v="117.34"/>
    <x v="63"/>
    <x v="3"/>
    <x v="63"/>
  </r>
  <r>
    <n v="1553"/>
    <x v="328"/>
    <n v="63"/>
    <n v="2"/>
    <n v="58.67"/>
    <n v="58.67"/>
    <n v="0"/>
    <n v="0"/>
    <n v="0"/>
    <n v="117.34"/>
    <x v="50"/>
    <s v="E-commerce"/>
    <s v="Website Banner"/>
    <n v="117.34"/>
    <x v="63"/>
    <x v="3"/>
    <x v="63"/>
  </r>
  <r>
    <n v="605"/>
    <x v="446"/>
    <n v="366"/>
    <n v="2"/>
    <n v="58.34"/>
    <n v="58.34"/>
    <n v="0"/>
    <n v="0"/>
    <n v="0"/>
    <n v="116.68"/>
    <x v="24"/>
    <s v="App Mobile"/>
    <s v="App Mobile"/>
    <n v="116.68"/>
    <x v="64"/>
    <x v="2"/>
    <x v="64"/>
  </r>
  <r>
    <n v="1110"/>
    <x v="447"/>
    <n v="366"/>
    <n v="2"/>
    <n v="58.34"/>
    <n v="58.34"/>
    <n v="0"/>
    <n v="0"/>
    <n v="0"/>
    <n v="116.68"/>
    <x v="9"/>
    <s v="E-commerce"/>
    <s v="Website Banner"/>
    <n v="116.68"/>
    <x v="64"/>
    <x v="2"/>
    <x v="64"/>
  </r>
  <r>
    <n v="2706"/>
    <x v="448"/>
    <n v="22"/>
    <n v="2"/>
    <n v="58.26"/>
    <n v="58.26"/>
    <n v="0"/>
    <n v="0"/>
    <n v="0"/>
    <n v="116.52"/>
    <x v="43"/>
    <s v="App Mobile"/>
    <s v="App Mobile"/>
    <n v="116.52"/>
    <x v="65"/>
    <x v="4"/>
    <x v="65"/>
  </r>
  <r>
    <n v="2898"/>
    <x v="193"/>
    <n v="22"/>
    <n v="2"/>
    <n v="58.26"/>
    <n v="58.26"/>
    <n v="0"/>
    <n v="0"/>
    <n v="0"/>
    <n v="116.52"/>
    <x v="18"/>
    <s v="App Mobile"/>
    <s v="App Mobile"/>
    <n v="116.52"/>
    <x v="65"/>
    <x v="4"/>
    <x v="65"/>
  </r>
  <r>
    <n v="3258"/>
    <x v="449"/>
    <n v="145"/>
    <n v="2"/>
    <n v="58.25"/>
    <n v="58.25"/>
    <n v="0"/>
    <n v="0"/>
    <n v="0"/>
    <n v="116.5"/>
    <x v="15"/>
    <s v="App Mobile"/>
    <s v="App Mobile"/>
    <n v="116.5"/>
    <x v="66"/>
    <x v="1"/>
    <x v="66"/>
  </r>
  <r>
    <n v="2325"/>
    <x v="450"/>
    <n v="321"/>
    <n v="2"/>
    <n v="58.09"/>
    <n v="58.09"/>
    <n v="0"/>
    <n v="0"/>
    <n v="0"/>
    <n v="116.18"/>
    <x v="21"/>
    <s v="E-commerce"/>
    <s v="Website Banner"/>
    <n v="116.18"/>
    <x v="69"/>
    <x v="2"/>
    <x v="69"/>
  </r>
  <r>
    <n v="2448"/>
    <x v="97"/>
    <n v="321"/>
    <n v="2"/>
    <n v="58.09"/>
    <n v="58.09"/>
    <n v="0"/>
    <n v="0"/>
    <n v="0"/>
    <n v="116.18"/>
    <x v="1"/>
    <s v="E-commerce"/>
    <s v="Website Banner"/>
    <n v="116.18"/>
    <x v="69"/>
    <x v="2"/>
    <x v="69"/>
  </r>
  <r>
    <n v="1609"/>
    <x v="451"/>
    <n v="473"/>
    <n v="2"/>
    <n v="57.98"/>
    <n v="57.98"/>
    <n v="0"/>
    <n v="0"/>
    <n v="0"/>
    <n v="115.96"/>
    <x v="47"/>
    <s v="E-commerce"/>
    <s v="Website Banner"/>
    <n v="115.96"/>
    <x v="340"/>
    <x v="0"/>
    <x v="340"/>
  </r>
  <r>
    <n v="2807"/>
    <x v="452"/>
    <n v="473"/>
    <n v="2"/>
    <n v="57.98"/>
    <n v="57.98"/>
    <n v="0"/>
    <n v="0"/>
    <n v="0"/>
    <n v="115.96"/>
    <x v="17"/>
    <s v="App Mobile"/>
    <s v="App Mobile"/>
    <n v="115.96"/>
    <x v="340"/>
    <x v="0"/>
    <x v="340"/>
  </r>
  <r>
    <n v="1292"/>
    <x v="254"/>
    <n v="7"/>
    <n v="2"/>
    <n v="57.66"/>
    <n v="57.66"/>
    <n v="0"/>
    <n v="0"/>
    <n v="0"/>
    <n v="115.32"/>
    <x v="20"/>
    <s v="E-commerce"/>
    <s v="Website Banner"/>
    <n v="115.32"/>
    <x v="341"/>
    <x v="0"/>
    <x v="341"/>
  </r>
  <r>
    <n v="2105"/>
    <x v="453"/>
    <n v="227"/>
    <n v="2"/>
    <n v="57.51"/>
    <n v="57.51"/>
    <n v="0"/>
    <n v="0"/>
    <n v="0"/>
    <n v="115.02"/>
    <x v="0"/>
    <s v="E-commerce"/>
    <s v="Website Banner"/>
    <n v="115.02"/>
    <x v="71"/>
    <x v="4"/>
    <x v="71"/>
  </r>
  <r>
    <n v="2154"/>
    <x v="454"/>
    <n v="227"/>
    <n v="2"/>
    <n v="57.51"/>
    <n v="57.51"/>
    <n v="0"/>
    <n v="0"/>
    <n v="0"/>
    <n v="115.02"/>
    <x v="32"/>
    <s v="App Mobile"/>
    <s v="App Mobile"/>
    <n v="115.02"/>
    <x v="71"/>
    <x v="4"/>
    <x v="71"/>
  </r>
  <r>
    <n v="630"/>
    <x v="455"/>
    <n v="493"/>
    <n v="2"/>
    <n v="57.37"/>
    <n v="57.37"/>
    <n v="0"/>
    <n v="0"/>
    <n v="0"/>
    <n v="114.74"/>
    <x v="23"/>
    <s v="App Mobile"/>
    <s v="App Mobile"/>
    <n v="114.74"/>
    <x v="342"/>
    <x v="2"/>
    <x v="342"/>
  </r>
  <r>
    <n v="1483"/>
    <x v="182"/>
    <n v="493"/>
    <n v="2"/>
    <n v="57.37"/>
    <n v="57.37"/>
    <n v="0"/>
    <n v="0"/>
    <n v="0"/>
    <n v="114.74"/>
    <x v="36"/>
    <s v="App Mobile"/>
    <s v="App Mobile"/>
    <n v="114.74"/>
    <x v="342"/>
    <x v="2"/>
    <x v="342"/>
  </r>
  <r>
    <n v="3318"/>
    <x v="380"/>
    <n v="223"/>
    <n v="2"/>
    <n v="57.36"/>
    <n v="57.36"/>
    <n v="0"/>
    <n v="0"/>
    <n v="0"/>
    <n v="114.72"/>
    <x v="46"/>
    <s v="App Mobile"/>
    <s v="App Mobile"/>
    <n v="114.72"/>
    <x v="343"/>
    <x v="2"/>
    <x v="343"/>
  </r>
  <r>
    <n v="3098"/>
    <x v="456"/>
    <n v="49"/>
    <n v="2"/>
    <n v="57.35"/>
    <n v="57.35"/>
    <n v="0"/>
    <n v="0"/>
    <n v="0"/>
    <n v="114.7"/>
    <x v="6"/>
    <s v="App Mobile"/>
    <s v="App Mobile"/>
    <n v="114.7"/>
    <x v="74"/>
    <x v="4"/>
    <x v="74"/>
  </r>
  <r>
    <n v="3212"/>
    <x v="457"/>
    <n v="49"/>
    <n v="2"/>
    <n v="57.35"/>
    <n v="57.35"/>
    <n v="0"/>
    <n v="0"/>
    <n v="0"/>
    <n v="114.7"/>
    <x v="12"/>
    <s v="E-commerce"/>
    <s v="Website Banner"/>
    <n v="114.7"/>
    <x v="74"/>
    <x v="4"/>
    <x v="74"/>
  </r>
  <r>
    <n v="133"/>
    <x v="458"/>
    <n v="213"/>
    <n v="2"/>
    <n v="57.31"/>
    <n v="57.31"/>
    <n v="0"/>
    <n v="0"/>
    <n v="0"/>
    <n v="114.62"/>
    <x v="7"/>
    <s v="App Mobile"/>
    <s v="App Mobile"/>
    <n v="114.62"/>
    <x v="344"/>
    <x v="4"/>
    <x v="344"/>
  </r>
  <r>
    <n v="2462"/>
    <x v="390"/>
    <n v="222"/>
    <n v="2"/>
    <n v="57.19"/>
    <n v="57.19"/>
    <n v="0"/>
    <n v="0"/>
    <n v="0"/>
    <n v="114.38"/>
    <x v="1"/>
    <s v="E-commerce"/>
    <s v="Website Banner"/>
    <n v="114.38"/>
    <x v="75"/>
    <x v="0"/>
    <x v="75"/>
  </r>
  <r>
    <n v="107"/>
    <x v="459"/>
    <n v="288"/>
    <n v="2"/>
    <n v="57.11"/>
    <n v="57.11"/>
    <n v="0"/>
    <n v="0"/>
    <n v="0"/>
    <n v="114.22"/>
    <x v="43"/>
    <s v="E-commerce"/>
    <s v="Website Banner"/>
    <n v="114.22"/>
    <x v="77"/>
    <x v="4"/>
    <x v="77"/>
  </r>
  <r>
    <n v="1752"/>
    <x v="460"/>
    <n v="288"/>
    <n v="2"/>
    <n v="57.11"/>
    <n v="57.11"/>
    <n v="0"/>
    <n v="0"/>
    <n v="0"/>
    <n v="114.22"/>
    <x v="24"/>
    <s v="E-commerce"/>
    <s v="Website Banner"/>
    <n v="114.22"/>
    <x v="77"/>
    <x v="4"/>
    <x v="77"/>
  </r>
  <r>
    <n v="2222"/>
    <x v="461"/>
    <n v="103"/>
    <n v="2"/>
    <n v="57"/>
    <n v="57"/>
    <n v="0"/>
    <n v="0"/>
    <n v="0"/>
    <n v="114"/>
    <x v="33"/>
    <s v="E-commerce"/>
    <s v="Website Banner"/>
    <n v="114"/>
    <x v="78"/>
    <x v="4"/>
    <x v="78"/>
  </r>
  <r>
    <n v="2233"/>
    <x v="307"/>
    <n v="103"/>
    <n v="2"/>
    <n v="57"/>
    <n v="57"/>
    <n v="0"/>
    <n v="0"/>
    <n v="0"/>
    <n v="114"/>
    <x v="33"/>
    <s v="App Mobile"/>
    <s v="App Mobile"/>
    <n v="114"/>
    <x v="78"/>
    <x v="4"/>
    <x v="78"/>
  </r>
  <r>
    <n v="1499"/>
    <x v="96"/>
    <n v="357"/>
    <n v="2"/>
    <n v="56.91"/>
    <n v="56.91"/>
    <n v="0"/>
    <n v="0"/>
    <n v="0"/>
    <n v="113.82"/>
    <x v="18"/>
    <s v="E-commerce"/>
    <s v="Website Banner"/>
    <n v="113.82"/>
    <x v="79"/>
    <x v="3"/>
    <x v="79"/>
  </r>
  <r>
    <n v="2406"/>
    <x v="462"/>
    <n v="357"/>
    <n v="2"/>
    <n v="56.91"/>
    <n v="56.91"/>
    <n v="0"/>
    <n v="0"/>
    <n v="0"/>
    <n v="113.82"/>
    <x v="43"/>
    <s v="App Mobile"/>
    <s v="App Mobile"/>
    <n v="113.82"/>
    <x v="79"/>
    <x v="3"/>
    <x v="79"/>
  </r>
  <r>
    <n v="238"/>
    <x v="463"/>
    <n v="407"/>
    <n v="2"/>
    <n v="56.84"/>
    <n v="56.84"/>
    <n v="0"/>
    <n v="0"/>
    <n v="0"/>
    <n v="113.68"/>
    <x v="17"/>
    <s v="App Mobile"/>
    <s v="App Mobile"/>
    <n v="113.68"/>
    <x v="222"/>
    <x v="4"/>
    <x v="222"/>
  </r>
  <r>
    <n v="13"/>
    <x v="464"/>
    <n v="294"/>
    <n v="2"/>
    <n v="56.69"/>
    <n v="56.69"/>
    <n v="0"/>
    <n v="0"/>
    <n v="0"/>
    <n v="113.38"/>
    <x v="12"/>
    <s v="E-commerce"/>
    <s v="Website Banner"/>
    <n v="113.38"/>
    <x v="81"/>
    <x v="1"/>
    <x v="81"/>
  </r>
  <r>
    <n v="2221"/>
    <x v="465"/>
    <n v="303"/>
    <n v="2"/>
    <n v="56.58"/>
    <n v="56.58"/>
    <n v="0"/>
    <n v="0"/>
    <n v="0"/>
    <n v="113.16"/>
    <x v="49"/>
    <s v="E-commerce"/>
    <s v="Website Banner"/>
    <n v="113.16"/>
    <x v="82"/>
    <x v="3"/>
    <x v="82"/>
  </r>
  <r>
    <n v="268"/>
    <x v="10"/>
    <n v="100"/>
    <n v="2"/>
    <n v="56.44"/>
    <n v="56.44"/>
    <n v="0"/>
    <n v="0"/>
    <n v="0"/>
    <n v="112.88"/>
    <x v="10"/>
    <s v="E-commerce"/>
    <s v="Website Banner"/>
    <n v="112.88"/>
    <x v="83"/>
    <x v="0"/>
    <x v="83"/>
  </r>
  <r>
    <n v="396"/>
    <x v="463"/>
    <n v="100"/>
    <n v="2"/>
    <n v="56.44"/>
    <n v="56.44"/>
    <n v="0"/>
    <n v="0"/>
    <n v="0"/>
    <n v="112.88"/>
    <x v="17"/>
    <s v="App Mobile"/>
    <s v="App Mobile"/>
    <n v="112.88"/>
    <x v="83"/>
    <x v="0"/>
    <x v="83"/>
  </r>
  <r>
    <n v="868"/>
    <x v="466"/>
    <n v="117"/>
    <n v="2"/>
    <n v="56.06"/>
    <n v="56.06"/>
    <n v="0"/>
    <n v="0"/>
    <n v="0"/>
    <n v="112.12"/>
    <x v="6"/>
    <s v="E-commerce"/>
    <s v="Website Banner"/>
    <n v="112.12"/>
    <x v="345"/>
    <x v="0"/>
    <x v="345"/>
  </r>
  <r>
    <n v="2330"/>
    <x v="306"/>
    <n v="117"/>
    <n v="2"/>
    <n v="56.06"/>
    <n v="56.06"/>
    <n v="0"/>
    <n v="0"/>
    <n v="0"/>
    <n v="112.12"/>
    <x v="33"/>
    <s v="E-commerce"/>
    <s v="Website Banner"/>
    <n v="112.12"/>
    <x v="345"/>
    <x v="0"/>
    <x v="345"/>
  </r>
  <r>
    <n v="568"/>
    <x v="467"/>
    <n v="422"/>
    <n v="2"/>
    <n v="55.91"/>
    <n v="55.91"/>
    <n v="0"/>
    <n v="0"/>
    <n v="0"/>
    <n v="111.82"/>
    <x v="47"/>
    <s v="E-commerce"/>
    <s v="Website Banner"/>
    <n v="111.82"/>
    <x v="86"/>
    <x v="3"/>
    <x v="86"/>
  </r>
  <r>
    <n v="2343"/>
    <x v="465"/>
    <n v="156"/>
    <n v="2"/>
    <n v="55.52"/>
    <n v="55.52"/>
    <n v="0"/>
    <n v="0"/>
    <n v="0"/>
    <n v="111.04"/>
    <x v="49"/>
    <s v="E-commerce"/>
    <s v="Website Banner"/>
    <n v="111.04"/>
    <x v="346"/>
    <x v="0"/>
    <x v="346"/>
  </r>
  <r>
    <n v="1527"/>
    <x v="437"/>
    <n v="265"/>
    <n v="2"/>
    <n v="55.25"/>
    <n v="55.25"/>
    <n v="0"/>
    <n v="0"/>
    <n v="0"/>
    <n v="110.5"/>
    <x v="47"/>
    <s v="E-commerce"/>
    <s v="Website Banner"/>
    <n v="110.5"/>
    <x v="89"/>
    <x v="1"/>
    <x v="89"/>
  </r>
  <r>
    <n v="75"/>
    <x v="95"/>
    <n v="124"/>
    <n v="2"/>
    <n v="55.04"/>
    <n v="55.04"/>
    <n v="0"/>
    <n v="0"/>
    <n v="0"/>
    <n v="110.08"/>
    <x v="18"/>
    <s v="App Mobile"/>
    <s v="App Mobile"/>
    <n v="110.08"/>
    <x v="91"/>
    <x v="3"/>
    <x v="91"/>
  </r>
  <r>
    <n v="2468"/>
    <x v="468"/>
    <n v="124"/>
    <n v="2"/>
    <n v="55.04"/>
    <n v="55.04"/>
    <n v="0"/>
    <n v="0"/>
    <n v="0"/>
    <n v="110.08"/>
    <x v="26"/>
    <s v="E-commerce"/>
    <s v="Website Banner"/>
    <n v="110.08"/>
    <x v="91"/>
    <x v="3"/>
    <x v="91"/>
  </r>
  <r>
    <n v="536"/>
    <x v="322"/>
    <n v="188"/>
    <n v="2"/>
    <n v="55.01"/>
    <n v="55.01"/>
    <n v="0"/>
    <n v="0"/>
    <n v="0"/>
    <n v="110.02"/>
    <x v="22"/>
    <s v="E-commerce"/>
    <s v="Website Banner"/>
    <n v="110.02"/>
    <x v="94"/>
    <x v="1"/>
    <x v="94"/>
  </r>
  <r>
    <n v="1221"/>
    <x v="469"/>
    <n v="188"/>
    <n v="2"/>
    <n v="55.01"/>
    <n v="55.01"/>
    <n v="0"/>
    <n v="0"/>
    <n v="0"/>
    <n v="110.02"/>
    <x v="26"/>
    <s v="E-commerce"/>
    <s v="Website Banner"/>
    <n v="110.02"/>
    <x v="94"/>
    <x v="1"/>
    <x v="94"/>
  </r>
  <r>
    <n v="1283"/>
    <x v="470"/>
    <n v="188"/>
    <n v="2"/>
    <n v="55.01"/>
    <n v="55.01"/>
    <n v="0"/>
    <n v="0"/>
    <n v="0"/>
    <n v="110.02"/>
    <x v="5"/>
    <s v="E-commerce"/>
    <s v="Website Banner"/>
    <n v="110.02"/>
    <x v="94"/>
    <x v="1"/>
    <x v="94"/>
  </r>
  <r>
    <n v="3025"/>
    <x v="471"/>
    <n v="461"/>
    <n v="2"/>
    <n v="54.91"/>
    <n v="54.91"/>
    <n v="0"/>
    <n v="0"/>
    <n v="0"/>
    <n v="109.82"/>
    <x v="19"/>
    <s v="E-commerce"/>
    <s v="Website Banner"/>
    <n v="109.82"/>
    <x v="95"/>
    <x v="4"/>
    <x v="95"/>
  </r>
  <r>
    <n v="926"/>
    <x v="472"/>
    <n v="481"/>
    <n v="2"/>
    <n v="54.87"/>
    <n v="54.87"/>
    <n v="0"/>
    <n v="0"/>
    <n v="0"/>
    <n v="109.74"/>
    <x v="49"/>
    <s v="App Mobile"/>
    <s v="App Mobile"/>
    <n v="109.74"/>
    <x v="96"/>
    <x v="1"/>
    <x v="96"/>
  </r>
  <r>
    <n v="1967"/>
    <x v="189"/>
    <n v="481"/>
    <n v="2"/>
    <n v="54.87"/>
    <n v="54.87"/>
    <n v="0"/>
    <n v="0"/>
    <n v="0"/>
    <n v="109.74"/>
    <x v="13"/>
    <s v="App Mobile"/>
    <s v="App Mobile"/>
    <n v="109.74"/>
    <x v="96"/>
    <x v="1"/>
    <x v="96"/>
  </r>
  <r>
    <n v="3014"/>
    <x v="405"/>
    <n v="481"/>
    <n v="2"/>
    <n v="54.87"/>
    <n v="54.87"/>
    <n v="0"/>
    <n v="0"/>
    <n v="0"/>
    <n v="109.74"/>
    <x v="39"/>
    <s v="App Mobile"/>
    <s v="App Mobile"/>
    <n v="109.74"/>
    <x v="96"/>
    <x v="1"/>
    <x v="96"/>
  </r>
  <r>
    <n v="1177"/>
    <x v="399"/>
    <n v="32"/>
    <n v="2"/>
    <n v="54.83"/>
    <n v="54.83"/>
    <n v="0"/>
    <n v="0"/>
    <n v="0"/>
    <n v="109.66"/>
    <x v="13"/>
    <s v="E-commerce"/>
    <s v="Website Banner"/>
    <n v="109.66"/>
    <x v="97"/>
    <x v="4"/>
    <x v="97"/>
  </r>
  <r>
    <n v="2431"/>
    <x v="401"/>
    <n v="168"/>
    <n v="2"/>
    <n v="54.74"/>
    <n v="54.74"/>
    <n v="0"/>
    <n v="0"/>
    <n v="0"/>
    <n v="109.48"/>
    <x v="36"/>
    <s v="E-commerce"/>
    <s v="Website Banner"/>
    <n v="109.48"/>
    <x v="347"/>
    <x v="4"/>
    <x v="347"/>
  </r>
  <r>
    <n v="2506"/>
    <x v="473"/>
    <n v="168"/>
    <n v="2"/>
    <n v="54.74"/>
    <n v="54.74"/>
    <n v="0"/>
    <n v="0"/>
    <n v="0"/>
    <n v="109.48"/>
    <x v="6"/>
    <s v="E-commerce"/>
    <s v="Website Banner"/>
    <n v="109.48"/>
    <x v="347"/>
    <x v="4"/>
    <x v="347"/>
  </r>
  <r>
    <n v="954"/>
    <x v="84"/>
    <n v="496"/>
    <n v="2"/>
    <n v="54.61"/>
    <n v="54.61"/>
    <n v="0"/>
    <n v="0"/>
    <n v="0"/>
    <n v="109.22"/>
    <x v="3"/>
    <s v="E-commerce"/>
    <s v="Website Banner"/>
    <n v="109.22"/>
    <x v="348"/>
    <x v="2"/>
    <x v="348"/>
  </r>
  <r>
    <n v="2369"/>
    <x v="425"/>
    <n v="496"/>
    <n v="2"/>
    <n v="54.61"/>
    <n v="54.61"/>
    <n v="0"/>
    <n v="0"/>
    <n v="0"/>
    <n v="109.22"/>
    <x v="20"/>
    <s v="App Mobile"/>
    <s v="App Mobile"/>
    <n v="109.22"/>
    <x v="348"/>
    <x v="2"/>
    <x v="348"/>
  </r>
  <r>
    <n v="3064"/>
    <x v="114"/>
    <n v="45"/>
    <n v="2"/>
    <n v="54.16"/>
    <n v="54.16"/>
    <n v="0"/>
    <n v="0"/>
    <n v="0"/>
    <n v="108.32"/>
    <x v="46"/>
    <s v="E-commerce"/>
    <s v="Website Banner"/>
    <n v="108.32"/>
    <x v="349"/>
    <x v="4"/>
    <x v="349"/>
  </r>
  <r>
    <n v="2449"/>
    <x v="211"/>
    <n v="433"/>
    <n v="2"/>
    <n v="60.12"/>
    <n v="54.11"/>
    <n v="6.01"/>
    <n v="0.1"/>
    <n v="1"/>
    <n v="108.22"/>
    <x v="32"/>
    <s v="E-commerce"/>
    <s v="Email"/>
    <n v="108.22"/>
    <x v="53"/>
    <x v="2"/>
    <x v="53"/>
  </r>
  <r>
    <n v="2638"/>
    <x v="474"/>
    <n v="472"/>
    <n v="2"/>
    <n v="59.9"/>
    <n v="53.91"/>
    <n v="5.99"/>
    <n v="0.1"/>
    <n v="1"/>
    <n v="107.82"/>
    <x v="32"/>
    <s v="E-commerce"/>
    <s v="Email"/>
    <n v="107.82"/>
    <x v="337"/>
    <x v="2"/>
    <x v="337"/>
  </r>
  <r>
    <n v="61"/>
    <x v="214"/>
    <n v="154"/>
    <n v="2"/>
    <n v="53.74"/>
    <n v="53.74"/>
    <n v="0"/>
    <n v="0"/>
    <n v="0"/>
    <n v="107.48"/>
    <x v="16"/>
    <s v="E-commerce"/>
    <s v="Website Banner"/>
    <n v="107.48"/>
    <x v="101"/>
    <x v="3"/>
    <x v="101"/>
  </r>
  <r>
    <n v="3263"/>
    <x v="475"/>
    <n v="406"/>
    <n v="2"/>
    <n v="53.74"/>
    <n v="53.74"/>
    <n v="0"/>
    <n v="0"/>
    <n v="0"/>
    <n v="107.48"/>
    <x v="32"/>
    <s v="App Mobile"/>
    <s v="App Mobile"/>
    <n v="107.48"/>
    <x v="156"/>
    <x v="2"/>
    <x v="156"/>
  </r>
  <r>
    <n v="1162"/>
    <x v="345"/>
    <n v="221"/>
    <n v="2"/>
    <n v="53.7"/>
    <n v="53.7"/>
    <n v="0"/>
    <n v="0"/>
    <n v="0"/>
    <n v="107.4"/>
    <x v="25"/>
    <s v="E-commerce"/>
    <s v="Website Banner"/>
    <n v="107.4"/>
    <x v="103"/>
    <x v="4"/>
    <x v="103"/>
  </r>
  <r>
    <n v="2886"/>
    <x v="468"/>
    <n v="221"/>
    <n v="2"/>
    <n v="53.7"/>
    <n v="53.7"/>
    <n v="0"/>
    <n v="0"/>
    <n v="0"/>
    <n v="107.4"/>
    <x v="26"/>
    <s v="E-commerce"/>
    <s v="Website Banner"/>
    <n v="107.4"/>
    <x v="103"/>
    <x v="4"/>
    <x v="103"/>
  </r>
  <r>
    <n v="1331"/>
    <x v="476"/>
    <n v="127"/>
    <n v="2"/>
    <n v="53.67"/>
    <n v="53.67"/>
    <n v="0"/>
    <n v="0"/>
    <n v="0"/>
    <n v="107.34"/>
    <x v="35"/>
    <s v="App Mobile"/>
    <s v="App Mobile"/>
    <n v="107.34"/>
    <x v="350"/>
    <x v="2"/>
    <x v="350"/>
  </r>
  <r>
    <n v="1897"/>
    <x v="132"/>
    <n v="127"/>
    <n v="2"/>
    <n v="53.67"/>
    <n v="53.67"/>
    <n v="0"/>
    <n v="0"/>
    <n v="0"/>
    <n v="107.34"/>
    <x v="48"/>
    <s v="App Mobile"/>
    <s v="App Mobile"/>
    <n v="107.34"/>
    <x v="350"/>
    <x v="2"/>
    <x v="350"/>
  </r>
  <r>
    <n v="817"/>
    <x v="477"/>
    <n v="52"/>
    <n v="2"/>
    <n v="53.61"/>
    <n v="53.61"/>
    <n v="0"/>
    <n v="0"/>
    <n v="0"/>
    <n v="107.22"/>
    <x v="7"/>
    <s v="E-commerce"/>
    <s v="Website Banner"/>
    <n v="107.22"/>
    <x v="104"/>
    <x v="4"/>
    <x v="104"/>
  </r>
  <r>
    <n v="2337"/>
    <x v="478"/>
    <n v="52"/>
    <n v="2"/>
    <n v="53.61"/>
    <n v="53.61"/>
    <n v="0"/>
    <n v="0"/>
    <n v="0"/>
    <n v="107.22"/>
    <x v="11"/>
    <s v="App Mobile"/>
    <s v="App Mobile"/>
    <n v="107.22"/>
    <x v="104"/>
    <x v="4"/>
    <x v="104"/>
  </r>
  <r>
    <n v="744"/>
    <x v="433"/>
    <n v="368"/>
    <n v="2"/>
    <n v="53.48"/>
    <n v="53.48"/>
    <n v="0"/>
    <n v="0"/>
    <n v="0"/>
    <n v="106.96"/>
    <x v="10"/>
    <s v="App Mobile"/>
    <s v="App Mobile"/>
    <n v="106.96"/>
    <x v="105"/>
    <x v="4"/>
    <x v="105"/>
  </r>
  <r>
    <n v="786"/>
    <x v="479"/>
    <n v="458"/>
    <n v="2"/>
    <n v="53.35"/>
    <n v="53.35"/>
    <n v="0"/>
    <n v="0"/>
    <n v="0"/>
    <n v="106.7"/>
    <x v="15"/>
    <s v="E-commerce"/>
    <s v="Website Banner"/>
    <n v="106.7"/>
    <x v="107"/>
    <x v="3"/>
    <x v="107"/>
  </r>
  <r>
    <n v="1795"/>
    <x v="480"/>
    <n v="458"/>
    <n v="2"/>
    <n v="53.35"/>
    <n v="53.35"/>
    <n v="0"/>
    <n v="0"/>
    <n v="0"/>
    <n v="106.7"/>
    <x v="31"/>
    <s v="App Mobile"/>
    <s v="App Mobile"/>
    <n v="106.7"/>
    <x v="107"/>
    <x v="3"/>
    <x v="107"/>
  </r>
  <r>
    <n v="2989"/>
    <x v="481"/>
    <n v="458"/>
    <n v="2"/>
    <n v="53.35"/>
    <n v="53.35"/>
    <n v="0"/>
    <n v="0"/>
    <n v="0"/>
    <n v="106.7"/>
    <x v="3"/>
    <s v="App Mobile"/>
    <s v="App Mobile"/>
    <n v="106.7"/>
    <x v="107"/>
    <x v="3"/>
    <x v="107"/>
  </r>
  <r>
    <n v="1647"/>
    <x v="482"/>
    <n v="331"/>
    <n v="2"/>
    <n v="53.34"/>
    <n v="53.34"/>
    <n v="0"/>
    <n v="0"/>
    <n v="0"/>
    <n v="106.68"/>
    <x v="27"/>
    <s v="E-commerce"/>
    <s v="Website Banner"/>
    <n v="106.68"/>
    <x v="351"/>
    <x v="2"/>
    <x v="351"/>
  </r>
  <r>
    <n v="758"/>
    <x v="483"/>
    <n v="442"/>
    <n v="2"/>
    <n v="53.27"/>
    <n v="53.27"/>
    <n v="0"/>
    <n v="0"/>
    <n v="0"/>
    <n v="106.54"/>
    <x v="6"/>
    <s v="E-commerce"/>
    <s v="Website Banner"/>
    <n v="106.54"/>
    <x v="109"/>
    <x v="0"/>
    <x v="109"/>
  </r>
  <r>
    <n v="485"/>
    <x v="484"/>
    <n v="73"/>
    <n v="2"/>
    <n v="53.25"/>
    <n v="53.25"/>
    <n v="0"/>
    <n v="0"/>
    <n v="0"/>
    <n v="106.5"/>
    <x v="8"/>
    <s v="App Mobile"/>
    <s v="App Mobile"/>
    <n v="106.5"/>
    <x v="352"/>
    <x v="3"/>
    <x v="352"/>
  </r>
  <r>
    <n v="346"/>
    <x v="18"/>
    <n v="133"/>
    <n v="2"/>
    <n v="53.05"/>
    <n v="53.05"/>
    <n v="0"/>
    <n v="0"/>
    <n v="0"/>
    <n v="106.1"/>
    <x v="16"/>
    <s v="App Mobile"/>
    <s v="App Mobile"/>
    <n v="106.1"/>
    <x v="353"/>
    <x v="4"/>
    <x v="353"/>
  </r>
  <r>
    <n v="679"/>
    <x v="343"/>
    <n v="133"/>
    <n v="2"/>
    <n v="53.05"/>
    <n v="53.05"/>
    <n v="0"/>
    <n v="0"/>
    <n v="0"/>
    <n v="106.1"/>
    <x v="50"/>
    <s v="App Mobile"/>
    <s v="App Mobile"/>
    <n v="106.1"/>
    <x v="353"/>
    <x v="4"/>
    <x v="353"/>
  </r>
  <r>
    <n v="1532"/>
    <x v="122"/>
    <n v="25"/>
    <n v="2"/>
    <n v="52.94"/>
    <n v="52.94"/>
    <n v="0"/>
    <n v="0"/>
    <n v="0"/>
    <n v="105.88"/>
    <x v="35"/>
    <s v="App Mobile"/>
    <s v="App Mobile"/>
    <n v="105.88"/>
    <x v="112"/>
    <x v="3"/>
    <x v="112"/>
  </r>
  <r>
    <n v="2372"/>
    <x v="485"/>
    <n v="25"/>
    <n v="2"/>
    <n v="52.94"/>
    <n v="52.94"/>
    <n v="0"/>
    <n v="0"/>
    <n v="0"/>
    <n v="105.88"/>
    <x v="7"/>
    <s v="E-commerce"/>
    <s v="Website Banner"/>
    <n v="105.88"/>
    <x v="112"/>
    <x v="3"/>
    <x v="112"/>
  </r>
  <r>
    <n v="2919"/>
    <x v="486"/>
    <n v="25"/>
    <n v="2"/>
    <n v="52.94"/>
    <n v="52.94"/>
    <n v="0"/>
    <n v="0"/>
    <n v="0"/>
    <n v="105.88"/>
    <x v="49"/>
    <s v="E-commerce"/>
    <s v="Website Banner"/>
    <n v="105.88"/>
    <x v="112"/>
    <x v="3"/>
    <x v="112"/>
  </r>
  <r>
    <n v="2082"/>
    <x v="487"/>
    <n v="147"/>
    <n v="2"/>
    <n v="52.91"/>
    <n v="52.91"/>
    <n v="0"/>
    <n v="0"/>
    <n v="0"/>
    <n v="105.82"/>
    <x v="36"/>
    <s v="App Mobile"/>
    <s v="App Mobile"/>
    <n v="105.82"/>
    <x v="354"/>
    <x v="1"/>
    <x v="354"/>
  </r>
  <r>
    <n v="1428"/>
    <x v="488"/>
    <n v="299"/>
    <n v="2"/>
    <n v="52.65"/>
    <n v="52.65"/>
    <n v="0"/>
    <n v="0"/>
    <n v="0"/>
    <n v="105.3"/>
    <x v="10"/>
    <s v="E-commerce"/>
    <s v="Website Banner"/>
    <n v="105.3"/>
    <x v="114"/>
    <x v="0"/>
    <x v="114"/>
  </r>
  <r>
    <n v="1746"/>
    <x v="489"/>
    <n v="299"/>
    <n v="2"/>
    <n v="52.65"/>
    <n v="52.65"/>
    <n v="0"/>
    <n v="0"/>
    <n v="0"/>
    <n v="105.3"/>
    <x v="21"/>
    <s v="E-commerce"/>
    <s v="Website Banner"/>
    <n v="105.3"/>
    <x v="114"/>
    <x v="0"/>
    <x v="114"/>
  </r>
  <r>
    <n v="26"/>
    <x v="490"/>
    <n v="220"/>
    <n v="2"/>
    <n v="52.6"/>
    <n v="52.6"/>
    <n v="0"/>
    <n v="0"/>
    <n v="0"/>
    <n v="105.2"/>
    <x v="43"/>
    <s v="App Mobile"/>
    <s v="App Mobile"/>
    <n v="105.2"/>
    <x v="355"/>
    <x v="3"/>
    <x v="355"/>
  </r>
  <r>
    <n v="3202"/>
    <x v="491"/>
    <n v="432"/>
    <n v="2"/>
    <n v="52.39"/>
    <n v="52.39"/>
    <n v="0"/>
    <n v="0"/>
    <n v="0"/>
    <n v="104.78"/>
    <x v="15"/>
    <s v="App Mobile"/>
    <s v="App Mobile"/>
    <n v="104.78"/>
    <x v="356"/>
    <x v="4"/>
    <x v="356"/>
  </r>
  <r>
    <n v="2705"/>
    <x v="492"/>
    <n v="77"/>
    <n v="2"/>
    <n v="52.38"/>
    <n v="52.38"/>
    <n v="0"/>
    <n v="0"/>
    <n v="0"/>
    <n v="104.76"/>
    <x v="31"/>
    <s v="E-commerce"/>
    <s v="Website Banner"/>
    <n v="104.76"/>
    <x v="357"/>
    <x v="0"/>
    <x v="357"/>
  </r>
  <r>
    <n v="2716"/>
    <x v="459"/>
    <n v="77"/>
    <n v="2"/>
    <n v="52.38"/>
    <n v="52.38"/>
    <n v="0"/>
    <n v="0"/>
    <n v="0"/>
    <n v="104.76"/>
    <x v="43"/>
    <s v="E-commerce"/>
    <s v="Website Banner"/>
    <n v="104.76"/>
    <x v="357"/>
    <x v="0"/>
    <x v="357"/>
  </r>
  <r>
    <n v="330"/>
    <x v="493"/>
    <n v="445"/>
    <n v="2"/>
    <n v="52.28"/>
    <n v="52.28"/>
    <n v="0"/>
    <n v="0"/>
    <n v="0"/>
    <n v="104.56"/>
    <x v="49"/>
    <s v="App Mobile"/>
    <s v="App Mobile"/>
    <n v="104.56"/>
    <x v="117"/>
    <x v="3"/>
    <x v="117"/>
  </r>
  <r>
    <n v="682"/>
    <x v="494"/>
    <n v="57"/>
    <n v="2"/>
    <n v="52.28"/>
    <n v="52.28"/>
    <n v="0"/>
    <n v="0"/>
    <n v="0"/>
    <n v="104.56"/>
    <x v="1"/>
    <s v="E-commerce"/>
    <s v="Website Banner"/>
    <n v="104.56"/>
    <x v="116"/>
    <x v="0"/>
    <x v="116"/>
  </r>
  <r>
    <n v="1679"/>
    <x v="495"/>
    <n v="445"/>
    <n v="2"/>
    <n v="52.28"/>
    <n v="52.28"/>
    <n v="0"/>
    <n v="0"/>
    <n v="0"/>
    <n v="104.56"/>
    <x v="48"/>
    <s v="E-commerce"/>
    <s v="Website Banner"/>
    <n v="104.56"/>
    <x v="117"/>
    <x v="3"/>
    <x v="117"/>
  </r>
  <r>
    <n v="1869"/>
    <x v="496"/>
    <n v="57"/>
    <n v="2"/>
    <n v="52.28"/>
    <n v="52.28"/>
    <n v="0"/>
    <n v="0"/>
    <n v="0"/>
    <n v="104.56"/>
    <x v="2"/>
    <s v="App Mobile"/>
    <s v="App Mobile"/>
    <n v="104.56"/>
    <x v="116"/>
    <x v="0"/>
    <x v="116"/>
  </r>
  <r>
    <n v="2171"/>
    <x v="77"/>
    <n v="217"/>
    <n v="2"/>
    <n v="52.12"/>
    <n v="52.12"/>
    <n v="0"/>
    <n v="0"/>
    <n v="0"/>
    <n v="104.24"/>
    <x v="36"/>
    <s v="E-commerce"/>
    <s v="Website Banner"/>
    <n v="104.24"/>
    <x v="168"/>
    <x v="4"/>
    <x v="168"/>
  </r>
  <r>
    <n v="2748"/>
    <x v="217"/>
    <n v="282"/>
    <n v="2"/>
    <n v="52.12"/>
    <n v="52.12"/>
    <n v="0"/>
    <n v="0"/>
    <n v="0"/>
    <n v="104.24"/>
    <x v="28"/>
    <s v="App Mobile"/>
    <s v="App Mobile"/>
    <n v="104.24"/>
    <x v="358"/>
    <x v="2"/>
    <x v="358"/>
  </r>
  <r>
    <n v="1441"/>
    <x v="28"/>
    <n v="275"/>
    <n v="2"/>
    <n v="52.11"/>
    <n v="52.11"/>
    <n v="0"/>
    <n v="0"/>
    <n v="0"/>
    <n v="104.22"/>
    <x v="21"/>
    <s v="App Mobile"/>
    <s v="App Mobile"/>
    <n v="104.22"/>
    <x v="169"/>
    <x v="4"/>
    <x v="169"/>
  </r>
  <r>
    <n v="3225"/>
    <x v="477"/>
    <n v="275"/>
    <n v="2"/>
    <n v="52.11"/>
    <n v="52.11"/>
    <n v="0"/>
    <n v="0"/>
    <n v="0"/>
    <n v="104.22"/>
    <x v="7"/>
    <s v="E-commerce"/>
    <s v="Website Banner"/>
    <n v="104.22"/>
    <x v="169"/>
    <x v="4"/>
    <x v="169"/>
  </r>
  <r>
    <n v="882"/>
    <x v="497"/>
    <n v="203"/>
    <n v="2"/>
    <n v="52.1"/>
    <n v="52.1"/>
    <n v="0"/>
    <n v="0"/>
    <n v="0"/>
    <n v="104.2"/>
    <x v="9"/>
    <s v="E-commerce"/>
    <s v="Website Banner"/>
    <n v="104.2"/>
    <x v="120"/>
    <x v="0"/>
    <x v="120"/>
  </r>
  <r>
    <n v="311"/>
    <x v="460"/>
    <n v="440"/>
    <n v="2"/>
    <n v="52.08"/>
    <n v="52.08"/>
    <n v="0"/>
    <n v="0"/>
    <n v="0"/>
    <n v="104.16"/>
    <x v="24"/>
    <s v="E-commerce"/>
    <s v="Website Banner"/>
    <n v="104.16"/>
    <x v="121"/>
    <x v="1"/>
    <x v="121"/>
  </r>
  <r>
    <n v="1788"/>
    <x v="498"/>
    <n v="426"/>
    <n v="2"/>
    <n v="51.97"/>
    <n v="51.97"/>
    <n v="0"/>
    <n v="0"/>
    <n v="0"/>
    <n v="103.94"/>
    <x v="10"/>
    <s v="App Mobile"/>
    <s v="App Mobile"/>
    <n v="103.94"/>
    <x v="359"/>
    <x v="0"/>
    <x v="359"/>
  </r>
  <r>
    <n v="195"/>
    <x v="80"/>
    <n v="17"/>
    <n v="2"/>
    <n v="51.9"/>
    <n v="51.9"/>
    <n v="0"/>
    <n v="0"/>
    <n v="0"/>
    <n v="103.8"/>
    <x v="35"/>
    <s v="App Mobile"/>
    <s v="App Mobile"/>
    <n v="103.8"/>
    <x v="360"/>
    <x v="0"/>
    <x v="360"/>
  </r>
  <r>
    <n v="1993"/>
    <x v="499"/>
    <n v="468"/>
    <n v="2"/>
    <n v="51.8"/>
    <n v="51.8"/>
    <n v="0"/>
    <n v="0"/>
    <n v="0"/>
    <n v="103.6"/>
    <x v="48"/>
    <s v="App Mobile"/>
    <s v="App Mobile"/>
    <n v="103.6"/>
    <x v="123"/>
    <x v="3"/>
    <x v="123"/>
  </r>
  <r>
    <n v="2684"/>
    <x v="500"/>
    <n v="468"/>
    <n v="2"/>
    <n v="51.8"/>
    <n v="51.8"/>
    <n v="0"/>
    <n v="0"/>
    <n v="0"/>
    <n v="103.6"/>
    <x v="0"/>
    <s v="App Mobile"/>
    <s v="App Mobile"/>
    <n v="103.6"/>
    <x v="123"/>
    <x v="3"/>
    <x v="123"/>
  </r>
  <r>
    <n v="2612"/>
    <x v="501"/>
    <n v="361"/>
    <n v="2"/>
    <n v="51.76"/>
    <n v="51.76"/>
    <n v="0"/>
    <n v="0"/>
    <n v="0"/>
    <n v="103.52"/>
    <x v="39"/>
    <s v="E-commerce"/>
    <s v="Website Banner"/>
    <n v="103.52"/>
    <x v="124"/>
    <x v="3"/>
    <x v="124"/>
  </r>
  <r>
    <n v="3183"/>
    <x v="502"/>
    <n v="361"/>
    <n v="2"/>
    <n v="51.76"/>
    <n v="51.76"/>
    <n v="0"/>
    <n v="0"/>
    <n v="0"/>
    <n v="103.52"/>
    <x v="41"/>
    <s v="E-commerce"/>
    <s v="Website Banner"/>
    <n v="103.52"/>
    <x v="124"/>
    <x v="3"/>
    <x v="124"/>
  </r>
  <r>
    <n v="2824"/>
    <x v="503"/>
    <n v="341"/>
    <n v="2"/>
    <n v="51.4"/>
    <n v="51.4"/>
    <n v="0"/>
    <n v="0"/>
    <n v="0"/>
    <n v="102.8"/>
    <x v="24"/>
    <s v="E-commerce"/>
    <s v="Website Banner"/>
    <n v="102.8"/>
    <x v="361"/>
    <x v="3"/>
    <x v="361"/>
  </r>
  <r>
    <n v="85"/>
    <x v="109"/>
    <n v="386"/>
    <n v="2"/>
    <n v="51.38"/>
    <n v="51.38"/>
    <n v="0"/>
    <n v="0"/>
    <n v="0"/>
    <n v="102.76"/>
    <x v="6"/>
    <s v="App Mobile"/>
    <s v="App Mobile"/>
    <n v="102.76"/>
    <x v="127"/>
    <x v="0"/>
    <x v="127"/>
  </r>
  <r>
    <n v="960"/>
    <x v="445"/>
    <n v="170"/>
    <n v="2"/>
    <n v="51.27"/>
    <n v="51.27"/>
    <n v="0"/>
    <n v="0"/>
    <n v="0"/>
    <n v="102.54"/>
    <x v="40"/>
    <s v="App Mobile"/>
    <s v="App Mobile"/>
    <n v="102.54"/>
    <x v="129"/>
    <x v="0"/>
    <x v="129"/>
  </r>
  <r>
    <n v="709"/>
    <x v="504"/>
    <n v="28"/>
    <n v="2"/>
    <n v="51.18"/>
    <n v="51.18"/>
    <n v="0"/>
    <n v="0"/>
    <n v="0"/>
    <n v="102.36"/>
    <x v="32"/>
    <s v="App Mobile"/>
    <s v="App Mobile"/>
    <n v="102.36"/>
    <x v="362"/>
    <x v="1"/>
    <x v="362"/>
  </r>
  <r>
    <n v="879"/>
    <x v="505"/>
    <n v="28"/>
    <n v="2"/>
    <n v="51.18"/>
    <n v="51.18"/>
    <n v="0"/>
    <n v="0"/>
    <n v="0"/>
    <n v="102.36"/>
    <x v="50"/>
    <s v="App Mobile"/>
    <s v="App Mobile"/>
    <n v="102.36"/>
    <x v="362"/>
    <x v="1"/>
    <x v="362"/>
  </r>
  <r>
    <n v="2865"/>
    <x v="29"/>
    <n v="252"/>
    <n v="2"/>
    <n v="51.17"/>
    <n v="51.17"/>
    <n v="0"/>
    <n v="0"/>
    <n v="0"/>
    <n v="102.34"/>
    <x v="18"/>
    <s v="App Mobile"/>
    <s v="App Mobile"/>
    <n v="102.34"/>
    <x v="132"/>
    <x v="4"/>
    <x v="132"/>
  </r>
  <r>
    <n v="499"/>
    <x v="451"/>
    <n v="396"/>
    <n v="2"/>
    <n v="51"/>
    <n v="51"/>
    <n v="0"/>
    <n v="0"/>
    <n v="0"/>
    <n v="102"/>
    <x v="47"/>
    <s v="E-commerce"/>
    <s v="Website Banner"/>
    <n v="102"/>
    <x v="134"/>
    <x v="4"/>
    <x v="134"/>
  </r>
  <r>
    <n v="478"/>
    <x v="506"/>
    <n v="421"/>
    <n v="2"/>
    <n v="50.89"/>
    <n v="50.89"/>
    <n v="0"/>
    <n v="0"/>
    <n v="0"/>
    <n v="101.78"/>
    <x v="6"/>
    <s v="E-commerce"/>
    <s v="Website Banner"/>
    <n v="101.78"/>
    <x v="363"/>
    <x v="3"/>
    <x v="363"/>
  </r>
  <r>
    <n v="1770"/>
    <x v="442"/>
    <n v="421"/>
    <n v="2"/>
    <n v="50.89"/>
    <n v="50.89"/>
    <n v="0"/>
    <n v="0"/>
    <n v="0"/>
    <n v="101.78"/>
    <x v="26"/>
    <s v="E-commerce"/>
    <s v="Website Banner"/>
    <n v="101.78"/>
    <x v="363"/>
    <x v="3"/>
    <x v="363"/>
  </r>
  <r>
    <n v="2053"/>
    <x v="507"/>
    <n v="450"/>
    <n v="2"/>
    <n v="50.85"/>
    <n v="50.85"/>
    <n v="0"/>
    <n v="0"/>
    <n v="0"/>
    <n v="101.7"/>
    <x v="44"/>
    <s v="App Mobile"/>
    <s v="App Mobile"/>
    <n v="101.7"/>
    <x v="138"/>
    <x v="3"/>
    <x v="138"/>
  </r>
  <r>
    <n v="2142"/>
    <x v="508"/>
    <n v="273"/>
    <n v="2"/>
    <n v="50.72"/>
    <n v="50.72"/>
    <n v="0"/>
    <n v="0"/>
    <n v="0"/>
    <n v="101.44"/>
    <x v="17"/>
    <s v="E-commerce"/>
    <s v="Website Banner"/>
    <n v="101.44"/>
    <x v="139"/>
    <x v="4"/>
    <x v="139"/>
  </r>
  <r>
    <n v="700"/>
    <x v="241"/>
    <n v="488"/>
    <n v="2"/>
    <n v="50.68"/>
    <n v="50.68"/>
    <n v="0"/>
    <n v="0"/>
    <n v="0"/>
    <n v="101.36"/>
    <x v="14"/>
    <s v="E-commerce"/>
    <s v="Website Banner"/>
    <n v="101.36"/>
    <x v="140"/>
    <x v="3"/>
    <x v="140"/>
  </r>
  <r>
    <n v="774"/>
    <x v="509"/>
    <n v="488"/>
    <n v="2"/>
    <n v="50.68"/>
    <n v="50.68"/>
    <n v="0"/>
    <n v="0"/>
    <n v="0"/>
    <n v="101.36"/>
    <x v="45"/>
    <s v="E-commerce"/>
    <s v="Website Banner"/>
    <n v="101.36"/>
    <x v="140"/>
    <x v="3"/>
    <x v="140"/>
  </r>
  <r>
    <n v="2289"/>
    <x v="497"/>
    <n v="253"/>
    <n v="2"/>
    <n v="50.55"/>
    <n v="50.55"/>
    <n v="0"/>
    <n v="0"/>
    <n v="0"/>
    <n v="101.1"/>
    <x v="9"/>
    <s v="E-commerce"/>
    <s v="Website Banner"/>
    <n v="101.1"/>
    <x v="141"/>
    <x v="4"/>
    <x v="141"/>
  </r>
  <r>
    <n v="1285"/>
    <x v="339"/>
    <n v="193"/>
    <n v="2"/>
    <n v="50.52"/>
    <n v="50.52"/>
    <n v="0"/>
    <n v="0"/>
    <n v="0"/>
    <n v="101.04"/>
    <x v="45"/>
    <s v="E-commerce"/>
    <s v="Website Banner"/>
    <n v="101.04"/>
    <x v="142"/>
    <x v="4"/>
    <x v="142"/>
  </r>
  <r>
    <n v="3153"/>
    <x v="510"/>
    <n v="370"/>
    <n v="2"/>
    <n v="50.34"/>
    <n v="50.34"/>
    <n v="0"/>
    <n v="0"/>
    <n v="0"/>
    <n v="100.68"/>
    <x v="9"/>
    <s v="E-commerce"/>
    <s v="Website Banner"/>
    <n v="100.68"/>
    <x v="143"/>
    <x v="4"/>
    <x v="143"/>
  </r>
  <r>
    <n v="413"/>
    <x v="511"/>
    <n v="150"/>
    <n v="2"/>
    <n v="50.04"/>
    <n v="50.04"/>
    <n v="0"/>
    <n v="0"/>
    <n v="0"/>
    <n v="100.08"/>
    <x v="18"/>
    <s v="E-commerce"/>
    <s v="Website Banner"/>
    <n v="100.08"/>
    <x v="144"/>
    <x v="4"/>
    <x v="144"/>
  </r>
  <r>
    <n v="636"/>
    <x v="512"/>
    <n v="150"/>
    <n v="2"/>
    <n v="50.04"/>
    <n v="50.04"/>
    <n v="0"/>
    <n v="0"/>
    <n v="0"/>
    <n v="100.08"/>
    <x v="21"/>
    <s v="E-commerce"/>
    <s v="Website Banner"/>
    <n v="100.08"/>
    <x v="144"/>
    <x v="4"/>
    <x v="144"/>
  </r>
  <r>
    <n v="3366"/>
    <x v="513"/>
    <n v="69"/>
    <n v="2"/>
    <n v="49.98"/>
    <n v="49.98"/>
    <n v="0"/>
    <n v="0"/>
    <n v="0"/>
    <n v="99.96"/>
    <x v="26"/>
    <s v="E-commerce"/>
    <s v="Website Banner"/>
    <n v="99.96"/>
    <x v="145"/>
    <x v="1"/>
    <x v="145"/>
  </r>
  <r>
    <n v="1313"/>
    <x v="119"/>
    <n v="487"/>
    <n v="2"/>
    <n v="49.84"/>
    <n v="49.84"/>
    <n v="0"/>
    <n v="0"/>
    <n v="0"/>
    <n v="99.68"/>
    <x v="38"/>
    <s v="App Mobile"/>
    <s v="App Mobile"/>
    <n v="99.68"/>
    <x v="146"/>
    <x v="1"/>
    <x v="146"/>
  </r>
  <r>
    <n v="1592"/>
    <x v="514"/>
    <n v="487"/>
    <n v="2"/>
    <n v="49.84"/>
    <n v="49.84"/>
    <n v="0"/>
    <n v="0"/>
    <n v="0"/>
    <n v="99.68"/>
    <x v="10"/>
    <s v="E-commerce"/>
    <s v="Website Banner"/>
    <n v="99.68"/>
    <x v="146"/>
    <x v="1"/>
    <x v="146"/>
  </r>
  <r>
    <n v="1717"/>
    <x v="406"/>
    <n v="487"/>
    <n v="2"/>
    <n v="49.84"/>
    <n v="49.84"/>
    <n v="0"/>
    <n v="0"/>
    <n v="0"/>
    <n v="99.68"/>
    <x v="37"/>
    <s v="App Mobile"/>
    <s v="App Mobile"/>
    <n v="99.68"/>
    <x v="146"/>
    <x v="1"/>
    <x v="146"/>
  </r>
  <r>
    <n v="2006"/>
    <x v="456"/>
    <n v="436"/>
    <n v="2"/>
    <n v="49.81"/>
    <n v="49.81"/>
    <n v="0"/>
    <n v="0"/>
    <n v="0"/>
    <n v="99.62"/>
    <x v="6"/>
    <s v="App Mobile"/>
    <s v="App Mobile"/>
    <n v="99.62"/>
    <x v="147"/>
    <x v="1"/>
    <x v="147"/>
  </r>
  <r>
    <n v="2265"/>
    <x v="515"/>
    <n v="436"/>
    <n v="2"/>
    <n v="49.81"/>
    <n v="49.81"/>
    <n v="0"/>
    <n v="0"/>
    <n v="0"/>
    <n v="99.62"/>
    <x v="41"/>
    <s v="E-commerce"/>
    <s v="Website Banner"/>
    <n v="99.62"/>
    <x v="147"/>
    <x v="1"/>
    <x v="147"/>
  </r>
  <r>
    <n v="1275"/>
    <x v="516"/>
    <n v="219"/>
    <n v="2"/>
    <n v="49.76"/>
    <n v="49.76"/>
    <n v="0"/>
    <n v="0"/>
    <n v="0"/>
    <n v="99.52"/>
    <x v="50"/>
    <s v="E-commerce"/>
    <s v="Website Banner"/>
    <n v="99.52"/>
    <x v="148"/>
    <x v="1"/>
    <x v="148"/>
  </r>
  <r>
    <n v="1362"/>
    <x v="517"/>
    <n v="219"/>
    <n v="2"/>
    <n v="49.76"/>
    <n v="49.76"/>
    <n v="0"/>
    <n v="0"/>
    <n v="0"/>
    <n v="99.52"/>
    <x v="7"/>
    <s v="App Mobile"/>
    <s v="App Mobile"/>
    <n v="99.52"/>
    <x v="148"/>
    <x v="1"/>
    <x v="148"/>
  </r>
  <r>
    <n v="1929"/>
    <x v="201"/>
    <n v="219"/>
    <n v="2"/>
    <n v="49.76"/>
    <n v="49.76"/>
    <n v="0"/>
    <n v="0"/>
    <n v="0"/>
    <n v="99.52"/>
    <x v="25"/>
    <s v="E-commerce"/>
    <s v="Website Banner"/>
    <n v="99.52"/>
    <x v="148"/>
    <x v="1"/>
    <x v="148"/>
  </r>
  <r>
    <n v="2108"/>
    <x v="304"/>
    <n v="219"/>
    <n v="2"/>
    <n v="49.76"/>
    <n v="49.76"/>
    <n v="0"/>
    <n v="0"/>
    <n v="0"/>
    <n v="99.52"/>
    <x v="19"/>
    <s v="App Mobile"/>
    <s v="App Mobile"/>
    <n v="99.52"/>
    <x v="148"/>
    <x v="1"/>
    <x v="148"/>
  </r>
  <r>
    <n v="2924"/>
    <x v="518"/>
    <n v="219"/>
    <n v="2"/>
    <n v="49.76"/>
    <n v="49.76"/>
    <n v="0"/>
    <n v="0"/>
    <n v="0"/>
    <n v="99.52"/>
    <x v="43"/>
    <s v="E-commerce"/>
    <s v="Website Banner"/>
    <n v="99.52"/>
    <x v="148"/>
    <x v="1"/>
    <x v="148"/>
  </r>
  <r>
    <n v="3170"/>
    <x v="423"/>
    <n v="219"/>
    <n v="2"/>
    <n v="49.76"/>
    <n v="49.76"/>
    <n v="0"/>
    <n v="0"/>
    <n v="0"/>
    <n v="99.52"/>
    <x v="46"/>
    <s v="App Mobile"/>
    <s v="App Mobile"/>
    <n v="99.52"/>
    <x v="148"/>
    <x v="1"/>
    <x v="148"/>
  </r>
  <r>
    <n v="2214"/>
    <x v="291"/>
    <n v="268"/>
    <n v="2"/>
    <n v="49.59"/>
    <n v="49.59"/>
    <n v="0"/>
    <n v="0"/>
    <n v="0"/>
    <n v="99.18"/>
    <x v="44"/>
    <s v="E-commerce"/>
    <s v="Website Banner"/>
    <n v="99.18"/>
    <x v="150"/>
    <x v="3"/>
    <x v="150"/>
  </r>
  <r>
    <n v="1486"/>
    <x v="369"/>
    <n v="107"/>
    <n v="2"/>
    <n v="55.06"/>
    <n v="49.55"/>
    <n v="5.51"/>
    <n v="0.1"/>
    <n v="1"/>
    <n v="99.11"/>
    <x v="30"/>
    <s v="E-commerce"/>
    <s v="Email"/>
    <n v="99.1"/>
    <x v="90"/>
    <x v="1"/>
    <x v="90"/>
  </r>
  <r>
    <n v="255"/>
    <x v="237"/>
    <n v="43"/>
    <n v="2"/>
    <n v="49.4"/>
    <n v="49.4"/>
    <n v="0"/>
    <n v="0"/>
    <n v="0"/>
    <n v="98.8"/>
    <x v="8"/>
    <s v="E-commerce"/>
    <s v="Website Banner"/>
    <n v="98.8"/>
    <x v="364"/>
    <x v="0"/>
    <x v="364"/>
  </r>
  <r>
    <n v="2132"/>
    <x v="330"/>
    <n v="43"/>
    <n v="2"/>
    <n v="49.4"/>
    <n v="49.4"/>
    <n v="0"/>
    <n v="0"/>
    <n v="0"/>
    <n v="98.8"/>
    <x v="40"/>
    <s v="E-commerce"/>
    <s v="Website Banner"/>
    <n v="98.8"/>
    <x v="364"/>
    <x v="0"/>
    <x v="364"/>
  </r>
  <r>
    <n v="2576"/>
    <x v="509"/>
    <n v="232"/>
    <n v="2"/>
    <n v="49.34"/>
    <n v="49.34"/>
    <n v="0"/>
    <n v="0"/>
    <n v="0"/>
    <n v="98.68"/>
    <x v="45"/>
    <s v="E-commerce"/>
    <s v="Website Banner"/>
    <n v="98.68"/>
    <x v="365"/>
    <x v="1"/>
    <x v="365"/>
  </r>
  <r>
    <n v="2960"/>
    <x v="136"/>
    <n v="232"/>
    <n v="2"/>
    <n v="49.34"/>
    <n v="49.34"/>
    <n v="0"/>
    <n v="0"/>
    <n v="0"/>
    <n v="98.68"/>
    <x v="12"/>
    <s v="E-commerce"/>
    <s v="Website Banner"/>
    <n v="98.68"/>
    <x v="365"/>
    <x v="1"/>
    <x v="365"/>
  </r>
  <r>
    <n v="2900"/>
    <x v="519"/>
    <n v="175"/>
    <n v="2"/>
    <n v="49.16"/>
    <n v="49.16"/>
    <n v="0"/>
    <n v="0"/>
    <n v="0"/>
    <n v="98.32"/>
    <x v="33"/>
    <s v="E-commerce"/>
    <s v="Website Banner"/>
    <n v="98.32"/>
    <x v="366"/>
    <x v="4"/>
    <x v="366"/>
  </r>
  <r>
    <n v="913"/>
    <x v="520"/>
    <n v="130"/>
    <n v="2"/>
    <n v="49.12"/>
    <n v="49.12"/>
    <n v="0"/>
    <n v="0"/>
    <n v="0"/>
    <n v="98.24"/>
    <x v="33"/>
    <s v="E-commerce"/>
    <s v="Website Banner"/>
    <n v="98.24"/>
    <x v="367"/>
    <x v="3"/>
    <x v="367"/>
  </r>
  <r>
    <n v="2212"/>
    <x v="414"/>
    <n v="216"/>
    <n v="2"/>
    <n v="48.86"/>
    <n v="48.86"/>
    <n v="0"/>
    <n v="0"/>
    <n v="0"/>
    <n v="97.72"/>
    <x v="15"/>
    <s v="App Mobile"/>
    <s v="App Mobile"/>
    <n v="97.72"/>
    <x v="153"/>
    <x v="1"/>
    <x v="153"/>
  </r>
  <r>
    <n v="849"/>
    <x v="521"/>
    <n v="295"/>
    <n v="2"/>
    <n v="48.73"/>
    <n v="48.73"/>
    <n v="0"/>
    <n v="0"/>
    <n v="0"/>
    <n v="97.46"/>
    <x v="22"/>
    <s v="E-commerce"/>
    <s v="Website Banner"/>
    <n v="97.46"/>
    <x v="154"/>
    <x v="2"/>
    <x v="154"/>
  </r>
  <r>
    <n v="1837"/>
    <x v="73"/>
    <n v="218"/>
    <n v="2"/>
    <n v="48.73"/>
    <n v="48.73"/>
    <n v="0"/>
    <n v="0"/>
    <n v="0"/>
    <n v="97.46"/>
    <x v="34"/>
    <s v="E-commerce"/>
    <s v="Website Banner"/>
    <n v="97.46"/>
    <x v="368"/>
    <x v="4"/>
    <x v="368"/>
  </r>
  <r>
    <n v="1389"/>
    <x v="242"/>
    <n v="301"/>
    <n v="2"/>
    <n v="48.72"/>
    <n v="48.72"/>
    <n v="0"/>
    <n v="0"/>
    <n v="0"/>
    <n v="97.44"/>
    <x v="23"/>
    <s v="App Mobile"/>
    <s v="App Mobile"/>
    <n v="97.44"/>
    <x v="369"/>
    <x v="0"/>
    <x v="369"/>
  </r>
  <r>
    <n v="750"/>
    <x v="522"/>
    <n v="460"/>
    <n v="2"/>
    <n v="48.64"/>
    <n v="48.64"/>
    <n v="0"/>
    <n v="0"/>
    <n v="0"/>
    <n v="97.28"/>
    <x v="33"/>
    <s v="E-commerce"/>
    <s v="Website Banner"/>
    <n v="97.28"/>
    <x v="155"/>
    <x v="4"/>
    <x v="155"/>
  </r>
  <r>
    <n v="1756"/>
    <x v="523"/>
    <n v="460"/>
    <n v="2"/>
    <n v="48.64"/>
    <n v="48.64"/>
    <n v="0"/>
    <n v="0"/>
    <n v="0"/>
    <n v="97.28"/>
    <x v="28"/>
    <s v="E-commerce"/>
    <s v="Website Banner"/>
    <n v="97.28"/>
    <x v="155"/>
    <x v="4"/>
    <x v="155"/>
  </r>
  <r>
    <n v="1200"/>
    <x v="25"/>
    <n v="34"/>
    <n v="2"/>
    <n v="48.34"/>
    <n v="48.34"/>
    <n v="0"/>
    <n v="0"/>
    <n v="0"/>
    <n v="96.68"/>
    <x v="19"/>
    <s v="App Mobile"/>
    <s v="App Mobile"/>
    <n v="96.68"/>
    <x v="157"/>
    <x v="0"/>
    <x v="157"/>
  </r>
  <r>
    <n v="2671"/>
    <x v="384"/>
    <n v="34"/>
    <n v="2"/>
    <n v="48.34"/>
    <n v="48.34"/>
    <n v="0"/>
    <n v="0"/>
    <n v="0"/>
    <n v="96.68"/>
    <x v="12"/>
    <s v="E-commerce"/>
    <s v="Website Banner"/>
    <n v="96.68"/>
    <x v="157"/>
    <x v="0"/>
    <x v="157"/>
  </r>
  <r>
    <n v="1153"/>
    <x v="524"/>
    <n v="230"/>
    <n v="2"/>
    <n v="48.3"/>
    <n v="48.3"/>
    <n v="0"/>
    <n v="0"/>
    <n v="0"/>
    <n v="96.6"/>
    <x v="26"/>
    <s v="E-commerce"/>
    <s v="Website Banner"/>
    <n v="96.6"/>
    <x v="158"/>
    <x v="3"/>
    <x v="158"/>
  </r>
  <r>
    <n v="2923"/>
    <x v="525"/>
    <n v="189"/>
    <n v="2"/>
    <n v="48.12"/>
    <n v="48.12"/>
    <n v="0"/>
    <n v="0"/>
    <n v="0"/>
    <n v="96.24"/>
    <x v="13"/>
    <s v="App Mobile"/>
    <s v="App Mobile"/>
    <n v="96.24"/>
    <x v="370"/>
    <x v="3"/>
    <x v="370"/>
  </r>
  <r>
    <n v="2033"/>
    <x v="526"/>
    <n v="121"/>
    <n v="2"/>
    <n v="47.91"/>
    <n v="47.91"/>
    <n v="0"/>
    <n v="0"/>
    <n v="0"/>
    <n v="95.82"/>
    <x v="35"/>
    <s v="E-commerce"/>
    <s v="Website Banner"/>
    <n v="95.82"/>
    <x v="160"/>
    <x v="1"/>
    <x v="160"/>
  </r>
  <r>
    <n v="474"/>
    <x v="208"/>
    <n v="409"/>
    <n v="2"/>
    <n v="47.84"/>
    <n v="47.84"/>
    <n v="0"/>
    <n v="0"/>
    <n v="0"/>
    <n v="95.68"/>
    <x v="0"/>
    <s v="E-commerce"/>
    <s v="Website Banner"/>
    <n v="95.68"/>
    <x v="371"/>
    <x v="1"/>
    <x v="371"/>
  </r>
  <r>
    <n v="273"/>
    <x v="4"/>
    <n v="447"/>
    <n v="2"/>
    <n v="47.66"/>
    <n v="47.66"/>
    <n v="0"/>
    <n v="0"/>
    <n v="0"/>
    <n v="95.32"/>
    <x v="4"/>
    <s v="App Mobile"/>
    <s v="App Mobile"/>
    <n v="95.32"/>
    <x v="163"/>
    <x v="0"/>
    <x v="163"/>
  </r>
  <r>
    <n v="614"/>
    <x v="527"/>
    <n v="447"/>
    <n v="2"/>
    <n v="47.66"/>
    <n v="47.66"/>
    <n v="0"/>
    <n v="0"/>
    <n v="0"/>
    <n v="95.32"/>
    <x v="13"/>
    <s v="App Mobile"/>
    <s v="App Mobile"/>
    <n v="95.32"/>
    <x v="163"/>
    <x v="0"/>
    <x v="163"/>
  </r>
  <r>
    <n v="1560"/>
    <x v="528"/>
    <n v="482"/>
    <n v="2"/>
    <n v="47.59"/>
    <n v="47.59"/>
    <n v="0"/>
    <n v="0"/>
    <n v="0"/>
    <n v="95.18"/>
    <x v="50"/>
    <s v="E-commerce"/>
    <s v="Website Banner"/>
    <n v="95.18"/>
    <x v="164"/>
    <x v="0"/>
    <x v="164"/>
  </r>
  <r>
    <n v="1907"/>
    <x v="115"/>
    <n v="482"/>
    <n v="2"/>
    <n v="47.59"/>
    <n v="47.59"/>
    <n v="0"/>
    <n v="0"/>
    <n v="0"/>
    <n v="95.18"/>
    <x v="36"/>
    <s v="App Mobile"/>
    <s v="App Mobile"/>
    <n v="95.18"/>
    <x v="164"/>
    <x v="0"/>
    <x v="164"/>
  </r>
  <r>
    <n v="2858"/>
    <x v="529"/>
    <n v="482"/>
    <n v="2"/>
    <n v="47.59"/>
    <n v="47.59"/>
    <n v="0"/>
    <n v="0"/>
    <n v="0"/>
    <n v="95.18"/>
    <x v="24"/>
    <s v="E-commerce"/>
    <s v="Website Banner"/>
    <n v="95.18"/>
    <x v="164"/>
    <x v="0"/>
    <x v="164"/>
  </r>
  <r>
    <n v="1758"/>
    <x v="530"/>
    <n v="410"/>
    <n v="2"/>
    <n v="47.47"/>
    <n v="47.47"/>
    <n v="0"/>
    <n v="0"/>
    <n v="0"/>
    <n v="94.94"/>
    <x v="50"/>
    <s v="App Mobile"/>
    <s v="App Mobile"/>
    <n v="94.94"/>
    <x v="165"/>
    <x v="3"/>
    <x v="165"/>
  </r>
  <r>
    <n v="1287"/>
    <x v="531"/>
    <n v="470"/>
    <n v="2"/>
    <n v="67.73"/>
    <n v="47.41"/>
    <n v="20.32"/>
    <n v="0.3"/>
    <n v="1"/>
    <n v="94.82"/>
    <x v="22"/>
    <s v="App Mobile"/>
    <s v="Social Media"/>
    <n v="94.82"/>
    <x v="22"/>
    <x v="3"/>
    <x v="22"/>
  </r>
  <r>
    <n v="873"/>
    <x v="532"/>
    <n v="68"/>
    <n v="2"/>
    <n v="47.27"/>
    <n v="47.27"/>
    <n v="0"/>
    <n v="0"/>
    <n v="0"/>
    <n v="94.54"/>
    <x v="38"/>
    <s v="App Mobile"/>
    <s v="App Mobile"/>
    <n v="94.54"/>
    <x v="372"/>
    <x v="3"/>
    <x v="372"/>
  </r>
  <r>
    <n v="23"/>
    <x v="533"/>
    <n v="118"/>
    <n v="2"/>
    <n v="46.99"/>
    <n v="46.99"/>
    <n v="0"/>
    <n v="0"/>
    <n v="0"/>
    <n v="93.98"/>
    <x v="45"/>
    <s v="E-commerce"/>
    <s v="Website Banner"/>
    <n v="93.98"/>
    <x v="167"/>
    <x v="4"/>
    <x v="167"/>
  </r>
  <r>
    <n v="1140"/>
    <x v="534"/>
    <n v="296"/>
    <n v="2"/>
    <n v="67.069999999999993"/>
    <n v="46.95"/>
    <n v="20.12"/>
    <n v="0.3"/>
    <n v="1"/>
    <n v="93.9"/>
    <x v="42"/>
    <s v="App Mobile"/>
    <s v="Social Media"/>
    <n v="93.9"/>
    <x v="373"/>
    <x v="0"/>
    <x v="373"/>
  </r>
  <r>
    <n v="778"/>
    <x v="535"/>
    <n v="449"/>
    <n v="2"/>
    <n v="46.9"/>
    <n v="46.9"/>
    <n v="0"/>
    <n v="0"/>
    <n v="0"/>
    <n v="93.8"/>
    <x v="41"/>
    <s v="E-commerce"/>
    <s v="Website Banner"/>
    <n v="93.8"/>
    <x v="374"/>
    <x v="3"/>
    <x v="374"/>
  </r>
  <r>
    <n v="2659"/>
    <x v="536"/>
    <n v="275"/>
    <n v="2"/>
    <n v="52.11"/>
    <n v="46.9"/>
    <n v="5.21"/>
    <n v="0.1"/>
    <n v="1"/>
    <n v="93.8"/>
    <x v="37"/>
    <s v="E-commerce"/>
    <s v="Email"/>
    <n v="93.8"/>
    <x v="169"/>
    <x v="4"/>
    <x v="169"/>
  </r>
  <r>
    <n v="2680"/>
    <x v="537"/>
    <n v="449"/>
    <n v="2"/>
    <n v="46.9"/>
    <n v="46.9"/>
    <n v="0"/>
    <n v="0"/>
    <n v="0"/>
    <n v="93.8"/>
    <x v="36"/>
    <s v="App Mobile"/>
    <s v="App Mobile"/>
    <n v="93.8"/>
    <x v="374"/>
    <x v="3"/>
    <x v="374"/>
  </r>
  <r>
    <n v="3265"/>
    <x v="538"/>
    <n v="132"/>
    <n v="2"/>
    <n v="46.9"/>
    <n v="46.9"/>
    <n v="0"/>
    <n v="0"/>
    <n v="0"/>
    <n v="93.8"/>
    <x v="24"/>
    <s v="App Mobile"/>
    <s v="App Mobile"/>
    <n v="93.8"/>
    <x v="170"/>
    <x v="1"/>
    <x v="170"/>
  </r>
  <r>
    <n v="1194"/>
    <x v="374"/>
    <n v="239"/>
    <n v="2"/>
    <n v="66.989999999999995"/>
    <n v="46.89"/>
    <n v="20.100000000000001"/>
    <n v="0.3"/>
    <n v="1"/>
    <n v="93.79"/>
    <x v="45"/>
    <s v="App Mobile"/>
    <s v="Social Media"/>
    <n v="93.78"/>
    <x v="24"/>
    <x v="2"/>
    <x v="24"/>
  </r>
  <r>
    <n v="2367"/>
    <x v="539"/>
    <n v="239"/>
    <n v="2"/>
    <n v="66.989999999999995"/>
    <n v="46.89"/>
    <n v="20.100000000000001"/>
    <n v="0.3"/>
    <n v="1"/>
    <n v="93.79"/>
    <x v="29"/>
    <s v="App Mobile"/>
    <s v="Social Media"/>
    <n v="93.78"/>
    <x v="24"/>
    <x v="2"/>
    <x v="24"/>
  </r>
  <r>
    <n v="2596"/>
    <x v="540"/>
    <n v="228"/>
    <n v="2"/>
    <n v="46.89"/>
    <n v="46.89"/>
    <n v="0"/>
    <n v="0"/>
    <n v="0"/>
    <n v="93.78"/>
    <x v="50"/>
    <s v="E-commerce"/>
    <s v="Website Banner"/>
    <n v="93.78"/>
    <x v="264"/>
    <x v="2"/>
    <x v="264"/>
  </r>
  <r>
    <n v="3041"/>
    <x v="287"/>
    <n v="136"/>
    <n v="2"/>
    <n v="46.8"/>
    <n v="46.8"/>
    <n v="0"/>
    <n v="0"/>
    <n v="0"/>
    <n v="93.6"/>
    <x v="38"/>
    <s v="E-commerce"/>
    <s v="Website Banner"/>
    <n v="93.6"/>
    <x v="375"/>
    <x v="2"/>
    <x v="375"/>
  </r>
  <r>
    <n v="384"/>
    <x v="541"/>
    <n v="478"/>
    <n v="2"/>
    <n v="66.52"/>
    <n v="46.56"/>
    <n v="19.96"/>
    <n v="0.3"/>
    <n v="1"/>
    <n v="93.13"/>
    <x v="12"/>
    <s v="App Mobile"/>
    <s v="Social Media"/>
    <n v="93.12"/>
    <x v="28"/>
    <x v="4"/>
    <x v="28"/>
  </r>
  <r>
    <n v="308"/>
    <x v="542"/>
    <n v="137"/>
    <n v="2"/>
    <n v="46.52"/>
    <n v="46.52"/>
    <n v="0"/>
    <n v="0"/>
    <n v="0"/>
    <n v="93.04"/>
    <x v="16"/>
    <s v="E-commerce"/>
    <s v="Website Banner"/>
    <n v="93.04"/>
    <x v="172"/>
    <x v="2"/>
    <x v="172"/>
  </r>
  <r>
    <n v="2965"/>
    <x v="61"/>
    <n v="137"/>
    <n v="2"/>
    <n v="46.52"/>
    <n v="46.52"/>
    <n v="0"/>
    <n v="0"/>
    <n v="0"/>
    <n v="93.04"/>
    <x v="20"/>
    <s v="App Mobile"/>
    <s v="App Mobile"/>
    <n v="93.04"/>
    <x v="172"/>
    <x v="2"/>
    <x v="172"/>
  </r>
  <r>
    <n v="1271"/>
    <x v="298"/>
    <n v="383"/>
    <n v="2"/>
    <n v="66.38"/>
    <n v="46.47"/>
    <n v="19.91"/>
    <n v="0.3"/>
    <n v="1"/>
    <n v="92.93"/>
    <x v="47"/>
    <s v="App Mobile"/>
    <s v="Social Media"/>
    <n v="92.94"/>
    <x v="321"/>
    <x v="3"/>
    <x v="321"/>
  </r>
  <r>
    <n v="1774"/>
    <x v="152"/>
    <n v="200"/>
    <n v="2"/>
    <n v="46.41"/>
    <n v="46.41"/>
    <n v="0"/>
    <n v="0"/>
    <n v="0"/>
    <n v="92.82"/>
    <x v="26"/>
    <s v="E-commerce"/>
    <s v="Website Banner"/>
    <n v="92.82"/>
    <x v="376"/>
    <x v="3"/>
    <x v="376"/>
  </r>
  <r>
    <n v="2479"/>
    <x v="543"/>
    <n v="200"/>
    <n v="2"/>
    <n v="46.41"/>
    <n v="46.41"/>
    <n v="0"/>
    <n v="0"/>
    <n v="0"/>
    <n v="92.82"/>
    <x v="46"/>
    <s v="App Mobile"/>
    <s v="App Mobile"/>
    <n v="92.82"/>
    <x v="376"/>
    <x v="3"/>
    <x v="376"/>
  </r>
  <r>
    <n v="1540"/>
    <x v="544"/>
    <n v="345"/>
    <n v="2"/>
    <n v="46.36"/>
    <n v="46.36"/>
    <n v="0"/>
    <n v="0"/>
    <n v="0"/>
    <n v="92.72"/>
    <x v="28"/>
    <s v="E-commerce"/>
    <s v="Website Banner"/>
    <n v="92.72"/>
    <x v="173"/>
    <x v="4"/>
    <x v="173"/>
  </r>
  <r>
    <n v="3163"/>
    <x v="129"/>
    <n v="351"/>
    <n v="2"/>
    <n v="46.11"/>
    <n v="46.11"/>
    <n v="0"/>
    <n v="0"/>
    <n v="0"/>
    <n v="92.22"/>
    <x v="43"/>
    <s v="App Mobile"/>
    <s v="App Mobile"/>
    <n v="92.22"/>
    <x v="174"/>
    <x v="2"/>
    <x v="174"/>
  </r>
  <r>
    <n v="1324"/>
    <x v="545"/>
    <n v="261"/>
    <n v="2"/>
    <n v="46.1"/>
    <n v="46.1"/>
    <n v="0"/>
    <n v="0"/>
    <n v="0"/>
    <n v="92.2"/>
    <x v="12"/>
    <s v="E-commerce"/>
    <s v="Website Banner"/>
    <n v="92.2"/>
    <x v="377"/>
    <x v="4"/>
    <x v="377"/>
  </r>
  <r>
    <n v="1782"/>
    <x v="546"/>
    <n v="62"/>
    <n v="2"/>
    <n v="46.09"/>
    <n v="46.09"/>
    <n v="0"/>
    <n v="0"/>
    <n v="0"/>
    <n v="92.18"/>
    <x v="15"/>
    <s v="E-commerce"/>
    <s v="Website Banner"/>
    <n v="92.18"/>
    <x v="378"/>
    <x v="2"/>
    <x v="378"/>
  </r>
  <r>
    <n v="2933"/>
    <x v="547"/>
    <n v="155"/>
    <n v="2"/>
    <n v="46.07"/>
    <n v="46.07"/>
    <n v="0"/>
    <n v="0"/>
    <n v="0"/>
    <n v="92.14"/>
    <x v="13"/>
    <s v="App Mobile"/>
    <s v="App Mobile"/>
    <n v="92.14"/>
    <x v="379"/>
    <x v="0"/>
    <x v="379"/>
  </r>
  <r>
    <n v="2379"/>
    <x v="548"/>
    <n v="333"/>
    <n v="2"/>
    <n v="46.04"/>
    <n v="46.04"/>
    <n v="0"/>
    <n v="0"/>
    <n v="0"/>
    <n v="92.08"/>
    <x v="36"/>
    <s v="App Mobile"/>
    <s v="App Mobile"/>
    <n v="92.08"/>
    <x v="380"/>
    <x v="2"/>
    <x v="380"/>
  </r>
  <r>
    <n v="450"/>
    <x v="549"/>
    <n v="161"/>
    <n v="2"/>
    <n v="45.75"/>
    <n v="45.75"/>
    <n v="0"/>
    <n v="0"/>
    <n v="0"/>
    <n v="91.5"/>
    <x v="9"/>
    <s v="E-commerce"/>
    <s v="Website Banner"/>
    <n v="91.5"/>
    <x v="176"/>
    <x v="4"/>
    <x v="176"/>
  </r>
  <r>
    <n v="2013"/>
    <x v="550"/>
    <n v="161"/>
    <n v="2"/>
    <n v="45.75"/>
    <n v="45.75"/>
    <n v="0"/>
    <n v="0"/>
    <n v="0"/>
    <n v="91.5"/>
    <x v="14"/>
    <s v="E-commerce"/>
    <s v="Website Banner"/>
    <n v="91.5"/>
    <x v="176"/>
    <x v="4"/>
    <x v="176"/>
  </r>
  <r>
    <n v="1670"/>
    <x v="551"/>
    <n v="316"/>
    <n v="2"/>
    <n v="45.73"/>
    <n v="45.73"/>
    <n v="0"/>
    <n v="0"/>
    <n v="0"/>
    <n v="91.46"/>
    <x v="1"/>
    <s v="App Mobile"/>
    <s v="App Mobile"/>
    <n v="91.46"/>
    <x v="381"/>
    <x v="4"/>
    <x v="381"/>
  </r>
  <r>
    <n v="804"/>
    <x v="468"/>
    <n v="201"/>
    <n v="2"/>
    <n v="45.62"/>
    <n v="45.62"/>
    <n v="0"/>
    <n v="0"/>
    <n v="0"/>
    <n v="91.24"/>
    <x v="26"/>
    <s v="E-commerce"/>
    <s v="Website Banner"/>
    <n v="91.24"/>
    <x v="178"/>
    <x v="4"/>
    <x v="178"/>
  </r>
  <r>
    <n v="3084"/>
    <x v="0"/>
    <n v="201"/>
    <n v="2"/>
    <n v="45.62"/>
    <n v="45.62"/>
    <n v="0"/>
    <n v="0"/>
    <n v="0"/>
    <n v="91.24"/>
    <x v="0"/>
    <s v="App Mobile"/>
    <s v="App Mobile"/>
    <n v="91.24"/>
    <x v="178"/>
    <x v="4"/>
    <x v="178"/>
  </r>
  <r>
    <n v="1798"/>
    <x v="552"/>
    <n v="20"/>
    <n v="2"/>
    <n v="45.42"/>
    <n v="45.42"/>
    <n v="0"/>
    <n v="0"/>
    <n v="0"/>
    <n v="90.84"/>
    <x v="20"/>
    <s v="App Mobile"/>
    <s v="App Mobile"/>
    <n v="90.84"/>
    <x v="180"/>
    <x v="0"/>
    <x v="180"/>
  </r>
  <r>
    <n v="1693"/>
    <x v="553"/>
    <n v="44"/>
    <n v="2"/>
    <n v="64.84"/>
    <n v="45.39"/>
    <n v="19.45"/>
    <n v="0.3"/>
    <n v="1"/>
    <n v="90.78"/>
    <x v="47"/>
    <s v="App Mobile"/>
    <s v="Social Media"/>
    <n v="90.78"/>
    <x v="323"/>
    <x v="2"/>
    <x v="323"/>
  </r>
  <r>
    <n v="1688"/>
    <x v="372"/>
    <n v="278"/>
    <n v="2"/>
    <n v="50.41"/>
    <n v="45.37"/>
    <n v="5.04"/>
    <n v="0.1"/>
    <n v="1"/>
    <n v="90.74"/>
    <x v="32"/>
    <s v="E-commerce"/>
    <s v="Email"/>
    <n v="90.74"/>
    <x v="382"/>
    <x v="4"/>
    <x v="382"/>
  </r>
  <r>
    <n v="146"/>
    <x v="554"/>
    <n v="158"/>
    <n v="2"/>
    <n v="45.15"/>
    <n v="45.15"/>
    <n v="0"/>
    <n v="0"/>
    <n v="0"/>
    <n v="90.3"/>
    <x v="31"/>
    <s v="E-commerce"/>
    <s v="Website Banner"/>
    <n v="90.3"/>
    <x v="183"/>
    <x v="0"/>
    <x v="183"/>
  </r>
  <r>
    <n v="608"/>
    <x v="555"/>
    <n v="158"/>
    <n v="2"/>
    <n v="45.15"/>
    <n v="45.15"/>
    <n v="0"/>
    <n v="0"/>
    <n v="0"/>
    <n v="90.3"/>
    <x v="45"/>
    <s v="E-commerce"/>
    <s v="Website Banner"/>
    <n v="90.3"/>
    <x v="183"/>
    <x v="0"/>
    <x v="183"/>
  </r>
  <r>
    <n v="3244"/>
    <x v="556"/>
    <n v="260"/>
    <n v="2"/>
    <n v="64.28"/>
    <n v="45"/>
    <n v="19.28"/>
    <n v="0.3"/>
    <n v="1"/>
    <n v="89.99"/>
    <x v="12"/>
    <s v="App Mobile"/>
    <s v="Social Media"/>
    <n v="90"/>
    <x v="324"/>
    <x v="0"/>
    <x v="324"/>
  </r>
  <r>
    <n v="138"/>
    <x v="396"/>
    <n v="128"/>
    <n v="2"/>
    <n v="44.9"/>
    <n v="44.9"/>
    <n v="0"/>
    <n v="0"/>
    <n v="0"/>
    <n v="89.8"/>
    <x v="44"/>
    <s v="E-commerce"/>
    <s v="Website Banner"/>
    <n v="89.8"/>
    <x v="383"/>
    <x v="4"/>
    <x v="383"/>
  </r>
  <r>
    <n v="2797"/>
    <x v="557"/>
    <n v="179"/>
    <n v="2"/>
    <n v="44.59"/>
    <n v="44.59"/>
    <n v="0"/>
    <n v="0"/>
    <n v="0"/>
    <n v="89.18"/>
    <x v="33"/>
    <s v="App Mobile"/>
    <s v="App Mobile"/>
    <n v="89.18"/>
    <x v="384"/>
    <x v="4"/>
    <x v="384"/>
  </r>
  <r>
    <n v="1081"/>
    <x v="79"/>
    <n v="322"/>
    <n v="2"/>
    <n v="44.45"/>
    <n v="44.45"/>
    <n v="0"/>
    <n v="0"/>
    <n v="0"/>
    <n v="88.9"/>
    <x v="16"/>
    <s v="E-commerce"/>
    <s v="Website Banner"/>
    <n v="88.9"/>
    <x v="185"/>
    <x v="0"/>
    <x v="185"/>
  </r>
  <r>
    <n v="276"/>
    <x v="558"/>
    <n v="55"/>
    <n v="2"/>
    <n v="44.32"/>
    <n v="44.32"/>
    <n v="0"/>
    <n v="0"/>
    <n v="0"/>
    <n v="88.64"/>
    <x v="44"/>
    <s v="E-commerce"/>
    <s v="Website Banner"/>
    <n v="88.64"/>
    <x v="186"/>
    <x v="4"/>
    <x v="186"/>
  </r>
  <r>
    <n v="1723"/>
    <x v="559"/>
    <n v="29"/>
    <n v="2"/>
    <n v="44.27"/>
    <n v="44.27"/>
    <n v="0"/>
    <n v="0"/>
    <n v="0"/>
    <n v="88.54"/>
    <x v="3"/>
    <s v="App Mobile"/>
    <s v="App Mobile"/>
    <n v="88.54"/>
    <x v="385"/>
    <x v="3"/>
    <x v="385"/>
  </r>
  <r>
    <n v="1471"/>
    <x v="560"/>
    <n v="280"/>
    <n v="2"/>
    <n v="44.14"/>
    <n v="44.14"/>
    <n v="0"/>
    <n v="0"/>
    <n v="0"/>
    <n v="88.28"/>
    <x v="46"/>
    <s v="E-commerce"/>
    <s v="Website Banner"/>
    <n v="88.28"/>
    <x v="187"/>
    <x v="4"/>
    <x v="187"/>
  </r>
  <r>
    <n v="3180"/>
    <x v="334"/>
    <n v="280"/>
    <n v="2"/>
    <n v="44.14"/>
    <n v="44.14"/>
    <n v="0"/>
    <n v="0"/>
    <n v="0"/>
    <n v="88.28"/>
    <x v="22"/>
    <s v="E-commerce"/>
    <s v="Website Banner"/>
    <n v="88.28"/>
    <x v="187"/>
    <x v="4"/>
    <x v="187"/>
  </r>
  <r>
    <n v="3286"/>
    <x v="543"/>
    <n v="280"/>
    <n v="2"/>
    <n v="44.14"/>
    <n v="44.14"/>
    <n v="0"/>
    <n v="0"/>
    <n v="0"/>
    <n v="88.28"/>
    <x v="46"/>
    <s v="App Mobile"/>
    <s v="App Mobile"/>
    <n v="88.28"/>
    <x v="187"/>
    <x v="4"/>
    <x v="187"/>
  </r>
  <r>
    <n v="2205"/>
    <x v="454"/>
    <n v="184"/>
    <n v="2"/>
    <n v="44.08"/>
    <n v="44.08"/>
    <n v="0"/>
    <n v="0"/>
    <n v="0"/>
    <n v="88.16"/>
    <x v="32"/>
    <s v="App Mobile"/>
    <s v="App Mobile"/>
    <n v="88.16"/>
    <x v="189"/>
    <x v="2"/>
    <x v="189"/>
  </r>
  <r>
    <n v="1385"/>
    <x v="43"/>
    <n v="231"/>
    <n v="2"/>
    <n v="44.06"/>
    <n v="44.06"/>
    <n v="0"/>
    <n v="0"/>
    <n v="0"/>
    <n v="88.12"/>
    <x v="3"/>
    <s v="E-commerce"/>
    <s v="Website Banner"/>
    <n v="88.12"/>
    <x v="190"/>
    <x v="1"/>
    <x v="190"/>
  </r>
  <r>
    <n v="2103"/>
    <x v="561"/>
    <n v="231"/>
    <n v="2"/>
    <n v="44.06"/>
    <n v="44.06"/>
    <n v="0"/>
    <n v="0"/>
    <n v="0"/>
    <n v="88.12"/>
    <x v="13"/>
    <s v="E-commerce"/>
    <s v="Website Banner"/>
    <n v="88.12"/>
    <x v="190"/>
    <x v="1"/>
    <x v="190"/>
  </r>
  <r>
    <n v="2196"/>
    <x v="562"/>
    <n v="38"/>
    <n v="2"/>
    <n v="62.8"/>
    <n v="43.96"/>
    <n v="18.84"/>
    <n v="0.3"/>
    <n v="1"/>
    <n v="87.92"/>
    <x v="42"/>
    <s v="App Mobile"/>
    <s v="Social Media"/>
    <n v="87.92"/>
    <x v="38"/>
    <x v="4"/>
    <x v="38"/>
  </r>
  <r>
    <n v="342"/>
    <x v="312"/>
    <n v="277"/>
    <n v="2"/>
    <n v="43.92"/>
    <n v="43.92"/>
    <n v="0"/>
    <n v="0"/>
    <n v="0"/>
    <n v="87.84"/>
    <x v="13"/>
    <s v="E-commerce"/>
    <s v="Website Banner"/>
    <n v="87.84"/>
    <x v="191"/>
    <x v="4"/>
    <x v="191"/>
  </r>
  <r>
    <n v="1257"/>
    <x v="563"/>
    <n v="277"/>
    <n v="2"/>
    <n v="43.92"/>
    <n v="43.92"/>
    <n v="0"/>
    <n v="0"/>
    <n v="0"/>
    <n v="87.84"/>
    <x v="3"/>
    <s v="App Mobile"/>
    <s v="App Mobile"/>
    <n v="87.84"/>
    <x v="191"/>
    <x v="4"/>
    <x v="191"/>
  </r>
  <r>
    <n v="1534"/>
    <x v="413"/>
    <n v="277"/>
    <n v="2"/>
    <n v="43.92"/>
    <n v="43.92"/>
    <n v="0"/>
    <n v="0"/>
    <n v="0"/>
    <n v="87.84"/>
    <x v="19"/>
    <s v="E-commerce"/>
    <s v="Website Banner"/>
    <n v="87.84"/>
    <x v="191"/>
    <x v="4"/>
    <x v="191"/>
  </r>
  <r>
    <n v="1931"/>
    <x v="353"/>
    <n v="277"/>
    <n v="2"/>
    <n v="43.92"/>
    <n v="43.92"/>
    <n v="0"/>
    <n v="0"/>
    <n v="0"/>
    <n v="87.84"/>
    <x v="19"/>
    <s v="E-commerce"/>
    <s v="Website Banner"/>
    <n v="87.84"/>
    <x v="191"/>
    <x v="4"/>
    <x v="191"/>
  </r>
  <r>
    <n v="3329"/>
    <x v="466"/>
    <n v="277"/>
    <n v="2"/>
    <n v="43.92"/>
    <n v="43.92"/>
    <n v="0"/>
    <n v="0"/>
    <n v="0"/>
    <n v="87.84"/>
    <x v="6"/>
    <s v="E-commerce"/>
    <s v="Website Banner"/>
    <n v="87.84"/>
    <x v="191"/>
    <x v="4"/>
    <x v="191"/>
  </r>
  <r>
    <n v="1009"/>
    <x v="564"/>
    <n v="312"/>
    <n v="2"/>
    <n v="43.84"/>
    <n v="43.84"/>
    <n v="0"/>
    <n v="0"/>
    <n v="0"/>
    <n v="87.68"/>
    <x v="22"/>
    <s v="E-commerce"/>
    <s v="Website Banner"/>
    <n v="87.68"/>
    <x v="386"/>
    <x v="0"/>
    <x v="386"/>
  </r>
  <r>
    <n v="1616"/>
    <x v="565"/>
    <n v="312"/>
    <n v="2"/>
    <n v="43.84"/>
    <n v="43.84"/>
    <n v="0"/>
    <n v="0"/>
    <n v="0"/>
    <n v="87.68"/>
    <x v="0"/>
    <s v="E-commerce"/>
    <s v="Website Banner"/>
    <n v="87.68"/>
    <x v="386"/>
    <x v="0"/>
    <x v="386"/>
  </r>
  <r>
    <n v="3117"/>
    <x v="566"/>
    <n v="312"/>
    <n v="2"/>
    <n v="43.84"/>
    <n v="43.84"/>
    <n v="0"/>
    <n v="0"/>
    <n v="0"/>
    <n v="87.68"/>
    <x v="14"/>
    <s v="App Mobile"/>
    <s v="App Mobile"/>
    <n v="87.68"/>
    <x v="386"/>
    <x v="0"/>
    <x v="386"/>
  </r>
  <r>
    <n v="291"/>
    <x v="567"/>
    <n v="363"/>
    <n v="2"/>
    <n v="43.64"/>
    <n v="43.64"/>
    <n v="0"/>
    <n v="0"/>
    <n v="0"/>
    <n v="87.28"/>
    <x v="38"/>
    <s v="App Mobile"/>
    <s v="App Mobile"/>
    <n v="87.28"/>
    <x v="192"/>
    <x v="0"/>
    <x v="192"/>
  </r>
  <r>
    <n v="2284"/>
    <x v="568"/>
    <n v="363"/>
    <n v="2"/>
    <n v="43.64"/>
    <n v="43.64"/>
    <n v="0"/>
    <n v="0"/>
    <n v="0"/>
    <n v="87.28"/>
    <x v="13"/>
    <s v="E-commerce"/>
    <s v="Website Banner"/>
    <n v="87.28"/>
    <x v="192"/>
    <x v="0"/>
    <x v="192"/>
  </r>
  <r>
    <n v="204"/>
    <x v="302"/>
    <n v="211"/>
    <n v="2"/>
    <n v="43.5"/>
    <n v="43.5"/>
    <n v="0"/>
    <n v="0"/>
    <n v="0"/>
    <n v="87"/>
    <x v="34"/>
    <s v="App Mobile"/>
    <s v="App Mobile"/>
    <n v="87"/>
    <x v="387"/>
    <x v="1"/>
    <x v="387"/>
  </r>
  <r>
    <n v="624"/>
    <x v="569"/>
    <n v="302"/>
    <n v="2"/>
    <n v="43.4"/>
    <n v="43.4"/>
    <n v="0"/>
    <n v="0"/>
    <n v="0"/>
    <n v="86.8"/>
    <x v="46"/>
    <s v="E-commerce"/>
    <s v="Website Banner"/>
    <n v="86.8"/>
    <x v="388"/>
    <x v="4"/>
    <x v="388"/>
  </r>
  <r>
    <n v="3010"/>
    <x v="570"/>
    <n v="429"/>
    <n v="2"/>
    <n v="43.34"/>
    <n v="43.34"/>
    <n v="0"/>
    <n v="0"/>
    <n v="0"/>
    <n v="86.68"/>
    <x v="22"/>
    <s v="E-commerce"/>
    <s v="Website Banner"/>
    <n v="86.68"/>
    <x v="389"/>
    <x v="4"/>
    <x v="389"/>
  </r>
  <r>
    <n v="2561"/>
    <x v="57"/>
    <n v="329"/>
    <n v="2"/>
    <n v="43.09"/>
    <n v="43.09"/>
    <n v="0"/>
    <n v="0"/>
    <n v="0"/>
    <n v="86.18"/>
    <x v="10"/>
    <s v="App Mobile"/>
    <s v="App Mobile"/>
    <n v="86.18"/>
    <x v="390"/>
    <x v="3"/>
    <x v="390"/>
  </r>
  <r>
    <n v="2396"/>
    <x v="254"/>
    <n v="102"/>
    <n v="2"/>
    <n v="43.06"/>
    <n v="43.06"/>
    <n v="0"/>
    <n v="0"/>
    <n v="0"/>
    <n v="86.12"/>
    <x v="20"/>
    <s v="E-commerce"/>
    <s v="Website Banner"/>
    <n v="86.12"/>
    <x v="197"/>
    <x v="4"/>
    <x v="197"/>
  </r>
  <r>
    <n v="81"/>
    <x v="571"/>
    <n v="482"/>
    <n v="2"/>
    <n v="47.59"/>
    <n v="42.83"/>
    <n v="4.76"/>
    <n v="0.1"/>
    <n v="1"/>
    <n v="85.66"/>
    <x v="32"/>
    <s v="E-commerce"/>
    <s v="Email"/>
    <n v="85.66"/>
    <x v="164"/>
    <x v="0"/>
    <x v="164"/>
  </r>
  <r>
    <n v="2018"/>
    <x v="354"/>
    <n v="24"/>
    <n v="2"/>
    <n v="42.76"/>
    <n v="42.76"/>
    <n v="0"/>
    <n v="0"/>
    <n v="0"/>
    <n v="85.52"/>
    <x v="22"/>
    <s v="E-commerce"/>
    <s v="Website Banner"/>
    <n v="85.52"/>
    <x v="391"/>
    <x v="0"/>
    <x v="391"/>
  </r>
  <r>
    <n v="2562"/>
    <x v="95"/>
    <n v="375"/>
    <n v="2"/>
    <n v="42.67"/>
    <n v="42.67"/>
    <n v="0"/>
    <n v="0"/>
    <n v="0"/>
    <n v="85.34"/>
    <x v="18"/>
    <s v="App Mobile"/>
    <s v="App Mobile"/>
    <n v="85.34"/>
    <x v="200"/>
    <x v="1"/>
    <x v="200"/>
  </r>
  <r>
    <n v="189"/>
    <x v="572"/>
    <n v="483"/>
    <n v="2"/>
    <n v="60.89"/>
    <n v="42.62"/>
    <n v="18.27"/>
    <n v="0.3"/>
    <n v="1"/>
    <n v="85.25"/>
    <x v="29"/>
    <s v="App Mobile"/>
    <s v="Social Media"/>
    <n v="85.24"/>
    <x v="47"/>
    <x v="4"/>
    <x v="47"/>
  </r>
  <r>
    <n v="2518"/>
    <x v="492"/>
    <n v="149"/>
    <n v="2"/>
    <n v="42.24"/>
    <n v="42.24"/>
    <n v="0"/>
    <n v="0"/>
    <n v="0"/>
    <n v="84.48"/>
    <x v="31"/>
    <s v="E-commerce"/>
    <s v="Website Banner"/>
    <n v="84.48"/>
    <x v="204"/>
    <x v="2"/>
    <x v="204"/>
  </r>
  <r>
    <n v="2725"/>
    <x v="337"/>
    <n v="324"/>
    <n v="2"/>
    <n v="60.31"/>
    <n v="42.22"/>
    <n v="18.09"/>
    <n v="0.3"/>
    <n v="1"/>
    <n v="84.43"/>
    <x v="27"/>
    <s v="App Mobile"/>
    <s v="Social Media"/>
    <n v="84.44"/>
    <x v="52"/>
    <x v="4"/>
    <x v="52"/>
  </r>
  <r>
    <n v="633"/>
    <x v="573"/>
    <n v="309"/>
    <n v="2"/>
    <n v="42.14"/>
    <n v="42.14"/>
    <n v="0"/>
    <n v="0"/>
    <n v="0"/>
    <n v="84.28"/>
    <x v="20"/>
    <s v="E-commerce"/>
    <s v="Website Banner"/>
    <n v="84.28"/>
    <x v="205"/>
    <x v="0"/>
    <x v="205"/>
  </r>
  <r>
    <n v="2625"/>
    <x v="574"/>
    <n v="309"/>
    <n v="2"/>
    <n v="42.14"/>
    <n v="42.14"/>
    <n v="0"/>
    <n v="0"/>
    <n v="0"/>
    <n v="84.28"/>
    <x v="38"/>
    <s v="E-commerce"/>
    <s v="Website Banner"/>
    <n v="84.28"/>
    <x v="205"/>
    <x v="0"/>
    <x v="205"/>
  </r>
  <r>
    <n v="448"/>
    <x v="575"/>
    <n v="344"/>
    <n v="2"/>
    <n v="42.1"/>
    <n v="42.1"/>
    <n v="0"/>
    <n v="0"/>
    <n v="0"/>
    <n v="84.2"/>
    <x v="29"/>
    <s v="E-commerce"/>
    <s v="Website Banner"/>
    <n v="84.2"/>
    <x v="206"/>
    <x v="4"/>
    <x v="206"/>
  </r>
  <r>
    <n v="2092"/>
    <x v="576"/>
    <n v="202"/>
    <n v="2"/>
    <n v="41.88"/>
    <n v="41.88"/>
    <n v="0"/>
    <n v="0"/>
    <n v="0"/>
    <n v="83.76"/>
    <x v="30"/>
    <s v="App Mobile"/>
    <s v="App Mobile"/>
    <n v="83.76"/>
    <x v="207"/>
    <x v="4"/>
    <x v="207"/>
  </r>
  <r>
    <n v="2156"/>
    <x v="577"/>
    <n v="99"/>
    <n v="2"/>
    <n v="59.78"/>
    <n v="41.85"/>
    <n v="17.93"/>
    <n v="0.3"/>
    <n v="1"/>
    <n v="83.69"/>
    <x v="27"/>
    <s v="App Mobile"/>
    <s v="Social Media"/>
    <n v="83.7"/>
    <x v="55"/>
    <x v="4"/>
    <x v="55"/>
  </r>
  <r>
    <n v="231"/>
    <x v="265"/>
    <n v="144"/>
    <n v="2"/>
    <n v="41.84"/>
    <n v="41.84"/>
    <n v="0"/>
    <n v="0"/>
    <n v="0"/>
    <n v="83.68"/>
    <x v="7"/>
    <s v="App Mobile"/>
    <s v="App Mobile"/>
    <n v="83.68"/>
    <x v="208"/>
    <x v="2"/>
    <x v="208"/>
  </r>
  <r>
    <n v="160"/>
    <x v="387"/>
    <n v="172"/>
    <n v="2"/>
    <n v="41.7"/>
    <n v="41.7"/>
    <n v="0"/>
    <n v="0"/>
    <n v="0"/>
    <n v="83.4"/>
    <x v="32"/>
    <s v="App Mobile"/>
    <s v="App Mobile"/>
    <n v="83.4"/>
    <x v="209"/>
    <x v="1"/>
    <x v="209"/>
  </r>
  <r>
    <n v="2736"/>
    <x v="363"/>
    <n v="423"/>
    <n v="2"/>
    <n v="41.64"/>
    <n v="41.64"/>
    <n v="0"/>
    <n v="0"/>
    <n v="0"/>
    <n v="83.28"/>
    <x v="8"/>
    <s v="E-commerce"/>
    <s v="Website Banner"/>
    <n v="83.28"/>
    <x v="210"/>
    <x v="4"/>
    <x v="210"/>
  </r>
  <r>
    <n v="1158"/>
    <x v="578"/>
    <n v="157"/>
    <n v="2"/>
    <n v="41.56"/>
    <n v="41.56"/>
    <n v="0"/>
    <n v="0"/>
    <n v="0"/>
    <n v="83.12"/>
    <x v="47"/>
    <s v="E-commerce"/>
    <s v="Website Banner"/>
    <n v="83.12"/>
    <x v="211"/>
    <x v="3"/>
    <x v="211"/>
  </r>
  <r>
    <n v="1359"/>
    <x v="579"/>
    <n v="157"/>
    <n v="2"/>
    <n v="41.56"/>
    <n v="41.56"/>
    <n v="0"/>
    <n v="0"/>
    <n v="0"/>
    <n v="83.12"/>
    <x v="34"/>
    <s v="App Mobile"/>
    <s v="App Mobile"/>
    <n v="83.12"/>
    <x v="211"/>
    <x v="3"/>
    <x v="211"/>
  </r>
  <r>
    <n v="820"/>
    <x v="102"/>
    <n v="289"/>
    <n v="2"/>
    <n v="41.51"/>
    <n v="41.51"/>
    <n v="0"/>
    <n v="0"/>
    <n v="0"/>
    <n v="83.02"/>
    <x v="9"/>
    <s v="App Mobile"/>
    <s v="App Mobile"/>
    <n v="83.02"/>
    <x v="212"/>
    <x v="0"/>
    <x v="212"/>
  </r>
  <r>
    <n v="1508"/>
    <x v="539"/>
    <n v="78"/>
    <n v="2"/>
    <n v="59.21"/>
    <n v="41.45"/>
    <n v="17.760000000000002"/>
    <n v="0.3"/>
    <n v="1"/>
    <n v="82.89"/>
    <x v="29"/>
    <s v="App Mobile"/>
    <s v="Social Media"/>
    <n v="82.9"/>
    <x v="339"/>
    <x v="1"/>
    <x v="339"/>
  </r>
  <r>
    <n v="615"/>
    <x v="580"/>
    <n v="86"/>
    <n v="2"/>
    <n v="41.26"/>
    <n v="41.26"/>
    <n v="0"/>
    <n v="0"/>
    <n v="0"/>
    <n v="82.52"/>
    <x v="25"/>
    <s v="App Mobile"/>
    <s v="App Mobile"/>
    <n v="82.52"/>
    <x v="213"/>
    <x v="3"/>
    <x v="213"/>
  </r>
  <r>
    <n v="3327"/>
    <x v="581"/>
    <n v="86"/>
    <n v="2"/>
    <n v="41.26"/>
    <n v="41.26"/>
    <n v="0"/>
    <n v="0"/>
    <n v="0"/>
    <n v="82.52"/>
    <x v="46"/>
    <s v="App Mobile"/>
    <s v="App Mobile"/>
    <n v="82.52"/>
    <x v="213"/>
    <x v="3"/>
    <x v="213"/>
  </r>
  <r>
    <n v="103"/>
    <x v="582"/>
    <n v="63"/>
    <n v="2"/>
    <n v="58.67"/>
    <n v="41.07"/>
    <n v="17.600000000000001"/>
    <n v="0.3"/>
    <n v="1"/>
    <n v="82.14"/>
    <x v="27"/>
    <s v="App Mobile"/>
    <s v="Social Media"/>
    <n v="82.14"/>
    <x v="63"/>
    <x v="3"/>
    <x v="63"/>
  </r>
  <r>
    <n v="1476"/>
    <x v="583"/>
    <n v="18"/>
    <n v="2"/>
    <n v="40.99"/>
    <n v="40.99"/>
    <n v="0"/>
    <n v="0"/>
    <n v="0"/>
    <n v="81.98"/>
    <x v="3"/>
    <s v="E-commerce"/>
    <s v="Website Banner"/>
    <n v="81.98"/>
    <x v="214"/>
    <x v="1"/>
    <x v="214"/>
  </r>
  <r>
    <n v="1935"/>
    <x v="493"/>
    <n v="18"/>
    <n v="2"/>
    <n v="40.99"/>
    <n v="40.99"/>
    <n v="0"/>
    <n v="0"/>
    <n v="0"/>
    <n v="81.98"/>
    <x v="49"/>
    <s v="App Mobile"/>
    <s v="App Mobile"/>
    <n v="81.98"/>
    <x v="214"/>
    <x v="1"/>
    <x v="214"/>
  </r>
  <r>
    <n v="374"/>
    <x v="584"/>
    <n v="74"/>
    <n v="2"/>
    <n v="40.94"/>
    <n v="40.94"/>
    <n v="0"/>
    <n v="0"/>
    <n v="0"/>
    <n v="81.88"/>
    <x v="11"/>
    <s v="E-commerce"/>
    <s v="Website Banner"/>
    <n v="81.88"/>
    <x v="392"/>
    <x v="3"/>
    <x v="392"/>
  </r>
  <r>
    <n v="2678"/>
    <x v="585"/>
    <n v="74"/>
    <n v="2"/>
    <n v="40.94"/>
    <n v="40.94"/>
    <n v="0"/>
    <n v="0"/>
    <n v="0"/>
    <n v="81.88"/>
    <x v="50"/>
    <s v="E-commerce"/>
    <s v="Website Banner"/>
    <n v="81.88"/>
    <x v="392"/>
    <x v="3"/>
    <x v="392"/>
  </r>
  <r>
    <n v="2926"/>
    <x v="579"/>
    <n v="471"/>
    <n v="2"/>
    <n v="40.92"/>
    <n v="40.92"/>
    <n v="0"/>
    <n v="0"/>
    <n v="0"/>
    <n v="81.84"/>
    <x v="34"/>
    <s v="App Mobile"/>
    <s v="App Mobile"/>
    <n v="81.84"/>
    <x v="215"/>
    <x v="4"/>
    <x v="215"/>
  </r>
  <r>
    <n v="1988"/>
    <x v="586"/>
    <n v="404"/>
    <n v="2"/>
    <n v="45.19"/>
    <n v="40.67"/>
    <n v="4.5199999999999996"/>
    <n v="0.1"/>
    <n v="1"/>
    <n v="81.34"/>
    <x v="37"/>
    <s v="E-commerce"/>
    <s v="Email"/>
    <n v="81.34"/>
    <x v="182"/>
    <x v="3"/>
    <x v="182"/>
  </r>
  <r>
    <n v="3006"/>
    <x v="293"/>
    <n v="285"/>
    <n v="2"/>
    <n v="40.630000000000003"/>
    <n v="40.630000000000003"/>
    <n v="0"/>
    <n v="0"/>
    <n v="0"/>
    <n v="81.260000000000005"/>
    <x v="28"/>
    <s v="E-commerce"/>
    <s v="Website Banner"/>
    <n v="81.260000000000005"/>
    <x v="393"/>
    <x v="0"/>
    <x v="393"/>
  </r>
  <r>
    <n v="1702"/>
    <x v="587"/>
    <n v="92"/>
    <n v="2"/>
    <n v="40.25"/>
    <n v="40.25"/>
    <n v="0"/>
    <n v="0"/>
    <n v="0"/>
    <n v="80.5"/>
    <x v="16"/>
    <s v="App Mobile"/>
    <s v="App Mobile"/>
    <n v="80.5"/>
    <x v="220"/>
    <x v="1"/>
    <x v="220"/>
  </r>
  <r>
    <n v="1882"/>
    <x v="32"/>
    <n v="92"/>
    <n v="2"/>
    <n v="40.25"/>
    <n v="40.25"/>
    <n v="0"/>
    <n v="0"/>
    <n v="0"/>
    <n v="80.5"/>
    <x v="18"/>
    <s v="App Mobile"/>
    <s v="App Mobile"/>
    <n v="80.5"/>
    <x v="220"/>
    <x v="1"/>
    <x v="220"/>
  </r>
  <r>
    <n v="739"/>
    <x v="276"/>
    <n v="292"/>
    <n v="2"/>
    <n v="40.119999999999997"/>
    <n v="40.119999999999997"/>
    <n v="0"/>
    <n v="0"/>
    <n v="0"/>
    <n v="80.239999999999995"/>
    <x v="43"/>
    <s v="App Mobile"/>
    <s v="App Mobile"/>
    <n v="80.239999999999995"/>
    <x v="221"/>
    <x v="4"/>
    <x v="221"/>
  </r>
  <r>
    <n v="1550"/>
    <x v="588"/>
    <n v="292"/>
    <n v="2"/>
    <n v="40.119999999999997"/>
    <n v="40.119999999999997"/>
    <n v="0"/>
    <n v="0"/>
    <n v="0"/>
    <n v="80.239999999999995"/>
    <x v="14"/>
    <s v="App Mobile"/>
    <s v="App Mobile"/>
    <n v="80.239999999999995"/>
    <x v="221"/>
    <x v="4"/>
    <x v="221"/>
  </r>
  <r>
    <n v="1757"/>
    <x v="589"/>
    <n v="325"/>
    <n v="2"/>
    <n v="39.78"/>
    <n v="39.78"/>
    <n v="0"/>
    <n v="0"/>
    <n v="0"/>
    <n v="79.56"/>
    <x v="46"/>
    <s v="App Mobile"/>
    <s v="App Mobile"/>
    <n v="79.56"/>
    <x v="223"/>
    <x v="1"/>
    <x v="223"/>
  </r>
  <r>
    <n v="236"/>
    <x v="467"/>
    <n v="143"/>
    <n v="2"/>
    <n v="39.75"/>
    <n v="39.75"/>
    <n v="0"/>
    <n v="0"/>
    <n v="0"/>
    <n v="79.5"/>
    <x v="47"/>
    <s v="E-commerce"/>
    <s v="Website Banner"/>
    <n v="79.5"/>
    <x v="394"/>
    <x v="3"/>
    <x v="394"/>
  </r>
  <r>
    <n v="2308"/>
    <x v="590"/>
    <n v="475"/>
    <n v="2"/>
    <n v="39.69"/>
    <n v="39.69"/>
    <n v="0"/>
    <n v="0"/>
    <n v="0"/>
    <n v="79.38"/>
    <x v="43"/>
    <s v="E-commerce"/>
    <s v="Website Banner"/>
    <n v="79.38"/>
    <x v="395"/>
    <x v="0"/>
    <x v="395"/>
  </r>
  <r>
    <n v="3364"/>
    <x v="591"/>
    <n v="490"/>
    <n v="2"/>
    <n v="39.42"/>
    <n v="39.42"/>
    <n v="0"/>
    <n v="0"/>
    <n v="0"/>
    <n v="78.84"/>
    <x v="35"/>
    <s v="E-commerce"/>
    <s v="Website Banner"/>
    <n v="78.84"/>
    <x v="226"/>
    <x v="1"/>
    <x v="226"/>
  </r>
  <r>
    <n v="70"/>
    <x v="59"/>
    <n v="178"/>
    <n v="2"/>
    <n v="39.340000000000003"/>
    <n v="39.340000000000003"/>
    <n v="0"/>
    <n v="0"/>
    <n v="0"/>
    <n v="78.680000000000007"/>
    <x v="32"/>
    <s v="App Mobile"/>
    <s v="App Mobile"/>
    <n v="78.680000000000007"/>
    <x v="227"/>
    <x v="2"/>
    <x v="227"/>
  </r>
  <r>
    <n v="1055"/>
    <x v="151"/>
    <n v="178"/>
    <n v="2"/>
    <n v="39.340000000000003"/>
    <n v="39.340000000000003"/>
    <n v="0"/>
    <n v="0"/>
    <n v="0"/>
    <n v="78.680000000000007"/>
    <x v="43"/>
    <s v="E-commerce"/>
    <s v="Website Banner"/>
    <n v="78.680000000000007"/>
    <x v="227"/>
    <x v="2"/>
    <x v="227"/>
  </r>
  <r>
    <n v="3231"/>
    <x v="237"/>
    <n v="178"/>
    <n v="2"/>
    <n v="39.340000000000003"/>
    <n v="39.340000000000003"/>
    <n v="0"/>
    <n v="0"/>
    <n v="0"/>
    <n v="78.680000000000007"/>
    <x v="8"/>
    <s v="E-commerce"/>
    <s v="Website Banner"/>
    <n v="78.680000000000007"/>
    <x v="227"/>
    <x v="2"/>
    <x v="227"/>
  </r>
  <r>
    <n v="3162"/>
    <x v="592"/>
    <n v="467"/>
    <n v="2"/>
    <n v="39.22"/>
    <n v="39.22"/>
    <n v="0"/>
    <n v="0"/>
    <n v="0"/>
    <n v="78.44"/>
    <x v="11"/>
    <s v="E-commerce"/>
    <s v="Website Banner"/>
    <n v="78.44"/>
    <x v="228"/>
    <x v="2"/>
    <x v="228"/>
  </r>
  <r>
    <n v="1512"/>
    <x v="386"/>
    <n v="204"/>
    <n v="2"/>
    <n v="39.200000000000003"/>
    <n v="39.200000000000003"/>
    <n v="0"/>
    <n v="0"/>
    <n v="0"/>
    <n v="78.400000000000006"/>
    <x v="40"/>
    <s v="E-commerce"/>
    <s v="Website Banner"/>
    <n v="78.400000000000006"/>
    <x v="254"/>
    <x v="0"/>
    <x v="254"/>
  </r>
  <r>
    <n v="1673"/>
    <x v="593"/>
    <n v="204"/>
    <n v="2"/>
    <n v="39.200000000000003"/>
    <n v="39.200000000000003"/>
    <n v="0"/>
    <n v="0"/>
    <n v="0"/>
    <n v="78.400000000000006"/>
    <x v="13"/>
    <s v="App Mobile"/>
    <s v="App Mobile"/>
    <n v="78.400000000000006"/>
    <x v="254"/>
    <x v="0"/>
    <x v="254"/>
  </r>
  <r>
    <n v="1920"/>
    <x v="594"/>
    <n v="204"/>
    <n v="2"/>
    <n v="39.200000000000003"/>
    <n v="39.200000000000003"/>
    <n v="0"/>
    <n v="0"/>
    <n v="0"/>
    <n v="78.400000000000006"/>
    <x v="21"/>
    <s v="E-commerce"/>
    <s v="Website Banner"/>
    <n v="78.400000000000006"/>
    <x v="254"/>
    <x v="0"/>
    <x v="254"/>
  </r>
  <r>
    <n v="1204"/>
    <x v="281"/>
    <n v="93"/>
    <n v="2"/>
    <n v="39.18"/>
    <n v="39.18"/>
    <n v="0"/>
    <n v="0"/>
    <n v="0"/>
    <n v="78.36"/>
    <x v="28"/>
    <s v="E-commerce"/>
    <s v="Website Banner"/>
    <n v="78.36"/>
    <x v="230"/>
    <x v="2"/>
    <x v="230"/>
  </r>
  <r>
    <n v="1344"/>
    <x v="327"/>
    <n v="113"/>
    <n v="2"/>
    <n v="39.18"/>
    <n v="39.18"/>
    <n v="0"/>
    <n v="0"/>
    <n v="0"/>
    <n v="78.36"/>
    <x v="33"/>
    <s v="E-commerce"/>
    <s v="Website Banner"/>
    <n v="78.36"/>
    <x v="229"/>
    <x v="0"/>
    <x v="229"/>
  </r>
  <r>
    <n v="1423"/>
    <x v="284"/>
    <n v="93"/>
    <n v="2"/>
    <n v="39.18"/>
    <n v="39.18"/>
    <n v="0"/>
    <n v="0"/>
    <n v="0"/>
    <n v="78.36"/>
    <x v="48"/>
    <s v="App Mobile"/>
    <s v="App Mobile"/>
    <n v="78.36"/>
    <x v="230"/>
    <x v="2"/>
    <x v="230"/>
  </r>
  <r>
    <n v="286"/>
    <x v="595"/>
    <n v="141"/>
    <n v="2"/>
    <n v="39.159999999999997"/>
    <n v="39.159999999999997"/>
    <n v="0"/>
    <n v="0"/>
    <n v="0"/>
    <n v="78.319999999999993"/>
    <x v="39"/>
    <s v="E-commerce"/>
    <s v="Website Banner"/>
    <n v="78.319999999999993"/>
    <x v="396"/>
    <x v="0"/>
    <x v="396"/>
  </r>
  <r>
    <n v="2872"/>
    <x v="508"/>
    <n v="141"/>
    <n v="2"/>
    <n v="39.159999999999997"/>
    <n v="39.159999999999997"/>
    <n v="0"/>
    <n v="0"/>
    <n v="0"/>
    <n v="78.319999999999993"/>
    <x v="17"/>
    <s v="E-commerce"/>
    <s v="Website Banner"/>
    <n v="78.319999999999993"/>
    <x v="396"/>
    <x v="0"/>
    <x v="396"/>
  </r>
  <r>
    <n v="1615"/>
    <x v="596"/>
    <n v="456"/>
    <n v="2"/>
    <n v="39.090000000000003"/>
    <n v="39.090000000000003"/>
    <n v="0"/>
    <n v="0"/>
    <n v="0"/>
    <n v="78.180000000000007"/>
    <x v="17"/>
    <s v="App Mobile"/>
    <s v="App Mobile"/>
    <n v="78.180000000000007"/>
    <x v="231"/>
    <x v="0"/>
    <x v="231"/>
  </r>
  <r>
    <n v="2003"/>
    <x v="597"/>
    <n v="96"/>
    <n v="2"/>
    <n v="39.03"/>
    <n v="39.03"/>
    <n v="0"/>
    <n v="0"/>
    <n v="0"/>
    <n v="78.06"/>
    <x v="20"/>
    <s v="App Mobile"/>
    <s v="App Mobile"/>
    <n v="78.06"/>
    <x v="232"/>
    <x v="4"/>
    <x v="232"/>
  </r>
  <r>
    <n v="3255"/>
    <x v="411"/>
    <n v="180"/>
    <n v="2"/>
    <n v="38.81"/>
    <n v="38.81"/>
    <n v="0"/>
    <n v="0"/>
    <n v="0"/>
    <n v="77.62"/>
    <x v="41"/>
    <s v="E-commerce"/>
    <s v="Website Banner"/>
    <n v="77.62"/>
    <x v="234"/>
    <x v="1"/>
    <x v="234"/>
  </r>
  <r>
    <n v="3228"/>
    <x v="598"/>
    <n v="438"/>
    <n v="2"/>
    <n v="38.74"/>
    <n v="38.74"/>
    <n v="0"/>
    <n v="0"/>
    <n v="0"/>
    <n v="77.48"/>
    <x v="35"/>
    <s v="App Mobile"/>
    <s v="App Mobile"/>
    <n v="77.48"/>
    <x v="235"/>
    <x v="0"/>
    <x v="235"/>
  </r>
  <r>
    <n v="349"/>
    <x v="552"/>
    <n v="233"/>
    <n v="2"/>
    <n v="38.68"/>
    <n v="38.68"/>
    <n v="0"/>
    <n v="0"/>
    <n v="0"/>
    <n v="77.36"/>
    <x v="20"/>
    <s v="App Mobile"/>
    <s v="App Mobile"/>
    <n v="77.36"/>
    <x v="236"/>
    <x v="1"/>
    <x v="236"/>
  </r>
  <r>
    <n v="436"/>
    <x v="599"/>
    <n v="233"/>
    <n v="2"/>
    <n v="38.68"/>
    <n v="38.68"/>
    <n v="0"/>
    <n v="0"/>
    <n v="0"/>
    <n v="77.36"/>
    <x v="12"/>
    <s v="E-commerce"/>
    <s v="Website Banner"/>
    <n v="77.36"/>
    <x v="236"/>
    <x v="1"/>
    <x v="236"/>
  </r>
  <r>
    <n v="2902"/>
    <x v="600"/>
    <n v="446"/>
    <n v="2"/>
    <n v="55.14"/>
    <n v="38.6"/>
    <n v="16.54"/>
    <n v="0.3"/>
    <n v="1"/>
    <n v="77.2"/>
    <x v="12"/>
    <s v="App Mobile"/>
    <s v="Social Media"/>
    <n v="77.2"/>
    <x v="397"/>
    <x v="4"/>
    <x v="397"/>
  </r>
  <r>
    <n v="1475"/>
    <x v="410"/>
    <n v="417"/>
    <n v="2"/>
    <n v="38.42"/>
    <n v="38.42"/>
    <n v="0"/>
    <n v="0"/>
    <n v="0"/>
    <n v="76.84"/>
    <x v="48"/>
    <s v="E-commerce"/>
    <s v="Website Banner"/>
    <n v="76.84"/>
    <x v="398"/>
    <x v="1"/>
    <x v="398"/>
  </r>
  <r>
    <n v="397"/>
    <x v="601"/>
    <n v="256"/>
    <n v="2"/>
    <n v="38.409999999999997"/>
    <n v="38.409999999999997"/>
    <n v="0"/>
    <n v="0"/>
    <n v="0"/>
    <n v="76.819999999999993"/>
    <x v="0"/>
    <s v="E-commerce"/>
    <s v="Website Banner"/>
    <n v="76.819999999999993"/>
    <x v="238"/>
    <x v="3"/>
    <x v="238"/>
  </r>
  <r>
    <n v="2364"/>
    <x v="602"/>
    <n v="498"/>
    <n v="2"/>
    <n v="38.33"/>
    <n v="38.33"/>
    <n v="0"/>
    <n v="0"/>
    <n v="0"/>
    <n v="76.66"/>
    <x v="3"/>
    <s v="App Mobile"/>
    <s v="App Mobile"/>
    <n v="76.66"/>
    <x v="399"/>
    <x v="4"/>
    <x v="399"/>
  </r>
  <r>
    <n v="134"/>
    <x v="577"/>
    <n v="496"/>
    <n v="2"/>
    <n v="54.61"/>
    <n v="38.229999999999997"/>
    <n v="16.38"/>
    <n v="0.3"/>
    <n v="1"/>
    <n v="76.45"/>
    <x v="27"/>
    <s v="App Mobile"/>
    <s v="Social Media"/>
    <n v="76.459999999999994"/>
    <x v="348"/>
    <x v="2"/>
    <x v="348"/>
  </r>
  <r>
    <n v="2399"/>
    <x v="471"/>
    <n v="240"/>
    <n v="2"/>
    <n v="38.14"/>
    <n v="38.14"/>
    <n v="0"/>
    <n v="0"/>
    <n v="0"/>
    <n v="76.28"/>
    <x v="19"/>
    <s v="E-commerce"/>
    <s v="Website Banner"/>
    <n v="76.28"/>
    <x v="239"/>
    <x v="2"/>
    <x v="239"/>
  </r>
  <r>
    <n v="3211"/>
    <x v="603"/>
    <n v="240"/>
    <n v="2"/>
    <n v="38.14"/>
    <n v="38.14"/>
    <n v="0"/>
    <n v="0"/>
    <n v="0"/>
    <n v="76.28"/>
    <x v="10"/>
    <s v="App Mobile"/>
    <s v="App Mobile"/>
    <n v="76.28"/>
    <x v="239"/>
    <x v="2"/>
    <x v="239"/>
  </r>
  <r>
    <n v="2683"/>
    <x v="604"/>
    <n v="387"/>
    <n v="2"/>
    <n v="38.06"/>
    <n v="38.06"/>
    <n v="0"/>
    <n v="0"/>
    <n v="0"/>
    <n v="76.12"/>
    <x v="20"/>
    <s v="App Mobile"/>
    <s v="App Mobile"/>
    <n v="76.12"/>
    <x v="241"/>
    <x v="3"/>
    <x v="241"/>
  </r>
  <r>
    <n v="162"/>
    <x v="439"/>
    <n v="500"/>
    <n v="2"/>
    <n v="38.03"/>
    <n v="38.03"/>
    <n v="0"/>
    <n v="0"/>
    <n v="0"/>
    <n v="76.06"/>
    <x v="16"/>
    <s v="App Mobile"/>
    <s v="App Mobile"/>
    <n v="76.06"/>
    <x v="242"/>
    <x v="0"/>
    <x v="242"/>
  </r>
  <r>
    <n v="2836"/>
    <x v="423"/>
    <n v="500"/>
    <n v="2"/>
    <n v="38.03"/>
    <n v="38.03"/>
    <n v="0"/>
    <n v="0"/>
    <n v="0"/>
    <n v="76.06"/>
    <x v="46"/>
    <s v="App Mobile"/>
    <s v="App Mobile"/>
    <n v="76.06"/>
    <x v="242"/>
    <x v="0"/>
    <x v="242"/>
  </r>
  <r>
    <n v="345"/>
    <x v="226"/>
    <n v="41"/>
    <n v="2"/>
    <n v="37.94"/>
    <n v="37.94"/>
    <n v="0"/>
    <n v="0"/>
    <n v="0"/>
    <n v="75.88"/>
    <x v="25"/>
    <s v="E-commerce"/>
    <s v="Website Banner"/>
    <n v="75.88"/>
    <x v="243"/>
    <x v="2"/>
    <x v="243"/>
  </r>
  <r>
    <n v="1361"/>
    <x v="605"/>
    <n v="45"/>
    <n v="2"/>
    <n v="54.16"/>
    <n v="37.909999999999997"/>
    <n v="16.25"/>
    <n v="0.3"/>
    <n v="1"/>
    <n v="75.819999999999993"/>
    <x v="29"/>
    <s v="App Mobile"/>
    <s v="Social Media"/>
    <n v="75.819999999999993"/>
    <x v="349"/>
    <x v="4"/>
    <x v="349"/>
  </r>
  <r>
    <n v="2799"/>
    <x v="36"/>
    <n v="451"/>
    <n v="2"/>
    <n v="37.799999999999997"/>
    <n v="37.799999999999997"/>
    <n v="0"/>
    <n v="0"/>
    <n v="0"/>
    <n v="75.599999999999994"/>
    <x v="25"/>
    <s v="App Mobile"/>
    <s v="App Mobile"/>
    <n v="75.599999999999994"/>
    <x v="291"/>
    <x v="4"/>
    <x v="291"/>
  </r>
  <r>
    <n v="2968"/>
    <x v="606"/>
    <n v="267"/>
    <n v="2"/>
    <n v="53.91"/>
    <n v="37.74"/>
    <n v="16.170000000000002"/>
    <n v="0.3"/>
    <n v="1"/>
    <n v="75.47"/>
    <x v="27"/>
    <s v="App Mobile"/>
    <s v="Social Media"/>
    <n v="75.48"/>
    <x v="400"/>
    <x v="3"/>
    <x v="400"/>
  </r>
  <r>
    <n v="270"/>
    <x v="607"/>
    <n v="47"/>
    <n v="2"/>
    <n v="53.73"/>
    <n v="37.61"/>
    <n v="16.12"/>
    <n v="0.3"/>
    <n v="1"/>
    <n v="75.22"/>
    <x v="29"/>
    <s v="App Mobile"/>
    <s v="Social Media"/>
    <n v="75.22"/>
    <x v="102"/>
    <x v="4"/>
    <x v="102"/>
  </r>
  <r>
    <n v="2206"/>
    <x v="165"/>
    <n v="208"/>
    <n v="2"/>
    <n v="37.450000000000003"/>
    <n v="37.450000000000003"/>
    <n v="0"/>
    <n v="0"/>
    <n v="0"/>
    <n v="74.900000000000006"/>
    <x v="38"/>
    <s v="App Mobile"/>
    <s v="App Mobile"/>
    <n v="74.900000000000006"/>
    <x v="244"/>
    <x v="4"/>
    <x v="244"/>
  </r>
  <r>
    <n v="3312"/>
    <x v="608"/>
    <n v="208"/>
    <n v="2"/>
    <n v="37.450000000000003"/>
    <n v="37.450000000000003"/>
    <n v="0"/>
    <n v="0"/>
    <n v="0"/>
    <n v="74.900000000000006"/>
    <x v="9"/>
    <s v="E-commerce"/>
    <s v="Website Banner"/>
    <n v="74.900000000000006"/>
    <x v="244"/>
    <x v="4"/>
    <x v="244"/>
  </r>
  <r>
    <n v="563"/>
    <x v="609"/>
    <n v="85"/>
    <n v="2"/>
    <n v="37.35"/>
    <n v="37.35"/>
    <n v="0"/>
    <n v="0"/>
    <n v="0"/>
    <n v="74.7"/>
    <x v="2"/>
    <s v="E-commerce"/>
    <s v="Website Banner"/>
    <n v="74.7"/>
    <x v="401"/>
    <x v="0"/>
    <x v="401"/>
  </r>
  <r>
    <n v="1246"/>
    <x v="607"/>
    <n v="458"/>
    <n v="2"/>
    <n v="53.35"/>
    <n v="37.340000000000003"/>
    <n v="16"/>
    <n v="0.3"/>
    <n v="1"/>
    <n v="74.69"/>
    <x v="29"/>
    <s v="App Mobile"/>
    <s v="Social Media"/>
    <n v="74.680000000000007"/>
    <x v="107"/>
    <x v="3"/>
    <x v="107"/>
  </r>
  <r>
    <n v="2357"/>
    <x v="610"/>
    <n v="408"/>
    <n v="2"/>
    <n v="37.17"/>
    <n v="37.17"/>
    <n v="0"/>
    <n v="0"/>
    <n v="0"/>
    <n v="74.34"/>
    <x v="3"/>
    <s v="E-commerce"/>
    <s v="Website Banner"/>
    <n v="74.34"/>
    <x v="402"/>
    <x v="4"/>
    <x v="402"/>
  </r>
  <r>
    <n v="2787"/>
    <x v="611"/>
    <n v="408"/>
    <n v="2"/>
    <n v="37.17"/>
    <n v="37.17"/>
    <n v="0"/>
    <n v="0"/>
    <n v="0"/>
    <n v="74.34"/>
    <x v="15"/>
    <s v="App Mobile"/>
    <s v="App Mobile"/>
    <n v="74.34"/>
    <x v="402"/>
    <x v="4"/>
    <x v="402"/>
  </r>
  <r>
    <n v="47"/>
    <x v="117"/>
    <n v="492"/>
    <n v="2"/>
    <n v="37.119999999999997"/>
    <n v="37.119999999999997"/>
    <n v="0"/>
    <n v="0"/>
    <n v="0"/>
    <n v="74.239999999999995"/>
    <x v="21"/>
    <s v="E-commerce"/>
    <s v="Website Banner"/>
    <n v="74.239999999999995"/>
    <x v="403"/>
    <x v="2"/>
    <x v="403"/>
  </r>
  <r>
    <n v="3020"/>
    <x v="612"/>
    <n v="492"/>
    <n v="2"/>
    <n v="37.119999999999997"/>
    <n v="37.119999999999997"/>
    <n v="0"/>
    <n v="0"/>
    <n v="0"/>
    <n v="74.239999999999995"/>
    <x v="28"/>
    <s v="E-commerce"/>
    <s v="Website Banner"/>
    <n v="74.239999999999995"/>
    <x v="403"/>
    <x v="2"/>
    <x v="403"/>
  </r>
  <r>
    <n v="1368"/>
    <x v="613"/>
    <n v="441"/>
    <n v="2"/>
    <n v="36.99"/>
    <n v="36.99"/>
    <n v="0"/>
    <n v="0"/>
    <n v="0"/>
    <n v="73.98"/>
    <x v="0"/>
    <s v="E-commerce"/>
    <s v="Website Banner"/>
    <n v="73.98"/>
    <x v="247"/>
    <x v="0"/>
    <x v="247"/>
  </r>
  <r>
    <n v="871"/>
    <x v="614"/>
    <n v="105"/>
    <n v="2"/>
    <n v="36.9"/>
    <n v="36.9"/>
    <n v="0"/>
    <n v="0"/>
    <n v="0"/>
    <n v="73.8"/>
    <x v="50"/>
    <s v="App Mobile"/>
    <s v="App Mobile"/>
    <n v="73.8"/>
    <x v="404"/>
    <x v="4"/>
    <x v="404"/>
  </r>
  <r>
    <n v="1183"/>
    <x v="290"/>
    <n v="105"/>
    <n v="2"/>
    <n v="36.9"/>
    <n v="36.9"/>
    <n v="0"/>
    <n v="0"/>
    <n v="0"/>
    <n v="73.8"/>
    <x v="13"/>
    <s v="E-commerce"/>
    <s v="Website Banner"/>
    <n v="73.8"/>
    <x v="404"/>
    <x v="4"/>
    <x v="404"/>
  </r>
  <r>
    <n v="2843"/>
    <x v="62"/>
    <n v="5"/>
    <n v="2"/>
    <n v="36.840000000000003"/>
    <n v="36.840000000000003"/>
    <n v="0"/>
    <n v="0"/>
    <n v="0"/>
    <n v="73.680000000000007"/>
    <x v="27"/>
    <s v="E-commerce"/>
    <s v="Website Banner"/>
    <n v="73.680000000000007"/>
    <x v="249"/>
    <x v="2"/>
    <x v="249"/>
  </r>
  <r>
    <n v="517"/>
    <x v="615"/>
    <n v="148"/>
    <n v="2"/>
    <n v="36.69"/>
    <n v="36.69"/>
    <n v="0"/>
    <n v="0"/>
    <n v="0"/>
    <n v="73.38"/>
    <x v="34"/>
    <s v="App Mobile"/>
    <s v="App Mobile"/>
    <n v="73.38"/>
    <x v="405"/>
    <x v="4"/>
    <x v="405"/>
  </r>
  <r>
    <n v="1196"/>
    <x v="259"/>
    <n v="148"/>
    <n v="2"/>
    <n v="36.69"/>
    <n v="36.69"/>
    <n v="0"/>
    <n v="0"/>
    <n v="0"/>
    <n v="73.38"/>
    <x v="15"/>
    <s v="E-commerce"/>
    <s v="Website Banner"/>
    <n v="73.38"/>
    <x v="405"/>
    <x v="4"/>
    <x v="405"/>
  </r>
  <r>
    <n v="1294"/>
    <x v="616"/>
    <n v="148"/>
    <n v="2"/>
    <n v="36.69"/>
    <n v="36.69"/>
    <n v="0"/>
    <n v="0"/>
    <n v="0"/>
    <n v="73.38"/>
    <x v="41"/>
    <s v="App Mobile"/>
    <s v="App Mobile"/>
    <n v="73.38"/>
    <x v="405"/>
    <x v="4"/>
    <x v="405"/>
  </r>
  <r>
    <n v="1753"/>
    <x v="103"/>
    <n v="148"/>
    <n v="2"/>
    <n v="36.69"/>
    <n v="36.69"/>
    <n v="0"/>
    <n v="0"/>
    <n v="0"/>
    <n v="73.38"/>
    <x v="26"/>
    <s v="E-commerce"/>
    <s v="Website Banner"/>
    <n v="73.38"/>
    <x v="405"/>
    <x v="4"/>
    <x v="405"/>
  </r>
  <r>
    <n v="1845"/>
    <x v="344"/>
    <n v="148"/>
    <n v="2"/>
    <n v="36.69"/>
    <n v="36.69"/>
    <n v="0"/>
    <n v="0"/>
    <n v="0"/>
    <n v="73.38"/>
    <x v="35"/>
    <s v="App Mobile"/>
    <s v="App Mobile"/>
    <n v="73.38"/>
    <x v="405"/>
    <x v="4"/>
    <x v="405"/>
  </r>
  <r>
    <n v="542"/>
    <x v="434"/>
    <n v="151"/>
    <n v="2"/>
    <n v="36.47"/>
    <n v="36.47"/>
    <n v="0"/>
    <n v="0"/>
    <n v="0"/>
    <n v="72.94"/>
    <x v="5"/>
    <s v="App Mobile"/>
    <s v="App Mobile"/>
    <n v="72.94"/>
    <x v="251"/>
    <x v="2"/>
    <x v="251"/>
  </r>
  <r>
    <n v="2159"/>
    <x v="617"/>
    <n v="151"/>
    <n v="2"/>
    <n v="36.47"/>
    <n v="36.47"/>
    <n v="0"/>
    <n v="0"/>
    <n v="0"/>
    <n v="72.94"/>
    <x v="29"/>
    <s v="E-commerce"/>
    <s v="Website Banner"/>
    <n v="72.94"/>
    <x v="251"/>
    <x v="2"/>
    <x v="251"/>
  </r>
  <r>
    <n v="2642"/>
    <x v="618"/>
    <n v="203"/>
    <n v="2"/>
    <n v="52.1"/>
    <n v="36.47"/>
    <n v="15.63"/>
    <n v="0.3"/>
    <n v="1"/>
    <n v="72.94"/>
    <x v="22"/>
    <s v="App Mobile"/>
    <s v="Social Media"/>
    <n v="72.94"/>
    <x v="120"/>
    <x v="0"/>
    <x v="120"/>
  </r>
  <r>
    <n v="2775"/>
    <x v="220"/>
    <n v="151"/>
    <n v="2"/>
    <n v="36.47"/>
    <n v="36.47"/>
    <n v="0"/>
    <n v="0"/>
    <n v="0"/>
    <n v="72.94"/>
    <x v="33"/>
    <s v="E-commerce"/>
    <s v="Website Banner"/>
    <n v="72.94"/>
    <x v="251"/>
    <x v="2"/>
    <x v="251"/>
  </r>
  <r>
    <n v="579"/>
    <x v="619"/>
    <n v="364"/>
    <n v="2"/>
    <n v="36.340000000000003"/>
    <n v="36.340000000000003"/>
    <n v="0"/>
    <n v="0"/>
    <n v="0"/>
    <n v="72.680000000000007"/>
    <x v="27"/>
    <s v="E-commerce"/>
    <s v="Website Banner"/>
    <n v="72.680000000000007"/>
    <x v="406"/>
    <x v="0"/>
    <x v="406"/>
  </r>
  <r>
    <n v="1713"/>
    <x v="620"/>
    <n v="364"/>
    <n v="2"/>
    <n v="36.340000000000003"/>
    <n v="36.340000000000003"/>
    <n v="0"/>
    <n v="0"/>
    <n v="0"/>
    <n v="72.680000000000007"/>
    <x v="35"/>
    <s v="E-commerce"/>
    <s v="Website Banner"/>
    <n v="72.680000000000007"/>
    <x v="406"/>
    <x v="0"/>
    <x v="406"/>
  </r>
  <r>
    <n v="2740"/>
    <x v="621"/>
    <n v="497"/>
    <n v="2"/>
    <n v="36.049999999999997"/>
    <n v="36.049999999999997"/>
    <n v="0"/>
    <n v="0"/>
    <n v="0"/>
    <n v="72.099999999999994"/>
    <x v="17"/>
    <s v="App Mobile"/>
    <s v="App Mobile"/>
    <n v="72.099999999999994"/>
    <x v="407"/>
    <x v="0"/>
    <x v="407"/>
  </r>
  <r>
    <n v="1593"/>
    <x v="325"/>
    <n v="427"/>
    <n v="2"/>
    <n v="36.01"/>
    <n v="36.01"/>
    <n v="0"/>
    <n v="0"/>
    <n v="0"/>
    <n v="72.02"/>
    <x v="49"/>
    <s v="App Mobile"/>
    <s v="App Mobile"/>
    <n v="72.02"/>
    <x v="252"/>
    <x v="3"/>
    <x v="252"/>
  </r>
  <r>
    <n v="2587"/>
    <x v="622"/>
    <n v="336"/>
    <n v="2"/>
    <n v="51.22"/>
    <n v="35.85"/>
    <n v="15.37"/>
    <n v="0.3"/>
    <n v="1"/>
    <n v="71.709999999999994"/>
    <x v="12"/>
    <s v="App Mobile"/>
    <s v="Social Media"/>
    <n v="71.7"/>
    <x v="131"/>
    <x v="4"/>
    <x v="131"/>
  </r>
  <r>
    <n v="1932"/>
    <x v="192"/>
    <n v="58"/>
    <n v="2"/>
    <n v="35.81"/>
    <n v="35.81"/>
    <n v="0"/>
    <n v="0"/>
    <n v="0"/>
    <n v="71.62"/>
    <x v="46"/>
    <s v="E-commerce"/>
    <s v="Website Banner"/>
    <n v="71.62"/>
    <x v="408"/>
    <x v="0"/>
    <x v="408"/>
  </r>
  <r>
    <n v="2115"/>
    <x v="369"/>
    <n v="325"/>
    <n v="2"/>
    <n v="39.78"/>
    <n v="35.799999999999997"/>
    <n v="3.98"/>
    <n v="0.1"/>
    <n v="1"/>
    <n v="71.599999999999994"/>
    <x v="30"/>
    <s v="E-commerce"/>
    <s v="Website Banner"/>
    <n v="71.599999999999994"/>
    <x v="223"/>
    <x v="1"/>
    <x v="223"/>
  </r>
  <r>
    <n v="2198"/>
    <x v="623"/>
    <n v="325"/>
    <n v="2"/>
    <n v="39.78"/>
    <n v="35.799999999999997"/>
    <n v="3.98"/>
    <n v="0.1"/>
    <n v="1"/>
    <n v="71.599999999999994"/>
    <x v="32"/>
    <s v="E-commerce"/>
    <s v="Website Banner"/>
    <n v="71.599999999999994"/>
    <x v="223"/>
    <x v="1"/>
    <x v="223"/>
  </r>
  <r>
    <n v="767"/>
    <x v="624"/>
    <n v="11"/>
    <n v="2"/>
    <n v="51.09"/>
    <n v="35.76"/>
    <n v="15.33"/>
    <n v="0.3"/>
    <n v="1"/>
    <n v="71.53"/>
    <x v="27"/>
    <s v="App Mobile"/>
    <s v="Social Media"/>
    <n v="71.52"/>
    <x v="409"/>
    <x v="1"/>
    <x v="409"/>
  </r>
  <r>
    <n v="2605"/>
    <x v="272"/>
    <n v="259"/>
    <n v="2"/>
    <n v="35.729999999999997"/>
    <n v="35.729999999999997"/>
    <n v="0"/>
    <n v="0"/>
    <n v="0"/>
    <n v="71.459999999999994"/>
    <x v="33"/>
    <s v="App Mobile"/>
    <s v="App Mobile"/>
    <n v="71.459999999999994"/>
    <x v="410"/>
    <x v="2"/>
    <x v="410"/>
  </r>
  <r>
    <n v="1450"/>
    <x v="625"/>
    <n v="255"/>
    <n v="2"/>
    <n v="51"/>
    <n v="35.700000000000003"/>
    <n v="15.3"/>
    <n v="0.3"/>
    <n v="1"/>
    <n v="71.400000000000006"/>
    <x v="45"/>
    <s v="App Mobile"/>
    <s v="Social Media"/>
    <n v="71.400000000000006"/>
    <x v="133"/>
    <x v="2"/>
    <x v="133"/>
  </r>
  <r>
    <n v="164"/>
    <x v="556"/>
    <n v="488"/>
    <n v="2"/>
    <n v="50.68"/>
    <n v="35.479999999999997"/>
    <n v="15.2"/>
    <n v="0.3"/>
    <n v="1"/>
    <n v="70.95"/>
    <x v="12"/>
    <s v="App Mobile"/>
    <s v="Social Media"/>
    <n v="70.959999999999994"/>
    <x v="140"/>
    <x v="3"/>
    <x v="140"/>
  </r>
  <r>
    <n v="5"/>
    <x v="626"/>
    <n v="414"/>
    <n v="2"/>
    <n v="35.200000000000003"/>
    <n v="35.200000000000003"/>
    <n v="0"/>
    <n v="0"/>
    <n v="0"/>
    <n v="70.400000000000006"/>
    <x v="44"/>
    <s v="E-commerce"/>
    <s v="Website Banner"/>
    <n v="70.400000000000006"/>
    <x v="255"/>
    <x v="3"/>
    <x v="255"/>
  </r>
  <r>
    <n v="275"/>
    <x v="288"/>
    <n v="414"/>
    <n v="2"/>
    <n v="35.200000000000003"/>
    <n v="35.200000000000003"/>
    <n v="0"/>
    <n v="0"/>
    <n v="0"/>
    <n v="70.400000000000006"/>
    <x v="0"/>
    <s v="E-commerce"/>
    <s v="Website Banner"/>
    <n v="70.400000000000006"/>
    <x v="255"/>
    <x v="3"/>
    <x v="255"/>
  </r>
  <r>
    <n v="1972"/>
    <x v="627"/>
    <n v="414"/>
    <n v="2"/>
    <n v="35.200000000000003"/>
    <n v="35.200000000000003"/>
    <n v="0"/>
    <n v="0"/>
    <n v="0"/>
    <n v="70.400000000000006"/>
    <x v="17"/>
    <s v="E-commerce"/>
    <s v="Website Banner"/>
    <n v="70.400000000000006"/>
    <x v="255"/>
    <x v="3"/>
    <x v="255"/>
  </r>
  <r>
    <n v="2795"/>
    <x v="54"/>
    <n v="414"/>
    <n v="2"/>
    <n v="35.200000000000003"/>
    <n v="35.200000000000003"/>
    <n v="0"/>
    <n v="0"/>
    <n v="0"/>
    <n v="70.400000000000006"/>
    <x v="30"/>
    <s v="App Mobile"/>
    <s v="App Mobile"/>
    <n v="70.400000000000006"/>
    <x v="255"/>
    <x v="3"/>
    <x v="255"/>
  </r>
  <r>
    <n v="1778"/>
    <x v="628"/>
    <n v="173"/>
    <n v="2"/>
    <n v="49.74"/>
    <n v="34.82"/>
    <n v="14.92"/>
    <n v="0.3"/>
    <n v="1"/>
    <n v="69.64"/>
    <x v="22"/>
    <s v="App Mobile"/>
    <s v="Social Media"/>
    <n v="69.64"/>
    <x v="149"/>
    <x v="0"/>
    <x v="149"/>
  </r>
  <r>
    <n v="734"/>
    <x v="629"/>
    <n v="268"/>
    <n v="2"/>
    <n v="49.59"/>
    <n v="34.71"/>
    <n v="14.88"/>
    <n v="0.3"/>
    <n v="1"/>
    <n v="69.430000000000007"/>
    <x v="47"/>
    <s v="App Mobile"/>
    <s v="Social Media"/>
    <n v="69.42"/>
    <x v="150"/>
    <x v="3"/>
    <x v="150"/>
  </r>
  <r>
    <n v="1686"/>
    <x v="630"/>
    <n v="405"/>
    <n v="2"/>
    <n v="34.71"/>
    <n v="34.71"/>
    <n v="0"/>
    <n v="0"/>
    <n v="0"/>
    <n v="69.42"/>
    <x v="34"/>
    <s v="E-commerce"/>
    <s v="Website Banner"/>
    <n v="69.42"/>
    <x v="411"/>
    <x v="0"/>
    <x v="411"/>
  </r>
  <r>
    <n v="2104"/>
    <x v="631"/>
    <n v="484"/>
    <n v="2"/>
    <n v="38.49"/>
    <n v="34.64"/>
    <n v="3.85"/>
    <n v="0.1"/>
    <n v="1"/>
    <n v="69.28"/>
    <x v="30"/>
    <s v="E-commerce"/>
    <s v="Website Banner"/>
    <n v="69.28"/>
    <x v="412"/>
    <x v="2"/>
    <x v="412"/>
  </r>
  <r>
    <n v="1264"/>
    <x v="518"/>
    <n v="59"/>
    <n v="2"/>
    <n v="34.58"/>
    <n v="34.58"/>
    <n v="0"/>
    <n v="0"/>
    <n v="0"/>
    <n v="69.16"/>
    <x v="43"/>
    <s v="E-commerce"/>
    <s v="Website Banner"/>
    <n v="69.16"/>
    <x v="256"/>
    <x v="3"/>
    <x v="256"/>
  </r>
  <r>
    <n v="1003"/>
    <x v="632"/>
    <n v="343"/>
    <n v="2"/>
    <n v="34.39"/>
    <n v="34.39"/>
    <n v="0"/>
    <n v="0"/>
    <n v="0"/>
    <n v="68.78"/>
    <x v="22"/>
    <s v="E-commerce"/>
    <s v="Website Banner"/>
    <n v="68.78"/>
    <x v="413"/>
    <x v="4"/>
    <x v="413"/>
  </r>
  <r>
    <n v="1252"/>
    <x v="198"/>
    <n v="451"/>
    <n v="2"/>
    <n v="37.799999999999997"/>
    <n v="34.020000000000003"/>
    <n v="3.78"/>
    <n v="0.1"/>
    <n v="1"/>
    <n v="68.040000000000006"/>
    <x v="32"/>
    <s v="E-commerce"/>
    <s v="Website Banner"/>
    <n v="68.040000000000006"/>
    <x v="291"/>
    <x v="4"/>
    <x v="291"/>
  </r>
  <r>
    <n v="515"/>
    <x v="242"/>
    <n v="91"/>
    <n v="2"/>
    <n v="33.950000000000003"/>
    <n v="33.950000000000003"/>
    <n v="0"/>
    <n v="0"/>
    <n v="0"/>
    <n v="67.900000000000006"/>
    <x v="23"/>
    <s v="App Mobile"/>
    <s v="App Mobile"/>
    <n v="67.900000000000006"/>
    <x v="259"/>
    <x v="3"/>
    <x v="259"/>
  </r>
  <r>
    <n v="1731"/>
    <x v="633"/>
    <n v="159"/>
    <n v="2"/>
    <n v="33.590000000000003"/>
    <n v="33.590000000000003"/>
    <n v="0"/>
    <n v="0"/>
    <n v="0"/>
    <n v="67.180000000000007"/>
    <x v="4"/>
    <s v="App Mobile"/>
    <s v="App Mobile"/>
    <n v="67.180000000000007"/>
    <x v="414"/>
    <x v="2"/>
    <x v="414"/>
  </r>
  <r>
    <n v="553"/>
    <x v="604"/>
    <n v="338"/>
    <n v="2"/>
    <n v="33.39"/>
    <n v="33.39"/>
    <n v="0"/>
    <n v="0"/>
    <n v="0"/>
    <n v="66.78"/>
    <x v="20"/>
    <s v="App Mobile"/>
    <s v="App Mobile"/>
    <n v="66.78"/>
    <x v="262"/>
    <x v="3"/>
    <x v="262"/>
  </r>
  <r>
    <n v="77"/>
    <x v="104"/>
    <n v="169"/>
    <n v="2"/>
    <n v="32.94"/>
    <n v="32.94"/>
    <n v="0"/>
    <n v="0"/>
    <n v="0"/>
    <n v="65.88"/>
    <x v="22"/>
    <s v="E-commerce"/>
    <s v="Website Banner"/>
    <n v="65.88"/>
    <x v="263"/>
    <x v="3"/>
    <x v="263"/>
  </r>
  <r>
    <n v="2467"/>
    <x v="19"/>
    <n v="362"/>
    <n v="2"/>
    <n v="32.64"/>
    <n v="32.64"/>
    <n v="0"/>
    <n v="0"/>
    <n v="0"/>
    <n v="65.28"/>
    <x v="6"/>
    <s v="App Mobile"/>
    <s v="App Mobile"/>
    <n v="65.28"/>
    <x v="415"/>
    <x v="3"/>
    <x v="415"/>
  </r>
  <r>
    <n v="301"/>
    <x v="634"/>
    <n v="209"/>
    <n v="2"/>
    <n v="32.409999999999997"/>
    <n v="32.409999999999997"/>
    <n v="0"/>
    <n v="0"/>
    <n v="0"/>
    <n v="64.819999999999993"/>
    <x v="45"/>
    <s v="E-commerce"/>
    <s v="Website Banner"/>
    <n v="64.819999999999993"/>
    <x v="265"/>
    <x v="1"/>
    <x v="265"/>
  </r>
  <r>
    <n v="1599"/>
    <x v="635"/>
    <n v="209"/>
    <n v="2"/>
    <n v="32.409999999999997"/>
    <n v="32.409999999999997"/>
    <n v="0"/>
    <n v="0"/>
    <n v="0"/>
    <n v="64.819999999999993"/>
    <x v="0"/>
    <s v="App Mobile"/>
    <s v="App Mobile"/>
    <n v="64.819999999999993"/>
    <x v="265"/>
    <x v="1"/>
    <x v="265"/>
  </r>
  <r>
    <n v="2022"/>
    <x v="636"/>
    <n v="453"/>
    <n v="2"/>
    <n v="32.049999999999997"/>
    <n v="32.049999999999997"/>
    <n v="0"/>
    <n v="0"/>
    <n v="0"/>
    <n v="64.099999999999994"/>
    <x v="50"/>
    <s v="App Mobile"/>
    <s v="App Mobile"/>
    <n v="64.099999999999994"/>
    <x v="267"/>
    <x v="4"/>
    <x v="267"/>
  </r>
  <r>
    <n v="3080"/>
    <x v="578"/>
    <n v="453"/>
    <n v="2"/>
    <n v="32.049999999999997"/>
    <n v="32.049999999999997"/>
    <n v="0"/>
    <n v="0"/>
    <n v="0"/>
    <n v="64.099999999999994"/>
    <x v="47"/>
    <s v="E-commerce"/>
    <s v="Website Banner"/>
    <n v="64.099999999999994"/>
    <x v="267"/>
    <x v="4"/>
    <x v="267"/>
  </r>
  <r>
    <n v="1225"/>
    <x v="637"/>
    <n v="80"/>
    <n v="2"/>
    <n v="31.86"/>
    <n v="31.86"/>
    <n v="0"/>
    <n v="0"/>
    <n v="0"/>
    <n v="63.72"/>
    <x v="48"/>
    <s v="E-commerce"/>
    <s v="Website Banner"/>
    <n v="63.72"/>
    <x v="268"/>
    <x v="0"/>
    <x v="268"/>
  </r>
  <r>
    <n v="376"/>
    <x v="638"/>
    <n v="418"/>
    <n v="2"/>
    <n v="31.84"/>
    <n v="31.84"/>
    <n v="0"/>
    <n v="0"/>
    <n v="0"/>
    <n v="63.68"/>
    <x v="47"/>
    <s v="E-commerce"/>
    <s v="Website Banner"/>
    <n v="63.68"/>
    <x v="269"/>
    <x v="1"/>
    <x v="269"/>
  </r>
  <r>
    <n v="623"/>
    <x v="639"/>
    <n v="418"/>
    <n v="2"/>
    <n v="31.84"/>
    <n v="31.84"/>
    <n v="0"/>
    <n v="0"/>
    <n v="0"/>
    <n v="63.68"/>
    <x v="50"/>
    <s v="E-commerce"/>
    <s v="Website Banner"/>
    <n v="63.68"/>
    <x v="269"/>
    <x v="1"/>
    <x v="269"/>
  </r>
  <r>
    <n v="1889"/>
    <x v="640"/>
    <n v="418"/>
    <n v="2"/>
    <n v="31.84"/>
    <n v="31.84"/>
    <n v="0"/>
    <n v="0"/>
    <n v="0"/>
    <n v="63.68"/>
    <x v="47"/>
    <s v="E-commerce"/>
    <s v="Website Banner"/>
    <n v="63.68"/>
    <x v="269"/>
    <x v="1"/>
    <x v="269"/>
  </r>
  <r>
    <n v="1994"/>
    <x v="641"/>
    <n v="84"/>
    <n v="2"/>
    <n v="31.84"/>
    <n v="31.84"/>
    <n v="0"/>
    <n v="0"/>
    <n v="0"/>
    <n v="63.68"/>
    <x v="45"/>
    <s v="E-commerce"/>
    <s v="Website Banner"/>
    <n v="63.68"/>
    <x v="270"/>
    <x v="1"/>
    <x v="270"/>
  </r>
  <r>
    <n v="2429"/>
    <x v="601"/>
    <n v="84"/>
    <n v="2"/>
    <n v="31.84"/>
    <n v="31.84"/>
    <n v="0"/>
    <n v="0"/>
    <n v="0"/>
    <n v="63.68"/>
    <x v="0"/>
    <s v="E-commerce"/>
    <s v="Website Banner"/>
    <n v="63.68"/>
    <x v="270"/>
    <x v="1"/>
    <x v="270"/>
  </r>
  <r>
    <n v="2663"/>
    <x v="642"/>
    <n v="84"/>
    <n v="2"/>
    <n v="31.84"/>
    <n v="31.84"/>
    <n v="0"/>
    <n v="0"/>
    <n v="0"/>
    <n v="63.68"/>
    <x v="31"/>
    <s v="App Mobile"/>
    <s v="App Mobile"/>
    <n v="63.68"/>
    <x v="270"/>
    <x v="1"/>
    <x v="270"/>
  </r>
  <r>
    <n v="2893"/>
    <x v="416"/>
    <n v="84"/>
    <n v="2"/>
    <n v="31.84"/>
    <n v="31.84"/>
    <n v="0"/>
    <n v="0"/>
    <n v="0"/>
    <n v="63.68"/>
    <x v="50"/>
    <s v="App Mobile"/>
    <s v="App Mobile"/>
    <n v="63.68"/>
    <x v="270"/>
    <x v="1"/>
    <x v="270"/>
  </r>
  <r>
    <n v="1999"/>
    <x v="643"/>
    <n v="457"/>
    <n v="2"/>
    <n v="31.61"/>
    <n v="31.61"/>
    <n v="0"/>
    <n v="0"/>
    <n v="0"/>
    <n v="63.22"/>
    <x v="37"/>
    <s v="App Mobile"/>
    <s v="App Mobile"/>
    <n v="63.22"/>
    <x v="272"/>
    <x v="4"/>
    <x v="272"/>
  </r>
  <r>
    <n v="1595"/>
    <x v="234"/>
    <n v="258"/>
    <n v="2"/>
    <n v="31.48"/>
    <n v="31.48"/>
    <n v="0"/>
    <n v="0"/>
    <n v="0"/>
    <n v="62.96"/>
    <x v="13"/>
    <s v="App Mobile"/>
    <s v="App Mobile"/>
    <n v="62.96"/>
    <x v="273"/>
    <x v="1"/>
    <x v="273"/>
  </r>
  <r>
    <n v="1487"/>
    <x v="223"/>
    <n v="128"/>
    <n v="2"/>
    <n v="44.9"/>
    <n v="31.43"/>
    <n v="13.47"/>
    <n v="0.3"/>
    <n v="1"/>
    <n v="62.86"/>
    <x v="12"/>
    <s v="App Mobile"/>
    <s v="Social Media"/>
    <n v="62.86"/>
    <x v="383"/>
    <x v="4"/>
    <x v="383"/>
  </r>
  <r>
    <n v="1962"/>
    <x v="644"/>
    <n v="95"/>
    <n v="2"/>
    <n v="31.15"/>
    <n v="31.15"/>
    <n v="0"/>
    <n v="0"/>
    <n v="0"/>
    <n v="62.3"/>
    <x v="36"/>
    <s v="E-commerce"/>
    <s v="Website Banner"/>
    <n v="62.3"/>
    <x v="274"/>
    <x v="3"/>
    <x v="274"/>
  </r>
  <r>
    <n v="3143"/>
    <x v="645"/>
    <n v="95"/>
    <n v="2"/>
    <n v="31.15"/>
    <n v="31.15"/>
    <n v="0"/>
    <n v="0"/>
    <n v="0"/>
    <n v="62.3"/>
    <x v="8"/>
    <s v="App Mobile"/>
    <s v="App Mobile"/>
    <n v="62.3"/>
    <x v="274"/>
    <x v="3"/>
    <x v="274"/>
  </r>
  <r>
    <n v="991"/>
    <x v="592"/>
    <n v="30"/>
    <n v="2"/>
    <n v="31.09"/>
    <n v="31.09"/>
    <n v="0"/>
    <n v="0"/>
    <n v="0"/>
    <n v="62.18"/>
    <x v="11"/>
    <s v="E-commerce"/>
    <s v="Website Banner"/>
    <n v="62.18"/>
    <x v="287"/>
    <x v="2"/>
    <x v="287"/>
  </r>
  <r>
    <n v="1373"/>
    <x v="380"/>
    <n v="452"/>
    <n v="2"/>
    <n v="30.85"/>
    <n v="30.85"/>
    <n v="0"/>
    <n v="0"/>
    <n v="0"/>
    <n v="61.7"/>
    <x v="46"/>
    <s v="App Mobile"/>
    <s v="App Mobile"/>
    <n v="61.7"/>
    <x v="275"/>
    <x v="0"/>
    <x v="275"/>
  </r>
  <r>
    <n v="1794"/>
    <x v="646"/>
    <n v="452"/>
    <n v="2"/>
    <n v="30.85"/>
    <n v="30.85"/>
    <n v="0"/>
    <n v="0"/>
    <n v="0"/>
    <n v="61.7"/>
    <x v="46"/>
    <s v="App Mobile"/>
    <s v="App Mobile"/>
    <n v="61.7"/>
    <x v="275"/>
    <x v="0"/>
    <x v="275"/>
  </r>
  <r>
    <n v="1189"/>
    <x v="325"/>
    <n v="401"/>
    <n v="2"/>
    <n v="30.83"/>
    <n v="30.83"/>
    <n v="0"/>
    <n v="0"/>
    <n v="0"/>
    <n v="61.66"/>
    <x v="49"/>
    <s v="App Mobile"/>
    <s v="App Mobile"/>
    <n v="61.66"/>
    <x v="276"/>
    <x v="0"/>
    <x v="276"/>
  </r>
  <r>
    <n v="631"/>
    <x v="572"/>
    <n v="363"/>
    <n v="2"/>
    <n v="43.64"/>
    <n v="30.55"/>
    <n v="13.09"/>
    <n v="0.3"/>
    <n v="1"/>
    <n v="61.1"/>
    <x v="29"/>
    <s v="App Mobile"/>
    <s v="Social Media"/>
    <n v="61.1"/>
    <x v="192"/>
    <x v="0"/>
    <x v="192"/>
  </r>
  <r>
    <n v="2403"/>
    <x v="647"/>
    <n v="339"/>
    <n v="2"/>
    <n v="30.35"/>
    <n v="30.35"/>
    <n v="0"/>
    <n v="0"/>
    <n v="0"/>
    <n v="60.7"/>
    <x v="13"/>
    <s v="App Mobile"/>
    <s v="App Mobile"/>
    <n v="60.7"/>
    <x v="416"/>
    <x v="4"/>
    <x v="416"/>
  </r>
  <r>
    <n v="3129"/>
    <x v="648"/>
    <n v="429"/>
    <n v="2"/>
    <n v="43.34"/>
    <n v="30.34"/>
    <n v="13"/>
    <n v="0.3"/>
    <n v="1"/>
    <n v="60.68"/>
    <x v="22"/>
    <s v="App Mobile"/>
    <s v="Social Media"/>
    <n v="60.68"/>
    <x v="389"/>
    <x v="4"/>
    <x v="389"/>
  </r>
  <r>
    <n v="435"/>
    <x v="375"/>
    <n v="308"/>
    <n v="2"/>
    <n v="43.27"/>
    <n v="30.29"/>
    <n v="12.98"/>
    <n v="0.3"/>
    <n v="1"/>
    <n v="60.58"/>
    <x v="42"/>
    <s v="App Mobile"/>
    <s v="Social Media"/>
    <n v="60.58"/>
    <x v="417"/>
    <x v="2"/>
    <x v="417"/>
  </r>
  <r>
    <n v="2235"/>
    <x v="616"/>
    <n v="171"/>
    <n v="2"/>
    <n v="30.26"/>
    <n v="30.26"/>
    <n v="0"/>
    <n v="0"/>
    <n v="0"/>
    <n v="60.52"/>
    <x v="41"/>
    <s v="App Mobile"/>
    <s v="App Mobile"/>
    <n v="60.52"/>
    <x v="278"/>
    <x v="0"/>
    <x v="278"/>
  </r>
  <r>
    <n v="695"/>
    <x v="335"/>
    <n v="241"/>
    <n v="2"/>
    <n v="29.82"/>
    <n v="29.82"/>
    <n v="0"/>
    <n v="0"/>
    <n v="0"/>
    <n v="59.64"/>
    <x v="25"/>
    <s v="E-commerce"/>
    <s v="Website Banner"/>
    <n v="59.64"/>
    <x v="280"/>
    <x v="2"/>
    <x v="280"/>
  </r>
  <r>
    <n v="2099"/>
    <x v="649"/>
    <n v="241"/>
    <n v="2"/>
    <n v="29.82"/>
    <n v="29.82"/>
    <n v="0"/>
    <n v="0"/>
    <n v="0"/>
    <n v="59.64"/>
    <x v="27"/>
    <s v="E-commerce"/>
    <s v="Website Banner"/>
    <n v="59.64"/>
    <x v="280"/>
    <x v="2"/>
    <x v="280"/>
  </r>
  <r>
    <n v="711"/>
    <x v="650"/>
    <n v="88"/>
    <n v="2"/>
    <n v="29.81"/>
    <n v="29.81"/>
    <n v="0"/>
    <n v="0"/>
    <n v="0"/>
    <n v="59.62"/>
    <x v="49"/>
    <s v="App Mobile"/>
    <s v="App Mobile"/>
    <n v="59.62"/>
    <x v="281"/>
    <x v="3"/>
    <x v="281"/>
  </r>
  <r>
    <n v="1019"/>
    <x v="91"/>
    <n v="88"/>
    <n v="2"/>
    <n v="29.81"/>
    <n v="29.81"/>
    <n v="0"/>
    <n v="0"/>
    <n v="0"/>
    <n v="59.62"/>
    <x v="31"/>
    <s v="E-commerce"/>
    <s v="Website Banner"/>
    <n v="59.62"/>
    <x v="281"/>
    <x v="3"/>
    <x v="281"/>
  </r>
  <r>
    <n v="320"/>
    <x v="491"/>
    <n v="400"/>
    <n v="2"/>
    <n v="29.68"/>
    <n v="29.68"/>
    <n v="0"/>
    <n v="0"/>
    <n v="0"/>
    <n v="59.36"/>
    <x v="15"/>
    <s v="App Mobile"/>
    <s v="App Mobile"/>
    <n v="59.36"/>
    <x v="282"/>
    <x v="2"/>
    <x v="282"/>
  </r>
  <r>
    <n v="522"/>
    <x v="38"/>
    <n v="400"/>
    <n v="2"/>
    <n v="29.68"/>
    <n v="29.68"/>
    <n v="0"/>
    <n v="0"/>
    <n v="0"/>
    <n v="59.36"/>
    <x v="7"/>
    <s v="App Mobile"/>
    <s v="App Mobile"/>
    <n v="59.36"/>
    <x v="282"/>
    <x v="2"/>
    <x v="282"/>
  </r>
  <r>
    <n v="1530"/>
    <x v="332"/>
    <n v="246"/>
    <n v="2"/>
    <n v="28.98"/>
    <n v="28.98"/>
    <n v="0"/>
    <n v="0"/>
    <n v="0"/>
    <n v="57.96"/>
    <x v="14"/>
    <s v="E-commerce"/>
    <s v="Website Banner"/>
    <n v="57.96"/>
    <x v="284"/>
    <x v="0"/>
    <x v="284"/>
  </r>
  <r>
    <n v="2473"/>
    <x v="651"/>
    <n v="415"/>
    <n v="2"/>
    <n v="28.73"/>
    <n v="28.73"/>
    <n v="0"/>
    <n v="0"/>
    <n v="0"/>
    <n v="57.46"/>
    <x v="21"/>
    <s v="E-commerce"/>
    <s v="Website Banner"/>
    <n v="57.46"/>
    <x v="285"/>
    <x v="2"/>
    <x v="285"/>
  </r>
  <r>
    <n v="2526"/>
    <x v="652"/>
    <n v="18"/>
    <n v="2"/>
    <n v="40.99"/>
    <n v="28.69"/>
    <n v="12.3"/>
    <n v="0.3"/>
    <n v="1"/>
    <n v="57.39"/>
    <x v="29"/>
    <s v="App Mobile"/>
    <s v="Social Media"/>
    <n v="57.38"/>
    <x v="214"/>
    <x v="1"/>
    <x v="214"/>
  </r>
  <r>
    <n v="445"/>
    <x v="419"/>
    <n v="350"/>
    <n v="2"/>
    <n v="27.62"/>
    <n v="27.62"/>
    <n v="0"/>
    <n v="0"/>
    <n v="0"/>
    <n v="55.24"/>
    <x v="37"/>
    <s v="App Mobile"/>
    <s v="App Mobile"/>
    <n v="55.24"/>
    <x v="418"/>
    <x v="3"/>
    <x v="418"/>
  </r>
  <r>
    <n v="823"/>
    <x v="340"/>
    <n v="350"/>
    <n v="2"/>
    <n v="27.62"/>
    <n v="27.62"/>
    <n v="0"/>
    <n v="0"/>
    <n v="0"/>
    <n v="55.24"/>
    <x v="41"/>
    <s v="E-commerce"/>
    <s v="Website Banner"/>
    <n v="55.24"/>
    <x v="418"/>
    <x v="3"/>
    <x v="418"/>
  </r>
  <r>
    <n v="1880"/>
    <x v="653"/>
    <n v="350"/>
    <n v="2"/>
    <n v="27.62"/>
    <n v="27.62"/>
    <n v="0"/>
    <n v="0"/>
    <n v="0"/>
    <n v="55.24"/>
    <x v="28"/>
    <s v="App Mobile"/>
    <s v="App Mobile"/>
    <n v="55.24"/>
    <x v="418"/>
    <x v="3"/>
    <x v="418"/>
  </r>
  <r>
    <n v="2256"/>
    <x v="240"/>
    <n v="65"/>
    <n v="2"/>
    <n v="27.45"/>
    <n v="27.45"/>
    <n v="0"/>
    <n v="0"/>
    <n v="0"/>
    <n v="54.9"/>
    <x v="35"/>
    <s v="App Mobile"/>
    <s v="App Mobile"/>
    <n v="54.9"/>
    <x v="419"/>
    <x v="4"/>
    <x v="419"/>
  </r>
  <r>
    <n v="14"/>
    <x v="1"/>
    <n v="119"/>
    <n v="2"/>
    <n v="27.34"/>
    <n v="27.34"/>
    <n v="0"/>
    <n v="0"/>
    <n v="0"/>
    <n v="54.68"/>
    <x v="1"/>
    <s v="E-commerce"/>
    <s v="Website Banner"/>
    <n v="54.68"/>
    <x v="290"/>
    <x v="0"/>
    <x v="290"/>
  </r>
  <r>
    <n v="2124"/>
    <x v="622"/>
    <n v="438"/>
    <n v="2"/>
    <n v="38.74"/>
    <n v="27.12"/>
    <n v="11.62"/>
    <n v="0.3"/>
    <n v="1"/>
    <n v="54.24"/>
    <x v="12"/>
    <s v="App Mobile"/>
    <s v="Social Media"/>
    <n v="54.24"/>
    <x v="235"/>
    <x v="0"/>
    <x v="235"/>
  </r>
  <r>
    <n v="818"/>
    <x v="654"/>
    <n v="256"/>
    <n v="2"/>
    <n v="38.409999999999997"/>
    <n v="26.89"/>
    <n v="11.52"/>
    <n v="0.3"/>
    <n v="1"/>
    <n v="53.77"/>
    <x v="45"/>
    <s v="App Mobile"/>
    <s v="Social Media"/>
    <n v="53.78"/>
    <x v="238"/>
    <x v="3"/>
    <x v="238"/>
  </r>
  <r>
    <n v="1705"/>
    <x v="655"/>
    <n v="174"/>
    <n v="2"/>
    <n v="26.41"/>
    <n v="26.41"/>
    <n v="0"/>
    <n v="0"/>
    <n v="0"/>
    <n v="52.82"/>
    <x v="18"/>
    <s v="App Mobile"/>
    <s v="App Mobile"/>
    <n v="52.82"/>
    <x v="292"/>
    <x v="3"/>
    <x v="292"/>
  </r>
  <r>
    <n v="1704"/>
    <x v="656"/>
    <n v="120"/>
    <n v="2"/>
    <n v="25.7"/>
    <n v="25.7"/>
    <n v="0"/>
    <n v="0"/>
    <n v="0"/>
    <n v="51.4"/>
    <x v="11"/>
    <s v="E-commerce"/>
    <s v="Website Banner"/>
    <n v="51.4"/>
    <x v="293"/>
    <x v="3"/>
    <x v="293"/>
  </r>
  <r>
    <n v="3226"/>
    <x v="470"/>
    <n v="120"/>
    <n v="2"/>
    <n v="25.7"/>
    <n v="25.7"/>
    <n v="0"/>
    <n v="0"/>
    <n v="0"/>
    <n v="51.4"/>
    <x v="5"/>
    <s v="E-commerce"/>
    <s v="Website Banner"/>
    <n v="51.4"/>
    <x v="293"/>
    <x v="3"/>
    <x v="293"/>
  </r>
  <r>
    <n v="728"/>
    <x v="174"/>
    <n v="51"/>
    <n v="2"/>
    <n v="25.38"/>
    <n v="25.38"/>
    <n v="0"/>
    <n v="0"/>
    <n v="0"/>
    <n v="50.76"/>
    <x v="47"/>
    <s v="E-commerce"/>
    <s v="Website Banner"/>
    <n v="50.76"/>
    <x v="304"/>
    <x v="3"/>
    <x v="304"/>
  </r>
  <r>
    <n v="1658"/>
    <x v="657"/>
    <n v="51"/>
    <n v="2"/>
    <n v="25.38"/>
    <n v="25.38"/>
    <n v="0"/>
    <n v="0"/>
    <n v="0"/>
    <n v="50.76"/>
    <x v="40"/>
    <s v="E-commerce"/>
    <s v="Website Banner"/>
    <n v="50.76"/>
    <x v="304"/>
    <x v="3"/>
    <x v="304"/>
  </r>
  <r>
    <n v="620"/>
    <x v="658"/>
    <n v="14"/>
    <n v="2"/>
    <n v="24.96"/>
    <n v="24.96"/>
    <n v="0"/>
    <n v="0"/>
    <n v="0"/>
    <n v="49.92"/>
    <x v="26"/>
    <s v="E-commerce"/>
    <s v="Website Banner"/>
    <n v="49.92"/>
    <x v="301"/>
    <x v="0"/>
    <x v="301"/>
  </r>
  <r>
    <n v="2922"/>
    <x v="659"/>
    <n v="122"/>
    <n v="2"/>
    <n v="24.8"/>
    <n v="24.8"/>
    <n v="0"/>
    <n v="0"/>
    <n v="0"/>
    <n v="49.6"/>
    <x v="45"/>
    <s v="E-commerce"/>
    <s v="Website Banner"/>
    <n v="49.6"/>
    <x v="296"/>
    <x v="2"/>
    <x v="296"/>
  </r>
  <r>
    <n v="1755"/>
    <x v="618"/>
    <n v="59"/>
    <n v="2"/>
    <n v="34.58"/>
    <n v="24.21"/>
    <n v="10.37"/>
    <n v="0.3"/>
    <n v="1"/>
    <n v="48.41"/>
    <x v="22"/>
    <s v="App Mobile"/>
    <s v="Social Media"/>
    <n v="48.42"/>
    <x v="256"/>
    <x v="3"/>
    <x v="256"/>
  </r>
  <r>
    <n v="3199"/>
    <x v="629"/>
    <n v="59"/>
    <n v="2"/>
    <n v="34.58"/>
    <n v="24.21"/>
    <n v="10.37"/>
    <n v="0.3"/>
    <n v="1"/>
    <n v="48.41"/>
    <x v="47"/>
    <s v="App Mobile"/>
    <s v="Social Media"/>
    <n v="48.42"/>
    <x v="256"/>
    <x v="3"/>
    <x v="256"/>
  </r>
  <r>
    <n v="1144"/>
    <x v="36"/>
    <n v="3"/>
    <n v="2"/>
    <n v="23.9"/>
    <n v="23.9"/>
    <n v="0"/>
    <n v="0"/>
    <n v="0"/>
    <n v="47.8"/>
    <x v="25"/>
    <s v="App Mobile"/>
    <s v="App Mobile"/>
    <n v="47.8"/>
    <x v="420"/>
    <x v="4"/>
    <x v="420"/>
  </r>
  <r>
    <n v="2583"/>
    <x v="660"/>
    <n v="3"/>
    <n v="2"/>
    <n v="23.9"/>
    <n v="23.9"/>
    <n v="0"/>
    <n v="0"/>
    <n v="0"/>
    <n v="47.8"/>
    <x v="43"/>
    <s v="App Mobile"/>
    <s v="App Mobile"/>
    <n v="47.8"/>
    <x v="420"/>
    <x v="4"/>
    <x v="420"/>
  </r>
  <r>
    <n v="2505"/>
    <x v="661"/>
    <n v="235"/>
    <n v="2"/>
    <n v="23.68"/>
    <n v="23.68"/>
    <n v="0"/>
    <n v="0"/>
    <n v="0"/>
    <n v="47.36"/>
    <x v="7"/>
    <s v="E-commerce"/>
    <s v="Website Banner"/>
    <n v="47.36"/>
    <x v="421"/>
    <x v="3"/>
    <x v="421"/>
  </r>
  <r>
    <n v="652"/>
    <x v="662"/>
    <n v="355"/>
    <n v="2"/>
    <n v="21.38"/>
    <n v="21.38"/>
    <n v="0"/>
    <n v="0"/>
    <n v="0"/>
    <n v="42.76"/>
    <x v="23"/>
    <s v="E-commerce"/>
    <s v="Website Banner"/>
    <n v="42.76"/>
    <x v="422"/>
    <x v="2"/>
    <x v="422"/>
  </r>
  <r>
    <n v="2059"/>
    <x v="352"/>
    <n v="355"/>
    <n v="2"/>
    <n v="21.38"/>
    <n v="21.38"/>
    <n v="0"/>
    <n v="0"/>
    <n v="0"/>
    <n v="42.76"/>
    <x v="42"/>
    <s v="E-commerce"/>
    <s v="Website Banner"/>
    <n v="42.76"/>
    <x v="422"/>
    <x v="2"/>
    <x v="422"/>
  </r>
  <r>
    <n v="3306"/>
    <x v="663"/>
    <n v="246"/>
    <n v="2"/>
    <n v="28.98"/>
    <n v="20.29"/>
    <n v="8.69"/>
    <n v="0.3"/>
    <n v="1"/>
    <n v="40.57"/>
    <x v="22"/>
    <s v="App Mobile"/>
    <s v="Social Media"/>
    <n v="40.58"/>
    <x v="284"/>
    <x v="0"/>
    <x v="284"/>
  </r>
  <r>
    <n v="423"/>
    <x v="357"/>
    <n v="245"/>
    <n v="2"/>
    <n v="24.91"/>
    <n v="17.440000000000001"/>
    <n v="7.47"/>
    <n v="0.3"/>
    <n v="1"/>
    <n v="34.869999999999997"/>
    <x v="12"/>
    <s v="App Mobile"/>
    <s v="Social Media"/>
    <n v="34.880000000000003"/>
    <x v="423"/>
    <x v="0"/>
    <x v="423"/>
  </r>
  <r>
    <n v="197"/>
    <x v="194"/>
    <n v="198"/>
    <n v="2"/>
    <n v="14.64"/>
    <n v="14.64"/>
    <n v="0"/>
    <n v="0"/>
    <n v="0"/>
    <n v="29.28"/>
    <x v="21"/>
    <s v="E-commerce"/>
    <s v="Website Banner"/>
    <n v="29.28"/>
    <x v="307"/>
    <x v="0"/>
    <x v="307"/>
  </r>
  <r>
    <n v="3337"/>
    <x v="82"/>
    <n v="198"/>
    <n v="2"/>
    <n v="14.64"/>
    <n v="14.64"/>
    <n v="0"/>
    <n v="0"/>
    <n v="0"/>
    <n v="29.28"/>
    <x v="5"/>
    <s v="App Mobile"/>
    <s v="App Mobile"/>
    <n v="29.28"/>
    <x v="307"/>
    <x v="0"/>
    <x v="307"/>
  </r>
  <r>
    <n v="715"/>
    <x v="373"/>
    <n v="195"/>
    <n v="2"/>
    <n v="16.690000000000001"/>
    <n v="11.68"/>
    <n v="5.01"/>
    <n v="0.3"/>
    <n v="1"/>
    <n v="23.37"/>
    <x v="42"/>
    <s v="App Mobile"/>
    <s v="Social Media"/>
    <n v="23.36"/>
    <x v="424"/>
    <x v="4"/>
    <x v="424"/>
  </r>
  <r>
    <n v="845"/>
    <x v="664"/>
    <n v="284"/>
    <n v="3"/>
    <n v="81.790000000000006"/>
    <n v="81.790000000000006"/>
    <n v="0"/>
    <n v="0"/>
    <n v="0"/>
    <n v="245.37"/>
    <x v="25"/>
    <s v="E-commerce"/>
    <s v="Website Banner"/>
    <n v="245.37"/>
    <x v="1"/>
    <x v="1"/>
    <x v="1"/>
  </r>
  <r>
    <n v="1034"/>
    <x v="482"/>
    <n v="60"/>
    <n v="3"/>
    <n v="81.7"/>
    <n v="81.7"/>
    <n v="0"/>
    <n v="0"/>
    <n v="0"/>
    <n v="245.1"/>
    <x v="27"/>
    <s v="E-commerce"/>
    <s v="Website Banner"/>
    <n v="245.10000000000002"/>
    <x v="309"/>
    <x v="4"/>
    <x v="309"/>
  </r>
  <r>
    <n v="1217"/>
    <x v="527"/>
    <n v="60"/>
    <n v="3"/>
    <n v="81.7"/>
    <n v="81.7"/>
    <n v="0"/>
    <n v="0"/>
    <n v="0"/>
    <n v="245.1"/>
    <x v="13"/>
    <s v="App Mobile"/>
    <s v="App Mobile"/>
    <n v="245.10000000000002"/>
    <x v="309"/>
    <x v="4"/>
    <x v="309"/>
  </r>
  <r>
    <n v="1091"/>
    <x v="449"/>
    <n v="10"/>
    <n v="3"/>
    <n v="79.7"/>
    <n v="79.7"/>
    <n v="0"/>
    <n v="0"/>
    <n v="0"/>
    <n v="239.1"/>
    <x v="15"/>
    <s v="App Mobile"/>
    <s v="App Mobile"/>
    <n v="239.10000000000002"/>
    <x v="425"/>
    <x v="2"/>
    <x v="425"/>
  </r>
  <r>
    <n v="2791"/>
    <x v="665"/>
    <n v="269"/>
    <n v="3"/>
    <n v="77.59"/>
    <n v="77.59"/>
    <n v="0"/>
    <n v="0"/>
    <n v="0"/>
    <n v="232.77"/>
    <x v="9"/>
    <s v="App Mobile"/>
    <s v="App Mobile"/>
    <n v="232.77"/>
    <x v="426"/>
    <x v="0"/>
    <x v="426"/>
  </r>
  <r>
    <n v="1270"/>
    <x v="241"/>
    <n v="163"/>
    <n v="3"/>
    <n v="76.959999999999994"/>
    <n v="76.959999999999994"/>
    <n v="0"/>
    <n v="0"/>
    <n v="0"/>
    <n v="230.88"/>
    <x v="14"/>
    <s v="E-commerce"/>
    <s v="Website Banner"/>
    <n v="230.88"/>
    <x v="313"/>
    <x v="3"/>
    <x v="313"/>
  </r>
  <r>
    <n v="2842"/>
    <x v="25"/>
    <n v="163"/>
    <n v="3"/>
    <n v="76.959999999999994"/>
    <n v="76.959999999999994"/>
    <n v="0"/>
    <n v="0"/>
    <n v="0"/>
    <n v="230.88"/>
    <x v="19"/>
    <s v="App Mobile"/>
    <s v="App Mobile"/>
    <n v="230.88"/>
    <x v="313"/>
    <x v="3"/>
    <x v="313"/>
  </r>
  <r>
    <n v="1875"/>
    <x v="221"/>
    <n v="224"/>
    <n v="3"/>
    <n v="75.400000000000006"/>
    <n v="75.400000000000006"/>
    <n v="0"/>
    <n v="0"/>
    <n v="0"/>
    <n v="226.2"/>
    <x v="41"/>
    <s v="App Mobile"/>
    <s v="App Mobile"/>
    <n v="226.20000000000002"/>
    <x v="7"/>
    <x v="0"/>
    <x v="7"/>
  </r>
  <r>
    <n v="2592"/>
    <x v="392"/>
    <n v="224"/>
    <n v="3"/>
    <n v="75.400000000000006"/>
    <n v="75.400000000000006"/>
    <n v="0"/>
    <n v="0"/>
    <n v="0"/>
    <n v="226.2"/>
    <x v="4"/>
    <s v="App Mobile"/>
    <s v="App Mobile"/>
    <n v="226.20000000000002"/>
    <x v="7"/>
    <x v="0"/>
    <x v="7"/>
  </r>
  <r>
    <n v="985"/>
    <x v="521"/>
    <n v="459"/>
    <n v="3"/>
    <n v="75.17"/>
    <n v="75.17"/>
    <n v="0"/>
    <n v="0"/>
    <n v="0"/>
    <n v="225.51"/>
    <x v="22"/>
    <s v="E-commerce"/>
    <s v="Website Banner"/>
    <n v="225.51"/>
    <x v="8"/>
    <x v="0"/>
    <x v="8"/>
  </r>
  <r>
    <n v="2978"/>
    <x v="666"/>
    <n v="116"/>
    <n v="3"/>
    <n v="74.81"/>
    <n v="74.81"/>
    <n v="0"/>
    <n v="0"/>
    <n v="0"/>
    <n v="224.43"/>
    <x v="39"/>
    <s v="App Mobile"/>
    <s v="App Mobile"/>
    <n v="224.43"/>
    <x v="9"/>
    <x v="2"/>
    <x v="9"/>
  </r>
  <r>
    <n v="2215"/>
    <x v="667"/>
    <n v="359"/>
    <n v="3"/>
    <n v="74.28"/>
    <n v="74.28"/>
    <n v="0"/>
    <n v="0"/>
    <n v="0"/>
    <n v="222.84"/>
    <x v="24"/>
    <s v="E-commerce"/>
    <s v="Website Banner"/>
    <n v="222.84"/>
    <x v="10"/>
    <x v="1"/>
    <x v="10"/>
  </r>
  <r>
    <n v="352"/>
    <x v="668"/>
    <n v="272"/>
    <n v="3"/>
    <n v="74.17"/>
    <n v="74.17"/>
    <n v="0"/>
    <n v="0"/>
    <n v="0"/>
    <n v="222.51"/>
    <x v="19"/>
    <s v="E-commerce"/>
    <s v="Website Banner"/>
    <n v="222.51"/>
    <x v="427"/>
    <x v="1"/>
    <x v="427"/>
  </r>
  <r>
    <n v="2027"/>
    <x v="12"/>
    <n v="212"/>
    <n v="3"/>
    <n v="74.13"/>
    <n v="74.13"/>
    <n v="0"/>
    <n v="0"/>
    <n v="0"/>
    <n v="222.39"/>
    <x v="7"/>
    <s v="E-commerce"/>
    <s v="Website Banner"/>
    <n v="222.39"/>
    <x v="428"/>
    <x v="4"/>
    <x v="428"/>
  </r>
  <r>
    <n v="1332"/>
    <x v="42"/>
    <n v="104"/>
    <n v="3"/>
    <n v="73.78"/>
    <n v="73.78"/>
    <n v="0"/>
    <n v="0"/>
    <n v="0"/>
    <n v="221.34"/>
    <x v="26"/>
    <s v="App Mobile"/>
    <s v="App Mobile"/>
    <n v="221.34"/>
    <x v="429"/>
    <x v="1"/>
    <x v="429"/>
  </r>
  <r>
    <n v="479"/>
    <x v="669"/>
    <n v="420"/>
    <n v="3"/>
    <n v="72.58"/>
    <n v="72.58"/>
    <n v="0"/>
    <n v="0"/>
    <n v="0"/>
    <n v="217.74"/>
    <x v="40"/>
    <s v="E-commerce"/>
    <s v="Website Banner"/>
    <n v="217.74"/>
    <x v="12"/>
    <x v="1"/>
    <x v="12"/>
  </r>
  <r>
    <n v="2254"/>
    <x v="670"/>
    <n v="420"/>
    <n v="3"/>
    <n v="72.58"/>
    <n v="72.58"/>
    <n v="0"/>
    <n v="0"/>
    <n v="0"/>
    <n v="217.74"/>
    <x v="17"/>
    <s v="App Mobile"/>
    <s v="App Mobile"/>
    <n v="217.74"/>
    <x v="12"/>
    <x v="1"/>
    <x v="12"/>
  </r>
  <r>
    <n v="2530"/>
    <x v="671"/>
    <n v="420"/>
    <n v="3"/>
    <n v="72.58"/>
    <n v="72.58"/>
    <n v="0"/>
    <n v="0"/>
    <n v="0"/>
    <n v="217.74"/>
    <x v="4"/>
    <s v="E-commerce"/>
    <s v="Website Banner"/>
    <n v="217.74"/>
    <x v="12"/>
    <x v="1"/>
    <x v="12"/>
  </r>
  <r>
    <n v="137"/>
    <x v="532"/>
    <n v="356"/>
    <n v="3"/>
    <n v="72.41"/>
    <n v="72.41"/>
    <n v="0"/>
    <n v="0"/>
    <n v="0"/>
    <n v="217.23"/>
    <x v="38"/>
    <s v="App Mobile"/>
    <s v="App Mobile"/>
    <n v="217.23"/>
    <x v="430"/>
    <x v="3"/>
    <x v="430"/>
  </r>
  <r>
    <n v="239"/>
    <x v="183"/>
    <n v="310"/>
    <n v="3"/>
    <n v="72.099999999999994"/>
    <n v="72.099999999999994"/>
    <n v="0"/>
    <n v="0"/>
    <n v="0"/>
    <n v="216.3"/>
    <x v="40"/>
    <s v="E-commerce"/>
    <s v="Website Banner"/>
    <n v="216.29999999999998"/>
    <x v="431"/>
    <x v="2"/>
    <x v="431"/>
  </r>
  <r>
    <n v="2136"/>
    <x v="350"/>
    <n v="310"/>
    <n v="3"/>
    <n v="72.099999999999994"/>
    <n v="72.099999999999994"/>
    <n v="0"/>
    <n v="0"/>
    <n v="0"/>
    <n v="216.3"/>
    <x v="46"/>
    <s v="E-commerce"/>
    <s v="Website Banner"/>
    <n v="216.29999999999998"/>
    <x v="431"/>
    <x v="2"/>
    <x v="431"/>
  </r>
  <r>
    <n v="3053"/>
    <x v="672"/>
    <n v="36"/>
    <n v="3"/>
    <n v="72.06"/>
    <n v="72.06"/>
    <n v="0"/>
    <n v="0"/>
    <n v="0"/>
    <n v="216.18"/>
    <x v="4"/>
    <s v="E-commerce"/>
    <s v="Website Banner"/>
    <n v="216.18"/>
    <x v="432"/>
    <x v="0"/>
    <x v="432"/>
  </r>
  <r>
    <n v="2875"/>
    <x v="266"/>
    <n v="337"/>
    <n v="3"/>
    <n v="71.72"/>
    <n v="71.72"/>
    <n v="0"/>
    <n v="0"/>
    <n v="0"/>
    <n v="215.16"/>
    <x v="1"/>
    <s v="App Mobile"/>
    <s v="App Mobile"/>
    <n v="215.16"/>
    <x v="316"/>
    <x v="3"/>
    <x v="316"/>
  </r>
  <r>
    <n v="336"/>
    <x v="673"/>
    <n v="6"/>
    <n v="3"/>
    <n v="70.86"/>
    <n v="70.86"/>
    <n v="0"/>
    <n v="0"/>
    <n v="0"/>
    <n v="212.58"/>
    <x v="0"/>
    <s v="E-commerce"/>
    <s v="Website Banner"/>
    <n v="212.57999999999998"/>
    <x v="317"/>
    <x v="1"/>
    <x v="317"/>
  </r>
  <r>
    <n v="2970"/>
    <x v="513"/>
    <n v="167"/>
    <n v="3"/>
    <n v="70.55"/>
    <n v="70.55"/>
    <n v="0"/>
    <n v="0"/>
    <n v="0"/>
    <n v="211.65"/>
    <x v="26"/>
    <s v="E-commerce"/>
    <s v="Website Banner"/>
    <n v="211.64999999999998"/>
    <x v="433"/>
    <x v="1"/>
    <x v="433"/>
  </r>
  <r>
    <n v="1080"/>
    <x v="674"/>
    <n v="270"/>
    <n v="3"/>
    <n v="70.459999999999994"/>
    <n v="70.459999999999994"/>
    <n v="0"/>
    <n v="0"/>
    <n v="0"/>
    <n v="211.38"/>
    <x v="16"/>
    <s v="E-commerce"/>
    <s v="Website Banner"/>
    <n v="211.38"/>
    <x v="434"/>
    <x v="4"/>
    <x v="434"/>
  </r>
  <r>
    <n v="2497"/>
    <x v="675"/>
    <n v="360"/>
    <n v="3"/>
    <n v="69.48"/>
    <n v="69.48"/>
    <n v="0"/>
    <n v="0"/>
    <n v="0"/>
    <n v="208.44"/>
    <x v="46"/>
    <s v="App Mobile"/>
    <s v="App Mobile"/>
    <n v="208.44"/>
    <x v="19"/>
    <x v="4"/>
    <x v="19"/>
  </r>
  <r>
    <n v="2557"/>
    <x v="596"/>
    <n v="360"/>
    <n v="3"/>
    <n v="69.48"/>
    <n v="69.48"/>
    <n v="0"/>
    <n v="0"/>
    <n v="0"/>
    <n v="208.44"/>
    <x v="17"/>
    <s v="App Mobile"/>
    <s v="App Mobile"/>
    <n v="208.44"/>
    <x v="19"/>
    <x v="4"/>
    <x v="19"/>
  </r>
  <r>
    <n v="1569"/>
    <x v="412"/>
    <n v="250"/>
    <n v="3"/>
    <n v="68.22"/>
    <n v="68.22"/>
    <n v="0"/>
    <n v="0"/>
    <n v="0"/>
    <n v="204.66"/>
    <x v="28"/>
    <s v="E-commerce"/>
    <s v="Website Banner"/>
    <n v="204.66"/>
    <x v="435"/>
    <x v="1"/>
    <x v="435"/>
  </r>
  <r>
    <n v="1776"/>
    <x v="676"/>
    <n v="250"/>
    <n v="3"/>
    <n v="68.22"/>
    <n v="68.22"/>
    <n v="0"/>
    <n v="0"/>
    <n v="0"/>
    <n v="204.66"/>
    <x v="40"/>
    <s v="E-commerce"/>
    <s v="Website Banner"/>
    <n v="204.66"/>
    <x v="435"/>
    <x v="1"/>
    <x v="435"/>
  </r>
  <r>
    <n v="2240"/>
    <x v="659"/>
    <n v="250"/>
    <n v="3"/>
    <n v="68.22"/>
    <n v="68.22"/>
    <n v="0"/>
    <n v="0"/>
    <n v="0"/>
    <n v="204.66"/>
    <x v="45"/>
    <s v="E-commerce"/>
    <s v="Website Banner"/>
    <n v="204.66"/>
    <x v="435"/>
    <x v="1"/>
    <x v="435"/>
  </r>
  <r>
    <n v="1684"/>
    <x v="50"/>
    <n v="142"/>
    <n v="3"/>
    <n v="67.290000000000006"/>
    <n v="67.290000000000006"/>
    <n v="0"/>
    <n v="0"/>
    <n v="0"/>
    <n v="201.87"/>
    <x v="27"/>
    <s v="E-commerce"/>
    <s v="Website Banner"/>
    <n v="201.87"/>
    <x v="320"/>
    <x v="0"/>
    <x v="320"/>
  </r>
  <r>
    <n v="2971"/>
    <x v="0"/>
    <n v="296"/>
    <n v="3"/>
    <n v="67.069999999999993"/>
    <n v="67.069999999999993"/>
    <n v="0"/>
    <n v="0"/>
    <n v="0"/>
    <n v="201.21"/>
    <x v="0"/>
    <s v="App Mobile"/>
    <s v="App Mobile"/>
    <n v="201.20999999999998"/>
    <x v="373"/>
    <x v="0"/>
    <x v="373"/>
  </r>
  <r>
    <n v="3264"/>
    <x v="224"/>
    <n v="296"/>
    <n v="3"/>
    <n v="67.069999999999993"/>
    <n v="67.069999999999993"/>
    <n v="0"/>
    <n v="0"/>
    <n v="0"/>
    <n v="201.21"/>
    <x v="13"/>
    <s v="E-commerce"/>
    <s v="Website Banner"/>
    <n v="201.20999999999998"/>
    <x v="373"/>
    <x v="0"/>
    <x v="373"/>
  </r>
  <r>
    <n v="3297"/>
    <x v="529"/>
    <n v="315"/>
    <n v="3"/>
    <n v="67.02"/>
    <n v="67.02"/>
    <n v="0"/>
    <n v="0"/>
    <n v="0"/>
    <n v="201.06"/>
    <x v="24"/>
    <s v="E-commerce"/>
    <s v="Website Banner"/>
    <n v="201.06"/>
    <x v="436"/>
    <x v="4"/>
    <x v="436"/>
  </r>
  <r>
    <n v="2024"/>
    <x v="677"/>
    <n v="239"/>
    <n v="3"/>
    <n v="66.989999999999995"/>
    <n v="66.989999999999995"/>
    <n v="0"/>
    <n v="0"/>
    <n v="0"/>
    <n v="200.97"/>
    <x v="27"/>
    <s v="E-commerce"/>
    <s v="Website Banner"/>
    <n v="200.96999999999997"/>
    <x v="24"/>
    <x v="2"/>
    <x v="24"/>
  </r>
  <r>
    <n v="1712"/>
    <x v="678"/>
    <n v="272"/>
    <n v="3"/>
    <n v="74.17"/>
    <n v="66.75"/>
    <n v="7.42"/>
    <n v="0.1"/>
    <n v="1"/>
    <n v="200.26"/>
    <x v="37"/>
    <s v="E-commerce"/>
    <s v="Website Banner"/>
    <n v="200.25"/>
    <x v="427"/>
    <x v="1"/>
    <x v="427"/>
  </r>
  <r>
    <n v="626"/>
    <x v="355"/>
    <n v="131"/>
    <n v="3"/>
    <n v="66.63"/>
    <n v="66.63"/>
    <n v="0"/>
    <n v="0"/>
    <n v="0"/>
    <n v="199.89"/>
    <x v="14"/>
    <s v="E-commerce"/>
    <s v="Website Banner"/>
    <n v="199.89"/>
    <x v="27"/>
    <x v="3"/>
    <x v="27"/>
  </r>
  <r>
    <n v="122"/>
    <x v="679"/>
    <n v="281"/>
    <n v="3"/>
    <n v="65.94"/>
    <n v="65.94"/>
    <n v="0"/>
    <n v="0"/>
    <n v="0"/>
    <n v="197.82"/>
    <x v="18"/>
    <s v="App Mobile"/>
    <s v="App Mobile"/>
    <n v="197.82"/>
    <x v="437"/>
    <x v="2"/>
    <x v="437"/>
  </r>
  <r>
    <n v="655"/>
    <x v="680"/>
    <n v="19"/>
    <n v="3"/>
    <n v="65.260000000000005"/>
    <n v="65.260000000000005"/>
    <n v="0"/>
    <n v="0"/>
    <n v="0"/>
    <n v="195.78"/>
    <x v="14"/>
    <s v="App Mobile"/>
    <s v="App Mobile"/>
    <n v="195.78000000000003"/>
    <x v="177"/>
    <x v="0"/>
    <x v="177"/>
  </r>
  <r>
    <n v="1611"/>
    <x v="681"/>
    <n v="166"/>
    <n v="3"/>
    <n v="65.260000000000005"/>
    <n v="65.260000000000005"/>
    <n v="0"/>
    <n v="0"/>
    <n v="0"/>
    <n v="195.78"/>
    <x v="11"/>
    <s v="E-commerce"/>
    <s v="Website Banner"/>
    <n v="195.78000000000003"/>
    <x v="322"/>
    <x v="1"/>
    <x v="322"/>
  </r>
  <r>
    <n v="3294"/>
    <x v="321"/>
    <n v="166"/>
    <n v="3"/>
    <n v="65.260000000000005"/>
    <n v="65.260000000000005"/>
    <n v="0"/>
    <n v="0"/>
    <n v="0"/>
    <n v="195.78"/>
    <x v="35"/>
    <s v="App Mobile"/>
    <s v="App Mobile"/>
    <n v="195.78000000000003"/>
    <x v="322"/>
    <x v="1"/>
    <x v="322"/>
  </r>
  <r>
    <n v="901"/>
    <x v="294"/>
    <n v="297"/>
    <n v="3"/>
    <n v="65.17"/>
    <n v="65.17"/>
    <n v="0"/>
    <n v="0"/>
    <n v="0"/>
    <n v="195.51"/>
    <x v="14"/>
    <s v="App Mobile"/>
    <s v="App Mobile"/>
    <n v="195.51"/>
    <x v="438"/>
    <x v="1"/>
    <x v="438"/>
  </r>
  <r>
    <n v="1201"/>
    <x v="135"/>
    <n v="297"/>
    <n v="3"/>
    <n v="65.17"/>
    <n v="65.17"/>
    <n v="0"/>
    <n v="0"/>
    <n v="0"/>
    <n v="195.51"/>
    <x v="48"/>
    <s v="E-commerce"/>
    <s v="Website Banner"/>
    <n v="195.51"/>
    <x v="438"/>
    <x v="1"/>
    <x v="438"/>
  </r>
  <r>
    <n v="2895"/>
    <x v="83"/>
    <n v="297"/>
    <n v="3"/>
    <n v="65.17"/>
    <n v="65.17"/>
    <n v="0"/>
    <n v="0"/>
    <n v="0"/>
    <n v="195.51"/>
    <x v="24"/>
    <s v="App Mobile"/>
    <s v="App Mobile"/>
    <n v="195.51"/>
    <x v="438"/>
    <x v="1"/>
    <x v="438"/>
  </r>
  <r>
    <n v="2880"/>
    <x v="682"/>
    <n v="276"/>
    <n v="3"/>
    <n v="64.44"/>
    <n v="64.44"/>
    <n v="0"/>
    <n v="0"/>
    <n v="0"/>
    <n v="193.32"/>
    <x v="15"/>
    <s v="App Mobile"/>
    <s v="App Mobile"/>
    <n v="193.32"/>
    <x v="31"/>
    <x v="4"/>
    <x v="31"/>
  </r>
  <r>
    <n v="1563"/>
    <x v="519"/>
    <n v="260"/>
    <n v="3"/>
    <n v="64.28"/>
    <n v="64.28"/>
    <n v="0"/>
    <n v="0"/>
    <n v="0"/>
    <n v="192.84"/>
    <x v="33"/>
    <s v="E-commerce"/>
    <s v="Website Banner"/>
    <n v="192.84"/>
    <x v="324"/>
    <x v="0"/>
    <x v="324"/>
  </r>
  <r>
    <n v="256"/>
    <x v="484"/>
    <n v="194"/>
    <n v="3"/>
    <n v="64.11"/>
    <n v="64.11"/>
    <n v="0"/>
    <n v="0"/>
    <n v="0"/>
    <n v="192.33"/>
    <x v="8"/>
    <s v="App Mobile"/>
    <s v="App Mobile"/>
    <n v="192.32999999999998"/>
    <x v="32"/>
    <x v="3"/>
    <x v="32"/>
  </r>
  <r>
    <n v="1802"/>
    <x v="683"/>
    <n v="194"/>
    <n v="3"/>
    <n v="64.11"/>
    <n v="64.11"/>
    <n v="0"/>
    <n v="0"/>
    <n v="0"/>
    <n v="192.33"/>
    <x v="43"/>
    <s v="E-commerce"/>
    <s v="Website Banner"/>
    <n v="192.32999999999998"/>
    <x v="32"/>
    <x v="3"/>
    <x v="32"/>
  </r>
  <r>
    <n v="439"/>
    <x v="684"/>
    <n v="237"/>
    <n v="3"/>
    <n v="64.08"/>
    <n v="64.08"/>
    <n v="0"/>
    <n v="0"/>
    <n v="0"/>
    <n v="192.24"/>
    <x v="15"/>
    <s v="E-commerce"/>
    <s v="Website Banner"/>
    <n v="192.24"/>
    <x v="439"/>
    <x v="0"/>
    <x v="439"/>
  </r>
  <r>
    <n v="777"/>
    <x v="88"/>
    <n v="469"/>
    <n v="3"/>
    <n v="64.08"/>
    <n v="64.08"/>
    <n v="0"/>
    <n v="0"/>
    <n v="0"/>
    <n v="192.24"/>
    <x v="40"/>
    <s v="E-commerce"/>
    <s v="Website Banner"/>
    <n v="192.24"/>
    <x v="325"/>
    <x v="0"/>
    <x v="325"/>
  </r>
  <r>
    <n v="1136"/>
    <x v="657"/>
    <n v="371"/>
    <n v="3"/>
    <n v="63.82"/>
    <n v="63.82"/>
    <n v="0"/>
    <n v="0"/>
    <n v="0"/>
    <n v="191.46"/>
    <x v="40"/>
    <s v="E-commerce"/>
    <s v="Website Banner"/>
    <n v="191.46"/>
    <x v="33"/>
    <x v="4"/>
    <x v="33"/>
  </r>
  <r>
    <n v="1281"/>
    <x v="108"/>
    <n v="371"/>
    <n v="3"/>
    <n v="63.82"/>
    <n v="63.82"/>
    <n v="0"/>
    <n v="0"/>
    <n v="0"/>
    <n v="191.46"/>
    <x v="9"/>
    <s v="E-commerce"/>
    <s v="Website Banner"/>
    <n v="191.46"/>
    <x v="33"/>
    <x v="4"/>
    <x v="33"/>
  </r>
  <r>
    <n v="2896"/>
    <x v="685"/>
    <n v="371"/>
    <n v="3"/>
    <n v="63.82"/>
    <n v="63.82"/>
    <n v="0"/>
    <n v="0"/>
    <n v="0"/>
    <n v="191.46"/>
    <x v="28"/>
    <s v="E-commerce"/>
    <s v="Website Banner"/>
    <n v="191.46"/>
    <x v="33"/>
    <x v="4"/>
    <x v="33"/>
  </r>
  <r>
    <n v="959"/>
    <x v="183"/>
    <n v="372"/>
    <n v="3"/>
    <n v="63.79"/>
    <n v="63.79"/>
    <n v="0"/>
    <n v="0"/>
    <n v="0"/>
    <n v="191.37"/>
    <x v="40"/>
    <s v="E-commerce"/>
    <s v="Website Banner"/>
    <n v="191.37"/>
    <x v="34"/>
    <x v="2"/>
    <x v="34"/>
  </r>
  <r>
    <n v="667"/>
    <x v="686"/>
    <n v="385"/>
    <n v="3"/>
    <n v="63.23"/>
    <n v="63.23"/>
    <n v="0"/>
    <n v="0"/>
    <n v="0"/>
    <n v="189.69"/>
    <x v="5"/>
    <s v="E-commerce"/>
    <s v="Website Banner"/>
    <n v="189.69"/>
    <x v="326"/>
    <x v="2"/>
    <x v="326"/>
  </r>
  <r>
    <n v="549"/>
    <x v="687"/>
    <n v="79"/>
    <n v="3"/>
    <n v="63.22"/>
    <n v="63.22"/>
    <n v="0"/>
    <n v="0"/>
    <n v="0"/>
    <n v="189.66"/>
    <x v="3"/>
    <s v="App Mobile"/>
    <s v="App Mobile"/>
    <n v="189.66"/>
    <x v="35"/>
    <x v="2"/>
    <x v="35"/>
  </r>
  <r>
    <n v="514"/>
    <x v="488"/>
    <n v="206"/>
    <n v="3"/>
    <n v="63.03"/>
    <n v="63.03"/>
    <n v="0"/>
    <n v="0"/>
    <n v="0"/>
    <n v="189.09"/>
    <x v="10"/>
    <s v="E-commerce"/>
    <s v="Website Banner"/>
    <n v="189.09"/>
    <x v="36"/>
    <x v="2"/>
    <x v="36"/>
  </r>
  <r>
    <n v="1038"/>
    <x v="516"/>
    <n v="206"/>
    <n v="3"/>
    <n v="63.03"/>
    <n v="63.03"/>
    <n v="0"/>
    <n v="0"/>
    <n v="0"/>
    <n v="189.09"/>
    <x v="50"/>
    <s v="E-commerce"/>
    <s v="Website Banner"/>
    <n v="189.09"/>
    <x v="36"/>
    <x v="2"/>
    <x v="36"/>
  </r>
  <r>
    <n v="1623"/>
    <x v="63"/>
    <n v="236"/>
    <n v="3"/>
    <n v="62.93"/>
    <n v="62.93"/>
    <n v="0"/>
    <n v="0"/>
    <n v="0"/>
    <n v="188.79"/>
    <x v="33"/>
    <s v="App Mobile"/>
    <s v="App Mobile"/>
    <n v="188.79"/>
    <x v="440"/>
    <x v="1"/>
    <x v="440"/>
  </r>
  <r>
    <n v="2106"/>
    <x v="384"/>
    <n v="317"/>
    <n v="3"/>
    <n v="62.63"/>
    <n v="62.63"/>
    <n v="0"/>
    <n v="0"/>
    <n v="0"/>
    <n v="187.89"/>
    <x v="12"/>
    <s v="E-commerce"/>
    <s v="Website Banner"/>
    <n v="187.89000000000001"/>
    <x v="39"/>
    <x v="3"/>
    <x v="39"/>
  </r>
  <r>
    <n v="2699"/>
    <x v="688"/>
    <n v="382"/>
    <n v="3"/>
    <n v="62.52"/>
    <n v="62.52"/>
    <n v="0"/>
    <n v="0"/>
    <n v="0"/>
    <n v="187.56"/>
    <x v="1"/>
    <s v="App Mobile"/>
    <s v="App Mobile"/>
    <n v="187.56"/>
    <x v="441"/>
    <x v="0"/>
    <x v="441"/>
  </r>
  <r>
    <n v="2466"/>
    <x v="490"/>
    <n v="192"/>
    <n v="3"/>
    <n v="62.48"/>
    <n v="62.48"/>
    <n v="0"/>
    <n v="0"/>
    <n v="0"/>
    <n v="187.44"/>
    <x v="43"/>
    <s v="App Mobile"/>
    <s v="App Mobile"/>
    <n v="187.44"/>
    <x v="327"/>
    <x v="0"/>
    <x v="327"/>
  </r>
  <r>
    <n v="2761"/>
    <x v="689"/>
    <n v="192"/>
    <n v="3"/>
    <n v="62.48"/>
    <n v="62.48"/>
    <n v="0"/>
    <n v="0"/>
    <n v="0"/>
    <n v="187.44"/>
    <x v="21"/>
    <s v="App Mobile"/>
    <s v="App Mobile"/>
    <n v="187.44"/>
    <x v="327"/>
    <x v="0"/>
    <x v="327"/>
  </r>
  <r>
    <n v="1870"/>
    <x v="246"/>
    <n v="378"/>
    <n v="3"/>
    <n v="62.39"/>
    <n v="62.39"/>
    <n v="0"/>
    <n v="0"/>
    <n v="0"/>
    <n v="187.17"/>
    <x v="11"/>
    <s v="E-commerce"/>
    <s v="Website Banner"/>
    <n v="187.17000000000002"/>
    <x v="328"/>
    <x v="2"/>
    <x v="328"/>
  </r>
  <r>
    <n v="93"/>
    <x v="346"/>
    <n v="323"/>
    <n v="3"/>
    <n v="62.34"/>
    <n v="62.34"/>
    <n v="0"/>
    <n v="0"/>
    <n v="0"/>
    <n v="187.02"/>
    <x v="17"/>
    <s v="App Mobile"/>
    <s v="App Mobile"/>
    <n v="187.02"/>
    <x v="329"/>
    <x v="4"/>
    <x v="329"/>
  </r>
  <r>
    <n v="2335"/>
    <x v="644"/>
    <n v="323"/>
    <n v="3"/>
    <n v="62.34"/>
    <n v="62.34"/>
    <n v="0"/>
    <n v="0"/>
    <n v="0"/>
    <n v="187.02"/>
    <x v="36"/>
    <s v="E-commerce"/>
    <s v="Website Banner"/>
    <n v="187.02"/>
    <x v="329"/>
    <x v="4"/>
    <x v="329"/>
  </r>
  <r>
    <n v="1898"/>
    <x v="270"/>
    <n v="437"/>
    <n v="3"/>
    <n v="62.17"/>
    <n v="62.17"/>
    <n v="0"/>
    <n v="0"/>
    <n v="0"/>
    <n v="186.51"/>
    <x v="34"/>
    <s v="App Mobile"/>
    <s v="App Mobile"/>
    <n v="186.51"/>
    <x v="41"/>
    <x v="0"/>
    <x v="41"/>
  </r>
  <r>
    <n v="2667"/>
    <x v="155"/>
    <n v="50"/>
    <n v="3"/>
    <n v="61.95"/>
    <n v="61.95"/>
    <n v="0"/>
    <n v="0"/>
    <n v="0"/>
    <n v="185.85"/>
    <x v="28"/>
    <s v="App Mobile"/>
    <s v="App Mobile"/>
    <n v="185.85000000000002"/>
    <x v="42"/>
    <x v="4"/>
    <x v="42"/>
  </r>
  <r>
    <n v="1418"/>
    <x v="359"/>
    <n v="444"/>
    <n v="3"/>
    <n v="61.78"/>
    <n v="61.78"/>
    <n v="0"/>
    <n v="0"/>
    <n v="0"/>
    <n v="185.34"/>
    <x v="35"/>
    <s v="App Mobile"/>
    <s v="App Mobile"/>
    <n v="185.34"/>
    <x v="442"/>
    <x v="0"/>
    <x v="442"/>
  </r>
  <r>
    <n v="3342"/>
    <x v="690"/>
    <n v="134"/>
    <n v="3"/>
    <n v="61.75"/>
    <n v="61.75"/>
    <n v="0"/>
    <n v="0"/>
    <n v="0"/>
    <n v="185.25"/>
    <x v="8"/>
    <s v="App Mobile"/>
    <s v="App Mobile"/>
    <n v="185.25"/>
    <x v="443"/>
    <x v="2"/>
    <x v="443"/>
  </r>
  <r>
    <n v="1161"/>
    <x v="396"/>
    <n v="266"/>
    <n v="3"/>
    <n v="61.67"/>
    <n v="61.67"/>
    <n v="0"/>
    <n v="0"/>
    <n v="0"/>
    <n v="185.01"/>
    <x v="44"/>
    <s v="E-commerce"/>
    <s v="Website Banner"/>
    <n v="185.01"/>
    <x v="43"/>
    <x v="2"/>
    <x v="43"/>
  </r>
  <r>
    <n v="1452"/>
    <x v="517"/>
    <n v="35"/>
    <n v="3"/>
    <n v="61.61"/>
    <n v="61.61"/>
    <n v="0"/>
    <n v="0"/>
    <n v="0"/>
    <n v="184.83"/>
    <x v="7"/>
    <s v="App Mobile"/>
    <s v="App Mobile"/>
    <n v="184.82999999999998"/>
    <x v="44"/>
    <x v="0"/>
    <x v="44"/>
  </r>
  <r>
    <n v="2551"/>
    <x v="244"/>
    <n v="399"/>
    <n v="3"/>
    <n v="61.6"/>
    <n v="61.6"/>
    <n v="0"/>
    <n v="0"/>
    <n v="0"/>
    <n v="184.8"/>
    <x v="36"/>
    <s v="E-commerce"/>
    <s v="Website Banner"/>
    <n v="184.8"/>
    <x v="45"/>
    <x v="1"/>
    <x v="45"/>
  </r>
  <r>
    <n v="2732"/>
    <x v="229"/>
    <n v="399"/>
    <n v="3"/>
    <n v="61.6"/>
    <n v="61.6"/>
    <n v="0"/>
    <n v="0"/>
    <n v="0"/>
    <n v="184.8"/>
    <x v="19"/>
    <s v="App Mobile"/>
    <s v="App Mobile"/>
    <n v="184.8"/>
    <x v="45"/>
    <x v="1"/>
    <x v="45"/>
  </r>
  <r>
    <n v="76"/>
    <x v="649"/>
    <n v="123"/>
    <n v="3"/>
    <n v="61.51"/>
    <n v="61.51"/>
    <n v="0"/>
    <n v="0"/>
    <n v="0"/>
    <n v="184.53"/>
    <x v="27"/>
    <s v="E-commerce"/>
    <s v="Website Banner"/>
    <n v="184.53"/>
    <x v="196"/>
    <x v="3"/>
    <x v="196"/>
  </r>
  <r>
    <n v="3324"/>
    <x v="555"/>
    <n v="125"/>
    <n v="3"/>
    <n v="61.27"/>
    <n v="61.27"/>
    <n v="0"/>
    <n v="0"/>
    <n v="0"/>
    <n v="183.81"/>
    <x v="45"/>
    <s v="E-commerce"/>
    <s v="Website Banner"/>
    <n v="183.81"/>
    <x v="331"/>
    <x v="1"/>
    <x v="331"/>
  </r>
  <r>
    <n v="752"/>
    <x v="78"/>
    <n v="15"/>
    <n v="3"/>
    <n v="61.26"/>
    <n v="61.26"/>
    <n v="0"/>
    <n v="0"/>
    <n v="0"/>
    <n v="183.78"/>
    <x v="1"/>
    <s v="App Mobile"/>
    <s v="App Mobile"/>
    <n v="183.78"/>
    <x v="332"/>
    <x v="4"/>
    <x v="332"/>
  </r>
  <r>
    <n v="3105"/>
    <x v="691"/>
    <n v="305"/>
    <n v="3"/>
    <n v="60.79"/>
    <n v="60.79"/>
    <n v="0"/>
    <n v="0"/>
    <n v="0"/>
    <n v="182.37"/>
    <x v="28"/>
    <s v="E-commerce"/>
    <s v="Website Banner"/>
    <n v="182.37"/>
    <x v="334"/>
    <x v="2"/>
    <x v="334"/>
  </r>
  <r>
    <n v="2026"/>
    <x v="114"/>
    <n v="129"/>
    <n v="3"/>
    <n v="60.68"/>
    <n v="60.68"/>
    <n v="0"/>
    <n v="0"/>
    <n v="0"/>
    <n v="182.04"/>
    <x v="46"/>
    <s v="E-commerce"/>
    <s v="Website Banner"/>
    <n v="182.04"/>
    <x v="49"/>
    <x v="2"/>
    <x v="49"/>
  </r>
  <r>
    <n v="2540"/>
    <x v="692"/>
    <n v="191"/>
    <n v="3"/>
    <n v="60.52"/>
    <n v="60.52"/>
    <n v="0"/>
    <n v="0"/>
    <n v="0"/>
    <n v="181.56"/>
    <x v="4"/>
    <s v="E-commerce"/>
    <s v="Website Banner"/>
    <n v="181.56"/>
    <x v="335"/>
    <x v="0"/>
    <x v="335"/>
  </r>
  <r>
    <n v="3159"/>
    <x v="693"/>
    <n v="191"/>
    <n v="3"/>
    <n v="60.52"/>
    <n v="60.52"/>
    <n v="0"/>
    <n v="0"/>
    <n v="0"/>
    <n v="181.56"/>
    <x v="44"/>
    <s v="App Mobile"/>
    <s v="App Mobile"/>
    <n v="181.56"/>
    <x v="335"/>
    <x v="0"/>
    <x v="335"/>
  </r>
  <r>
    <n v="574"/>
    <x v="694"/>
    <n v="111"/>
    <n v="3"/>
    <n v="60.36"/>
    <n v="60.36"/>
    <n v="0"/>
    <n v="0"/>
    <n v="0"/>
    <n v="181.08"/>
    <x v="34"/>
    <s v="App Mobile"/>
    <s v="App Mobile"/>
    <n v="181.07999999999998"/>
    <x v="336"/>
    <x v="2"/>
    <x v="336"/>
  </r>
  <r>
    <n v="1212"/>
    <x v="609"/>
    <n v="111"/>
    <n v="3"/>
    <n v="60.36"/>
    <n v="60.36"/>
    <n v="0"/>
    <n v="0"/>
    <n v="0"/>
    <n v="181.08"/>
    <x v="2"/>
    <s v="E-commerce"/>
    <s v="Website Banner"/>
    <n v="181.07999999999998"/>
    <x v="336"/>
    <x v="2"/>
    <x v="336"/>
  </r>
  <r>
    <n v="178"/>
    <x v="353"/>
    <n v="347"/>
    <n v="3"/>
    <n v="59.92"/>
    <n v="59.92"/>
    <n v="0"/>
    <n v="0"/>
    <n v="0"/>
    <n v="179.76"/>
    <x v="19"/>
    <s v="E-commerce"/>
    <s v="Website Banner"/>
    <n v="179.76"/>
    <x v="54"/>
    <x v="4"/>
    <x v="54"/>
  </r>
  <r>
    <n v="1675"/>
    <x v="615"/>
    <n v="347"/>
    <n v="3"/>
    <n v="59.92"/>
    <n v="59.92"/>
    <n v="0"/>
    <n v="0"/>
    <n v="0"/>
    <n v="179.76"/>
    <x v="34"/>
    <s v="App Mobile"/>
    <s v="App Mobile"/>
    <n v="179.76"/>
    <x v="54"/>
    <x v="4"/>
    <x v="54"/>
  </r>
  <r>
    <n v="785"/>
    <x v="695"/>
    <n v="466"/>
    <n v="3"/>
    <n v="59.9"/>
    <n v="59.9"/>
    <n v="0"/>
    <n v="0"/>
    <n v="0"/>
    <n v="179.7"/>
    <x v="20"/>
    <s v="App Mobile"/>
    <s v="App Mobile"/>
    <n v="179.7"/>
    <x v="444"/>
    <x v="4"/>
    <x v="444"/>
  </r>
  <r>
    <n v="1975"/>
    <x v="696"/>
    <n v="472"/>
    <n v="3"/>
    <n v="59.9"/>
    <n v="59.9"/>
    <n v="0"/>
    <n v="0"/>
    <n v="0"/>
    <n v="179.7"/>
    <x v="28"/>
    <s v="E-commerce"/>
    <s v="Website Banner"/>
    <n v="179.7"/>
    <x v="337"/>
    <x v="2"/>
    <x v="337"/>
  </r>
  <r>
    <n v="1924"/>
    <x v="407"/>
    <n v="391"/>
    <n v="3"/>
    <n v="59.77"/>
    <n v="59.77"/>
    <n v="0"/>
    <n v="0"/>
    <n v="0"/>
    <n v="179.31"/>
    <x v="2"/>
    <s v="E-commerce"/>
    <s v="Website Banner"/>
    <n v="179.31"/>
    <x v="56"/>
    <x v="0"/>
    <x v="56"/>
  </r>
  <r>
    <n v="2418"/>
    <x v="697"/>
    <n v="391"/>
    <n v="3"/>
    <n v="59.77"/>
    <n v="59.77"/>
    <n v="0"/>
    <n v="0"/>
    <n v="0"/>
    <n v="179.31"/>
    <x v="31"/>
    <s v="App Mobile"/>
    <s v="App Mobile"/>
    <n v="179.31"/>
    <x v="56"/>
    <x v="0"/>
    <x v="56"/>
  </r>
  <r>
    <n v="2806"/>
    <x v="504"/>
    <n v="391"/>
    <n v="3"/>
    <n v="59.77"/>
    <n v="59.77"/>
    <n v="0"/>
    <n v="0"/>
    <n v="0"/>
    <n v="179.31"/>
    <x v="32"/>
    <s v="App Mobile"/>
    <s v="App Mobile"/>
    <n v="179.31"/>
    <x v="56"/>
    <x v="0"/>
    <x v="56"/>
  </r>
  <r>
    <n v="1351"/>
    <x v="698"/>
    <n v="464"/>
    <n v="3"/>
    <n v="59.58"/>
    <n v="59.58"/>
    <n v="0"/>
    <n v="0"/>
    <n v="0"/>
    <n v="178.74"/>
    <x v="28"/>
    <s v="App Mobile"/>
    <s v="App Mobile"/>
    <n v="178.74"/>
    <x v="57"/>
    <x v="1"/>
    <x v="57"/>
  </r>
  <r>
    <n v="1088"/>
    <x v="599"/>
    <n v="160"/>
    <n v="3"/>
    <n v="59.38"/>
    <n v="59.38"/>
    <n v="0"/>
    <n v="0"/>
    <n v="0"/>
    <n v="178.14"/>
    <x v="12"/>
    <s v="E-commerce"/>
    <s v="Website Banner"/>
    <n v="178.14000000000001"/>
    <x v="59"/>
    <x v="3"/>
    <x v="59"/>
  </r>
  <r>
    <n v="3100"/>
    <x v="108"/>
    <n v="160"/>
    <n v="3"/>
    <n v="59.38"/>
    <n v="59.38"/>
    <n v="0"/>
    <n v="0"/>
    <n v="0"/>
    <n v="178.14"/>
    <x v="9"/>
    <s v="E-commerce"/>
    <s v="Website Banner"/>
    <n v="178.14000000000001"/>
    <x v="59"/>
    <x v="3"/>
    <x v="59"/>
  </r>
  <r>
    <n v="3234"/>
    <x v="310"/>
    <n v="186"/>
    <n v="3"/>
    <n v="59.35"/>
    <n v="59.35"/>
    <n v="0"/>
    <n v="0"/>
    <n v="0"/>
    <n v="178.05"/>
    <x v="18"/>
    <s v="App Mobile"/>
    <s v="App Mobile"/>
    <n v="178.05"/>
    <x v="445"/>
    <x v="1"/>
    <x v="445"/>
  </r>
  <r>
    <n v="426"/>
    <x v="699"/>
    <n v="390"/>
    <n v="3"/>
    <n v="59.33"/>
    <n v="59.33"/>
    <n v="0"/>
    <n v="0"/>
    <n v="0"/>
    <n v="177.99"/>
    <x v="18"/>
    <s v="E-commerce"/>
    <s v="Website Banner"/>
    <n v="177.99"/>
    <x v="446"/>
    <x v="1"/>
    <x v="446"/>
  </r>
  <r>
    <n v="2210"/>
    <x v="417"/>
    <n v="390"/>
    <n v="3"/>
    <n v="59.33"/>
    <n v="59.33"/>
    <n v="0"/>
    <n v="0"/>
    <n v="0"/>
    <n v="177.99"/>
    <x v="33"/>
    <s v="App Mobile"/>
    <s v="App Mobile"/>
    <n v="177.99"/>
    <x v="446"/>
    <x v="1"/>
    <x v="446"/>
  </r>
  <r>
    <n v="2334"/>
    <x v="160"/>
    <n v="390"/>
    <n v="3"/>
    <n v="59.33"/>
    <n v="59.33"/>
    <n v="0"/>
    <n v="0"/>
    <n v="0"/>
    <n v="177.99"/>
    <x v="43"/>
    <s v="E-commerce"/>
    <s v="Website Banner"/>
    <n v="177.99"/>
    <x v="446"/>
    <x v="1"/>
    <x v="446"/>
  </r>
  <r>
    <n v="1548"/>
    <x v="291"/>
    <n v="244"/>
    <n v="3"/>
    <n v="59.32"/>
    <n v="59.32"/>
    <n v="0"/>
    <n v="0"/>
    <n v="0"/>
    <n v="177.96"/>
    <x v="44"/>
    <s v="E-commerce"/>
    <s v="Website Banner"/>
    <n v="177.96"/>
    <x v="60"/>
    <x v="1"/>
    <x v="60"/>
  </r>
  <r>
    <n v="805"/>
    <x v="537"/>
    <n v="78"/>
    <n v="3"/>
    <n v="59.21"/>
    <n v="59.21"/>
    <n v="0"/>
    <n v="0"/>
    <n v="0"/>
    <n v="177.63"/>
    <x v="36"/>
    <s v="App Mobile"/>
    <s v="App Mobile"/>
    <n v="177.63"/>
    <x v="339"/>
    <x v="1"/>
    <x v="339"/>
  </r>
  <r>
    <n v="1109"/>
    <x v="48"/>
    <n v="78"/>
    <n v="3"/>
    <n v="59.21"/>
    <n v="59.21"/>
    <n v="0"/>
    <n v="0"/>
    <n v="0"/>
    <n v="177.63"/>
    <x v="4"/>
    <s v="E-commerce"/>
    <s v="Website Banner"/>
    <n v="177.63"/>
    <x v="339"/>
    <x v="1"/>
    <x v="339"/>
  </r>
  <r>
    <n v="2058"/>
    <x v="700"/>
    <n v="78"/>
    <n v="3"/>
    <n v="59.21"/>
    <n v="59.21"/>
    <n v="0"/>
    <n v="0"/>
    <n v="0"/>
    <n v="177.63"/>
    <x v="31"/>
    <s v="E-commerce"/>
    <s v="Website Banner"/>
    <n v="177.63"/>
    <x v="339"/>
    <x v="1"/>
    <x v="339"/>
  </r>
  <r>
    <n v="290"/>
    <x v="150"/>
    <n v="384"/>
    <n v="3"/>
    <n v="58.94"/>
    <n v="58.94"/>
    <n v="0"/>
    <n v="0"/>
    <n v="0"/>
    <n v="176.82"/>
    <x v="38"/>
    <s v="App Mobile"/>
    <s v="App Mobile"/>
    <n v="176.82"/>
    <x v="62"/>
    <x v="3"/>
    <x v="62"/>
  </r>
  <r>
    <n v="1720"/>
    <x v="701"/>
    <n v="384"/>
    <n v="3"/>
    <n v="58.94"/>
    <n v="58.94"/>
    <n v="0"/>
    <n v="0"/>
    <n v="0"/>
    <n v="176.82"/>
    <x v="23"/>
    <s v="E-commerce"/>
    <s v="Website Banner"/>
    <n v="176.82"/>
    <x v="62"/>
    <x v="3"/>
    <x v="62"/>
  </r>
  <r>
    <n v="3260"/>
    <x v="125"/>
    <n v="247"/>
    <n v="3"/>
    <n v="58.86"/>
    <n v="58.86"/>
    <n v="0"/>
    <n v="0"/>
    <n v="0"/>
    <n v="176.58"/>
    <x v="2"/>
    <s v="App Mobile"/>
    <s v="App Mobile"/>
    <n v="176.57999999999998"/>
    <x v="447"/>
    <x v="2"/>
    <x v="447"/>
  </r>
  <r>
    <n v="2747"/>
    <x v="666"/>
    <n v="63"/>
    <n v="3"/>
    <n v="58.67"/>
    <n v="58.67"/>
    <n v="0"/>
    <n v="0"/>
    <n v="0"/>
    <n v="176.01"/>
    <x v="39"/>
    <s v="App Mobile"/>
    <s v="App Mobile"/>
    <n v="176.01"/>
    <x v="63"/>
    <x v="3"/>
    <x v="63"/>
  </r>
  <r>
    <n v="2575"/>
    <x v="203"/>
    <n v="366"/>
    <n v="3"/>
    <n v="58.34"/>
    <n v="58.34"/>
    <n v="0"/>
    <n v="0"/>
    <n v="0"/>
    <n v="175.02"/>
    <x v="30"/>
    <s v="App Mobile"/>
    <s v="App Mobile"/>
    <n v="175.02"/>
    <x v="64"/>
    <x v="2"/>
    <x v="64"/>
  </r>
  <r>
    <n v="313"/>
    <x v="7"/>
    <n v="22"/>
    <n v="3"/>
    <n v="58.26"/>
    <n v="58.26"/>
    <n v="0"/>
    <n v="0"/>
    <n v="0"/>
    <n v="174.78"/>
    <x v="7"/>
    <s v="App Mobile"/>
    <s v="App Mobile"/>
    <n v="174.78"/>
    <x v="65"/>
    <x v="4"/>
    <x v="65"/>
  </r>
  <r>
    <n v="512"/>
    <x v="702"/>
    <n v="22"/>
    <n v="3"/>
    <n v="58.26"/>
    <n v="58.26"/>
    <n v="0"/>
    <n v="0"/>
    <n v="0"/>
    <n v="174.78"/>
    <x v="4"/>
    <s v="App Mobile"/>
    <s v="App Mobile"/>
    <n v="174.78"/>
    <x v="65"/>
    <x v="4"/>
    <x v="65"/>
  </r>
  <r>
    <n v="477"/>
    <x v="574"/>
    <n v="225"/>
    <n v="3"/>
    <n v="58.11"/>
    <n v="58.11"/>
    <n v="0"/>
    <n v="0"/>
    <n v="0"/>
    <n v="174.33"/>
    <x v="38"/>
    <s v="E-commerce"/>
    <s v="Website Banner"/>
    <n v="174.32999999999998"/>
    <x v="68"/>
    <x v="1"/>
    <x v="68"/>
  </r>
  <r>
    <n v="743"/>
    <x v="703"/>
    <n v="101"/>
    <n v="3"/>
    <n v="58.11"/>
    <n v="58.11"/>
    <n v="0"/>
    <n v="0"/>
    <n v="0"/>
    <n v="174.33"/>
    <x v="9"/>
    <s v="App Mobile"/>
    <s v="App Mobile"/>
    <n v="174.32999999999998"/>
    <x v="67"/>
    <x v="4"/>
    <x v="67"/>
  </r>
  <r>
    <n v="3310"/>
    <x v="704"/>
    <n v="225"/>
    <n v="3"/>
    <n v="58.11"/>
    <n v="58.11"/>
    <n v="0"/>
    <n v="0"/>
    <n v="0"/>
    <n v="174.33"/>
    <x v="19"/>
    <s v="E-commerce"/>
    <s v="Website Banner"/>
    <n v="174.32999999999998"/>
    <x v="68"/>
    <x v="1"/>
    <x v="68"/>
  </r>
  <r>
    <n v="2288"/>
    <x v="705"/>
    <n v="321"/>
    <n v="3"/>
    <n v="58.09"/>
    <n v="58.09"/>
    <n v="0"/>
    <n v="0"/>
    <n v="0"/>
    <n v="174.27"/>
    <x v="2"/>
    <s v="App Mobile"/>
    <s v="App Mobile"/>
    <n v="174.27"/>
    <x v="69"/>
    <x v="2"/>
    <x v="69"/>
  </r>
  <r>
    <n v="3018"/>
    <x v="329"/>
    <n v="237"/>
    <n v="3"/>
    <n v="64.08"/>
    <n v="57.67"/>
    <n v="6.41"/>
    <n v="0.1"/>
    <n v="1"/>
    <n v="173.02"/>
    <x v="32"/>
    <s v="E-commerce"/>
    <s v="Website Banner"/>
    <n v="173.01"/>
    <x v="439"/>
    <x v="0"/>
    <x v="439"/>
  </r>
  <r>
    <n v="2930"/>
    <x v="706"/>
    <n v="223"/>
    <n v="3"/>
    <n v="57.36"/>
    <n v="57.36"/>
    <n v="0"/>
    <n v="0"/>
    <n v="0"/>
    <n v="172.08"/>
    <x v="26"/>
    <s v="App Mobile"/>
    <s v="App Mobile"/>
    <n v="172.07999999999998"/>
    <x v="343"/>
    <x v="2"/>
    <x v="343"/>
  </r>
  <r>
    <n v="1218"/>
    <x v="707"/>
    <n v="27"/>
    <n v="3"/>
    <n v="57.35"/>
    <n v="57.35"/>
    <n v="0"/>
    <n v="0"/>
    <n v="0"/>
    <n v="172.05"/>
    <x v="19"/>
    <s v="App Mobile"/>
    <s v="App Mobile"/>
    <n v="172.05"/>
    <x v="73"/>
    <x v="0"/>
    <x v="73"/>
  </r>
  <r>
    <n v="1525"/>
    <x v="483"/>
    <n v="27"/>
    <n v="3"/>
    <n v="57.35"/>
    <n v="57.35"/>
    <n v="0"/>
    <n v="0"/>
    <n v="0"/>
    <n v="172.05"/>
    <x v="6"/>
    <s v="E-commerce"/>
    <s v="Website Banner"/>
    <n v="172.05"/>
    <x v="73"/>
    <x v="0"/>
    <x v="73"/>
  </r>
  <r>
    <n v="2096"/>
    <x v="708"/>
    <n v="49"/>
    <n v="3"/>
    <n v="57.35"/>
    <n v="57.35"/>
    <n v="0"/>
    <n v="0"/>
    <n v="0"/>
    <n v="172.05"/>
    <x v="49"/>
    <s v="E-commerce"/>
    <s v="Website Banner"/>
    <n v="172.05"/>
    <x v="74"/>
    <x v="4"/>
    <x v="74"/>
  </r>
  <r>
    <n v="2253"/>
    <x v="709"/>
    <n v="27"/>
    <n v="3"/>
    <n v="57.35"/>
    <n v="57.35"/>
    <n v="0"/>
    <n v="0"/>
    <n v="0"/>
    <n v="172.05"/>
    <x v="3"/>
    <s v="E-commerce"/>
    <s v="Website Banner"/>
    <n v="172.05"/>
    <x v="73"/>
    <x v="0"/>
    <x v="73"/>
  </r>
  <r>
    <n v="550"/>
    <x v="710"/>
    <n v="210"/>
    <n v="3"/>
    <n v="57.32"/>
    <n v="57.32"/>
    <n v="0"/>
    <n v="0"/>
    <n v="0"/>
    <n v="171.96"/>
    <x v="7"/>
    <s v="App Mobile"/>
    <s v="App Mobile"/>
    <n v="171.96"/>
    <x v="448"/>
    <x v="3"/>
    <x v="448"/>
  </r>
  <r>
    <n v="1343"/>
    <x v="161"/>
    <n v="213"/>
    <n v="3"/>
    <n v="57.31"/>
    <n v="57.31"/>
    <n v="0"/>
    <n v="0"/>
    <n v="0"/>
    <n v="171.93"/>
    <x v="21"/>
    <s v="E-commerce"/>
    <s v="Website Banner"/>
    <n v="171.93"/>
    <x v="344"/>
    <x v="4"/>
    <x v="344"/>
  </r>
  <r>
    <n v="3320"/>
    <x v="711"/>
    <n v="213"/>
    <n v="3"/>
    <n v="57.31"/>
    <n v="57.31"/>
    <n v="0"/>
    <n v="0"/>
    <n v="0"/>
    <n v="171.93"/>
    <x v="43"/>
    <s v="App Mobile"/>
    <s v="App Mobile"/>
    <n v="171.93"/>
    <x v="344"/>
    <x v="4"/>
    <x v="344"/>
  </r>
  <r>
    <n v="2190"/>
    <x v="446"/>
    <n v="53"/>
    <n v="3"/>
    <n v="57.17"/>
    <n v="57.17"/>
    <n v="0"/>
    <n v="0"/>
    <n v="0"/>
    <n v="171.51"/>
    <x v="24"/>
    <s v="App Mobile"/>
    <s v="App Mobile"/>
    <n v="171.51"/>
    <x v="76"/>
    <x v="1"/>
    <x v="76"/>
  </r>
  <r>
    <n v="2301"/>
    <x v="676"/>
    <n v="53"/>
    <n v="3"/>
    <n v="57.17"/>
    <n v="57.17"/>
    <n v="0"/>
    <n v="0"/>
    <n v="0"/>
    <n v="171.51"/>
    <x v="40"/>
    <s v="E-commerce"/>
    <s v="Website Banner"/>
    <n v="171.51"/>
    <x v="76"/>
    <x v="1"/>
    <x v="76"/>
  </r>
  <r>
    <n v="1250"/>
    <x v="477"/>
    <n v="288"/>
    <n v="3"/>
    <n v="57.11"/>
    <n v="57.11"/>
    <n v="0"/>
    <n v="0"/>
    <n v="0"/>
    <n v="171.33"/>
    <x v="7"/>
    <s v="E-commerce"/>
    <s v="Website Banner"/>
    <n v="171.32999999999998"/>
    <x v="77"/>
    <x v="4"/>
    <x v="77"/>
  </r>
  <r>
    <n v="1066"/>
    <x v="544"/>
    <n v="103"/>
    <n v="3"/>
    <n v="57"/>
    <n v="57"/>
    <n v="0"/>
    <n v="0"/>
    <n v="0"/>
    <n v="171"/>
    <x v="28"/>
    <s v="E-commerce"/>
    <s v="Website Banner"/>
    <n v="171"/>
    <x v="78"/>
    <x v="4"/>
    <x v="78"/>
  </r>
  <r>
    <n v="2160"/>
    <x v="712"/>
    <n v="103"/>
    <n v="3"/>
    <n v="57"/>
    <n v="57"/>
    <n v="0"/>
    <n v="0"/>
    <n v="0"/>
    <n v="171"/>
    <x v="48"/>
    <s v="E-commerce"/>
    <s v="Website Banner"/>
    <n v="171"/>
    <x v="78"/>
    <x v="4"/>
    <x v="78"/>
  </r>
  <r>
    <n v="1348"/>
    <x v="68"/>
    <n v="407"/>
    <n v="3"/>
    <n v="56.84"/>
    <n v="56.84"/>
    <n v="0"/>
    <n v="0"/>
    <n v="0"/>
    <n v="170.52"/>
    <x v="10"/>
    <s v="App Mobile"/>
    <s v="App Mobile"/>
    <n v="170.52"/>
    <x v="222"/>
    <x v="4"/>
    <x v="222"/>
  </r>
  <r>
    <n v="19"/>
    <x v="713"/>
    <n v="100"/>
    <n v="3"/>
    <n v="56.44"/>
    <n v="56.44"/>
    <n v="0"/>
    <n v="0"/>
    <n v="0"/>
    <n v="169.32"/>
    <x v="20"/>
    <s v="App Mobile"/>
    <s v="App Mobile"/>
    <n v="169.32"/>
    <x v="83"/>
    <x v="0"/>
    <x v="83"/>
  </r>
  <r>
    <n v="1327"/>
    <x v="714"/>
    <n v="485"/>
    <n v="3"/>
    <n v="56.2"/>
    <n v="56.2"/>
    <n v="0"/>
    <n v="0"/>
    <n v="0"/>
    <n v="168.6"/>
    <x v="38"/>
    <s v="App Mobile"/>
    <s v="App Mobile"/>
    <n v="168.60000000000002"/>
    <x v="85"/>
    <x v="1"/>
    <x v="85"/>
  </r>
  <r>
    <n v="1637"/>
    <x v="680"/>
    <n v="485"/>
    <n v="3"/>
    <n v="56.2"/>
    <n v="56.2"/>
    <n v="0"/>
    <n v="0"/>
    <n v="0"/>
    <n v="168.6"/>
    <x v="14"/>
    <s v="App Mobile"/>
    <s v="App Mobile"/>
    <n v="168.60000000000002"/>
    <x v="85"/>
    <x v="1"/>
    <x v="85"/>
  </r>
  <r>
    <n v="3042"/>
    <x v="646"/>
    <n v="117"/>
    <n v="3"/>
    <n v="56.06"/>
    <n v="56.06"/>
    <n v="0"/>
    <n v="0"/>
    <n v="0"/>
    <n v="168.18"/>
    <x v="46"/>
    <s v="App Mobile"/>
    <s v="App Mobile"/>
    <n v="168.18"/>
    <x v="345"/>
    <x v="0"/>
    <x v="345"/>
  </r>
  <r>
    <n v="3008"/>
    <x v="715"/>
    <n v="422"/>
    <n v="3"/>
    <n v="55.91"/>
    <n v="55.91"/>
    <n v="0"/>
    <n v="0"/>
    <n v="0"/>
    <n v="167.73"/>
    <x v="28"/>
    <s v="App Mobile"/>
    <s v="App Mobile"/>
    <n v="167.73"/>
    <x v="86"/>
    <x v="3"/>
    <x v="86"/>
  </r>
  <r>
    <n v="2475"/>
    <x v="649"/>
    <n v="156"/>
    <n v="3"/>
    <n v="55.52"/>
    <n v="55.52"/>
    <n v="0"/>
    <n v="0"/>
    <n v="0"/>
    <n v="166.56"/>
    <x v="27"/>
    <s v="E-commerce"/>
    <s v="Website Banner"/>
    <n v="166.56"/>
    <x v="346"/>
    <x v="0"/>
    <x v="346"/>
  </r>
  <r>
    <n v="3314"/>
    <x v="716"/>
    <n v="156"/>
    <n v="3"/>
    <n v="55.52"/>
    <n v="55.52"/>
    <n v="0"/>
    <n v="0"/>
    <n v="0"/>
    <n v="166.56"/>
    <x v="18"/>
    <s v="App Mobile"/>
    <s v="App Mobile"/>
    <n v="166.56"/>
    <x v="346"/>
    <x v="0"/>
    <x v="346"/>
  </r>
  <r>
    <n v="167"/>
    <x v="287"/>
    <n v="97"/>
    <n v="3"/>
    <n v="55.27"/>
    <n v="55.27"/>
    <n v="0"/>
    <n v="0"/>
    <n v="0"/>
    <n v="165.81"/>
    <x v="38"/>
    <s v="E-commerce"/>
    <s v="Website Banner"/>
    <n v="165.81"/>
    <x v="88"/>
    <x v="1"/>
    <x v="88"/>
  </r>
  <r>
    <n v="703"/>
    <x v="566"/>
    <n v="107"/>
    <n v="3"/>
    <n v="55.06"/>
    <n v="55.06"/>
    <n v="0"/>
    <n v="0"/>
    <n v="0"/>
    <n v="165.18"/>
    <x v="14"/>
    <s v="App Mobile"/>
    <s v="App Mobile"/>
    <n v="165.18"/>
    <x v="90"/>
    <x v="1"/>
    <x v="90"/>
  </r>
  <r>
    <n v="1120"/>
    <x v="717"/>
    <n v="107"/>
    <n v="3"/>
    <n v="55.06"/>
    <n v="55.06"/>
    <n v="0"/>
    <n v="0"/>
    <n v="0"/>
    <n v="165.18"/>
    <x v="0"/>
    <s v="E-commerce"/>
    <s v="Website Banner"/>
    <n v="165.18"/>
    <x v="90"/>
    <x v="1"/>
    <x v="90"/>
  </r>
  <r>
    <n v="3360"/>
    <x v="121"/>
    <n v="107"/>
    <n v="3"/>
    <n v="55.06"/>
    <n v="55.06"/>
    <n v="0"/>
    <n v="0"/>
    <n v="0"/>
    <n v="165.18"/>
    <x v="47"/>
    <s v="E-commerce"/>
    <s v="Website Banner"/>
    <n v="165.18"/>
    <x v="90"/>
    <x v="1"/>
    <x v="90"/>
  </r>
  <r>
    <n v="2346"/>
    <x v="567"/>
    <n v="264"/>
    <n v="3"/>
    <n v="55.01"/>
    <n v="55.01"/>
    <n v="0"/>
    <n v="0"/>
    <n v="0"/>
    <n v="165.03"/>
    <x v="38"/>
    <s v="App Mobile"/>
    <s v="App Mobile"/>
    <n v="165.03"/>
    <x v="93"/>
    <x v="4"/>
    <x v="93"/>
  </r>
  <r>
    <n v="2002"/>
    <x v="718"/>
    <n v="461"/>
    <n v="3"/>
    <n v="54.91"/>
    <n v="54.91"/>
    <n v="0"/>
    <n v="0"/>
    <n v="0"/>
    <n v="164.73"/>
    <x v="13"/>
    <s v="E-commerce"/>
    <s v="Website Banner"/>
    <n v="164.73"/>
    <x v="95"/>
    <x v="4"/>
    <x v="95"/>
  </r>
  <r>
    <n v="120"/>
    <x v="356"/>
    <n v="481"/>
    <n v="3"/>
    <n v="54.87"/>
    <n v="54.87"/>
    <n v="0"/>
    <n v="0"/>
    <n v="0"/>
    <n v="164.61"/>
    <x v="21"/>
    <s v="E-commerce"/>
    <s v="Website Banner"/>
    <n v="164.60999999999999"/>
    <x v="96"/>
    <x v="1"/>
    <x v="96"/>
  </r>
  <r>
    <n v="3336"/>
    <x v="602"/>
    <n v="389"/>
    <n v="3"/>
    <n v="54.76"/>
    <n v="54.76"/>
    <n v="0"/>
    <n v="0"/>
    <n v="0"/>
    <n v="164.28"/>
    <x v="3"/>
    <s v="App Mobile"/>
    <s v="App Mobile"/>
    <n v="164.28"/>
    <x v="449"/>
    <x v="3"/>
    <x v="449"/>
  </r>
  <r>
    <n v="1568"/>
    <x v="458"/>
    <n v="45"/>
    <n v="3"/>
    <n v="54.16"/>
    <n v="54.16"/>
    <n v="0"/>
    <n v="0"/>
    <n v="0"/>
    <n v="162.47999999999999"/>
    <x v="7"/>
    <s v="App Mobile"/>
    <s v="App Mobile"/>
    <n v="162.47999999999999"/>
    <x v="349"/>
    <x v="4"/>
    <x v="349"/>
  </r>
  <r>
    <n v="1803"/>
    <x v="554"/>
    <n v="267"/>
    <n v="3"/>
    <n v="53.91"/>
    <n v="53.91"/>
    <n v="0"/>
    <n v="0"/>
    <n v="0"/>
    <n v="161.72999999999999"/>
    <x v="31"/>
    <s v="E-commerce"/>
    <s v="Website Banner"/>
    <n v="161.72999999999999"/>
    <x v="400"/>
    <x v="3"/>
    <x v="400"/>
  </r>
  <r>
    <n v="3114"/>
    <x v="719"/>
    <n v="154"/>
    <n v="3"/>
    <n v="53.74"/>
    <n v="53.74"/>
    <n v="0"/>
    <n v="0"/>
    <n v="0"/>
    <n v="161.22"/>
    <x v="2"/>
    <s v="App Mobile"/>
    <s v="App Mobile"/>
    <n v="161.22"/>
    <x v="101"/>
    <x v="3"/>
    <x v="101"/>
  </r>
  <r>
    <n v="1191"/>
    <x v="720"/>
    <n v="47"/>
    <n v="3"/>
    <n v="53.73"/>
    <n v="53.73"/>
    <n v="0"/>
    <n v="0"/>
    <n v="0"/>
    <n v="161.19"/>
    <x v="33"/>
    <s v="App Mobile"/>
    <s v="App Mobile"/>
    <n v="161.19"/>
    <x v="102"/>
    <x v="4"/>
    <x v="102"/>
  </r>
  <r>
    <n v="1288"/>
    <x v="614"/>
    <n v="127"/>
    <n v="3"/>
    <n v="53.67"/>
    <n v="53.67"/>
    <n v="0"/>
    <n v="0"/>
    <n v="0"/>
    <n v="161.01"/>
    <x v="50"/>
    <s v="App Mobile"/>
    <s v="App Mobile"/>
    <n v="161.01"/>
    <x v="350"/>
    <x v="2"/>
    <x v="350"/>
  </r>
  <r>
    <n v="2660"/>
    <x v="74"/>
    <n v="52"/>
    <n v="3"/>
    <n v="53.61"/>
    <n v="53.61"/>
    <n v="0"/>
    <n v="0"/>
    <n v="0"/>
    <n v="160.83000000000001"/>
    <x v="38"/>
    <s v="App Mobile"/>
    <s v="App Mobile"/>
    <n v="160.82999999999998"/>
    <x v="104"/>
    <x v="4"/>
    <x v="104"/>
  </r>
  <r>
    <n v="2087"/>
    <x v="721"/>
    <n v="494"/>
    <n v="3"/>
    <n v="53.52"/>
    <n v="53.52"/>
    <n v="0"/>
    <n v="0"/>
    <n v="0"/>
    <n v="160.56"/>
    <x v="23"/>
    <s v="App Mobile"/>
    <s v="App Mobile"/>
    <n v="160.56"/>
    <x v="450"/>
    <x v="4"/>
    <x v="450"/>
  </r>
  <r>
    <n v="564"/>
    <x v="71"/>
    <n v="196"/>
    <n v="3"/>
    <n v="59.41"/>
    <n v="53.47"/>
    <n v="5.94"/>
    <n v="0.1"/>
    <n v="1"/>
    <n v="160.41"/>
    <x v="37"/>
    <s v="E-commerce"/>
    <s v="Website Banner"/>
    <n v="160.41"/>
    <x v="451"/>
    <x v="2"/>
    <x v="451"/>
  </r>
  <r>
    <n v="809"/>
    <x v="8"/>
    <n v="331"/>
    <n v="3"/>
    <n v="53.34"/>
    <n v="53.34"/>
    <n v="0"/>
    <n v="0"/>
    <n v="0"/>
    <n v="160.02000000000001"/>
    <x v="8"/>
    <s v="E-commerce"/>
    <s v="Website Banner"/>
    <n v="160.02000000000001"/>
    <x v="351"/>
    <x v="2"/>
    <x v="351"/>
  </r>
  <r>
    <n v="2549"/>
    <x v="512"/>
    <n v="73"/>
    <n v="3"/>
    <n v="53.25"/>
    <n v="53.25"/>
    <n v="0"/>
    <n v="0"/>
    <n v="0"/>
    <n v="159.75"/>
    <x v="21"/>
    <s v="E-commerce"/>
    <s v="Website Banner"/>
    <n v="159.75"/>
    <x v="352"/>
    <x v="3"/>
    <x v="352"/>
  </r>
  <r>
    <n v="1372"/>
    <x v="86"/>
    <n v="40"/>
    <n v="3"/>
    <n v="53.19"/>
    <n v="53.19"/>
    <n v="0"/>
    <n v="0"/>
    <n v="0"/>
    <n v="159.57"/>
    <x v="40"/>
    <s v="E-commerce"/>
    <s v="Website Banner"/>
    <n v="159.57"/>
    <x v="110"/>
    <x v="2"/>
    <x v="110"/>
  </r>
  <r>
    <n v="2365"/>
    <x v="722"/>
    <n v="133"/>
    <n v="3"/>
    <n v="53.05"/>
    <n v="53.05"/>
    <n v="0"/>
    <n v="0"/>
    <n v="0"/>
    <n v="159.15"/>
    <x v="43"/>
    <s v="App Mobile"/>
    <s v="App Mobile"/>
    <n v="159.14999999999998"/>
    <x v="353"/>
    <x v="4"/>
    <x v="353"/>
  </r>
  <r>
    <n v="2616"/>
    <x v="723"/>
    <n v="133"/>
    <n v="3"/>
    <n v="53.05"/>
    <n v="53.05"/>
    <n v="0"/>
    <n v="0"/>
    <n v="0"/>
    <n v="159.15"/>
    <x v="5"/>
    <s v="E-commerce"/>
    <s v="Website Banner"/>
    <n v="159.14999999999998"/>
    <x v="353"/>
    <x v="4"/>
    <x v="353"/>
  </r>
  <r>
    <n v="1430"/>
    <x v="84"/>
    <n v="25"/>
    <n v="3"/>
    <n v="52.94"/>
    <n v="52.94"/>
    <n v="0"/>
    <n v="0"/>
    <n v="0"/>
    <n v="158.82"/>
    <x v="3"/>
    <s v="E-commerce"/>
    <s v="Website Banner"/>
    <n v="158.82"/>
    <x v="112"/>
    <x v="3"/>
    <x v="112"/>
  </r>
  <r>
    <n v="2300"/>
    <x v="675"/>
    <n v="262"/>
    <n v="3"/>
    <n v="52.94"/>
    <n v="52.94"/>
    <n v="0"/>
    <n v="0"/>
    <n v="0"/>
    <n v="158.82"/>
    <x v="46"/>
    <s v="App Mobile"/>
    <s v="App Mobile"/>
    <n v="158.82"/>
    <x v="111"/>
    <x v="3"/>
    <x v="111"/>
  </r>
  <r>
    <n v="3016"/>
    <x v="569"/>
    <n v="25"/>
    <n v="3"/>
    <n v="52.94"/>
    <n v="52.94"/>
    <n v="0"/>
    <n v="0"/>
    <n v="0"/>
    <n v="158.82"/>
    <x v="46"/>
    <s v="E-commerce"/>
    <s v="Website Banner"/>
    <n v="158.82"/>
    <x v="112"/>
    <x v="3"/>
    <x v="112"/>
  </r>
  <r>
    <n v="3344"/>
    <x v="724"/>
    <n v="25"/>
    <n v="3"/>
    <n v="52.94"/>
    <n v="52.94"/>
    <n v="0"/>
    <n v="0"/>
    <n v="0"/>
    <n v="158.82"/>
    <x v="9"/>
    <s v="App Mobile"/>
    <s v="App Mobile"/>
    <n v="158.82"/>
    <x v="112"/>
    <x v="3"/>
    <x v="112"/>
  </r>
  <r>
    <n v="59"/>
    <x v="725"/>
    <n v="75"/>
    <n v="3"/>
    <n v="52.83"/>
    <n v="52.83"/>
    <n v="0"/>
    <n v="0"/>
    <n v="0"/>
    <n v="158.49"/>
    <x v="33"/>
    <s v="E-commerce"/>
    <s v="Website Banner"/>
    <n v="158.49"/>
    <x v="113"/>
    <x v="3"/>
    <x v="113"/>
  </r>
  <r>
    <n v="756"/>
    <x v="726"/>
    <n v="299"/>
    <n v="3"/>
    <n v="52.65"/>
    <n v="52.65"/>
    <n v="0"/>
    <n v="0"/>
    <n v="0"/>
    <n v="157.94999999999999"/>
    <x v="9"/>
    <s v="E-commerce"/>
    <s v="Website Banner"/>
    <n v="157.94999999999999"/>
    <x v="114"/>
    <x v="0"/>
    <x v="114"/>
  </r>
  <r>
    <n v="592"/>
    <x v="727"/>
    <n v="220"/>
    <n v="3"/>
    <n v="52.6"/>
    <n v="52.6"/>
    <n v="0"/>
    <n v="0"/>
    <n v="0"/>
    <n v="157.80000000000001"/>
    <x v="5"/>
    <s v="E-commerce"/>
    <s v="Website Banner"/>
    <n v="157.80000000000001"/>
    <x v="355"/>
    <x v="3"/>
    <x v="355"/>
  </r>
  <r>
    <n v="1139"/>
    <x v="656"/>
    <n v="432"/>
    <n v="3"/>
    <n v="52.39"/>
    <n v="52.39"/>
    <n v="0"/>
    <n v="0"/>
    <n v="0"/>
    <n v="157.16999999999999"/>
    <x v="11"/>
    <s v="E-commerce"/>
    <s v="Website Banner"/>
    <n v="157.17000000000002"/>
    <x v="356"/>
    <x v="4"/>
    <x v="356"/>
  </r>
  <r>
    <n v="3004"/>
    <x v="141"/>
    <n v="181"/>
    <n v="3"/>
    <n v="52.18"/>
    <n v="52.18"/>
    <n v="0"/>
    <n v="0"/>
    <n v="0"/>
    <n v="156.54"/>
    <x v="6"/>
    <s v="App Mobile"/>
    <s v="App Mobile"/>
    <n v="156.54"/>
    <x v="119"/>
    <x v="1"/>
    <x v="119"/>
  </r>
  <r>
    <n v="1816"/>
    <x v="728"/>
    <n v="440"/>
    <n v="3"/>
    <n v="52.08"/>
    <n v="52.08"/>
    <n v="0"/>
    <n v="0"/>
    <n v="0"/>
    <n v="156.24"/>
    <x v="9"/>
    <s v="App Mobile"/>
    <s v="App Mobile"/>
    <n v="156.24"/>
    <x v="121"/>
    <x v="1"/>
    <x v="121"/>
  </r>
  <r>
    <n v="1876"/>
    <x v="199"/>
    <n v="440"/>
    <n v="3"/>
    <n v="52.08"/>
    <n v="52.08"/>
    <n v="0"/>
    <n v="0"/>
    <n v="0"/>
    <n v="156.24"/>
    <x v="25"/>
    <s v="E-commerce"/>
    <s v="Website Banner"/>
    <n v="156.24"/>
    <x v="121"/>
    <x v="1"/>
    <x v="121"/>
  </r>
  <r>
    <n v="3051"/>
    <x v="729"/>
    <n v="440"/>
    <n v="3"/>
    <n v="52.08"/>
    <n v="52.08"/>
    <n v="0"/>
    <n v="0"/>
    <n v="0"/>
    <n v="156.24"/>
    <x v="8"/>
    <s v="App Mobile"/>
    <s v="App Mobile"/>
    <n v="156.24"/>
    <x v="121"/>
    <x v="1"/>
    <x v="121"/>
  </r>
  <r>
    <n v="465"/>
    <x v="730"/>
    <n v="76"/>
    <n v="3"/>
    <n v="51.7"/>
    <n v="51.7"/>
    <n v="0"/>
    <n v="0"/>
    <n v="0"/>
    <n v="155.1"/>
    <x v="23"/>
    <s v="E-commerce"/>
    <s v="Website Banner"/>
    <n v="155.10000000000002"/>
    <x v="125"/>
    <x v="2"/>
    <x v="125"/>
  </r>
  <r>
    <n v="2881"/>
    <x v="728"/>
    <n v="76"/>
    <n v="3"/>
    <n v="51.7"/>
    <n v="51.7"/>
    <n v="0"/>
    <n v="0"/>
    <n v="0"/>
    <n v="155.1"/>
    <x v="9"/>
    <s v="App Mobile"/>
    <s v="App Mobile"/>
    <n v="155.10000000000002"/>
    <x v="125"/>
    <x v="2"/>
    <x v="125"/>
  </r>
  <r>
    <n v="1747"/>
    <x v="204"/>
    <n v="480"/>
    <n v="3"/>
    <n v="51.63"/>
    <n v="51.63"/>
    <n v="0"/>
    <n v="0"/>
    <n v="0"/>
    <n v="154.88999999999999"/>
    <x v="46"/>
    <s v="App Mobile"/>
    <s v="App Mobile"/>
    <n v="154.89000000000001"/>
    <x v="126"/>
    <x v="0"/>
    <x v="126"/>
  </r>
  <r>
    <n v="3164"/>
    <x v="731"/>
    <n v="480"/>
    <n v="3"/>
    <n v="51.63"/>
    <n v="51.63"/>
    <n v="0"/>
    <n v="0"/>
    <n v="0"/>
    <n v="154.88999999999999"/>
    <x v="21"/>
    <s v="E-commerce"/>
    <s v="Website Banner"/>
    <n v="154.89000000000001"/>
    <x v="126"/>
    <x v="0"/>
    <x v="126"/>
  </r>
  <r>
    <n v="519"/>
    <x v="454"/>
    <n v="279"/>
    <n v="3"/>
    <n v="51.58"/>
    <n v="51.58"/>
    <n v="0"/>
    <n v="0"/>
    <n v="0"/>
    <n v="154.74"/>
    <x v="32"/>
    <s v="App Mobile"/>
    <s v="App Mobile"/>
    <n v="154.74"/>
    <x v="452"/>
    <x v="3"/>
    <x v="452"/>
  </r>
  <r>
    <n v="2281"/>
    <x v="732"/>
    <n v="279"/>
    <n v="3"/>
    <n v="51.58"/>
    <n v="51.58"/>
    <n v="0"/>
    <n v="0"/>
    <n v="0"/>
    <n v="154.74"/>
    <x v="15"/>
    <s v="E-commerce"/>
    <s v="Website Banner"/>
    <n v="154.74"/>
    <x v="452"/>
    <x v="3"/>
    <x v="452"/>
  </r>
  <r>
    <n v="2618"/>
    <x v="320"/>
    <n v="37"/>
    <n v="3"/>
    <n v="51.33"/>
    <n v="51.33"/>
    <n v="0"/>
    <n v="0"/>
    <n v="0"/>
    <n v="153.99"/>
    <x v="46"/>
    <s v="E-commerce"/>
    <s v="Website Banner"/>
    <n v="153.99"/>
    <x v="453"/>
    <x v="2"/>
    <x v="453"/>
  </r>
  <r>
    <n v="1401"/>
    <x v="469"/>
    <n v="170"/>
    <n v="3"/>
    <n v="51.27"/>
    <n v="51.27"/>
    <n v="0"/>
    <n v="0"/>
    <n v="0"/>
    <n v="153.81"/>
    <x v="26"/>
    <s v="E-commerce"/>
    <s v="Website Banner"/>
    <n v="153.81"/>
    <x v="129"/>
    <x v="0"/>
    <x v="129"/>
  </r>
  <r>
    <n v="807"/>
    <x v="598"/>
    <n v="336"/>
    <n v="3"/>
    <n v="51.22"/>
    <n v="51.22"/>
    <n v="0"/>
    <n v="0"/>
    <n v="0"/>
    <n v="153.66"/>
    <x v="35"/>
    <s v="App Mobile"/>
    <s v="App Mobile"/>
    <n v="153.66"/>
    <x v="131"/>
    <x v="4"/>
    <x v="131"/>
  </r>
  <r>
    <n v="1447"/>
    <x v="403"/>
    <n v="336"/>
    <n v="3"/>
    <n v="51.22"/>
    <n v="51.22"/>
    <n v="0"/>
    <n v="0"/>
    <n v="0"/>
    <n v="153.66"/>
    <x v="21"/>
    <s v="E-commerce"/>
    <s v="Website Banner"/>
    <n v="153.66"/>
    <x v="131"/>
    <x v="4"/>
    <x v="131"/>
  </r>
  <r>
    <n v="2100"/>
    <x v="450"/>
    <n v="336"/>
    <n v="3"/>
    <n v="51.22"/>
    <n v="51.22"/>
    <n v="0"/>
    <n v="0"/>
    <n v="0"/>
    <n v="153.66"/>
    <x v="21"/>
    <s v="E-commerce"/>
    <s v="Website Banner"/>
    <n v="153.66"/>
    <x v="131"/>
    <x v="4"/>
    <x v="131"/>
  </r>
  <r>
    <n v="3275"/>
    <x v="733"/>
    <n v="336"/>
    <n v="3"/>
    <n v="51.22"/>
    <n v="51.22"/>
    <n v="0"/>
    <n v="0"/>
    <n v="0"/>
    <n v="153.66"/>
    <x v="10"/>
    <s v="E-commerce"/>
    <s v="Website Banner"/>
    <n v="153.66"/>
    <x v="131"/>
    <x v="4"/>
    <x v="131"/>
  </r>
  <r>
    <n v="224"/>
    <x v="580"/>
    <n v="252"/>
    <n v="3"/>
    <n v="51.17"/>
    <n v="51.17"/>
    <n v="0"/>
    <n v="0"/>
    <n v="0"/>
    <n v="153.51"/>
    <x v="25"/>
    <s v="App Mobile"/>
    <s v="App Mobile"/>
    <n v="153.51"/>
    <x v="132"/>
    <x v="4"/>
    <x v="132"/>
  </r>
  <r>
    <n v="63"/>
    <x v="734"/>
    <n v="255"/>
    <n v="3"/>
    <n v="51"/>
    <n v="51"/>
    <n v="0"/>
    <n v="0"/>
    <n v="0"/>
    <n v="153"/>
    <x v="21"/>
    <s v="E-commerce"/>
    <s v="Website Banner"/>
    <n v="153"/>
    <x v="133"/>
    <x v="2"/>
    <x v="133"/>
  </r>
  <r>
    <n v="911"/>
    <x v="270"/>
    <n v="255"/>
    <n v="3"/>
    <n v="51"/>
    <n v="51"/>
    <n v="0"/>
    <n v="0"/>
    <n v="0"/>
    <n v="153"/>
    <x v="34"/>
    <s v="App Mobile"/>
    <s v="App Mobile"/>
    <n v="153"/>
    <x v="133"/>
    <x v="2"/>
    <x v="133"/>
  </r>
  <r>
    <n v="2889"/>
    <x v="692"/>
    <n v="255"/>
    <n v="3"/>
    <n v="51"/>
    <n v="51"/>
    <n v="0"/>
    <n v="0"/>
    <n v="0"/>
    <n v="153"/>
    <x v="4"/>
    <s v="E-commerce"/>
    <s v="Website Banner"/>
    <n v="153"/>
    <x v="133"/>
    <x v="2"/>
    <x v="133"/>
  </r>
  <r>
    <n v="53"/>
    <x v="735"/>
    <n v="421"/>
    <n v="3"/>
    <n v="50.89"/>
    <n v="50.89"/>
    <n v="0"/>
    <n v="0"/>
    <n v="0"/>
    <n v="152.66999999999999"/>
    <x v="5"/>
    <s v="E-commerce"/>
    <s v="Website Banner"/>
    <n v="152.67000000000002"/>
    <x v="363"/>
    <x v="3"/>
    <x v="363"/>
  </r>
  <r>
    <n v="171"/>
    <x v="736"/>
    <n v="421"/>
    <n v="3"/>
    <n v="50.89"/>
    <n v="50.89"/>
    <n v="0"/>
    <n v="0"/>
    <n v="0"/>
    <n v="152.66999999999999"/>
    <x v="10"/>
    <s v="E-commerce"/>
    <s v="Website Banner"/>
    <n v="152.67000000000002"/>
    <x v="363"/>
    <x v="3"/>
    <x v="363"/>
  </r>
  <r>
    <n v="2574"/>
    <x v="737"/>
    <n v="421"/>
    <n v="3"/>
    <n v="50.89"/>
    <n v="50.89"/>
    <n v="0"/>
    <n v="0"/>
    <n v="0"/>
    <n v="152.66999999999999"/>
    <x v="27"/>
    <s v="E-commerce"/>
    <s v="Website Banner"/>
    <n v="152.67000000000002"/>
    <x v="363"/>
    <x v="3"/>
    <x v="363"/>
  </r>
  <r>
    <n v="1032"/>
    <x v="348"/>
    <n v="290"/>
    <n v="3"/>
    <n v="50.86"/>
    <n v="50.86"/>
    <n v="0"/>
    <n v="0"/>
    <n v="0"/>
    <n v="152.58000000000001"/>
    <x v="11"/>
    <s v="App Mobile"/>
    <s v="App Mobile"/>
    <n v="152.57999999999998"/>
    <x v="137"/>
    <x v="3"/>
    <x v="137"/>
  </r>
  <r>
    <n v="34"/>
    <x v="678"/>
    <n v="100"/>
    <n v="3"/>
    <n v="56.44"/>
    <n v="50.8"/>
    <n v="5.64"/>
    <n v="0.1"/>
    <n v="1"/>
    <n v="152.38999999999999"/>
    <x v="37"/>
    <s v="E-commerce"/>
    <s v="Website Banner"/>
    <n v="152.39999999999998"/>
    <x v="83"/>
    <x v="0"/>
    <x v="83"/>
  </r>
  <r>
    <n v="1561"/>
    <x v="167"/>
    <n v="278"/>
    <n v="3"/>
    <n v="50.41"/>
    <n v="50.41"/>
    <n v="0"/>
    <n v="0"/>
    <n v="0"/>
    <n v="151.22999999999999"/>
    <x v="48"/>
    <s v="App Mobile"/>
    <s v="App Mobile"/>
    <n v="151.22999999999999"/>
    <x v="382"/>
    <x v="4"/>
    <x v="382"/>
  </r>
  <r>
    <n v="1630"/>
    <x v="310"/>
    <n v="419"/>
    <n v="3"/>
    <n v="50.34"/>
    <n v="50.34"/>
    <n v="0"/>
    <n v="0"/>
    <n v="0"/>
    <n v="151.02000000000001"/>
    <x v="18"/>
    <s v="App Mobile"/>
    <s v="App Mobile"/>
    <n v="151.02000000000001"/>
    <x v="454"/>
    <x v="0"/>
    <x v="454"/>
  </r>
  <r>
    <n v="1108"/>
    <x v="738"/>
    <n v="69"/>
    <n v="3"/>
    <n v="49.98"/>
    <n v="49.98"/>
    <n v="0"/>
    <n v="0"/>
    <n v="0"/>
    <n v="149.94"/>
    <x v="48"/>
    <s v="App Mobile"/>
    <s v="App Mobile"/>
    <n v="149.94"/>
    <x v="145"/>
    <x v="1"/>
    <x v="145"/>
  </r>
  <r>
    <n v="3287"/>
    <x v="484"/>
    <n v="69"/>
    <n v="3"/>
    <n v="49.98"/>
    <n v="49.98"/>
    <n v="0"/>
    <n v="0"/>
    <n v="0"/>
    <n v="149.94"/>
    <x v="8"/>
    <s v="App Mobile"/>
    <s v="App Mobile"/>
    <n v="149.94"/>
    <x v="145"/>
    <x v="1"/>
    <x v="145"/>
  </r>
  <r>
    <n v="781"/>
    <x v="514"/>
    <n v="219"/>
    <n v="3"/>
    <n v="49.76"/>
    <n v="49.76"/>
    <n v="0"/>
    <n v="0"/>
    <n v="0"/>
    <n v="149.28"/>
    <x v="10"/>
    <s v="E-commerce"/>
    <s v="Website Banner"/>
    <n v="149.28"/>
    <x v="148"/>
    <x v="1"/>
    <x v="148"/>
  </r>
  <r>
    <n v="883"/>
    <x v="587"/>
    <n v="219"/>
    <n v="3"/>
    <n v="49.76"/>
    <n v="49.76"/>
    <n v="0"/>
    <n v="0"/>
    <n v="0"/>
    <n v="149.28"/>
    <x v="16"/>
    <s v="App Mobile"/>
    <s v="App Mobile"/>
    <n v="149.28"/>
    <x v="148"/>
    <x v="1"/>
    <x v="148"/>
  </r>
  <r>
    <n v="266"/>
    <x v="342"/>
    <n v="173"/>
    <n v="3"/>
    <n v="49.74"/>
    <n v="49.74"/>
    <n v="0"/>
    <n v="0"/>
    <n v="0"/>
    <n v="149.22"/>
    <x v="7"/>
    <s v="App Mobile"/>
    <s v="App Mobile"/>
    <n v="149.22"/>
    <x v="149"/>
    <x v="0"/>
    <x v="149"/>
  </r>
  <r>
    <n v="388"/>
    <x v="256"/>
    <n v="268"/>
    <n v="3"/>
    <n v="49.59"/>
    <n v="49.59"/>
    <n v="0"/>
    <n v="0"/>
    <n v="0"/>
    <n v="148.77000000000001"/>
    <x v="47"/>
    <s v="E-commerce"/>
    <s v="Website Banner"/>
    <n v="148.77000000000001"/>
    <x v="150"/>
    <x v="3"/>
    <x v="150"/>
  </r>
  <r>
    <n v="3188"/>
    <x v="739"/>
    <n v="268"/>
    <n v="3"/>
    <n v="49.59"/>
    <n v="49.59"/>
    <n v="0"/>
    <n v="0"/>
    <n v="0"/>
    <n v="148.77000000000001"/>
    <x v="43"/>
    <s v="E-commerce"/>
    <s v="Website Banner"/>
    <n v="148.77000000000001"/>
    <x v="150"/>
    <x v="3"/>
    <x v="150"/>
  </r>
  <r>
    <n v="1096"/>
    <x v="501"/>
    <n v="43"/>
    <n v="3"/>
    <n v="49.4"/>
    <n v="49.4"/>
    <n v="0"/>
    <n v="0"/>
    <n v="0"/>
    <n v="148.19999999999999"/>
    <x v="39"/>
    <s v="E-commerce"/>
    <s v="Website Banner"/>
    <n v="148.19999999999999"/>
    <x v="364"/>
    <x v="0"/>
    <x v="364"/>
  </r>
  <r>
    <n v="1541"/>
    <x v="31"/>
    <n v="232"/>
    <n v="3"/>
    <n v="49.34"/>
    <n v="49.34"/>
    <n v="0"/>
    <n v="0"/>
    <n v="0"/>
    <n v="148.02000000000001"/>
    <x v="23"/>
    <s v="E-commerce"/>
    <s v="Website Banner"/>
    <n v="148.02000000000001"/>
    <x v="365"/>
    <x v="1"/>
    <x v="365"/>
  </r>
  <r>
    <n v="1983"/>
    <x v="740"/>
    <n v="232"/>
    <n v="3"/>
    <n v="49.34"/>
    <n v="49.34"/>
    <n v="0"/>
    <n v="0"/>
    <n v="0"/>
    <n v="148.02000000000001"/>
    <x v="15"/>
    <s v="E-commerce"/>
    <s v="Website Banner"/>
    <n v="148.02000000000001"/>
    <x v="365"/>
    <x v="1"/>
    <x v="365"/>
  </r>
  <r>
    <n v="3002"/>
    <x v="741"/>
    <n v="232"/>
    <n v="3"/>
    <n v="49.34"/>
    <n v="49.34"/>
    <n v="0"/>
    <n v="0"/>
    <n v="0"/>
    <n v="148.02000000000001"/>
    <x v="16"/>
    <s v="E-commerce"/>
    <s v="Website Banner"/>
    <n v="148.02000000000001"/>
    <x v="365"/>
    <x v="1"/>
    <x v="365"/>
  </r>
  <r>
    <n v="2129"/>
    <x v="742"/>
    <n v="138"/>
    <n v="3"/>
    <n v="49.21"/>
    <n v="49.21"/>
    <n v="0"/>
    <n v="0"/>
    <n v="0"/>
    <n v="147.63"/>
    <x v="34"/>
    <s v="E-commerce"/>
    <s v="Website Banner"/>
    <n v="147.63"/>
    <x v="455"/>
    <x v="1"/>
    <x v="455"/>
  </r>
  <r>
    <n v="2844"/>
    <x v="437"/>
    <n v="175"/>
    <n v="3"/>
    <n v="49.16"/>
    <n v="49.16"/>
    <n v="0"/>
    <n v="0"/>
    <n v="0"/>
    <n v="147.47999999999999"/>
    <x v="47"/>
    <s v="E-commerce"/>
    <s v="Website Banner"/>
    <n v="147.47999999999999"/>
    <x v="366"/>
    <x v="4"/>
    <x v="366"/>
  </r>
  <r>
    <n v="1255"/>
    <x v="743"/>
    <n v="300"/>
    <n v="3"/>
    <n v="48.88"/>
    <n v="48.88"/>
    <n v="0"/>
    <n v="0"/>
    <n v="0"/>
    <n v="146.63999999999999"/>
    <x v="38"/>
    <s v="App Mobile"/>
    <s v="App Mobile"/>
    <n v="146.64000000000001"/>
    <x v="152"/>
    <x v="1"/>
    <x v="152"/>
  </r>
  <r>
    <n v="988"/>
    <x v="744"/>
    <n v="295"/>
    <n v="3"/>
    <n v="48.73"/>
    <n v="48.73"/>
    <n v="0"/>
    <n v="0"/>
    <n v="0"/>
    <n v="146.19"/>
    <x v="50"/>
    <s v="App Mobile"/>
    <s v="App Mobile"/>
    <n v="146.19"/>
    <x v="154"/>
    <x v="2"/>
    <x v="154"/>
  </r>
  <r>
    <n v="2572"/>
    <x v="745"/>
    <n v="295"/>
    <n v="3"/>
    <n v="48.73"/>
    <n v="48.73"/>
    <n v="0"/>
    <n v="0"/>
    <n v="0"/>
    <n v="146.19"/>
    <x v="15"/>
    <s v="App Mobile"/>
    <s v="App Mobile"/>
    <n v="146.19"/>
    <x v="154"/>
    <x v="2"/>
    <x v="154"/>
  </r>
  <r>
    <n v="2282"/>
    <x v="585"/>
    <n v="301"/>
    <n v="3"/>
    <n v="48.72"/>
    <n v="48.72"/>
    <n v="0"/>
    <n v="0"/>
    <n v="0"/>
    <n v="146.16"/>
    <x v="50"/>
    <s v="E-commerce"/>
    <s v="Website Banner"/>
    <n v="146.16"/>
    <x v="369"/>
    <x v="0"/>
    <x v="369"/>
  </r>
  <r>
    <n v="2457"/>
    <x v="352"/>
    <n v="34"/>
    <n v="3"/>
    <n v="48.34"/>
    <n v="48.34"/>
    <n v="0"/>
    <n v="0"/>
    <n v="0"/>
    <n v="145.02000000000001"/>
    <x v="42"/>
    <s v="E-commerce"/>
    <s v="Website Banner"/>
    <n v="145.02000000000001"/>
    <x v="157"/>
    <x v="0"/>
    <x v="157"/>
  </r>
  <r>
    <n v="3332"/>
    <x v="271"/>
    <n v="34"/>
    <n v="3"/>
    <n v="48.34"/>
    <n v="48.34"/>
    <n v="0"/>
    <n v="0"/>
    <n v="0"/>
    <n v="145.02000000000001"/>
    <x v="34"/>
    <s v="App Mobile"/>
    <s v="App Mobile"/>
    <n v="145.02000000000001"/>
    <x v="157"/>
    <x v="0"/>
    <x v="157"/>
  </r>
  <r>
    <n v="1265"/>
    <x v="428"/>
    <n v="189"/>
    <n v="3"/>
    <n v="48.12"/>
    <n v="48.12"/>
    <n v="0"/>
    <n v="0"/>
    <n v="0"/>
    <n v="144.36000000000001"/>
    <x v="34"/>
    <s v="E-commerce"/>
    <s v="Website Banner"/>
    <n v="144.35999999999999"/>
    <x v="370"/>
    <x v="3"/>
    <x v="370"/>
  </r>
  <r>
    <n v="1558"/>
    <x v="421"/>
    <n v="455"/>
    <n v="3"/>
    <n v="48.03"/>
    <n v="48.03"/>
    <n v="0"/>
    <n v="0"/>
    <n v="0"/>
    <n v="144.09"/>
    <x v="18"/>
    <s v="App Mobile"/>
    <s v="App Mobile"/>
    <n v="144.09"/>
    <x v="159"/>
    <x v="2"/>
    <x v="159"/>
  </r>
  <r>
    <n v="2064"/>
    <x v="746"/>
    <n v="455"/>
    <n v="3"/>
    <n v="48.03"/>
    <n v="48.03"/>
    <n v="0"/>
    <n v="0"/>
    <n v="0"/>
    <n v="144.09"/>
    <x v="19"/>
    <s v="App Mobile"/>
    <s v="App Mobile"/>
    <n v="144.09"/>
    <x v="159"/>
    <x v="2"/>
    <x v="159"/>
  </r>
  <r>
    <n v="144"/>
    <x v="192"/>
    <n v="121"/>
    <n v="3"/>
    <n v="47.91"/>
    <n v="47.91"/>
    <n v="0"/>
    <n v="0"/>
    <n v="0"/>
    <n v="143.72999999999999"/>
    <x v="46"/>
    <s v="E-commerce"/>
    <s v="Website Banner"/>
    <n v="143.72999999999999"/>
    <x v="160"/>
    <x v="1"/>
    <x v="160"/>
  </r>
  <r>
    <n v="749"/>
    <x v="521"/>
    <n v="185"/>
    <n v="3"/>
    <n v="47.73"/>
    <n v="47.73"/>
    <n v="0"/>
    <n v="0"/>
    <n v="0"/>
    <n v="143.19"/>
    <x v="22"/>
    <s v="E-commerce"/>
    <s v="Website Banner"/>
    <n v="143.19"/>
    <x v="162"/>
    <x v="2"/>
    <x v="162"/>
  </r>
  <r>
    <n v="2471"/>
    <x v="723"/>
    <n v="185"/>
    <n v="3"/>
    <n v="47.73"/>
    <n v="47.73"/>
    <n v="0"/>
    <n v="0"/>
    <n v="0"/>
    <n v="143.19"/>
    <x v="5"/>
    <s v="E-commerce"/>
    <s v="Website Banner"/>
    <n v="143.19"/>
    <x v="162"/>
    <x v="2"/>
    <x v="162"/>
  </r>
  <r>
    <n v="114"/>
    <x v="366"/>
    <n v="147"/>
    <n v="3"/>
    <n v="52.91"/>
    <n v="47.62"/>
    <n v="5.29"/>
    <n v="0.1"/>
    <n v="1"/>
    <n v="142.86000000000001"/>
    <x v="30"/>
    <s v="E-commerce"/>
    <s v="Website Banner"/>
    <n v="142.85999999999999"/>
    <x v="354"/>
    <x v="1"/>
    <x v="354"/>
  </r>
  <r>
    <n v="3325"/>
    <x v="534"/>
    <n v="486"/>
    <n v="3"/>
    <n v="68.03"/>
    <n v="47.62"/>
    <n v="20.41"/>
    <n v="0.3"/>
    <n v="1"/>
    <n v="142.86000000000001"/>
    <x v="42"/>
    <s v="App Mobile"/>
    <s v="Social Media"/>
    <n v="142.85999999999999"/>
    <x v="21"/>
    <x v="4"/>
    <x v="21"/>
  </r>
  <r>
    <n v="2277"/>
    <x v="747"/>
    <n v="482"/>
    <n v="3"/>
    <n v="47.59"/>
    <n v="47.59"/>
    <n v="0"/>
    <n v="0"/>
    <n v="0"/>
    <n v="142.77000000000001"/>
    <x v="42"/>
    <s v="E-commerce"/>
    <s v="Website Banner"/>
    <n v="142.77000000000001"/>
    <x v="164"/>
    <x v="0"/>
    <x v="164"/>
  </r>
  <r>
    <n v="173"/>
    <x v="748"/>
    <n v="410"/>
    <n v="3"/>
    <n v="47.47"/>
    <n v="47.47"/>
    <n v="0"/>
    <n v="0"/>
    <n v="0"/>
    <n v="142.41"/>
    <x v="44"/>
    <s v="App Mobile"/>
    <s v="App Mobile"/>
    <n v="142.41"/>
    <x v="165"/>
    <x v="3"/>
    <x v="165"/>
  </r>
  <r>
    <n v="1062"/>
    <x v="185"/>
    <n v="254"/>
    <n v="3"/>
    <n v="47.44"/>
    <n v="47.44"/>
    <n v="0"/>
    <n v="0"/>
    <n v="0"/>
    <n v="142.32"/>
    <x v="0"/>
    <s v="App Mobile"/>
    <s v="App Mobile"/>
    <n v="142.32"/>
    <x v="166"/>
    <x v="1"/>
    <x v="166"/>
  </r>
  <r>
    <n v="2582"/>
    <x v="73"/>
    <n v="254"/>
    <n v="3"/>
    <n v="47.44"/>
    <n v="47.44"/>
    <n v="0"/>
    <n v="0"/>
    <n v="0"/>
    <n v="142.32"/>
    <x v="34"/>
    <s v="E-commerce"/>
    <s v="Website Banner"/>
    <n v="142.32"/>
    <x v="166"/>
    <x v="1"/>
    <x v="166"/>
  </r>
  <r>
    <n v="2523"/>
    <x v="501"/>
    <n v="479"/>
    <n v="3"/>
    <n v="47.42"/>
    <n v="47.42"/>
    <n v="0"/>
    <n v="0"/>
    <n v="0"/>
    <n v="142.26"/>
    <x v="39"/>
    <s v="E-commerce"/>
    <s v="Website Banner"/>
    <n v="142.26"/>
    <x v="456"/>
    <x v="0"/>
    <x v="456"/>
  </r>
  <r>
    <n v="1449"/>
    <x v="702"/>
    <n v="68"/>
    <n v="3"/>
    <n v="47.27"/>
    <n v="47.27"/>
    <n v="0"/>
    <n v="0"/>
    <n v="0"/>
    <n v="141.81"/>
    <x v="4"/>
    <s v="App Mobile"/>
    <s v="App Mobile"/>
    <n v="141.81"/>
    <x v="372"/>
    <x v="3"/>
    <x v="372"/>
  </r>
  <r>
    <n v="1687"/>
    <x v="749"/>
    <n v="132"/>
    <n v="3"/>
    <n v="46.9"/>
    <n v="46.9"/>
    <n v="0"/>
    <n v="0"/>
    <n v="0"/>
    <n v="140.69999999999999"/>
    <x v="20"/>
    <s v="App Mobile"/>
    <s v="App Mobile"/>
    <n v="140.69999999999999"/>
    <x v="170"/>
    <x v="1"/>
    <x v="170"/>
  </r>
  <r>
    <n v="2318"/>
    <x v="53"/>
    <n v="228"/>
    <n v="3"/>
    <n v="46.89"/>
    <n v="46.89"/>
    <n v="0"/>
    <n v="0"/>
    <n v="0"/>
    <n v="140.66999999999999"/>
    <x v="9"/>
    <s v="App Mobile"/>
    <s v="App Mobile"/>
    <n v="140.67000000000002"/>
    <x v="264"/>
    <x v="2"/>
    <x v="264"/>
  </r>
  <r>
    <n v="2622"/>
    <x v="748"/>
    <n v="349"/>
    <n v="3"/>
    <n v="46.72"/>
    <n v="46.72"/>
    <n v="0"/>
    <n v="0"/>
    <n v="0"/>
    <n v="140.16"/>
    <x v="44"/>
    <s v="App Mobile"/>
    <s v="App Mobile"/>
    <n v="140.16"/>
    <x v="171"/>
    <x v="1"/>
    <x v="171"/>
  </r>
  <r>
    <n v="1391"/>
    <x v="750"/>
    <n v="200"/>
    <n v="3"/>
    <n v="46.41"/>
    <n v="46.41"/>
    <n v="0"/>
    <n v="0"/>
    <n v="0"/>
    <n v="139.22999999999999"/>
    <x v="8"/>
    <s v="App Mobile"/>
    <s v="App Mobile"/>
    <n v="139.22999999999999"/>
    <x v="376"/>
    <x v="3"/>
    <x v="376"/>
  </r>
  <r>
    <n v="1545"/>
    <x v="212"/>
    <n v="386"/>
    <n v="3"/>
    <n v="51.38"/>
    <n v="46.24"/>
    <n v="5.14"/>
    <n v="0.1"/>
    <n v="1"/>
    <n v="138.72999999999999"/>
    <x v="37"/>
    <s v="E-commerce"/>
    <s v="Website Banner"/>
    <n v="138.72"/>
    <x v="127"/>
    <x v="0"/>
    <x v="127"/>
  </r>
  <r>
    <n v="331"/>
    <x v="326"/>
    <n v="242"/>
    <n v="3"/>
    <n v="51.25"/>
    <n v="46.12"/>
    <n v="5.12"/>
    <n v="0.1"/>
    <n v="1"/>
    <n v="138.38"/>
    <x v="32"/>
    <s v="E-commerce"/>
    <s v="Website Banner"/>
    <n v="138.35999999999999"/>
    <x v="130"/>
    <x v="1"/>
    <x v="130"/>
  </r>
  <r>
    <n v="460"/>
    <x v="751"/>
    <n v="351"/>
    <n v="3"/>
    <n v="46.11"/>
    <n v="46.11"/>
    <n v="0"/>
    <n v="0"/>
    <n v="0"/>
    <n v="138.33000000000001"/>
    <x v="17"/>
    <s v="App Mobile"/>
    <s v="App Mobile"/>
    <n v="138.32999999999998"/>
    <x v="174"/>
    <x v="2"/>
    <x v="174"/>
  </r>
  <r>
    <n v="2345"/>
    <x v="370"/>
    <n v="351"/>
    <n v="3"/>
    <n v="46.11"/>
    <n v="46.11"/>
    <n v="0"/>
    <n v="0"/>
    <n v="0"/>
    <n v="138.33000000000001"/>
    <x v="19"/>
    <s v="E-commerce"/>
    <s v="Website Banner"/>
    <n v="138.32999999999998"/>
    <x v="174"/>
    <x v="2"/>
    <x v="174"/>
  </r>
  <r>
    <n v="2617"/>
    <x v="720"/>
    <n v="261"/>
    <n v="3"/>
    <n v="46.1"/>
    <n v="46.1"/>
    <n v="0"/>
    <n v="0"/>
    <n v="0"/>
    <n v="138.30000000000001"/>
    <x v="33"/>
    <s v="App Mobile"/>
    <s v="App Mobile"/>
    <n v="138.30000000000001"/>
    <x v="377"/>
    <x v="4"/>
    <x v="377"/>
  </r>
  <r>
    <n v="2452"/>
    <x v="747"/>
    <n v="62"/>
    <n v="3"/>
    <n v="46.09"/>
    <n v="46.09"/>
    <n v="0"/>
    <n v="0"/>
    <n v="0"/>
    <n v="138.27000000000001"/>
    <x v="42"/>
    <s v="E-commerce"/>
    <s v="Website Banner"/>
    <n v="138.27000000000001"/>
    <x v="378"/>
    <x v="2"/>
    <x v="378"/>
  </r>
  <r>
    <n v="3184"/>
    <x v="752"/>
    <n v="155"/>
    <n v="3"/>
    <n v="46.07"/>
    <n v="46.07"/>
    <n v="0"/>
    <n v="0"/>
    <n v="0"/>
    <n v="138.21"/>
    <x v="14"/>
    <s v="App Mobile"/>
    <s v="App Mobile"/>
    <n v="138.21"/>
    <x v="379"/>
    <x v="0"/>
    <x v="379"/>
  </r>
  <r>
    <n v="1665"/>
    <x v="753"/>
    <n v="94"/>
    <n v="3"/>
    <n v="45.8"/>
    <n v="45.8"/>
    <n v="0"/>
    <n v="0"/>
    <n v="0"/>
    <n v="137.4"/>
    <x v="34"/>
    <s v="App Mobile"/>
    <s v="App Mobile"/>
    <n v="137.39999999999998"/>
    <x v="175"/>
    <x v="1"/>
    <x v="175"/>
  </r>
  <r>
    <n v="1347"/>
    <x v="590"/>
    <n v="161"/>
    <n v="3"/>
    <n v="45.75"/>
    <n v="45.75"/>
    <n v="0"/>
    <n v="0"/>
    <n v="0"/>
    <n v="137.25"/>
    <x v="43"/>
    <s v="E-commerce"/>
    <s v="Website Banner"/>
    <n v="137.25"/>
    <x v="176"/>
    <x v="4"/>
    <x v="176"/>
  </r>
  <r>
    <n v="1025"/>
    <x v="754"/>
    <n v="316"/>
    <n v="3"/>
    <n v="45.73"/>
    <n v="45.73"/>
    <n v="0"/>
    <n v="0"/>
    <n v="0"/>
    <n v="137.19"/>
    <x v="12"/>
    <s v="E-commerce"/>
    <s v="Website Banner"/>
    <n v="137.19"/>
    <x v="381"/>
    <x v="4"/>
    <x v="381"/>
  </r>
  <r>
    <n v="401"/>
    <x v="619"/>
    <n v="229"/>
    <n v="3"/>
    <n v="45.58"/>
    <n v="45.58"/>
    <n v="0"/>
    <n v="0"/>
    <n v="0"/>
    <n v="136.74"/>
    <x v="27"/>
    <s v="E-commerce"/>
    <s v="Website Banner"/>
    <n v="136.74"/>
    <x v="179"/>
    <x v="1"/>
    <x v="179"/>
  </r>
  <r>
    <n v="1464"/>
    <x v="449"/>
    <n v="229"/>
    <n v="3"/>
    <n v="45.58"/>
    <n v="45.58"/>
    <n v="0"/>
    <n v="0"/>
    <n v="0"/>
    <n v="136.74"/>
    <x v="15"/>
    <s v="App Mobile"/>
    <s v="App Mobile"/>
    <n v="136.74"/>
    <x v="179"/>
    <x v="1"/>
    <x v="179"/>
  </r>
  <r>
    <n v="2393"/>
    <x v="755"/>
    <n v="20"/>
    <n v="3"/>
    <n v="45.42"/>
    <n v="45.42"/>
    <n v="0"/>
    <n v="0"/>
    <n v="0"/>
    <n v="136.26"/>
    <x v="49"/>
    <s v="E-commerce"/>
    <s v="Website Banner"/>
    <n v="136.26"/>
    <x v="180"/>
    <x v="0"/>
    <x v="180"/>
  </r>
  <r>
    <n v="2862"/>
    <x v="756"/>
    <n v="89"/>
    <n v="3"/>
    <n v="45.12"/>
    <n v="45.12"/>
    <n v="0"/>
    <n v="0"/>
    <n v="0"/>
    <n v="135.36000000000001"/>
    <x v="6"/>
    <s v="App Mobile"/>
    <s v="App Mobile"/>
    <n v="135.35999999999999"/>
    <x v="457"/>
    <x v="1"/>
    <x v="457"/>
  </r>
  <r>
    <n v="829"/>
    <x v="757"/>
    <n v="128"/>
    <n v="3"/>
    <n v="44.9"/>
    <n v="44.9"/>
    <n v="0"/>
    <n v="0"/>
    <n v="0"/>
    <n v="134.69999999999999"/>
    <x v="47"/>
    <s v="E-commerce"/>
    <s v="Website Banner"/>
    <n v="134.69999999999999"/>
    <x v="383"/>
    <x v="4"/>
    <x v="383"/>
  </r>
  <r>
    <n v="2067"/>
    <x v="620"/>
    <n v="12"/>
    <n v="3"/>
    <n v="44.77"/>
    <n v="44.77"/>
    <n v="0"/>
    <n v="0"/>
    <n v="0"/>
    <n v="134.31"/>
    <x v="35"/>
    <s v="E-commerce"/>
    <s v="Website Banner"/>
    <n v="134.31"/>
    <x v="184"/>
    <x v="0"/>
    <x v="184"/>
  </r>
  <r>
    <n v="181"/>
    <x v="376"/>
    <n v="372"/>
    <n v="3"/>
    <n v="63.79"/>
    <n v="44.65"/>
    <n v="19.14"/>
    <n v="0.3"/>
    <n v="1"/>
    <n v="133.96"/>
    <x v="47"/>
    <s v="App Mobile"/>
    <s v="Social Media"/>
    <n v="133.94999999999999"/>
    <x v="34"/>
    <x v="2"/>
    <x v="34"/>
  </r>
  <r>
    <n v="640"/>
    <x v="682"/>
    <n v="179"/>
    <n v="3"/>
    <n v="44.59"/>
    <n v="44.59"/>
    <n v="0"/>
    <n v="0"/>
    <n v="0"/>
    <n v="133.77000000000001"/>
    <x v="15"/>
    <s v="App Mobile"/>
    <s v="App Mobile"/>
    <n v="133.77000000000001"/>
    <x v="384"/>
    <x v="4"/>
    <x v="384"/>
  </r>
  <r>
    <n v="594"/>
    <x v="420"/>
    <n v="322"/>
    <n v="3"/>
    <n v="44.45"/>
    <n v="44.45"/>
    <n v="0"/>
    <n v="0"/>
    <n v="0"/>
    <n v="133.35"/>
    <x v="9"/>
    <s v="E-commerce"/>
    <s v="Website Banner"/>
    <n v="133.35000000000002"/>
    <x v="185"/>
    <x v="0"/>
    <x v="185"/>
  </r>
  <r>
    <n v="3039"/>
    <x v="532"/>
    <n v="322"/>
    <n v="3"/>
    <n v="44.45"/>
    <n v="44.45"/>
    <n v="0"/>
    <n v="0"/>
    <n v="0"/>
    <n v="133.35"/>
    <x v="38"/>
    <s v="App Mobile"/>
    <s v="App Mobile"/>
    <n v="133.35000000000002"/>
    <x v="185"/>
    <x v="0"/>
    <x v="185"/>
  </r>
  <r>
    <n v="1620"/>
    <x v="588"/>
    <n v="489"/>
    <n v="3"/>
    <n v="44.21"/>
    <n v="44.21"/>
    <n v="0"/>
    <n v="0"/>
    <n v="0"/>
    <n v="132.63"/>
    <x v="14"/>
    <s v="App Mobile"/>
    <s v="App Mobile"/>
    <n v="132.63"/>
    <x v="458"/>
    <x v="4"/>
    <x v="458"/>
  </r>
  <r>
    <n v="976"/>
    <x v="56"/>
    <n v="280"/>
    <n v="3"/>
    <n v="44.14"/>
    <n v="44.14"/>
    <n v="0"/>
    <n v="0"/>
    <n v="0"/>
    <n v="132.41999999999999"/>
    <x v="14"/>
    <s v="App Mobile"/>
    <s v="App Mobile"/>
    <n v="132.42000000000002"/>
    <x v="187"/>
    <x v="4"/>
    <x v="187"/>
  </r>
  <r>
    <n v="1070"/>
    <x v="173"/>
    <n v="280"/>
    <n v="3"/>
    <n v="44.14"/>
    <n v="44.14"/>
    <n v="0"/>
    <n v="0"/>
    <n v="0"/>
    <n v="132.41999999999999"/>
    <x v="3"/>
    <s v="App Mobile"/>
    <s v="App Mobile"/>
    <n v="132.42000000000002"/>
    <x v="187"/>
    <x v="4"/>
    <x v="187"/>
  </r>
  <r>
    <n v="2272"/>
    <x v="650"/>
    <n v="280"/>
    <n v="3"/>
    <n v="44.14"/>
    <n v="44.14"/>
    <n v="0"/>
    <n v="0"/>
    <n v="0"/>
    <n v="132.41999999999999"/>
    <x v="49"/>
    <s v="App Mobile"/>
    <s v="App Mobile"/>
    <n v="132.42000000000002"/>
    <x v="187"/>
    <x v="4"/>
    <x v="187"/>
  </r>
  <r>
    <n v="363"/>
    <x v="483"/>
    <n v="373"/>
    <n v="3"/>
    <n v="44.12"/>
    <n v="44.12"/>
    <n v="0"/>
    <n v="0"/>
    <n v="0"/>
    <n v="132.36000000000001"/>
    <x v="6"/>
    <s v="E-commerce"/>
    <s v="Website Banner"/>
    <n v="132.35999999999999"/>
    <x v="188"/>
    <x v="1"/>
    <x v="188"/>
  </r>
  <r>
    <n v="1092"/>
    <x v="748"/>
    <n v="231"/>
    <n v="3"/>
    <n v="44.06"/>
    <n v="44.06"/>
    <n v="0"/>
    <n v="0"/>
    <n v="0"/>
    <n v="132.18"/>
    <x v="44"/>
    <s v="App Mobile"/>
    <s v="App Mobile"/>
    <n v="132.18"/>
    <x v="190"/>
    <x v="1"/>
    <x v="190"/>
  </r>
  <r>
    <n v="1956"/>
    <x v="70"/>
    <n v="231"/>
    <n v="3"/>
    <n v="44.06"/>
    <n v="44.06"/>
    <n v="0"/>
    <n v="0"/>
    <n v="0"/>
    <n v="132.18"/>
    <x v="36"/>
    <s v="E-commerce"/>
    <s v="Website Banner"/>
    <n v="132.18"/>
    <x v="190"/>
    <x v="1"/>
    <x v="190"/>
  </r>
  <r>
    <n v="284"/>
    <x v="671"/>
    <n v="411"/>
    <n v="3"/>
    <n v="43.94"/>
    <n v="43.94"/>
    <n v="0"/>
    <n v="0"/>
    <n v="0"/>
    <n v="131.82"/>
    <x v="4"/>
    <s v="E-commerce"/>
    <s v="Website Banner"/>
    <n v="131.82"/>
    <x v="459"/>
    <x v="3"/>
    <x v="459"/>
  </r>
  <r>
    <n v="1498"/>
    <x v="758"/>
    <n v="312"/>
    <n v="3"/>
    <n v="43.84"/>
    <n v="43.84"/>
    <n v="0"/>
    <n v="0"/>
    <n v="0"/>
    <n v="131.52000000000001"/>
    <x v="36"/>
    <s v="App Mobile"/>
    <s v="App Mobile"/>
    <n v="131.52000000000001"/>
    <x v="386"/>
    <x v="0"/>
    <x v="386"/>
  </r>
  <r>
    <n v="1064"/>
    <x v="573"/>
    <n v="363"/>
    <n v="3"/>
    <n v="43.64"/>
    <n v="43.64"/>
    <n v="0"/>
    <n v="0"/>
    <n v="0"/>
    <n v="130.91999999999999"/>
    <x v="20"/>
    <s v="E-commerce"/>
    <s v="Website Banner"/>
    <n v="130.92000000000002"/>
    <x v="192"/>
    <x v="0"/>
    <x v="192"/>
  </r>
  <r>
    <n v="763"/>
    <x v="319"/>
    <n v="211"/>
    <n v="3"/>
    <n v="43.5"/>
    <n v="43.5"/>
    <n v="0"/>
    <n v="0"/>
    <n v="0"/>
    <n v="130.5"/>
    <x v="8"/>
    <s v="App Mobile"/>
    <s v="App Mobile"/>
    <n v="130.5"/>
    <x v="387"/>
    <x v="1"/>
    <x v="387"/>
  </r>
  <r>
    <n v="2721"/>
    <x v="42"/>
    <n v="211"/>
    <n v="3"/>
    <n v="43.5"/>
    <n v="43.5"/>
    <n v="0"/>
    <n v="0"/>
    <n v="0"/>
    <n v="130.5"/>
    <x v="26"/>
    <s v="App Mobile"/>
    <s v="App Mobile"/>
    <n v="130.5"/>
    <x v="387"/>
    <x v="1"/>
    <x v="387"/>
  </r>
  <r>
    <n v="240"/>
    <x v="759"/>
    <n v="374"/>
    <n v="3"/>
    <n v="43.43"/>
    <n v="43.43"/>
    <n v="0"/>
    <n v="0"/>
    <n v="0"/>
    <n v="130.29"/>
    <x v="13"/>
    <s v="E-commerce"/>
    <s v="Website Banner"/>
    <n v="130.29"/>
    <x v="193"/>
    <x v="3"/>
    <x v="193"/>
  </r>
  <r>
    <n v="2980"/>
    <x v="746"/>
    <n v="374"/>
    <n v="3"/>
    <n v="43.43"/>
    <n v="43.43"/>
    <n v="0"/>
    <n v="0"/>
    <n v="0"/>
    <n v="130.29"/>
    <x v="19"/>
    <s v="App Mobile"/>
    <s v="App Mobile"/>
    <n v="130.29"/>
    <x v="193"/>
    <x v="3"/>
    <x v="193"/>
  </r>
  <r>
    <n v="2262"/>
    <x v="750"/>
    <n v="302"/>
    <n v="3"/>
    <n v="43.4"/>
    <n v="43.4"/>
    <n v="0"/>
    <n v="0"/>
    <n v="0"/>
    <n v="130.19999999999999"/>
    <x v="8"/>
    <s v="App Mobile"/>
    <s v="App Mobile"/>
    <n v="130.19999999999999"/>
    <x v="388"/>
    <x v="4"/>
    <x v="388"/>
  </r>
  <r>
    <n v="955"/>
    <x v="760"/>
    <n v="434"/>
    <n v="3"/>
    <n v="43.14"/>
    <n v="43.14"/>
    <n v="0"/>
    <n v="0"/>
    <n v="0"/>
    <n v="129.41999999999999"/>
    <x v="25"/>
    <s v="E-commerce"/>
    <s v="Website Banner"/>
    <n v="129.42000000000002"/>
    <x v="195"/>
    <x v="4"/>
    <x v="195"/>
  </r>
  <r>
    <n v="1233"/>
    <x v="22"/>
    <n v="329"/>
    <n v="3"/>
    <n v="43.09"/>
    <n v="43.09"/>
    <n v="0"/>
    <n v="0"/>
    <n v="0"/>
    <n v="129.27000000000001"/>
    <x v="17"/>
    <s v="App Mobile"/>
    <s v="App Mobile"/>
    <n v="129.27000000000001"/>
    <x v="390"/>
    <x v="3"/>
    <x v="390"/>
  </r>
  <r>
    <n v="3040"/>
    <x v="296"/>
    <n v="102"/>
    <n v="3"/>
    <n v="43.06"/>
    <n v="43.06"/>
    <n v="0"/>
    <n v="0"/>
    <n v="0"/>
    <n v="129.18"/>
    <x v="5"/>
    <s v="E-commerce"/>
    <s v="Website Banner"/>
    <n v="129.18"/>
    <x v="197"/>
    <x v="4"/>
    <x v="197"/>
  </r>
  <r>
    <n v="2243"/>
    <x v="64"/>
    <n v="369"/>
    <n v="3"/>
    <n v="43.04"/>
    <n v="43.04"/>
    <n v="0"/>
    <n v="0"/>
    <n v="0"/>
    <n v="129.12"/>
    <x v="16"/>
    <s v="E-commerce"/>
    <s v="Website Banner"/>
    <n v="129.12"/>
    <x v="198"/>
    <x v="0"/>
    <x v="198"/>
  </r>
  <r>
    <n v="2681"/>
    <x v="462"/>
    <n v="369"/>
    <n v="3"/>
    <n v="43.04"/>
    <n v="43.04"/>
    <n v="0"/>
    <n v="0"/>
    <n v="0"/>
    <n v="129.12"/>
    <x v="43"/>
    <s v="App Mobile"/>
    <s v="App Mobile"/>
    <n v="129.12"/>
    <x v="198"/>
    <x v="0"/>
    <x v="198"/>
  </r>
  <r>
    <n v="644"/>
    <x v="239"/>
    <n v="24"/>
    <n v="3"/>
    <n v="42.76"/>
    <n v="42.76"/>
    <n v="0"/>
    <n v="0"/>
    <n v="0"/>
    <n v="128.28"/>
    <x v="11"/>
    <s v="E-commerce"/>
    <s v="Website Banner"/>
    <n v="128.28"/>
    <x v="391"/>
    <x v="0"/>
    <x v="391"/>
  </r>
  <r>
    <n v="1141"/>
    <x v="126"/>
    <n v="24"/>
    <n v="3"/>
    <n v="42.76"/>
    <n v="42.76"/>
    <n v="0"/>
    <n v="0"/>
    <n v="0"/>
    <n v="128.28"/>
    <x v="26"/>
    <s v="E-commerce"/>
    <s v="Website Banner"/>
    <n v="128.28"/>
    <x v="391"/>
    <x v="0"/>
    <x v="391"/>
  </r>
  <r>
    <n v="2763"/>
    <x v="3"/>
    <n v="476"/>
    <n v="3"/>
    <n v="42.72"/>
    <n v="42.72"/>
    <n v="0"/>
    <n v="0"/>
    <n v="0"/>
    <n v="128.16"/>
    <x v="3"/>
    <s v="App Mobile"/>
    <s v="App Mobile"/>
    <n v="128.16"/>
    <x v="199"/>
    <x v="1"/>
    <x v="199"/>
  </r>
  <r>
    <n v="1555"/>
    <x v="482"/>
    <n v="375"/>
    <n v="3"/>
    <n v="42.67"/>
    <n v="42.67"/>
    <n v="0"/>
    <n v="0"/>
    <n v="0"/>
    <n v="128.01"/>
    <x v="27"/>
    <s v="E-commerce"/>
    <s v="Website Banner"/>
    <n v="128.01"/>
    <x v="200"/>
    <x v="1"/>
    <x v="200"/>
  </r>
  <r>
    <n v="666"/>
    <x v="761"/>
    <n v="177"/>
    <n v="3"/>
    <n v="42.66"/>
    <n v="42.66"/>
    <n v="0"/>
    <n v="0"/>
    <n v="0"/>
    <n v="127.98"/>
    <x v="25"/>
    <s v="App Mobile"/>
    <s v="App Mobile"/>
    <n v="127.97999999999999"/>
    <x v="201"/>
    <x v="3"/>
    <x v="201"/>
  </r>
  <r>
    <n v="1097"/>
    <x v="388"/>
    <n v="177"/>
    <n v="3"/>
    <n v="42.66"/>
    <n v="42.66"/>
    <n v="0"/>
    <n v="0"/>
    <n v="0"/>
    <n v="127.98"/>
    <x v="24"/>
    <s v="E-commerce"/>
    <s v="Website Banner"/>
    <n v="127.97999999999999"/>
    <x v="201"/>
    <x v="3"/>
    <x v="201"/>
  </r>
  <r>
    <n v="205"/>
    <x v="26"/>
    <n v="395"/>
    <n v="3"/>
    <n v="42.31"/>
    <n v="42.31"/>
    <n v="0"/>
    <n v="0"/>
    <n v="0"/>
    <n v="126.93"/>
    <x v="20"/>
    <s v="E-commerce"/>
    <s v="Website Banner"/>
    <n v="126.93"/>
    <x v="460"/>
    <x v="0"/>
    <x v="460"/>
  </r>
  <r>
    <n v="3119"/>
    <x v="693"/>
    <n v="309"/>
    <n v="3"/>
    <n v="42.14"/>
    <n v="42.14"/>
    <n v="0"/>
    <n v="0"/>
    <n v="0"/>
    <n v="126.42"/>
    <x v="44"/>
    <s v="App Mobile"/>
    <s v="App Mobile"/>
    <n v="126.42"/>
    <x v="205"/>
    <x v="0"/>
    <x v="205"/>
  </r>
  <r>
    <n v="795"/>
    <x v="762"/>
    <n v="202"/>
    <n v="3"/>
    <n v="41.88"/>
    <n v="41.88"/>
    <n v="0"/>
    <n v="0"/>
    <n v="0"/>
    <n v="125.64"/>
    <x v="24"/>
    <s v="E-commerce"/>
    <s v="Website Banner"/>
    <n v="125.64000000000001"/>
    <x v="207"/>
    <x v="4"/>
    <x v="207"/>
  </r>
  <r>
    <n v="1766"/>
    <x v="589"/>
    <n v="423"/>
    <n v="3"/>
    <n v="41.64"/>
    <n v="41.64"/>
    <n v="0"/>
    <n v="0"/>
    <n v="0"/>
    <n v="124.92"/>
    <x v="46"/>
    <s v="App Mobile"/>
    <s v="App Mobile"/>
    <n v="124.92"/>
    <x v="210"/>
    <x v="4"/>
    <x v="210"/>
  </r>
  <r>
    <n v="2380"/>
    <x v="763"/>
    <n v="423"/>
    <n v="3"/>
    <n v="41.64"/>
    <n v="41.64"/>
    <n v="0"/>
    <n v="0"/>
    <n v="0"/>
    <n v="124.92"/>
    <x v="26"/>
    <s v="App Mobile"/>
    <s v="App Mobile"/>
    <n v="124.92"/>
    <x v="210"/>
    <x v="4"/>
    <x v="210"/>
  </r>
  <r>
    <n v="997"/>
    <x v="764"/>
    <n v="316"/>
    <n v="3"/>
    <n v="45.73"/>
    <n v="41.16"/>
    <n v="4.57"/>
    <n v="0.1"/>
    <n v="1"/>
    <n v="123.47"/>
    <x v="30"/>
    <s v="E-commerce"/>
    <s v="Website Banner"/>
    <n v="123.47999999999999"/>
    <x v="381"/>
    <x v="4"/>
    <x v="381"/>
  </r>
  <r>
    <n v="689"/>
    <x v="336"/>
    <n v="63"/>
    <n v="3"/>
    <n v="58.67"/>
    <n v="41.07"/>
    <n v="17.600000000000001"/>
    <n v="0.3"/>
    <n v="1"/>
    <n v="123.21"/>
    <x v="42"/>
    <s v="App Mobile"/>
    <s v="Social Media"/>
    <n v="123.21000000000001"/>
    <x v="63"/>
    <x v="3"/>
    <x v="63"/>
  </r>
  <r>
    <n v="1825"/>
    <x v="765"/>
    <n v="18"/>
    <n v="3"/>
    <n v="40.99"/>
    <n v="40.99"/>
    <n v="0"/>
    <n v="0"/>
    <n v="0"/>
    <n v="122.97"/>
    <x v="13"/>
    <s v="App Mobile"/>
    <s v="App Mobile"/>
    <n v="122.97"/>
    <x v="214"/>
    <x v="1"/>
    <x v="214"/>
  </r>
  <r>
    <n v="3086"/>
    <x v="257"/>
    <n v="145"/>
    <n v="3"/>
    <n v="58.25"/>
    <n v="40.78"/>
    <n v="17.47"/>
    <n v="0.3"/>
    <n v="1"/>
    <n v="122.33"/>
    <x v="47"/>
    <s v="App Mobile"/>
    <s v="Social Media"/>
    <n v="122.34"/>
    <x v="66"/>
    <x v="1"/>
    <x v="66"/>
  </r>
  <r>
    <n v="68"/>
    <x v="281"/>
    <n v="1"/>
    <n v="3"/>
    <n v="40.409999999999997"/>
    <n v="40.409999999999997"/>
    <n v="0"/>
    <n v="0"/>
    <n v="0"/>
    <n v="121.23"/>
    <x v="28"/>
    <s v="E-commerce"/>
    <s v="Website Banner"/>
    <n v="121.22999999999999"/>
    <x v="461"/>
    <x v="0"/>
    <x v="461"/>
  </r>
  <r>
    <n v="2783"/>
    <x v="432"/>
    <n v="16"/>
    <n v="3"/>
    <n v="40.36"/>
    <n v="40.36"/>
    <n v="0"/>
    <n v="0"/>
    <n v="0"/>
    <n v="121.08"/>
    <x v="33"/>
    <s v="App Mobile"/>
    <s v="App Mobile"/>
    <n v="121.08"/>
    <x v="219"/>
    <x v="2"/>
    <x v="219"/>
  </r>
  <r>
    <n v="2116"/>
    <x v="691"/>
    <n v="292"/>
    <n v="3"/>
    <n v="40.119999999999997"/>
    <n v="40.119999999999997"/>
    <n v="0"/>
    <n v="0"/>
    <n v="0"/>
    <n v="120.36"/>
    <x v="28"/>
    <s v="E-commerce"/>
    <s v="Website Banner"/>
    <n v="120.35999999999999"/>
    <x v="221"/>
    <x v="4"/>
    <x v="221"/>
  </r>
  <r>
    <n v="2746"/>
    <x v="62"/>
    <n v="475"/>
    <n v="3"/>
    <n v="39.69"/>
    <n v="39.69"/>
    <n v="0"/>
    <n v="0"/>
    <n v="0"/>
    <n v="119.07"/>
    <x v="27"/>
    <s v="E-commerce"/>
    <s v="Website Banner"/>
    <n v="119.07"/>
    <x v="395"/>
    <x v="0"/>
    <x v="395"/>
  </r>
  <r>
    <n v="1653"/>
    <x v="618"/>
    <n v="294"/>
    <n v="3"/>
    <n v="56.69"/>
    <n v="39.68"/>
    <n v="17.010000000000002"/>
    <n v="0.3"/>
    <n v="1"/>
    <n v="119.05"/>
    <x v="22"/>
    <s v="App Mobile"/>
    <s v="Social Media"/>
    <n v="119.03999999999999"/>
    <x v="81"/>
    <x v="1"/>
    <x v="81"/>
  </r>
  <r>
    <n v="1963"/>
    <x v="766"/>
    <n v="294"/>
    <n v="3"/>
    <n v="56.69"/>
    <n v="39.68"/>
    <n v="17.010000000000002"/>
    <n v="0.3"/>
    <n v="1"/>
    <n v="119.05"/>
    <x v="12"/>
    <s v="App Mobile"/>
    <s v="Social Media"/>
    <n v="119.03999999999999"/>
    <x v="81"/>
    <x v="1"/>
    <x v="81"/>
  </r>
  <r>
    <n v="1198"/>
    <x v="664"/>
    <n v="283"/>
    <n v="3"/>
    <n v="39.619999999999997"/>
    <n v="39.619999999999997"/>
    <n v="0"/>
    <n v="0"/>
    <n v="0"/>
    <n v="118.86"/>
    <x v="25"/>
    <s v="E-commerce"/>
    <s v="Website Banner"/>
    <n v="118.85999999999999"/>
    <x v="225"/>
    <x v="1"/>
    <x v="225"/>
  </r>
  <r>
    <n v="1192"/>
    <x v="738"/>
    <n v="490"/>
    <n v="3"/>
    <n v="39.42"/>
    <n v="39.42"/>
    <n v="0"/>
    <n v="0"/>
    <n v="0"/>
    <n v="118.26"/>
    <x v="48"/>
    <s v="App Mobile"/>
    <s v="App Mobile"/>
    <n v="118.26"/>
    <x v="226"/>
    <x v="1"/>
    <x v="226"/>
  </r>
  <r>
    <n v="2987"/>
    <x v="767"/>
    <n v="490"/>
    <n v="3"/>
    <n v="39.42"/>
    <n v="39.42"/>
    <n v="0"/>
    <n v="0"/>
    <n v="0"/>
    <n v="118.26"/>
    <x v="14"/>
    <s v="E-commerce"/>
    <s v="Website Banner"/>
    <n v="118.26"/>
    <x v="226"/>
    <x v="1"/>
    <x v="226"/>
  </r>
  <r>
    <n v="129"/>
    <x v="250"/>
    <n v="178"/>
    <n v="3"/>
    <n v="39.340000000000003"/>
    <n v="39.340000000000003"/>
    <n v="0"/>
    <n v="0"/>
    <n v="0"/>
    <n v="118.02"/>
    <x v="5"/>
    <s v="E-commerce"/>
    <s v="Website Banner"/>
    <n v="118.02000000000001"/>
    <x v="227"/>
    <x v="2"/>
    <x v="227"/>
  </r>
  <r>
    <n v="2344"/>
    <x v="667"/>
    <n v="204"/>
    <n v="3"/>
    <n v="39.200000000000003"/>
    <n v="39.200000000000003"/>
    <n v="0"/>
    <n v="0"/>
    <n v="0"/>
    <n v="117.6"/>
    <x v="24"/>
    <s v="E-commerce"/>
    <s v="Website Banner"/>
    <n v="117.60000000000001"/>
    <x v="254"/>
    <x v="0"/>
    <x v="254"/>
  </r>
  <r>
    <n v="3155"/>
    <x v="768"/>
    <n v="204"/>
    <n v="3"/>
    <n v="39.200000000000003"/>
    <n v="39.200000000000003"/>
    <n v="0"/>
    <n v="0"/>
    <n v="0"/>
    <n v="117.6"/>
    <x v="10"/>
    <s v="E-commerce"/>
    <s v="Website Banner"/>
    <n v="117.60000000000001"/>
    <x v="254"/>
    <x v="0"/>
    <x v="254"/>
  </r>
  <r>
    <n v="3349"/>
    <x v="235"/>
    <n v="204"/>
    <n v="3"/>
    <n v="39.200000000000003"/>
    <n v="39.200000000000003"/>
    <n v="0"/>
    <n v="0"/>
    <n v="0"/>
    <n v="117.6"/>
    <x v="17"/>
    <s v="App Mobile"/>
    <s v="App Mobile"/>
    <n v="117.60000000000001"/>
    <x v="254"/>
    <x v="0"/>
    <x v="254"/>
  </r>
  <r>
    <n v="1583"/>
    <x v="769"/>
    <n v="113"/>
    <n v="3"/>
    <n v="39.18"/>
    <n v="39.18"/>
    <n v="0"/>
    <n v="0"/>
    <n v="0"/>
    <n v="117.54"/>
    <x v="2"/>
    <s v="E-commerce"/>
    <s v="Website Banner"/>
    <n v="117.53999999999999"/>
    <x v="229"/>
    <x v="0"/>
    <x v="229"/>
  </r>
  <r>
    <n v="2558"/>
    <x v="187"/>
    <n v="141"/>
    <n v="3"/>
    <n v="39.159999999999997"/>
    <n v="39.159999999999997"/>
    <n v="0"/>
    <n v="0"/>
    <n v="0"/>
    <n v="117.48"/>
    <x v="49"/>
    <s v="E-commerce"/>
    <s v="Website Banner"/>
    <n v="117.47999999999999"/>
    <x v="396"/>
    <x v="0"/>
    <x v="396"/>
  </r>
  <r>
    <n v="150"/>
    <x v="770"/>
    <n v="211"/>
    <n v="3"/>
    <n v="43.5"/>
    <n v="39.15"/>
    <n v="4.3499999999999996"/>
    <n v="0.1"/>
    <n v="1"/>
    <n v="117.45"/>
    <x v="37"/>
    <s v="E-commerce"/>
    <s v="Website Banner"/>
    <n v="117.44999999999999"/>
    <x v="387"/>
    <x v="1"/>
    <x v="387"/>
  </r>
  <r>
    <n v="2766"/>
    <x v="178"/>
    <n v="456"/>
    <n v="3"/>
    <n v="39.090000000000003"/>
    <n v="39.090000000000003"/>
    <n v="0"/>
    <n v="0"/>
    <n v="0"/>
    <n v="117.27"/>
    <x v="44"/>
    <s v="E-commerce"/>
    <s v="Website Banner"/>
    <n v="117.27000000000001"/>
    <x v="231"/>
    <x v="0"/>
    <x v="231"/>
  </r>
  <r>
    <n v="1069"/>
    <x v="97"/>
    <n v="477"/>
    <n v="3"/>
    <n v="38.9"/>
    <n v="38.9"/>
    <n v="0"/>
    <n v="0"/>
    <n v="0"/>
    <n v="116.7"/>
    <x v="1"/>
    <s v="E-commerce"/>
    <s v="Website Banner"/>
    <n v="116.69999999999999"/>
    <x v="233"/>
    <x v="1"/>
    <x v="233"/>
  </r>
  <r>
    <n v="1781"/>
    <x v="694"/>
    <n v="477"/>
    <n v="3"/>
    <n v="38.9"/>
    <n v="38.9"/>
    <n v="0"/>
    <n v="0"/>
    <n v="0"/>
    <n v="116.7"/>
    <x v="34"/>
    <s v="App Mobile"/>
    <s v="App Mobile"/>
    <n v="116.69999999999999"/>
    <x v="233"/>
    <x v="1"/>
    <x v="233"/>
  </r>
  <r>
    <n v="190"/>
    <x v="771"/>
    <n v="180"/>
    <n v="3"/>
    <n v="38.81"/>
    <n v="38.81"/>
    <n v="0"/>
    <n v="0"/>
    <n v="0"/>
    <n v="116.43"/>
    <x v="13"/>
    <s v="App Mobile"/>
    <s v="App Mobile"/>
    <n v="116.43"/>
    <x v="234"/>
    <x v="1"/>
    <x v="234"/>
  </r>
  <r>
    <n v="2792"/>
    <x v="180"/>
    <n v="180"/>
    <n v="3"/>
    <n v="38.81"/>
    <n v="38.81"/>
    <n v="0"/>
    <n v="0"/>
    <n v="0"/>
    <n v="116.43"/>
    <x v="13"/>
    <s v="App Mobile"/>
    <s v="App Mobile"/>
    <n v="116.43"/>
    <x v="234"/>
    <x v="1"/>
    <x v="234"/>
  </r>
  <r>
    <n v="1376"/>
    <x v="651"/>
    <n v="233"/>
    <n v="3"/>
    <n v="38.68"/>
    <n v="38.68"/>
    <n v="0"/>
    <n v="0"/>
    <n v="0"/>
    <n v="116.04"/>
    <x v="21"/>
    <s v="E-commerce"/>
    <s v="Website Banner"/>
    <n v="116.03999999999999"/>
    <x v="236"/>
    <x v="1"/>
    <x v="236"/>
  </r>
  <r>
    <n v="2041"/>
    <x v="772"/>
    <n v="376"/>
    <n v="3"/>
    <n v="38.520000000000003"/>
    <n v="38.520000000000003"/>
    <n v="0"/>
    <n v="0"/>
    <n v="0"/>
    <n v="115.56"/>
    <x v="38"/>
    <s v="E-commerce"/>
    <s v="Website Banner"/>
    <n v="115.56"/>
    <x v="237"/>
    <x v="3"/>
    <x v="237"/>
  </r>
  <r>
    <n v="2885"/>
    <x v="299"/>
    <n v="376"/>
    <n v="3"/>
    <n v="38.520000000000003"/>
    <n v="38.520000000000003"/>
    <n v="0"/>
    <n v="0"/>
    <n v="0"/>
    <n v="115.56"/>
    <x v="50"/>
    <s v="E-commerce"/>
    <s v="Website Banner"/>
    <n v="115.56"/>
    <x v="237"/>
    <x v="3"/>
    <x v="237"/>
  </r>
  <r>
    <n v="1645"/>
    <x v="272"/>
    <n v="484"/>
    <n v="3"/>
    <n v="38.49"/>
    <n v="38.49"/>
    <n v="0"/>
    <n v="0"/>
    <n v="0"/>
    <n v="115.47"/>
    <x v="33"/>
    <s v="App Mobile"/>
    <s v="App Mobile"/>
    <n v="115.47"/>
    <x v="412"/>
    <x v="2"/>
    <x v="412"/>
  </r>
  <r>
    <n v="2259"/>
    <x v="686"/>
    <n v="484"/>
    <n v="3"/>
    <n v="38.49"/>
    <n v="38.49"/>
    <n v="0"/>
    <n v="0"/>
    <n v="0"/>
    <n v="115.47"/>
    <x v="5"/>
    <s v="E-commerce"/>
    <s v="Website Banner"/>
    <n v="115.47"/>
    <x v="412"/>
    <x v="2"/>
    <x v="412"/>
  </r>
  <r>
    <n v="1840"/>
    <x v="641"/>
    <n v="417"/>
    <n v="3"/>
    <n v="38.42"/>
    <n v="38.42"/>
    <n v="0"/>
    <n v="0"/>
    <n v="0"/>
    <n v="115.26"/>
    <x v="45"/>
    <s v="E-commerce"/>
    <s v="Website Banner"/>
    <n v="115.26"/>
    <x v="398"/>
    <x v="1"/>
    <x v="398"/>
  </r>
  <r>
    <n v="672"/>
    <x v="279"/>
    <n v="304"/>
    <n v="3"/>
    <n v="54.88"/>
    <n v="38.42"/>
    <n v="16.46"/>
    <n v="0.3"/>
    <n v="1"/>
    <n v="115.25"/>
    <x v="29"/>
    <s v="App Mobile"/>
    <s v="Social Media"/>
    <n v="115.26"/>
    <x v="462"/>
    <x v="4"/>
    <x v="462"/>
  </r>
  <r>
    <n v="1760"/>
    <x v="213"/>
    <n v="256"/>
    <n v="3"/>
    <n v="38.409999999999997"/>
    <n v="38.409999999999997"/>
    <n v="0"/>
    <n v="0"/>
    <n v="0"/>
    <n v="115.23"/>
    <x v="34"/>
    <s v="E-commerce"/>
    <s v="Website Banner"/>
    <n v="115.22999999999999"/>
    <x v="238"/>
    <x v="3"/>
    <x v="238"/>
  </r>
  <r>
    <n v="3161"/>
    <x v="337"/>
    <n v="389"/>
    <n v="3"/>
    <n v="54.76"/>
    <n v="38.33"/>
    <n v="16.43"/>
    <n v="0.3"/>
    <n v="1"/>
    <n v="115"/>
    <x v="27"/>
    <s v="App Mobile"/>
    <s v="Social Media"/>
    <n v="114.99"/>
    <x v="449"/>
    <x v="3"/>
    <x v="449"/>
  </r>
  <r>
    <n v="865"/>
    <x v="704"/>
    <n v="498"/>
    <n v="3"/>
    <n v="38.33"/>
    <n v="38.33"/>
    <n v="0"/>
    <n v="0"/>
    <n v="0"/>
    <n v="114.99"/>
    <x v="19"/>
    <s v="E-commerce"/>
    <s v="Website Banner"/>
    <n v="114.99"/>
    <x v="399"/>
    <x v="4"/>
    <x v="399"/>
  </r>
  <r>
    <n v="1013"/>
    <x v="44"/>
    <n v="498"/>
    <n v="3"/>
    <n v="38.33"/>
    <n v="38.33"/>
    <n v="0"/>
    <n v="0"/>
    <n v="0"/>
    <n v="114.99"/>
    <x v="7"/>
    <s v="App Mobile"/>
    <s v="App Mobile"/>
    <n v="114.99"/>
    <x v="399"/>
    <x v="4"/>
    <x v="399"/>
  </r>
  <r>
    <n v="1451"/>
    <x v="668"/>
    <n v="240"/>
    <n v="3"/>
    <n v="38.14"/>
    <n v="38.14"/>
    <n v="0"/>
    <n v="0"/>
    <n v="0"/>
    <n v="114.42"/>
    <x v="19"/>
    <s v="E-commerce"/>
    <s v="Website Banner"/>
    <n v="114.42"/>
    <x v="239"/>
    <x v="2"/>
    <x v="239"/>
  </r>
  <r>
    <n v="2940"/>
    <x v="773"/>
    <n v="240"/>
    <n v="3"/>
    <n v="38.14"/>
    <n v="38.14"/>
    <n v="0"/>
    <n v="0"/>
    <n v="0"/>
    <n v="114.42"/>
    <x v="29"/>
    <s v="E-commerce"/>
    <s v="Website Banner"/>
    <n v="114.42"/>
    <x v="239"/>
    <x v="2"/>
    <x v="239"/>
  </r>
  <r>
    <n v="681"/>
    <x v="774"/>
    <n v="387"/>
    <n v="3"/>
    <n v="38.06"/>
    <n v="38.06"/>
    <n v="0"/>
    <n v="0"/>
    <n v="0"/>
    <n v="114.18"/>
    <x v="49"/>
    <s v="E-commerce"/>
    <s v="Website Banner"/>
    <n v="114.18"/>
    <x v="241"/>
    <x v="3"/>
    <x v="241"/>
  </r>
  <r>
    <n v="1639"/>
    <x v="689"/>
    <n v="387"/>
    <n v="3"/>
    <n v="38.06"/>
    <n v="38.06"/>
    <n v="0"/>
    <n v="0"/>
    <n v="0"/>
    <n v="114.18"/>
    <x v="21"/>
    <s v="App Mobile"/>
    <s v="App Mobile"/>
    <n v="114.18"/>
    <x v="241"/>
    <x v="3"/>
    <x v="241"/>
  </r>
  <r>
    <n v="251"/>
    <x v="433"/>
    <n v="500"/>
    <n v="3"/>
    <n v="38.03"/>
    <n v="38.03"/>
    <n v="0"/>
    <n v="0"/>
    <n v="0"/>
    <n v="114.09"/>
    <x v="10"/>
    <s v="App Mobile"/>
    <s v="App Mobile"/>
    <n v="114.09"/>
    <x v="242"/>
    <x v="0"/>
    <x v="242"/>
  </r>
  <r>
    <n v="101"/>
    <x v="628"/>
    <n v="439"/>
    <n v="3"/>
    <n v="53.93"/>
    <n v="37.75"/>
    <n v="16.18"/>
    <n v="0.3"/>
    <n v="1"/>
    <n v="113.25"/>
    <x v="22"/>
    <s v="App Mobile"/>
    <s v="Social Media"/>
    <n v="113.25"/>
    <x v="100"/>
    <x v="2"/>
    <x v="100"/>
  </r>
  <r>
    <n v="2428"/>
    <x v="475"/>
    <n v="85"/>
    <n v="3"/>
    <n v="37.35"/>
    <n v="37.35"/>
    <n v="0"/>
    <n v="0"/>
    <n v="0"/>
    <n v="112.05"/>
    <x v="32"/>
    <s v="App Mobile"/>
    <s v="App Mobile"/>
    <n v="112.05000000000001"/>
    <x v="401"/>
    <x v="0"/>
    <x v="401"/>
  </r>
  <r>
    <n v="2458"/>
    <x v="775"/>
    <n v="85"/>
    <n v="3"/>
    <n v="37.35"/>
    <n v="37.35"/>
    <n v="0"/>
    <n v="0"/>
    <n v="0"/>
    <n v="112.05"/>
    <x v="0"/>
    <s v="E-commerce"/>
    <s v="Website Banner"/>
    <n v="112.05000000000001"/>
    <x v="401"/>
    <x v="0"/>
    <x v="401"/>
  </r>
  <r>
    <n v="2855"/>
    <x v="741"/>
    <n v="408"/>
    <n v="3"/>
    <n v="37.17"/>
    <n v="37.17"/>
    <n v="0"/>
    <n v="0"/>
    <n v="0"/>
    <n v="111.51"/>
    <x v="16"/>
    <s v="E-commerce"/>
    <s v="Website Banner"/>
    <n v="111.51"/>
    <x v="402"/>
    <x v="4"/>
    <x v="402"/>
  </r>
  <r>
    <n v="2455"/>
    <x v="308"/>
    <n v="215"/>
    <n v="3"/>
    <n v="37.11"/>
    <n v="37.11"/>
    <n v="0"/>
    <n v="0"/>
    <n v="0"/>
    <n v="111.33"/>
    <x v="24"/>
    <s v="E-commerce"/>
    <s v="Website Banner"/>
    <n v="111.33"/>
    <x v="245"/>
    <x v="2"/>
    <x v="245"/>
  </r>
  <r>
    <n v="1395"/>
    <x v="776"/>
    <n v="105"/>
    <n v="3"/>
    <n v="36.9"/>
    <n v="36.9"/>
    <n v="0"/>
    <n v="0"/>
    <n v="0"/>
    <n v="110.7"/>
    <x v="46"/>
    <s v="E-commerce"/>
    <s v="Website Banner"/>
    <n v="110.69999999999999"/>
    <x v="404"/>
    <x v="4"/>
    <x v="404"/>
  </r>
  <r>
    <n v="267"/>
    <x v="185"/>
    <n v="251"/>
    <n v="3"/>
    <n v="36.880000000000003"/>
    <n v="36.880000000000003"/>
    <n v="0"/>
    <n v="0"/>
    <n v="0"/>
    <n v="110.64"/>
    <x v="0"/>
    <s v="App Mobile"/>
    <s v="App Mobile"/>
    <n v="110.64000000000001"/>
    <x v="248"/>
    <x v="4"/>
    <x v="248"/>
  </r>
  <r>
    <n v="876"/>
    <x v="777"/>
    <n v="5"/>
    <n v="3"/>
    <n v="36.840000000000003"/>
    <n v="36.840000000000003"/>
    <n v="0"/>
    <n v="0"/>
    <n v="0"/>
    <n v="110.52"/>
    <x v="7"/>
    <s v="E-commerce"/>
    <s v="Website Banner"/>
    <n v="110.52000000000001"/>
    <x v="249"/>
    <x v="2"/>
    <x v="249"/>
  </r>
  <r>
    <n v="1082"/>
    <x v="771"/>
    <n v="248"/>
    <n v="3"/>
    <n v="36.79"/>
    <n v="36.79"/>
    <n v="0"/>
    <n v="0"/>
    <n v="0"/>
    <n v="110.37"/>
    <x v="13"/>
    <s v="App Mobile"/>
    <s v="App Mobile"/>
    <n v="110.37"/>
    <x v="463"/>
    <x v="4"/>
    <x v="463"/>
  </r>
  <r>
    <n v="3208"/>
    <x v="264"/>
    <n v="282"/>
    <n v="3"/>
    <n v="52.12"/>
    <n v="36.479999999999997"/>
    <n v="15.64"/>
    <n v="0.3"/>
    <n v="1"/>
    <n v="109.45"/>
    <x v="42"/>
    <s v="App Mobile"/>
    <s v="Social Media"/>
    <n v="109.44"/>
    <x v="358"/>
    <x v="2"/>
    <x v="358"/>
  </r>
  <r>
    <n v="661"/>
    <x v="778"/>
    <n v="17"/>
    <n v="3"/>
    <n v="51.9"/>
    <n v="36.33"/>
    <n v="15.57"/>
    <n v="0.3"/>
    <n v="1"/>
    <n v="108.99"/>
    <x v="22"/>
    <s v="App Mobile"/>
    <s v="Social Media"/>
    <n v="108.99"/>
    <x v="360"/>
    <x v="0"/>
    <x v="360"/>
  </r>
  <r>
    <n v="2034"/>
    <x v="779"/>
    <n v="480"/>
    <n v="3"/>
    <n v="51.63"/>
    <n v="36.14"/>
    <n v="15.49"/>
    <n v="0.3"/>
    <n v="1"/>
    <n v="108.42"/>
    <x v="27"/>
    <s v="App Mobile"/>
    <s v="Social Media"/>
    <n v="108.42"/>
    <x v="126"/>
    <x v="0"/>
    <x v="126"/>
  </r>
  <r>
    <n v="2488"/>
    <x v="466"/>
    <n v="497"/>
    <n v="3"/>
    <n v="36.049999999999997"/>
    <n v="36.049999999999997"/>
    <n v="0"/>
    <n v="0"/>
    <n v="0"/>
    <n v="108.15"/>
    <x v="6"/>
    <s v="E-commerce"/>
    <s v="Website Banner"/>
    <n v="108.14999999999999"/>
    <x v="407"/>
    <x v="0"/>
    <x v="407"/>
  </r>
  <r>
    <n v="859"/>
    <x v="780"/>
    <n v="427"/>
    <n v="3"/>
    <n v="36.01"/>
    <n v="36.01"/>
    <n v="0"/>
    <n v="0"/>
    <n v="0"/>
    <n v="108.03"/>
    <x v="11"/>
    <s v="App Mobile"/>
    <s v="App Mobile"/>
    <n v="108.03"/>
    <x v="252"/>
    <x v="3"/>
    <x v="252"/>
  </r>
  <r>
    <n v="2348"/>
    <x v="781"/>
    <n v="259"/>
    <n v="3"/>
    <n v="35.729999999999997"/>
    <n v="35.729999999999997"/>
    <n v="0"/>
    <n v="0"/>
    <n v="0"/>
    <n v="107.19"/>
    <x v="46"/>
    <s v="E-commerce"/>
    <s v="Website Banner"/>
    <n v="107.19"/>
    <x v="410"/>
    <x v="2"/>
    <x v="410"/>
  </r>
  <r>
    <n v="870"/>
    <x v="764"/>
    <n v="475"/>
    <n v="3"/>
    <n v="39.69"/>
    <n v="35.72"/>
    <n v="3.97"/>
    <n v="0.1"/>
    <n v="1"/>
    <n v="107.16"/>
    <x v="30"/>
    <s v="E-commerce"/>
    <s v="Website Banner"/>
    <n v="107.16"/>
    <x v="395"/>
    <x v="0"/>
    <x v="395"/>
  </r>
  <r>
    <n v="1690"/>
    <x v="362"/>
    <n v="396"/>
    <n v="3"/>
    <n v="51"/>
    <n v="35.700000000000003"/>
    <n v="15.3"/>
    <n v="0.3"/>
    <n v="1"/>
    <n v="107.1"/>
    <x v="27"/>
    <s v="App Mobile"/>
    <s v="Social Media"/>
    <n v="107.10000000000001"/>
    <x v="134"/>
    <x v="4"/>
    <x v="134"/>
  </r>
  <r>
    <n v="903"/>
    <x v="782"/>
    <n v="313"/>
    <n v="3"/>
    <n v="35.69"/>
    <n v="35.69"/>
    <n v="0"/>
    <n v="0"/>
    <n v="0"/>
    <n v="107.07"/>
    <x v="41"/>
    <s v="E-commerce"/>
    <s v="Website Banner"/>
    <n v="107.07"/>
    <x v="253"/>
    <x v="3"/>
    <x v="253"/>
  </r>
  <r>
    <n v="2430"/>
    <x v="22"/>
    <n v="313"/>
    <n v="3"/>
    <n v="35.69"/>
    <n v="35.69"/>
    <n v="0"/>
    <n v="0"/>
    <n v="0"/>
    <n v="107.07"/>
    <x v="17"/>
    <s v="App Mobile"/>
    <s v="App Mobile"/>
    <n v="107.07"/>
    <x v="253"/>
    <x v="3"/>
    <x v="253"/>
  </r>
  <r>
    <n v="884"/>
    <x v="548"/>
    <n v="414"/>
    <n v="3"/>
    <n v="35.200000000000003"/>
    <n v="35.200000000000003"/>
    <n v="0"/>
    <n v="0"/>
    <n v="0"/>
    <n v="105.6"/>
    <x v="36"/>
    <s v="App Mobile"/>
    <s v="App Mobile"/>
    <n v="105.60000000000001"/>
    <x v="255"/>
    <x v="3"/>
    <x v="255"/>
  </r>
  <r>
    <n v="3077"/>
    <x v="783"/>
    <n v="414"/>
    <n v="3"/>
    <n v="35.200000000000003"/>
    <n v="35.200000000000003"/>
    <n v="0"/>
    <n v="0"/>
    <n v="0"/>
    <n v="105.6"/>
    <x v="10"/>
    <s v="E-commerce"/>
    <s v="Website Banner"/>
    <n v="105.60000000000001"/>
    <x v="255"/>
    <x v="3"/>
    <x v="255"/>
  </r>
  <r>
    <n v="1071"/>
    <x v="784"/>
    <n v="454"/>
    <n v="3"/>
    <n v="35.159999999999997"/>
    <n v="35.159999999999997"/>
    <n v="0"/>
    <n v="0"/>
    <n v="0"/>
    <n v="105.48"/>
    <x v="10"/>
    <s v="App Mobile"/>
    <s v="App Mobile"/>
    <n v="105.47999999999999"/>
    <x v="464"/>
    <x v="3"/>
    <x v="464"/>
  </r>
  <r>
    <n v="3013"/>
    <x v="605"/>
    <n v="150"/>
    <n v="3"/>
    <n v="50.04"/>
    <n v="35.03"/>
    <n v="15.01"/>
    <n v="0.3"/>
    <n v="1"/>
    <n v="105.08"/>
    <x v="29"/>
    <s v="App Mobile"/>
    <s v="Social Media"/>
    <n v="105.09"/>
    <x v="144"/>
    <x v="4"/>
    <x v="144"/>
  </r>
  <r>
    <n v="1855"/>
    <x v="779"/>
    <n v="43"/>
    <n v="3"/>
    <n v="49.4"/>
    <n v="34.58"/>
    <n v="14.82"/>
    <n v="0.3"/>
    <n v="1"/>
    <n v="103.74"/>
    <x v="27"/>
    <s v="App Mobile"/>
    <s v="Social Media"/>
    <n v="103.74"/>
    <x v="364"/>
    <x v="0"/>
    <x v="364"/>
  </r>
  <r>
    <n v="408"/>
    <x v="60"/>
    <n v="402"/>
    <n v="3"/>
    <n v="34.450000000000003"/>
    <n v="34.450000000000003"/>
    <n v="0"/>
    <n v="0"/>
    <n v="0"/>
    <n v="103.35"/>
    <x v="24"/>
    <s v="App Mobile"/>
    <s v="App Mobile"/>
    <n v="103.35000000000001"/>
    <x v="257"/>
    <x v="3"/>
    <x v="257"/>
  </r>
  <r>
    <n v="1586"/>
    <x v="409"/>
    <n v="402"/>
    <n v="3"/>
    <n v="34.450000000000003"/>
    <n v="34.450000000000003"/>
    <n v="0"/>
    <n v="0"/>
    <n v="0"/>
    <n v="103.35"/>
    <x v="44"/>
    <s v="E-commerce"/>
    <s v="Website Banner"/>
    <n v="103.35000000000001"/>
    <x v="257"/>
    <x v="3"/>
    <x v="257"/>
  </r>
  <r>
    <n v="783"/>
    <x v="695"/>
    <n v="343"/>
    <n v="3"/>
    <n v="34.39"/>
    <n v="34.39"/>
    <n v="0"/>
    <n v="0"/>
    <n v="0"/>
    <n v="103.17"/>
    <x v="20"/>
    <s v="App Mobile"/>
    <s v="App Mobile"/>
    <n v="103.17"/>
    <x v="413"/>
    <x v="4"/>
    <x v="413"/>
  </r>
  <r>
    <n v="802"/>
    <x v="785"/>
    <n v="343"/>
    <n v="3"/>
    <n v="34.39"/>
    <n v="34.39"/>
    <n v="0"/>
    <n v="0"/>
    <n v="0"/>
    <n v="103.17"/>
    <x v="7"/>
    <s v="E-commerce"/>
    <s v="Website Banner"/>
    <n v="103.17"/>
    <x v="413"/>
    <x v="4"/>
    <x v="413"/>
  </r>
  <r>
    <n v="30"/>
    <x v="786"/>
    <n v="342"/>
    <n v="3"/>
    <n v="34.35"/>
    <n v="34.35"/>
    <n v="0"/>
    <n v="0"/>
    <n v="0"/>
    <n v="103.05"/>
    <x v="41"/>
    <s v="App Mobile"/>
    <s v="App Mobile"/>
    <n v="103.05000000000001"/>
    <x v="465"/>
    <x v="3"/>
    <x v="465"/>
  </r>
  <r>
    <n v="3009"/>
    <x v="710"/>
    <n v="342"/>
    <n v="3"/>
    <n v="34.35"/>
    <n v="34.35"/>
    <n v="0"/>
    <n v="0"/>
    <n v="0"/>
    <n v="103.05"/>
    <x v="7"/>
    <s v="App Mobile"/>
    <s v="App Mobile"/>
    <n v="103.05000000000001"/>
    <x v="465"/>
    <x v="3"/>
    <x v="465"/>
  </r>
  <r>
    <n v="861"/>
    <x v="718"/>
    <n v="13"/>
    <n v="3"/>
    <n v="34.25"/>
    <n v="34.25"/>
    <n v="0"/>
    <n v="0"/>
    <n v="0"/>
    <n v="102.75"/>
    <x v="13"/>
    <s v="E-commerce"/>
    <s v="Website Banner"/>
    <n v="102.75"/>
    <x v="466"/>
    <x v="1"/>
    <x v="466"/>
  </r>
  <r>
    <n v="2427"/>
    <x v="614"/>
    <n v="13"/>
    <n v="3"/>
    <n v="34.25"/>
    <n v="34.25"/>
    <n v="0"/>
    <n v="0"/>
    <n v="0"/>
    <n v="102.75"/>
    <x v="50"/>
    <s v="App Mobile"/>
    <s v="App Mobile"/>
    <n v="102.75"/>
    <x v="466"/>
    <x v="1"/>
    <x v="466"/>
  </r>
  <r>
    <n v="746"/>
    <x v="286"/>
    <n v="388"/>
    <n v="3"/>
    <n v="34.229999999999997"/>
    <n v="34.229999999999997"/>
    <n v="0"/>
    <n v="0"/>
    <n v="0"/>
    <n v="102.69"/>
    <x v="45"/>
    <s v="E-commerce"/>
    <s v="Website Banner"/>
    <n v="102.69"/>
    <x v="258"/>
    <x v="0"/>
    <x v="258"/>
  </r>
  <r>
    <n v="2730"/>
    <x v="778"/>
    <n v="274"/>
    <n v="3"/>
    <n v="48.38"/>
    <n v="33.869999999999997"/>
    <n v="14.51"/>
    <n v="0.3"/>
    <n v="1"/>
    <n v="101.6"/>
    <x v="22"/>
    <s v="App Mobile"/>
    <s v="Social Media"/>
    <n v="101.60999999999999"/>
    <x v="467"/>
    <x v="3"/>
    <x v="467"/>
  </r>
  <r>
    <n v="282"/>
    <x v="214"/>
    <n v="139"/>
    <n v="3"/>
    <n v="33.590000000000003"/>
    <n v="33.590000000000003"/>
    <n v="0"/>
    <n v="0"/>
    <n v="0"/>
    <n v="100.77"/>
    <x v="16"/>
    <s v="E-commerce"/>
    <s v="Website Banner"/>
    <n v="100.77000000000001"/>
    <x v="261"/>
    <x v="4"/>
    <x v="261"/>
  </r>
  <r>
    <n v="1865"/>
    <x v="415"/>
    <n v="139"/>
    <n v="3"/>
    <n v="33.590000000000003"/>
    <n v="33.590000000000003"/>
    <n v="0"/>
    <n v="0"/>
    <n v="0"/>
    <n v="100.77"/>
    <x v="4"/>
    <s v="App Mobile"/>
    <s v="App Mobile"/>
    <n v="100.77000000000001"/>
    <x v="261"/>
    <x v="4"/>
    <x v="261"/>
  </r>
  <r>
    <n v="1601"/>
    <x v="787"/>
    <n v="132"/>
    <n v="3"/>
    <n v="46.9"/>
    <n v="32.83"/>
    <n v="14.07"/>
    <n v="0.3"/>
    <n v="1"/>
    <n v="98.49"/>
    <x v="12"/>
    <s v="App Mobile"/>
    <s v="Social Media"/>
    <n v="98.49"/>
    <x v="170"/>
    <x v="1"/>
    <x v="170"/>
  </r>
  <r>
    <n v="2825"/>
    <x v="788"/>
    <n v="345"/>
    <n v="3"/>
    <n v="46.36"/>
    <n v="32.450000000000003"/>
    <n v="13.91"/>
    <n v="0.3"/>
    <n v="1"/>
    <n v="97.36"/>
    <x v="42"/>
    <s v="App Mobile"/>
    <s v="Social Media"/>
    <n v="97.350000000000009"/>
    <x v="173"/>
    <x v="4"/>
    <x v="173"/>
  </r>
  <r>
    <n v="965"/>
    <x v="789"/>
    <n v="209"/>
    <n v="3"/>
    <n v="32.409999999999997"/>
    <n v="32.409999999999997"/>
    <n v="0"/>
    <n v="0"/>
    <n v="0"/>
    <n v="97.23"/>
    <x v="1"/>
    <s v="E-commerce"/>
    <s v="Website Banner"/>
    <n v="97.22999999999999"/>
    <x v="265"/>
    <x v="1"/>
    <x v="265"/>
  </r>
  <r>
    <n v="1171"/>
    <x v="790"/>
    <n v="427"/>
    <n v="3"/>
    <n v="36.01"/>
    <n v="32.409999999999997"/>
    <n v="3.6"/>
    <n v="0.1"/>
    <n v="1"/>
    <n v="97.23"/>
    <x v="30"/>
    <s v="E-commerce"/>
    <s v="Website Banner"/>
    <n v="97.22999999999999"/>
    <x v="252"/>
    <x v="3"/>
    <x v="252"/>
  </r>
  <r>
    <n v="3158"/>
    <x v="510"/>
    <n v="209"/>
    <n v="3"/>
    <n v="32.409999999999997"/>
    <n v="32.409999999999997"/>
    <n v="0"/>
    <n v="0"/>
    <n v="0"/>
    <n v="97.23"/>
    <x v="9"/>
    <s v="E-commerce"/>
    <s v="Website Banner"/>
    <n v="97.22999999999999"/>
    <x v="265"/>
    <x v="1"/>
    <x v="265"/>
  </r>
  <r>
    <n v="529"/>
    <x v="683"/>
    <n v="84"/>
    <n v="3"/>
    <n v="31.84"/>
    <n v="31.84"/>
    <n v="0"/>
    <n v="0"/>
    <n v="0"/>
    <n v="95.52"/>
    <x v="43"/>
    <s v="E-commerce"/>
    <s v="Website Banner"/>
    <n v="95.52"/>
    <x v="270"/>
    <x v="1"/>
    <x v="270"/>
  </r>
  <r>
    <n v="1708"/>
    <x v="306"/>
    <n v="418"/>
    <n v="3"/>
    <n v="31.84"/>
    <n v="31.84"/>
    <n v="0"/>
    <n v="0"/>
    <n v="0"/>
    <n v="95.52"/>
    <x v="33"/>
    <s v="E-commerce"/>
    <s v="Website Banner"/>
    <n v="95.52"/>
    <x v="269"/>
    <x v="1"/>
    <x v="269"/>
  </r>
  <r>
    <n v="2686"/>
    <x v="593"/>
    <n v="418"/>
    <n v="3"/>
    <n v="31.84"/>
    <n v="31.84"/>
    <n v="0"/>
    <n v="0"/>
    <n v="0"/>
    <n v="95.52"/>
    <x v="13"/>
    <s v="App Mobile"/>
    <s v="App Mobile"/>
    <n v="95.52"/>
    <x v="269"/>
    <x v="1"/>
    <x v="269"/>
  </r>
  <r>
    <n v="2884"/>
    <x v="791"/>
    <n v="90"/>
    <n v="3"/>
    <n v="31.67"/>
    <n v="31.67"/>
    <n v="0"/>
    <n v="0"/>
    <n v="0"/>
    <n v="95.01"/>
    <x v="47"/>
    <s v="E-commerce"/>
    <s v="Website Banner"/>
    <n v="95.01"/>
    <x v="271"/>
    <x v="1"/>
    <x v="271"/>
  </r>
  <r>
    <n v="321"/>
    <x v="572"/>
    <n v="89"/>
    <n v="3"/>
    <n v="45.12"/>
    <n v="31.58"/>
    <n v="13.54"/>
    <n v="0.3"/>
    <n v="1"/>
    <n v="94.75"/>
    <x v="29"/>
    <s v="App Mobile"/>
    <s v="Social Media"/>
    <n v="94.74"/>
    <x v="457"/>
    <x v="1"/>
    <x v="457"/>
  </r>
  <r>
    <n v="2107"/>
    <x v="391"/>
    <n v="30"/>
    <n v="3"/>
    <n v="31.09"/>
    <n v="31.09"/>
    <n v="0"/>
    <n v="0"/>
    <n v="0"/>
    <n v="93.27"/>
    <x v="36"/>
    <s v="App Mobile"/>
    <s v="App Mobile"/>
    <n v="93.27"/>
    <x v="287"/>
    <x v="2"/>
    <x v="287"/>
  </r>
  <r>
    <n v="1504"/>
    <x v="678"/>
    <n v="348"/>
    <n v="3"/>
    <n v="34.47"/>
    <n v="31.02"/>
    <n v="3.45"/>
    <n v="0.1"/>
    <n v="1"/>
    <n v="93.07"/>
    <x v="37"/>
    <s v="E-commerce"/>
    <s v="Website Banner"/>
    <n v="93.06"/>
    <x v="468"/>
    <x v="3"/>
    <x v="468"/>
  </r>
  <r>
    <n v="957"/>
    <x v="751"/>
    <n v="452"/>
    <n v="3"/>
    <n v="30.85"/>
    <n v="30.85"/>
    <n v="0"/>
    <n v="0"/>
    <n v="0"/>
    <n v="92.55"/>
    <x v="17"/>
    <s v="App Mobile"/>
    <s v="App Mobile"/>
    <n v="92.550000000000011"/>
    <x v="275"/>
    <x v="0"/>
    <x v="275"/>
  </r>
  <r>
    <n v="613"/>
    <x v="460"/>
    <n v="401"/>
    <n v="3"/>
    <n v="30.83"/>
    <n v="30.83"/>
    <n v="0"/>
    <n v="0"/>
    <n v="0"/>
    <n v="92.49"/>
    <x v="24"/>
    <s v="E-commerce"/>
    <s v="Website Banner"/>
    <n v="92.49"/>
    <x v="276"/>
    <x v="0"/>
    <x v="276"/>
  </r>
  <r>
    <n v="1470"/>
    <x v="597"/>
    <n v="431"/>
    <n v="3"/>
    <n v="30.41"/>
    <n v="30.41"/>
    <n v="0"/>
    <n v="0"/>
    <n v="0"/>
    <n v="91.23"/>
    <x v="20"/>
    <s v="App Mobile"/>
    <s v="App Mobile"/>
    <n v="91.23"/>
    <x v="277"/>
    <x v="1"/>
    <x v="277"/>
  </r>
  <r>
    <n v="2793"/>
    <x v="617"/>
    <n v="431"/>
    <n v="3"/>
    <n v="30.41"/>
    <n v="30.41"/>
    <n v="0"/>
    <n v="0"/>
    <n v="0"/>
    <n v="91.23"/>
    <x v="29"/>
    <s v="E-commerce"/>
    <s v="Website Banner"/>
    <n v="91.23"/>
    <x v="277"/>
    <x v="1"/>
    <x v="277"/>
  </r>
  <r>
    <n v="962"/>
    <x v="156"/>
    <n v="339"/>
    <n v="3"/>
    <n v="30.35"/>
    <n v="30.35"/>
    <n v="0"/>
    <n v="0"/>
    <n v="0"/>
    <n v="91.05"/>
    <x v="23"/>
    <s v="E-commerce"/>
    <s v="Website Banner"/>
    <n v="91.050000000000011"/>
    <x v="416"/>
    <x v="4"/>
    <x v="416"/>
  </r>
  <r>
    <n v="234"/>
    <x v="610"/>
    <n v="499"/>
    <n v="3"/>
    <n v="30.07"/>
    <n v="30.07"/>
    <n v="0"/>
    <n v="0"/>
    <n v="0"/>
    <n v="90.21"/>
    <x v="3"/>
    <s v="E-commerce"/>
    <s v="Website Banner"/>
    <n v="90.210000000000008"/>
    <x v="469"/>
    <x v="3"/>
    <x v="469"/>
  </r>
  <r>
    <n v="2485"/>
    <x v="718"/>
    <n v="39"/>
    <n v="3"/>
    <n v="29.97"/>
    <n v="29.97"/>
    <n v="0"/>
    <n v="0"/>
    <n v="0"/>
    <n v="89.91"/>
    <x v="13"/>
    <s v="E-commerce"/>
    <s v="Website Banner"/>
    <n v="89.91"/>
    <x v="279"/>
    <x v="2"/>
    <x v="279"/>
  </r>
  <r>
    <n v="3101"/>
    <x v="610"/>
    <n v="39"/>
    <n v="3"/>
    <n v="29.97"/>
    <n v="29.97"/>
    <n v="0"/>
    <n v="0"/>
    <n v="0"/>
    <n v="89.91"/>
    <x v="3"/>
    <s v="E-commerce"/>
    <s v="Website Banner"/>
    <n v="89.91"/>
    <x v="279"/>
    <x v="2"/>
    <x v="279"/>
  </r>
  <r>
    <n v="1236"/>
    <x v="591"/>
    <n v="241"/>
    <n v="3"/>
    <n v="29.82"/>
    <n v="29.82"/>
    <n v="0"/>
    <n v="0"/>
    <n v="0"/>
    <n v="89.46"/>
    <x v="35"/>
    <s v="E-commerce"/>
    <s v="Website Banner"/>
    <n v="89.460000000000008"/>
    <x v="280"/>
    <x v="2"/>
    <x v="280"/>
  </r>
  <r>
    <n v="310"/>
    <x v="331"/>
    <n v="88"/>
    <n v="3"/>
    <n v="29.81"/>
    <n v="29.81"/>
    <n v="0"/>
    <n v="0"/>
    <n v="0"/>
    <n v="89.43"/>
    <x v="1"/>
    <s v="App Mobile"/>
    <s v="App Mobile"/>
    <n v="89.429999999999993"/>
    <x v="281"/>
    <x v="3"/>
    <x v="281"/>
  </r>
  <r>
    <n v="1910"/>
    <x v="478"/>
    <n v="88"/>
    <n v="3"/>
    <n v="29.81"/>
    <n v="29.81"/>
    <n v="0"/>
    <n v="0"/>
    <n v="0"/>
    <n v="89.43"/>
    <x v="11"/>
    <s v="App Mobile"/>
    <s v="App Mobile"/>
    <n v="89.429999999999993"/>
    <x v="281"/>
    <x v="3"/>
    <x v="281"/>
  </r>
  <r>
    <n v="3111"/>
    <x v="792"/>
    <n v="88"/>
    <n v="3"/>
    <n v="29.81"/>
    <n v="29.81"/>
    <n v="0"/>
    <n v="0"/>
    <n v="0"/>
    <n v="89.43"/>
    <x v="23"/>
    <s v="E-commerce"/>
    <s v="Website Banner"/>
    <n v="89.429999999999993"/>
    <x v="281"/>
    <x v="3"/>
    <x v="281"/>
  </r>
  <r>
    <n v="850"/>
    <x v="567"/>
    <n v="81"/>
    <n v="3"/>
    <n v="29.63"/>
    <n v="29.63"/>
    <n v="0"/>
    <n v="0"/>
    <n v="0"/>
    <n v="88.89"/>
    <x v="38"/>
    <s v="App Mobile"/>
    <s v="App Mobile"/>
    <n v="88.89"/>
    <x v="283"/>
    <x v="3"/>
    <x v="283"/>
  </r>
  <r>
    <n v="1807"/>
    <x v="586"/>
    <n v="84"/>
    <n v="3"/>
    <n v="31.84"/>
    <n v="28.66"/>
    <n v="3.18"/>
    <n v="0.1"/>
    <n v="1"/>
    <n v="85.97"/>
    <x v="37"/>
    <s v="E-commerce"/>
    <s v="Website Banner"/>
    <n v="85.98"/>
    <x v="270"/>
    <x v="1"/>
    <x v="270"/>
  </r>
  <r>
    <n v="2589"/>
    <x v="582"/>
    <n v="74"/>
    <n v="3"/>
    <n v="40.94"/>
    <n v="28.66"/>
    <n v="12.28"/>
    <n v="0.3"/>
    <n v="1"/>
    <n v="85.97"/>
    <x v="27"/>
    <s v="App Mobile"/>
    <s v="Social Media"/>
    <n v="85.98"/>
    <x v="392"/>
    <x v="3"/>
    <x v="392"/>
  </r>
  <r>
    <n v="1371"/>
    <x v="754"/>
    <n v="462"/>
    <n v="3"/>
    <n v="28.58"/>
    <n v="28.58"/>
    <n v="0"/>
    <n v="0"/>
    <n v="0"/>
    <n v="85.74"/>
    <x v="12"/>
    <s v="E-commerce"/>
    <s v="Website Banner"/>
    <n v="85.74"/>
    <x v="470"/>
    <x v="3"/>
    <x v="470"/>
  </r>
  <r>
    <n v="3293"/>
    <x v="652"/>
    <n v="1"/>
    <n v="3"/>
    <n v="40.409999999999997"/>
    <n v="28.29"/>
    <n v="12.12"/>
    <n v="0.3"/>
    <n v="1"/>
    <n v="84.86"/>
    <x v="29"/>
    <s v="App Mobile"/>
    <s v="Social Media"/>
    <n v="84.87"/>
    <x v="461"/>
    <x v="0"/>
    <x v="461"/>
  </r>
  <r>
    <n v="1996"/>
    <x v="474"/>
    <n v="30"/>
    <n v="3"/>
    <n v="31.09"/>
    <n v="27.98"/>
    <n v="3.11"/>
    <n v="0.1"/>
    <n v="1"/>
    <n v="83.94"/>
    <x v="32"/>
    <s v="E-commerce"/>
    <s v="Website Banner"/>
    <n v="83.94"/>
    <x v="287"/>
    <x v="2"/>
    <x v="287"/>
  </r>
  <r>
    <n v="2456"/>
    <x v="766"/>
    <n v="328"/>
    <n v="3"/>
    <n v="39.83"/>
    <n v="27.88"/>
    <n v="11.95"/>
    <n v="0.3"/>
    <n v="1"/>
    <n v="83.64"/>
    <x v="12"/>
    <s v="App Mobile"/>
    <s v="Social Media"/>
    <n v="83.64"/>
    <x v="288"/>
    <x v="0"/>
    <x v="288"/>
  </r>
  <r>
    <n v="2914"/>
    <x v="367"/>
    <n v="328"/>
    <n v="3"/>
    <n v="39.83"/>
    <n v="27.88"/>
    <n v="11.95"/>
    <n v="0.3"/>
    <n v="1"/>
    <n v="83.64"/>
    <x v="22"/>
    <s v="App Mobile"/>
    <s v="Social Media"/>
    <n v="83.64"/>
    <x v="288"/>
    <x v="0"/>
    <x v="288"/>
  </r>
  <r>
    <n v="1652"/>
    <x v="571"/>
    <n v="241"/>
    <n v="3"/>
    <n v="29.82"/>
    <n v="26.84"/>
    <n v="2.98"/>
    <n v="0.1"/>
    <n v="1"/>
    <n v="80.510000000000005"/>
    <x v="32"/>
    <s v="E-commerce"/>
    <s v="Website Banner"/>
    <n v="80.52"/>
    <x v="280"/>
    <x v="2"/>
    <x v="280"/>
  </r>
  <r>
    <n v="2228"/>
    <x v="54"/>
    <n v="174"/>
    <n v="3"/>
    <n v="26.41"/>
    <n v="26.41"/>
    <n v="0"/>
    <n v="0"/>
    <n v="0"/>
    <n v="79.23"/>
    <x v="30"/>
    <s v="App Mobile"/>
    <s v="App Mobile"/>
    <n v="79.23"/>
    <x v="292"/>
    <x v="3"/>
    <x v="292"/>
  </r>
  <r>
    <n v="1022"/>
    <x v="17"/>
    <n v="120"/>
    <n v="3"/>
    <n v="25.7"/>
    <n v="25.7"/>
    <n v="0"/>
    <n v="0"/>
    <n v="0"/>
    <n v="77.099999999999994"/>
    <x v="15"/>
    <s v="App Mobile"/>
    <s v="App Mobile"/>
    <n v="77.099999999999994"/>
    <x v="293"/>
    <x v="3"/>
    <x v="293"/>
  </r>
  <r>
    <n v="6"/>
    <x v="793"/>
    <n v="46"/>
    <n v="3"/>
    <n v="25.15"/>
    <n v="25.15"/>
    <n v="0"/>
    <n v="0"/>
    <n v="0"/>
    <n v="75.45"/>
    <x v="18"/>
    <s v="App Mobile"/>
    <s v="App Mobile"/>
    <n v="75.449999999999989"/>
    <x v="295"/>
    <x v="3"/>
    <x v="295"/>
  </r>
  <r>
    <n v="943"/>
    <x v="370"/>
    <n v="46"/>
    <n v="3"/>
    <n v="25.15"/>
    <n v="25.15"/>
    <n v="0"/>
    <n v="0"/>
    <n v="0"/>
    <n v="75.45"/>
    <x v="19"/>
    <s v="E-commerce"/>
    <s v="Website Banner"/>
    <n v="75.449999999999989"/>
    <x v="295"/>
    <x v="3"/>
    <x v="295"/>
  </r>
  <r>
    <n v="686"/>
    <x v="452"/>
    <n v="14"/>
    <n v="3"/>
    <n v="24.96"/>
    <n v="24.96"/>
    <n v="0"/>
    <n v="0"/>
    <n v="0"/>
    <n v="74.88"/>
    <x v="17"/>
    <s v="App Mobile"/>
    <s v="App Mobile"/>
    <n v="74.88"/>
    <x v="301"/>
    <x v="0"/>
    <x v="301"/>
  </r>
  <r>
    <n v="2785"/>
    <x v="794"/>
    <n v="414"/>
    <n v="3"/>
    <n v="35.200000000000003"/>
    <n v="24.64"/>
    <n v="10.56"/>
    <n v="0.3"/>
    <n v="1"/>
    <n v="73.92"/>
    <x v="42"/>
    <s v="App Mobile"/>
    <s v="Social Media"/>
    <n v="73.92"/>
    <x v="255"/>
    <x v="3"/>
    <x v="255"/>
  </r>
  <r>
    <n v="1936"/>
    <x v="247"/>
    <n v="402"/>
    <n v="3"/>
    <n v="34.450000000000003"/>
    <n v="24.12"/>
    <n v="10.34"/>
    <n v="0.3"/>
    <n v="1"/>
    <n v="72.34"/>
    <x v="45"/>
    <s v="App Mobile"/>
    <s v="Social Media"/>
    <n v="72.36"/>
    <x v="257"/>
    <x v="3"/>
    <x v="257"/>
  </r>
  <r>
    <n v="1502"/>
    <x v="541"/>
    <n v="298"/>
    <n v="3"/>
    <n v="33.94"/>
    <n v="23.76"/>
    <n v="10.18"/>
    <n v="0.3"/>
    <n v="1"/>
    <n v="71.27"/>
    <x v="12"/>
    <s v="App Mobile"/>
    <s v="Social Media"/>
    <n v="71.28"/>
    <x v="260"/>
    <x v="1"/>
    <x v="260"/>
  </r>
  <r>
    <n v="1965"/>
    <x v="768"/>
    <n v="235"/>
    <n v="3"/>
    <n v="23.68"/>
    <n v="23.68"/>
    <n v="0"/>
    <n v="0"/>
    <n v="0"/>
    <n v="71.040000000000006"/>
    <x v="10"/>
    <s v="E-commerce"/>
    <s v="Website Banner"/>
    <n v="71.039999999999992"/>
    <x v="421"/>
    <x v="3"/>
    <x v="421"/>
  </r>
  <r>
    <n v="1468"/>
    <x v="374"/>
    <n v="82"/>
    <n v="3"/>
    <n v="32.21"/>
    <n v="22.55"/>
    <n v="9.66"/>
    <n v="0.3"/>
    <n v="1"/>
    <n v="67.64"/>
    <x v="45"/>
    <s v="App Mobile"/>
    <s v="Social Media"/>
    <n v="67.650000000000006"/>
    <x v="266"/>
    <x v="0"/>
    <x v="266"/>
  </r>
  <r>
    <n v="3315"/>
    <x v="795"/>
    <n v="90"/>
    <n v="3"/>
    <n v="31.67"/>
    <n v="22.17"/>
    <n v="9.5"/>
    <n v="0.3"/>
    <n v="1"/>
    <n v="66.510000000000005"/>
    <x v="42"/>
    <s v="App Mobile"/>
    <s v="Social Media"/>
    <n v="66.510000000000005"/>
    <x v="271"/>
    <x v="1"/>
    <x v="271"/>
  </r>
  <r>
    <n v="772"/>
    <x v="606"/>
    <n v="457"/>
    <n v="3"/>
    <n v="31.61"/>
    <n v="22.13"/>
    <n v="9.48"/>
    <n v="0.3"/>
    <n v="1"/>
    <n v="66.38"/>
    <x v="27"/>
    <s v="App Mobile"/>
    <s v="Social Media"/>
    <n v="66.39"/>
    <x v="272"/>
    <x v="4"/>
    <x v="272"/>
  </r>
  <r>
    <n v="2303"/>
    <x v="774"/>
    <n v="114"/>
    <n v="3"/>
    <n v="21.53"/>
    <n v="21.53"/>
    <n v="0"/>
    <n v="0"/>
    <n v="0"/>
    <n v="64.59"/>
    <x v="49"/>
    <s v="E-commerce"/>
    <s v="Website Banner"/>
    <n v="64.59"/>
    <x v="302"/>
    <x v="1"/>
    <x v="302"/>
  </r>
  <r>
    <n v="3036"/>
    <x v="673"/>
    <n v="114"/>
    <n v="3"/>
    <n v="21.53"/>
    <n v="21.53"/>
    <n v="0"/>
    <n v="0"/>
    <n v="0"/>
    <n v="64.59"/>
    <x v="0"/>
    <s v="E-commerce"/>
    <s v="Website Banner"/>
    <n v="64.59"/>
    <x v="302"/>
    <x v="1"/>
    <x v="302"/>
  </r>
  <r>
    <n v="2420"/>
    <x v="796"/>
    <n v="355"/>
    <n v="3"/>
    <n v="21.38"/>
    <n v="21.38"/>
    <n v="0"/>
    <n v="0"/>
    <n v="0"/>
    <n v="64.14"/>
    <x v="15"/>
    <s v="E-commerce"/>
    <s v="Website Banner"/>
    <n v="64.14"/>
    <x v="422"/>
    <x v="2"/>
    <x v="422"/>
  </r>
  <r>
    <n v="2834"/>
    <x v="563"/>
    <n v="195"/>
    <n v="3"/>
    <n v="16.690000000000001"/>
    <n v="16.690000000000001"/>
    <n v="0"/>
    <n v="0"/>
    <n v="0"/>
    <n v="50.07"/>
    <x v="3"/>
    <s v="App Mobile"/>
    <s v="App Mobile"/>
    <n v="50.070000000000007"/>
    <x v="424"/>
    <x v="4"/>
    <x v="424"/>
  </r>
  <r>
    <n v="466"/>
    <x v="769"/>
    <n v="198"/>
    <n v="3"/>
    <n v="14.64"/>
    <n v="14.64"/>
    <n v="0"/>
    <n v="0"/>
    <n v="0"/>
    <n v="43.92"/>
    <x v="2"/>
    <s v="E-commerce"/>
    <s v="Website Banner"/>
    <n v="43.92"/>
    <x v="307"/>
    <x v="0"/>
    <x v="307"/>
  </r>
  <r>
    <n v="2414"/>
    <x v="791"/>
    <n v="198"/>
    <n v="3"/>
    <n v="14.64"/>
    <n v="14.64"/>
    <n v="0"/>
    <n v="0"/>
    <n v="0"/>
    <n v="43.92"/>
    <x v="47"/>
    <s v="E-commerce"/>
    <s v="Website Banner"/>
    <n v="43.92"/>
    <x v="307"/>
    <x v="0"/>
    <x v="307"/>
  </r>
  <r>
    <n v="15"/>
    <x v="684"/>
    <n v="238"/>
    <n v="4"/>
    <n v="85.9"/>
    <n v="85.9"/>
    <n v="0"/>
    <n v="0"/>
    <n v="0"/>
    <n v="343.6"/>
    <x v="15"/>
    <s v="E-commerce"/>
    <s v="Website Banner"/>
    <n v="343.6"/>
    <x v="471"/>
    <x v="4"/>
    <x v="471"/>
  </r>
  <r>
    <n v="3276"/>
    <x v="436"/>
    <n v="284"/>
    <n v="4"/>
    <n v="81.790000000000006"/>
    <n v="81.790000000000006"/>
    <n v="0"/>
    <n v="0"/>
    <n v="0"/>
    <n v="327.16000000000003"/>
    <x v="2"/>
    <s v="App Mobile"/>
    <s v="App Mobile"/>
    <n v="327.16000000000003"/>
    <x v="1"/>
    <x v="1"/>
    <x v="1"/>
  </r>
  <r>
    <n v="431"/>
    <x v="188"/>
    <n v="60"/>
    <n v="4"/>
    <n v="81.7"/>
    <n v="81.7"/>
    <n v="0"/>
    <n v="0"/>
    <n v="0"/>
    <n v="326.8"/>
    <x v="38"/>
    <s v="App Mobile"/>
    <s v="App Mobile"/>
    <n v="326.8"/>
    <x v="309"/>
    <x v="4"/>
    <x v="309"/>
  </r>
  <r>
    <n v="1073"/>
    <x v="797"/>
    <n v="60"/>
    <n v="4"/>
    <n v="81.7"/>
    <n v="81.7"/>
    <n v="0"/>
    <n v="0"/>
    <n v="0"/>
    <n v="326.8"/>
    <x v="25"/>
    <s v="E-commerce"/>
    <s v="Website Banner"/>
    <n v="326.8"/>
    <x v="309"/>
    <x v="4"/>
    <x v="309"/>
  </r>
  <r>
    <n v="1514"/>
    <x v="768"/>
    <n v="60"/>
    <n v="4"/>
    <n v="81.7"/>
    <n v="81.7"/>
    <n v="0"/>
    <n v="0"/>
    <n v="0"/>
    <n v="326.8"/>
    <x v="10"/>
    <s v="E-commerce"/>
    <s v="Website Banner"/>
    <n v="326.8"/>
    <x v="309"/>
    <x v="4"/>
    <x v="309"/>
  </r>
  <r>
    <n v="2741"/>
    <x v="546"/>
    <n v="146"/>
    <n v="4"/>
    <n v="81.06"/>
    <n v="81.06"/>
    <n v="0"/>
    <n v="0"/>
    <n v="0"/>
    <n v="324.24"/>
    <x v="15"/>
    <s v="E-commerce"/>
    <s v="Website Banner"/>
    <n v="324.24"/>
    <x v="310"/>
    <x v="1"/>
    <x v="310"/>
  </r>
  <r>
    <n v="135"/>
    <x v="798"/>
    <n v="71"/>
    <n v="4"/>
    <n v="80.760000000000005"/>
    <n v="80.760000000000005"/>
    <n v="0"/>
    <n v="0"/>
    <n v="0"/>
    <n v="323.04000000000002"/>
    <x v="3"/>
    <s v="App Mobile"/>
    <s v="App Mobile"/>
    <n v="323.04000000000002"/>
    <x v="2"/>
    <x v="2"/>
    <x v="2"/>
  </r>
  <r>
    <n v="1480"/>
    <x v="799"/>
    <n v="71"/>
    <n v="4"/>
    <n v="80.760000000000005"/>
    <n v="80.760000000000005"/>
    <n v="0"/>
    <n v="0"/>
    <n v="0"/>
    <n v="323.04000000000002"/>
    <x v="1"/>
    <s v="App Mobile"/>
    <s v="App Mobile"/>
    <n v="323.04000000000002"/>
    <x v="2"/>
    <x v="2"/>
    <x v="2"/>
  </r>
  <r>
    <n v="483"/>
    <x v="800"/>
    <n v="10"/>
    <n v="4"/>
    <n v="79.7"/>
    <n v="79.7"/>
    <n v="0"/>
    <n v="0"/>
    <n v="0"/>
    <n v="318.8"/>
    <x v="19"/>
    <s v="E-commerce"/>
    <s v="Website Banner"/>
    <n v="318.8"/>
    <x v="425"/>
    <x v="2"/>
    <x v="425"/>
  </r>
  <r>
    <n v="544"/>
    <x v="679"/>
    <n v="10"/>
    <n v="4"/>
    <n v="79.7"/>
    <n v="79.7"/>
    <n v="0"/>
    <n v="0"/>
    <n v="0"/>
    <n v="318.8"/>
    <x v="18"/>
    <s v="App Mobile"/>
    <s v="App Mobile"/>
    <n v="318.8"/>
    <x v="425"/>
    <x v="2"/>
    <x v="425"/>
  </r>
  <r>
    <n v="847"/>
    <x v="592"/>
    <n v="10"/>
    <n v="4"/>
    <n v="79.7"/>
    <n v="79.7"/>
    <n v="0"/>
    <n v="0"/>
    <n v="0"/>
    <n v="318.8"/>
    <x v="11"/>
    <s v="E-commerce"/>
    <s v="Website Banner"/>
    <n v="318.8"/>
    <x v="425"/>
    <x v="2"/>
    <x v="425"/>
  </r>
  <r>
    <n v="1685"/>
    <x v="732"/>
    <n v="182"/>
    <n v="4"/>
    <n v="78.63"/>
    <n v="78.63"/>
    <n v="0"/>
    <n v="0"/>
    <n v="0"/>
    <n v="314.52"/>
    <x v="15"/>
    <s v="E-commerce"/>
    <s v="Website Banner"/>
    <n v="314.52"/>
    <x v="311"/>
    <x v="3"/>
    <x v="311"/>
  </r>
  <r>
    <n v="2676"/>
    <x v="801"/>
    <n v="2"/>
    <n v="4"/>
    <n v="78.45"/>
    <n v="78.45"/>
    <n v="0"/>
    <n v="0"/>
    <n v="0"/>
    <n v="313.8"/>
    <x v="30"/>
    <s v="App Mobile"/>
    <s v="App Mobile"/>
    <n v="313.8"/>
    <x v="312"/>
    <x v="4"/>
    <x v="312"/>
  </r>
  <r>
    <n v="2135"/>
    <x v="802"/>
    <n v="257"/>
    <n v="4"/>
    <n v="77.900000000000006"/>
    <n v="77.900000000000006"/>
    <n v="0"/>
    <n v="0"/>
    <n v="0"/>
    <n v="311.60000000000002"/>
    <x v="5"/>
    <s v="E-commerce"/>
    <s v="Website Banner"/>
    <n v="311.60000000000002"/>
    <x v="4"/>
    <x v="1"/>
    <x v="4"/>
  </r>
  <r>
    <n v="2773"/>
    <x v="15"/>
    <n v="269"/>
    <n v="4"/>
    <n v="77.59"/>
    <n v="77.59"/>
    <n v="0"/>
    <n v="0"/>
    <n v="0"/>
    <n v="310.36"/>
    <x v="14"/>
    <s v="E-commerce"/>
    <s v="Website Banner"/>
    <n v="310.36"/>
    <x v="426"/>
    <x v="0"/>
    <x v="426"/>
  </r>
  <r>
    <n v="575"/>
    <x v="479"/>
    <n v="163"/>
    <n v="4"/>
    <n v="76.959999999999994"/>
    <n v="76.959999999999994"/>
    <n v="0"/>
    <n v="0"/>
    <n v="0"/>
    <n v="307.83999999999997"/>
    <x v="15"/>
    <s v="E-commerce"/>
    <s v="Website Banner"/>
    <n v="307.83999999999997"/>
    <x v="313"/>
    <x v="3"/>
    <x v="313"/>
  </r>
  <r>
    <n v="1309"/>
    <x v="803"/>
    <n v="392"/>
    <n v="4"/>
    <n v="75.47"/>
    <n v="75.47"/>
    <n v="0"/>
    <n v="0"/>
    <n v="0"/>
    <n v="301.88"/>
    <x v="15"/>
    <s v="App Mobile"/>
    <s v="App Mobile"/>
    <n v="301.88"/>
    <x v="6"/>
    <x v="1"/>
    <x v="6"/>
  </r>
  <r>
    <n v="2147"/>
    <x v="522"/>
    <n v="392"/>
    <n v="4"/>
    <n v="75.47"/>
    <n v="75.47"/>
    <n v="0"/>
    <n v="0"/>
    <n v="0"/>
    <n v="301.88"/>
    <x v="33"/>
    <s v="E-commerce"/>
    <s v="Website Banner"/>
    <n v="301.88"/>
    <x v="6"/>
    <x v="1"/>
    <x v="6"/>
  </r>
  <r>
    <n v="2560"/>
    <x v="803"/>
    <n v="224"/>
    <n v="4"/>
    <n v="75.400000000000006"/>
    <n v="75.400000000000006"/>
    <n v="0"/>
    <n v="0"/>
    <n v="0"/>
    <n v="301.60000000000002"/>
    <x v="15"/>
    <s v="App Mobile"/>
    <s v="App Mobile"/>
    <n v="301.60000000000002"/>
    <x v="7"/>
    <x v="0"/>
    <x v="7"/>
  </r>
  <r>
    <n v="1660"/>
    <x v="804"/>
    <n v="459"/>
    <n v="4"/>
    <n v="75.17"/>
    <n v="75.17"/>
    <n v="0"/>
    <n v="0"/>
    <n v="0"/>
    <n v="300.68"/>
    <x v="28"/>
    <s v="E-commerce"/>
    <s v="Website Banner"/>
    <n v="300.68"/>
    <x v="8"/>
    <x v="0"/>
    <x v="8"/>
  </r>
  <r>
    <n v="1663"/>
    <x v="540"/>
    <n v="459"/>
    <n v="4"/>
    <n v="75.17"/>
    <n v="75.17"/>
    <n v="0"/>
    <n v="0"/>
    <n v="0"/>
    <n v="300.68"/>
    <x v="50"/>
    <s v="E-commerce"/>
    <s v="Website Banner"/>
    <n v="300.68"/>
    <x v="8"/>
    <x v="0"/>
    <x v="8"/>
  </r>
  <r>
    <n v="2213"/>
    <x v="485"/>
    <n v="459"/>
    <n v="4"/>
    <n v="75.17"/>
    <n v="75.17"/>
    <n v="0"/>
    <n v="0"/>
    <n v="0"/>
    <n v="300.68"/>
    <x v="7"/>
    <s v="E-commerce"/>
    <s v="Website Banner"/>
    <n v="300.68"/>
    <x v="8"/>
    <x v="0"/>
    <x v="8"/>
  </r>
  <r>
    <n v="697"/>
    <x v="109"/>
    <n v="116"/>
    <n v="4"/>
    <n v="74.81"/>
    <n v="74.81"/>
    <n v="0"/>
    <n v="0"/>
    <n v="0"/>
    <n v="299.24"/>
    <x v="6"/>
    <s v="App Mobile"/>
    <s v="App Mobile"/>
    <n v="299.24"/>
    <x v="9"/>
    <x v="2"/>
    <x v="9"/>
  </r>
  <r>
    <n v="1304"/>
    <x v="23"/>
    <n v="116"/>
    <n v="4"/>
    <n v="74.81"/>
    <n v="74.81"/>
    <n v="0"/>
    <n v="0"/>
    <n v="0"/>
    <n v="299.24"/>
    <x v="18"/>
    <s v="E-commerce"/>
    <s v="Website Banner"/>
    <n v="299.24"/>
    <x v="9"/>
    <x v="2"/>
    <x v="9"/>
  </r>
  <r>
    <n v="1103"/>
    <x v="587"/>
    <n v="272"/>
    <n v="4"/>
    <n v="74.17"/>
    <n v="74.17"/>
    <n v="0"/>
    <n v="0"/>
    <n v="0"/>
    <n v="296.68"/>
    <x v="16"/>
    <s v="App Mobile"/>
    <s v="App Mobile"/>
    <n v="296.68"/>
    <x v="427"/>
    <x v="1"/>
    <x v="427"/>
  </r>
  <r>
    <n v="748"/>
    <x v="168"/>
    <n v="212"/>
    <n v="4"/>
    <n v="74.13"/>
    <n v="74.13"/>
    <n v="0"/>
    <n v="0"/>
    <n v="0"/>
    <n v="296.52"/>
    <x v="17"/>
    <s v="E-commerce"/>
    <s v="Website Banner"/>
    <n v="296.52"/>
    <x v="428"/>
    <x v="4"/>
    <x v="428"/>
  </r>
  <r>
    <n v="206"/>
    <x v="631"/>
    <n v="403"/>
    <n v="4"/>
    <n v="81.8"/>
    <n v="73.62"/>
    <n v="8.18"/>
    <n v="0.1"/>
    <n v="1"/>
    <n v="294.48"/>
    <x v="30"/>
    <s v="E-commerce"/>
    <s v="Website Banner"/>
    <n v="294.48"/>
    <x v="0"/>
    <x v="0"/>
    <x v="0"/>
  </r>
  <r>
    <n v="2174"/>
    <x v="805"/>
    <n v="72"/>
    <n v="4"/>
    <n v="72.8"/>
    <n v="72.8"/>
    <n v="0"/>
    <n v="0"/>
    <n v="0"/>
    <n v="291.2"/>
    <x v="50"/>
    <s v="App Mobile"/>
    <s v="App Mobile"/>
    <n v="291.2"/>
    <x v="472"/>
    <x v="0"/>
    <x v="472"/>
  </r>
  <r>
    <n v="1132"/>
    <x v="94"/>
    <n v="398"/>
    <n v="4"/>
    <n v="71.150000000000006"/>
    <n v="71.150000000000006"/>
    <n v="0"/>
    <n v="0"/>
    <n v="0"/>
    <n v="284.60000000000002"/>
    <x v="42"/>
    <s v="E-commerce"/>
    <s v="Website Banner"/>
    <n v="284.60000000000002"/>
    <x v="14"/>
    <x v="3"/>
    <x v="14"/>
  </r>
  <r>
    <n v="2255"/>
    <x v="307"/>
    <n v="270"/>
    <n v="4"/>
    <n v="70.459999999999994"/>
    <n v="70.459999999999994"/>
    <n v="0"/>
    <n v="0"/>
    <n v="0"/>
    <n v="281.83999999999997"/>
    <x v="33"/>
    <s v="App Mobile"/>
    <s v="App Mobile"/>
    <n v="281.83999999999997"/>
    <x v="434"/>
    <x v="4"/>
    <x v="434"/>
  </r>
  <r>
    <n v="1243"/>
    <x v="752"/>
    <n v="31"/>
    <n v="4"/>
    <n v="69.819999999999993"/>
    <n v="69.819999999999993"/>
    <n v="0"/>
    <n v="0"/>
    <n v="0"/>
    <n v="279.27999999999997"/>
    <x v="14"/>
    <s v="App Mobile"/>
    <s v="App Mobile"/>
    <n v="279.27999999999997"/>
    <x v="17"/>
    <x v="2"/>
    <x v="17"/>
  </r>
  <r>
    <n v="1409"/>
    <x v="581"/>
    <n v="474"/>
    <n v="4"/>
    <n v="68.47"/>
    <n v="68.47"/>
    <n v="0"/>
    <n v="0"/>
    <n v="0"/>
    <n v="273.88"/>
    <x v="46"/>
    <s v="App Mobile"/>
    <s v="App Mobile"/>
    <n v="273.88"/>
    <x v="20"/>
    <x v="1"/>
    <x v="20"/>
  </r>
  <r>
    <n v="1151"/>
    <x v="657"/>
    <n v="250"/>
    <n v="4"/>
    <n v="68.22"/>
    <n v="68.22"/>
    <n v="0"/>
    <n v="0"/>
    <n v="0"/>
    <n v="272.88"/>
    <x v="40"/>
    <s v="E-commerce"/>
    <s v="Website Banner"/>
    <n v="272.88"/>
    <x v="435"/>
    <x v="1"/>
    <x v="435"/>
  </r>
  <r>
    <n v="2629"/>
    <x v="806"/>
    <n v="470"/>
    <n v="4"/>
    <n v="67.73"/>
    <n v="67.73"/>
    <n v="0"/>
    <n v="0"/>
    <n v="0"/>
    <n v="270.92"/>
    <x v="49"/>
    <s v="App Mobile"/>
    <s v="App Mobile"/>
    <n v="270.92"/>
    <x v="22"/>
    <x v="3"/>
    <x v="22"/>
  </r>
  <r>
    <n v="2708"/>
    <x v="443"/>
    <n v="296"/>
    <n v="4"/>
    <n v="67.069999999999993"/>
    <n v="67.069999999999993"/>
    <n v="0"/>
    <n v="0"/>
    <n v="0"/>
    <n v="268.27999999999997"/>
    <x v="32"/>
    <s v="App Mobile"/>
    <s v="App Mobile"/>
    <n v="268.27999999999997"/>
    <x v="373"/>
    <x v="0"/>
    <x v="373"/>
  </r>
  <r>
    <n v="3173"/>
    <x v="807"/>
    <n v="296"/>
    <n v="4"/>
    <n v="67.069999999999993"/>
    <n v="67.069999999999993"/>
    <n v="0"/>
    <n v="0"/>
    <n v="0"/>
    <n v="268.27999999999997"/>
    <x v="11"/>
    <s v="E-commerce"/>
    <s v="Website Banner"/>
    <n v="268.27999999999997"/>
    <x v="373"/>
    <x v="0"/>
    <x v="373"/>
  </r>
  <r>
    <n v="3250"/>
    <x v="149"/>
    <n v="296"/>
    <n v="4"/>
    <n v="67.069999999999993"/>
    <n v="67.069999999999993"/>
    <n v="0"/>
    <n v="0"/>
    <n v="0"/>
    <n v="268.27999999999997"/>
    <x v="0"/>
    <s v="App Mobile"/>
    <s v="App Mobile"/>
    <n v="268.27999999999997"/>
    <x v="373"/>
    <x v="0"/>
    <x v="373"/>
  </r>
  <r>
    <n v="125"/>
    <x v="808"/>
    <n v="239"/>
    <n v="4"/>
    <n v="66.989999999999995"/>
    <n v="66.989999999999995"/>
    <n v="0"/>
    <n v="0"/>
    <n v="0"/>
    <n v="267.95999999999998"/>
    <x v="37"/>
    <s v="App Mobile"/>
    <s v="App Mobile"/>
    <n v="267.95999999999998"/>
    <x v="24"/>
    <x v="2"/>
    <x v="24"/>
  </r>
  <r>
    <n v="440"/>
    <x v="681"/>
    <n v="239"/>
    <n v="4"/>
    <n v="66.989999999999995"/>
    <n v="66.989999999999995"/>
    <n v="0"/>
    <n v="0"/>
    <n v="0"/>
    <n v="267.95999999999998"/>
    <x v="11"/>
    <s v="E-commerce"/>
    <s v="Website Banner"/>
    <n v="267.95999999999998"/>
    <x v="24"/>
    <x v="2"/>
    <x v="24"/>
  </r>
  <r>
    <n v="816"/>
    <x v="91"/>
    <n v="307"/>
    <n v="4"/>
    <n v="66.87"/>
    <n v="66.87"/>
    <n v="0"/>
    <n v="0"/>
    <n v="0"/>
    <n v="267.48"/>
    <x v="31"/>
    <s v="E-commerce"/>
    <s v="Website Banner"/>
    <n v="267.48"/>
    <x v="25"/>
    <x v="4"/>
    <x v="25"/>
  </r>
  <r>
    <n v="2510"/>
    <x v="268"/>
    <n v="307"/>
    <n v="4"/>
    <n v="66.87"/>
    <n v="66.87"/>
    <n v="0"/>
    <n v="0"/>
    <n v="0"/>
    <n v="267.48"/>
    <x v="4"/>
    <s v="App Mobile"/>
    <s v="App Mobile"/>
    <n v="267.48"/>
    <x v="25"/>
    <x v="4"/>
    <x v="25"/>
  </r>
  <r>
    <n v="2735"/>
    <x v="522"/>
    <n v="307"/>
    <n v="4"/>
    <n v="66.87"/>
    <n v="66.87"/>
    <n v="0"/>
    <n v="0"/>
    <n v="0"/>
    <n v="267.48"/>
    <x v="33"/>
    <s v="E-commerce"/>
    <s v="Website Banner"/>
    <n v="267.48"/>
    <x v="25"/>
    <x v="4"/>
    <x v="25"/>
  </r>
  <r>
    <n v="3359"/>
    <x v="389"/>
    <n v="478"/>
    <n v="4"/>
    <n v="66.52"/>
    <n v="66.52"/>
    <n v="0"/>
    <n v="0"/>
    <n v="0"/>
    <n v="266.08"/>
    <x v="30"/>
    <s v="App Mobile"/>
    <s v="App Mobile"/>
    <n v="266.08"/>
    <x v="28"/>
    <x v="4"/>
    <x v="28"/>
  </r>
  <r>
    <n v="972"/>
    <x v="101"/>
    <n v="162"/>
    <n v="4"/>
    <n v="66.5"/>
    <n v="66.5"/>
    <n v="0"/>
    <n v="0"/>
    <n v="0"/>
    <n v="266"/>
    <x v="12"/>
    <s v="E-commerce"/>
    <s v="Website Banner"/>
    <n v="266"/>
    <x v="473"/>
    <x v="3"/>
    <x v="473"/>
  </r>
  <r>
    <n v="1029"/>
    <x v="673"/>
    <n v="162"/>
    <n v="4"/>
    <n v="66.5"/>
    <n v="66.5"/>
    <n v="0"/>
    <n v="0"/>
    <n v="0"/>
    <n v="266"/>
    <x v="0"/>
    <s v="E-commerce"/>
    <s v="Website Banner"/>
    <n v="266"/>
    <x v="473"/>
    <x v="3"/>
    <x v="473"/>
  </r>
  <r>
    <n v="915"/>
    <x v="309"/>
    <n v="383"/>
    <n v="4"/>
    <n v="66.38"/>
    <n v="66.38"/>
    <n v="0"/>
    <n v="0"/>
    <n v="0"/>
    <n v="265.52"/>
    <x v="39"/>
    <s v="App Mobile"/>
    <s v="App Mobile"/>
    <n v="265.52"/>
    <x v="321"/>
    <x v="3"/>
    <x v="321"/>
  </r>
  <r>
    <n v="3190"/>
    <x v="809"/>
    <n v="383"/>
    <n v="4"/>
    <n v="66.38"/>
    <n v="66.38"/>
    <n v="0"/>
    <n v="0"/>
    <n v="0"/>
    <n v="265.52"/>
    <x v="19"/>
    <s v="App Mobile"/>
    <s v="App Mobile"/>
    <n v="265.52"/>
    <x v="321"/>
    <x v="3"/>
    <x v="321"/>
  </r>
  <r>
    <n v="1462"/>
    <x v="440"/>
    <n v="70"/>
    <n v="4"/>
    <n v="66.33"/>
    <n v="66.33"/>
    <n v="0"/>
    <n v="0"/>
    <n v="0"/>
    <n v="265.32"/>
    <x v="26"/>
    <s v="E-commerce"/>
    <s v="Website Banner"/>
    <n v="265.32"/>
    <x v="29"/>
    <x v="0"/>
    <x v="29"/>
  </r>
  <r>
    <n v="3298"/>
    <x v="810"/>
    <n v="70"/>
    <n v="4"/>
    <n v="66.33"/>
    <n v="66.33"/>
    <n v="0"/>
    <n v="0"/>
    <n v="0"/>
    <n v="265.32"/>
    <x v="5"/>
    <s v="App Mobile"/>
    <s v="App Mobile"/>
    <n v="265.32"/>
    <x v="29"/>
    <x v="0"/>
    <x v="29"/>
  </r>
  <r>
    <n v="1600"/>
    <x v="368"/>
    <n v="332"/>
    <n v="4"/>
    <n v="65.88"/>
    <n v="65.88"/>
    <n v="0"/>
    <n v="0"/>
    <n v="0"/>
    <n v="263.52"/>
    <x v="31"/>
    <s v="E-commerce"/>
    <s v="Website Banner"/>
    <n v="263.52"/>
    <x v="474"/>
    <x v="0"/>
    <x v="474"/>
  </r>
  <r>
    <n v="2619"/>
    <x v="811"/>
    <n v="19"/>
    <n v="4"/>
    <n v="65.260000000000005"/>
    <n v="65.260000000000005"/>
    <n v="0"/>
    <n v="0"/>
    <n v="0"/>
    <n v="261.04000000000002"/>
    <x v="33"/>
    <s v="E-commerce"/>
    <s v="Website Banner"/>
    <n v="261.04000000000002"/>
    <x v="177"/>
    <x v="0"/>
    <x v="177"/>
  </r>
  <r>
    <n v="3203"/>
    <x v="812"/>
    <n v="19"/>
    <n v="4"/>
    <n v="65.260000000000005"/>
    <n v="65.260000000000005"/>
    <n v="0"/>
    <n v="0"/>
    <n v="0"/>
    <n v="261.04000000000002"/>
    <x v="46"/>
    <s v="App Mobile"/>
    <s v="App Mobile"/>
    <n v="261.04000000000002"/>
    <x v="177"/>
    <x v="0"/>
    <x v="177"/>
  </r>
  <r>
    <n v="2416"/>
    <x v="149"/>
    <n v="33"/>
    <n v="4"/>
    <n v="65.23"/>
    <n v="65.23"/>
    <n v="0"/>
    <n v="0"/>
    <n v="0"/>
    <n v="260.92"/>
    <x v="0"/>
    <s v="App Mobile"/>
    <s v="App Mobile"/>
    <n v="260.92"/>
    <x v="475"/>
    <x v="0"/>
    <x v="475"/>
  </r>
  <r>
    <n v="1510"/>
    <x v="730"/>
    <n v="297"/>
    <n v="4"/>
    <n v="65.17"/>
    <n v="65.17"/>
    <n v="0"/>
    <n v="0"/>
    <n v="0"/>
    <n v="260.68"/>
    <x v="23"/>
    <s v="E-commerce"/>
    <s v="Website Banner"/>
    <n v="260.68"/>
    <x v="438"/>
    <x v="1"/>
    <x v="438"/>
  </r>
  <r>
    <n v="1801"/>
    <x v="156"/>
    <n v="297"/>
    <n v="4"/>
    <n v="65.17"/>
    <n v="65.17"/>
    <n v="0"/>
    <n v="0"/>
    <n v="0"/>
    <n v="260.68"/>
    <x v="23"/>
    <s v="E-commerce"/>
    <s v="Website Banner"/>
    <n v="260.68"/>
    <x v="438"/>
    <x v="1"/>
    <x v="438"/>
  </r>
  <r>
    <n v="2248"/>
    <x v="813"/>
    <n v="297"/>
    <n v="4"/>
    <n v="65.17"/>
    <n v="65.17"/>
    <n v="0"/>
    <n v="0"/>
    <n v="0"/>
    <n v="260.68"/>
    <x v="12"/>
    <s v="E-commerce"/>
    <s v="Website Banner"/>
    <n v="260.68"/>
    <x v="438"/>
    <x v="1"/>
    <x v="438"/>
  </r>
  <r>
    <n v="380"/>
    <x v="814"/>
    <n v="44"/>
    <n v="4"/>
    <n v="64.84"/>
    <n v="64.84"/>
    <n v="0"/>
    <n v="0"/>
    <n v="0"/>
    <n v="259.36"/>
    <x v="1"/>
    <s v="E-commerce"/>
    <s v="Website Banner"/>
    <n v="259.36"/>
    <x v="323"/>
    <x v="2"/>
    <x v="323"/>
  </r>
  <r>
    <n v="2162"/>
    <x v="714"/>
    <n v="435"/>
    <n v="4"/>
    <n v="64.5"/>
    <n v="64.5"/>
    <n v="0"/>
    <n v="0"/>
    <n v="0"/>
    <n v="258"/>
    <x v="38"/>
    <s v="App Mobile"/>
    <s v="App Mobile"/>
    <n v="258"/>
    <x v="30"/>
    <x v="2"/>
    <x v="30"/>
  </r>
  <r>
    <n v="105"/>
    <x v="510"/>
    <n v="276"/>
    <n v="4"/>
    <n v="64.44"/>
    <n v="64.44"/>
    <n v="0"/>
    <n v="0"/>
    <n v="0"/>
    <n v="257.76"/>
    <x v="9"/>
    <s v="E-commerce"/>
    <s v="Website Banner"/>
    <n v="257.76"/>
    <x v="31"/>
    <x v="4"/>
    <x v="31"/>
  </r>
  <r>
    <n v="893"/>
    <x v="724"/>
    <n v="276"/>
    <n v="4"/>
    <n v="64.44"/>
    <n v="64.44"/>
    <n v="0"/>
    <n v="0"/>
    <n v="0"/>
    <n v="257.76"/>
    <x v="9"/>
    <s v="App Mobile"/>
    <s v="App Mobile"/>
    <n v="257.76"/>
    <x v="31"/>
    <x v="4"/>
    <x v="31"/>
  </r>
  <r>
    <n v="1061"/>
    <x v="576"/>
    <n v="276"/>
    <n v="4"/>
    <n v="64.44"/>
    <n v="64.44"/>
    <n v="0"/>
    <n v="0"/>
    <n v="0"/>
    <n v="257.76"/>
    <x v="30"/>
    <s v="App Mobile"/>
    <s v="App Mobile"/>
    <n v="257.76"/>
    <x v="31"/>
    <x v="4"/>
    <x v="31"/>
  </r>
  <r>
    <n v="1234"/>
    <x v="267"/>
    <n v="194"/>
    <n v="4"/>
    <n v="64.11"/>
    <n v="64.11"/>
    <n v="0"/>
    <n v="0"/>
    <n v="0"/>
    <n v="256.44"/>
    <x v="48"/>
    <s v="App Mobile"/>
    <s v="App Mobile"/>
    <n v="256.44"/>
    <x v="32"/>
    <x v="3"/>
    <x v="32"/>
  </r>
  <r>
    <n v="403"/>
    <x v="146"/>
    <n v="237"/>
    <n v="4"/>
    <n v="64.08"/>
    <n v="64.08"/>
    <n v="0"/>
    <n v="0"/>
    <n v="0"/>
    <n v="256.32"/>
    <x v="36"/>
    <s v="E-commerce"/>
    <s v="Website Banner"/>
    <n v="256.32"/>
    <x v="439"/>
    <x v="0"/>
    <x v="439"/>
  </r>
  <r>
    <n v="1505"/>
    <x v="627"/>
    <n v="469"/>
    <n v="4"/>
    <n v="64.08"/>
    <n v="64.08"/>
    <n v="0"/>
    <n v="0"/>
    <n v="0"/>
    <n v="256.32"/>
    <x v="17"/>
    <s v="E-commerce"/>
    <s v="Website Banner"/>
    <n v="256.32"/>
    <x v="325"/>
    <x v="0"/>
    <x v="325"/>
  </r>
  <r>
    <n v="1577"/>
    <x v="634"/>
    <n v="469"/>
    <n v="4"/>
    <n v="64.08"/>
    <n v="64.08"/>
    <n v="0"/>
    <n v="0"/>
    <n v="0"/>
    <n v="256.32"/>
    <x v="45"/>
    <s v="E-commerce"/>
    <s v="Website Banner"/>
    <n v="256.32"/>
    <x v="325"/>
    <x v="0"/>
    <x v="325"/>
  </r>
  <r>
    <n v="2161"/>
    <x v="815"/>
    <n v="469"/>
    <n v="4"/>
    <n v="64.08"/>
    <n v="64.08"/>
    <n v="0"/>
    <n v="0"/>
    <n v="0"/>
    <n v="256.32"/>
    <x v="49"/>
    <s v="E-commerce"/>
    <s v="Website Banner"/>
    <n v="256.32"/>
    <x v="325"/>
    <x v="0"/>
    <x v="325"/>
  </r>
  <r>
    <n v="2338"/>
    <x v="816"/>
    <n v="237"/>
    <n v="4"/>
    <n v="64.08"/>
    <n v="64.08"/>
    <n v="0"/>
    <n v="0"/>
    <n v="0"/>
    <n v="256.32"/>
    <x v="48"/>
    <s v="E-commerce"/>
    <s v="Website Banner"/>
    <n v="256.32"/>
    <x v="439"/>
    <x v="0"/>
    <x v="439"/>
  </r>
  <r>
    <n v="2961"/>
    <x v="565"/>
    <n v="371"/>
    <n v="4"/>
    <n v="63.82"/>
    <n v="63.82"/>
    <n v="0"/>
    <n v="0"/>
    <n v="0"/>
    <n v="255.28"/>
    <x v="0"/>
    <s v="E-commerce"/>
    <s v="Website Banner"/>
    <n v="255.28"/>
    <x v="33"/>
    <x v="4"/>
    <x v="33"/>
  </r>
  <r>
    <n v="1989"/>
    <x v="635"/>
    <n v="372"/>
    <n v="4"/>
    <n v="63.79"/>
    <n v="63.79"/>
    <n v="0"/>
    <n v="0"/>
    <n v="0"/>
    <n v="255.16"/>
    <x v="0"/>
    <s v="App Mobile"/>
    <s v="App Mobile"/>
    <n v="255.16"/>
    <x v="34"/>
    <x v="2"/>
    <x v="34"/>
  </r>
  <r>
    <n v="537"/>
    <x v="753"/>
    <n v="385"/>
    <n v="4"/>
    <n v="63.23"/>
    <n v="63.23"/>
    <n v="0"/>
    <n v="0"/>
    <n v="0"/>
    <n v="252.92"/>
    <x v="34"/>
    <s v="App Mobile"/>
    <s v="App Mobile"/>
    <n v="252.92"/>
    <x v="326"/>
    <x v="2"/>
    <x v="326"/>
  </r>
  <r>
    <n v="3038"/>
    <x v="727"/>
    <n v="385"/>
    <n v="4"/>
    <n v="63.23"/>
    <n v="63.23"/>
    <n v="0"/>
    <n v="0"/>
    <n v="0"/>
    <n v="252.92"/>
    <x v="5"/>
    <s v="E-commerce"/>
    <s v="Website Banner"/>
    <n v="252.92"/>
    <x v="326"/>
    <x v="2"/>
    <x v="326"/>
  </r>
  <r>
    <n v="3070"/>
    <x v="448"/>
    <n v="56"/>
    <n v="4"/>
    <n v="62.92"/>
    <n v="62.92"/>
    <n v="0"/>
    <n v="0"/>
    <n v="0"/>
    <n v="251.68"/>
    <x v="43"/>
    <s v="App Mobile"/>
    <s v="App Mobile"/>
    <n v="251.68"/>
    <x v="37"/>
    <x v="1"/>
    <x v="37"/>
  </r>
  <r>
    <n v="1179"/>
    <x v="687"/>
    <n v="38"/>
    <n v="4"/>
    <n v="62.8"/>
    <n v="62.8"/>
    <n v="0"/>
    <n v="0"/>
    <n v="0"/>
    <n v="251.2"/>
    <x v="3"/>
    <s v="App Mobile"/>
    <s v="App Mobile"/>
    <n v="251.2"/>
    <x v="38"/>
    <x v="4"/>
    <x v="38"/>
  </r>
  <r>
    <n v="1113"/>
    <x v="83"/>
    <n v="382"/>
    <n v="4"/>
    <n v="62.52"/>
    <n v="62.52"/>
    <n v="0"/>
    <n v="0"/>
    <n v="0"/>
    <n v="250.08"/>
    <x v="24"/>
    <s v="App Mobile"/>
    <s v="App Mobile"/>
    <n v="250.08"/>
    <x v="441"/>
    <x v="0"/>
    <x v="441"/>
  </r>
  <r>
    <n v="668"/>
    <x v="395"/>
    <n v="192"/>
    <n v="4"/>
    <n v="62.48"/>
    <n v="62.48"/>
    <n v="0"/>
    <n v="0"/>
    <n v="0"/>
    <n v="249.92"/>
    <x v="7"/>
    <s v="App Mobile"/>
    <s v="App Mobile"/>
    <n v="249.92"/>
    <x v="327"/>
    <x v="0"/>
    <x v="327"/>
  </r>
  <r>
    <n v="3243"/>
    <x v="817"/>
    <n v="323"/>
    <n v="4"/>
    <n v="62.34"/>
    <n v="62.34"/>
    <n v="0"/>
    <n v="0"/>
    <n v="0"/>
    <n v="249.36"/>
    <x v="50"/>
    <s v="App Mobile"/>
    <s v="App Mobile"/>
    <n v="249.36"/>
    <x v="329"/>
    <x v="4"/>
    <x v="329"/>
  </r>
  <r>
    <n v="194"/>
    <x v="158"/>
    <n v="115"/>
    <n v="4"/>
    <n v="62.27"/>
    <n v="62.27"/>
    <n v="0"/>
    <n v="0"/>
    <n v="0"/>
    <n v="249.08"/>
    <x v="7"/>
    <s v="E-commerce"/>
    <s v="Website Banner"/>
    <n v="249.08"/>
    <x v="40"/>
    <x v="3"/>
    <x v="40"/>
  </r>
  <r>
    <n v="74"/>
    <x v="197"/>
    <n v="444"/>
    <n v="4"/>
    <n v="61.78"/>
    <n v="61.78"/>
    <n v="0"/>
    <n v="0"/>
    <n v="0"/>
    <n v="247.12"/>
    <x v="4"/>
    <s v="E-commerce"/>
    <s v="Website Banner"/>
    <n v="247.12"/>
    <x v="442"/>
    <x v="0"/>
    <x v="442"/>
  </r>
  <r>
    <n v="411"/>
    <x v="818"/>
    <n v="152"/>
    <n v="4"/>
    <n v="61.7"/>
    <n v="61.7"/>
    <n v="0"/>
    <n v="0"/>
    <n v="0"/>
    <n v="246.8"/>
    <x v="36"/>
    <s v="E-commerce"/>
    <s v="Website Banner"/>
    <n v="246.8"/>
    <x v="330"/>
    <x v="3"/>
    <x v="330"/>
  </r>
  <r>
    <n v="566"/>
    <x v="819"/>
    <n v="266"/>
    <n v="4"/>
    <n v="61.67"/>
    <n v="61.67"/>
    <n v="0"/>
    <n v="0"/>
    <n v="0"/>
    <n v="246.68"/>
    <x v="1"/>
    <s v="App Mobile"/>
    <s v="App Mobile"/>
    <n v="246.68"/>
    <x v="43"/>
    <x v="2"/>
    <x v="43"/>
  </r>
  <r>
    <n v="1580"/>
    <x v="820"/>
    <n v="266"/>
    <n v="4"/>
    <n v="61.67"/>
    <n v="61.67"/>
    <n v="0"/>
    <n v="0"/>
    <n v="0"/>
    <n v="246.68"/>
    <x v="50"/>
    <s v="App Mobile"/>
    <s v="App Mobile"/>
    <n v="246.68"/>
    <x v="43"/>
    <x v="2"/>
    <x v="43"/>
  </r>
  <r>
    <n v="438"/>
    <x v="674"/>
    <n v="35"/>
    <n v="4"/>
    <n v="61.61"/>
    <n v="61.61"/>
    <n v="0"/>
    <n v="0"/>
    <n v="0"/>
    <n v="246.44"/>
    <x v="16"/>
    <s v="E-commerce"/>
    <s v="Website Banner"/>
    <n v="246.44"/>
    <x v="44"/>
    <x v="0"/>
    <x v="44"/>
  </r>
  <r>
    <n v="304"/>
    <x v="205"/>
    <n v="399"/>
    <n v="4"/>
    <n v="61.6"/>
    <n v="61.6"/>
    <n v="0"/>
    <n v="0"/>
    <n v="0"/>
    <n v="246.4"/>
    <x v="12"/>
    <s v="E-commerce"/>
    <s v="Website Banner"/>
    <n v="246.4"/>
    <x v="45"/>
    <x v="1"/>
    <x v="45"/>
  </r>
  <r>
    <n v="2866"/>
    <x v="579"/>
    <n v="125"/>
    <n v="4"/>
    <n v="61.27"/>
    <n v="61.27"/>
    <n v="0"/>
    <n v="0"/>
    <n v="0"/>
    <n v="245.08"/>
    <x v="34"/>
    <s v="App Mobile"/>
    <s v="App Mobile"/>
    <n v="245.08"/>
    <x v="331"/>
    <x v="1"/>
    <x v="331"/>
  </r>
  <r>
    <n v="2969"/>
    <x v="107"/>
    <n v="428"/>
    <n v="4"/>
    <n v="61.22"/>
    <n v="61.22"/>
    <n v="0"/>
    <n v="0"/>
    <n v="0"/>
    <n v="244.88"/>
    <x v="2"/>
    <s v="App Mobile"/>
    <s v="App Mobile"/>
    <n v="244.88"/>
    <x v="46"/>
    <x v="1"/>
    <x v="46"/>
  </r>
  <r>
    <n v="683"/>
    <x v="408"/>
    <n v="112"/>
    <n v="4"/>
    <n v="61.2"/>
    <n v="61.2"/>
    <n v="0"/>
    <n v="0"/>
    <n v="0"/>
    <n v="244.8"/>
    <x v="35"/>
    <s v="E-commerce"/>
    <s v="Website Banner"/>
    <n v="244.8"/>
    <x v="476"/>
    <x v="3"/>
    <x v="476"/>
  </r>
  <r>
    <n v="2831"/>
    <x v="394"/>
    <n v="352"/>
    <n v="4"/>
    <n v="61.12"/>
    <n v="61.12"/>
    <n v="0"/>
    <n v="0"/>
    <n v="0"/>
    <n v="244.48"/>
    <x v="20"/>
    <s v="App Mobile"/>
    <s v="App Mobile"/>
    <n v="244.48"/>
    <x v="333"/>
    <x v="3"/>
    <x v="333"/>
  </r>
  <r>
    <n v="982"/>
    <x v="611"/>
    <n v="340"/>
    <n v="4"/>
    <n v="60.83"/>
    <n v="60.83"/>
    <n v="0"/>
    <n v="0"/>
    <n v="0"/>
    <n v="243.32"/>
    <x v="15"/>
    <s v="App Mobile"/>
    <s v="App Mobile"/>
    <n v="243.32"/>
    <x v="48"/>
    <x v="1"/>
    <x v="48"/>
  </r>
  <r>
    <n v="1282"/>
    <x v="821"/>
    <n v="340"/>
    <n v="4"/>
    <n v="60.83"/>
    <n v="60.83"/>
    <n v="0"/>
    <n v="0"/>
    <n v="0"/>
    <n v="243.32"/>
    <x v="35"/>
    <s v="App Mobile"/>
    <s v="App Mobile"/>
    <n v="243.32"/>
    <x v="48"/>
    <x v="1"/>
    <x v="48"/>
  </r>
  <r>
    <n v="2486"/>
    <x v="45"/>
    <n v="340"/>
    <n v="4"/>
    <n v="60.83"/>
    <n v="60.83"/>
    <n v="0"/>
    <n v="0"/>
    <n v="0"/>
    <n v="243.32"/>
    <x v="14"/>
    <s v="E-commerce"/>
    <s v="Website Banner"/>
    <n v="243.32"/>
    <x v="48"/>
    <x v="1"/>
    <x v="48"/>
  </r>
  <r>
    <n v="2585"/>
    <x v="575"/>
    <n v="305"/>
    <n v="4"/>
    <n v="60.79"/>
    <n v="60.79"/>
    <n v="0"/>
    <n v="0"/>
    <n v="0"/>
    <n v="243.16"/>
    <x v="29"/>
    <s v="E-commerce"/>
    <s v="Website Banner"/>
    <n v="243.16"/>
    <x v="334"/>
    <x v="2"/>
    <x v="334"/>
  </r>
  <r>
    <n v="1473"/>
    <x v="489"/>
    <n v="129"/>
    <n v="4"/>
    <n v="60.68"/>
    <n v="60.68"/>
    <n v="0"/>
    <n v="0"/>
    <n v="0"/>
    <n v="242.72"/>
    <x v="21"/>
    <s v="E-commerce"/>
    <s v="Website Banner"/>
    <n v="242.72"/>
    <x v="49"/>
    <x v="2"/>
    <x v="49"/>
  </r>
  <r>
    <n v="46"/>
    <x v="551"/>
    <n v="433"/>
    <n v="4"/>
    <n v="60.12"/>
    <n v="60.12"/>
    <n v="0"/>
    <n v="0"/>
    <n v="0"/>
    <n v="240.48"/>
    <x v="1"/>
    <s v="App Mobile"/>
    <s v="App Mobile"/>
    <n v="240.48"/>
    <x v="53"/>
    <x v="2"/>
    <x v="53"/>
  </r>
  <r>
    <n v="2569"/>
    <x v="360"/>
    <n v="4"/>
    <n v="4"/>
    <n v="60"/>
    <n v="60"/>
    <n v="0"/>
    <n v="0"/>
    <n v="0"/>
    <n v="240"/>
    <x v="18"/>
    <s v="E-commerce"/>
    <s v="Website Banner"/>
    <n v="240"/>
    <x v="477"/>
    <x v="4"/>
    <x v="477"/>
  </r>
  <r>
    <n v="1472"/>
    <x v="650"/>
    <n v="472"/>
    <n v="4"/>
    <n v="59.9"/>
    <n v="59.9"/>
    <n v="0"/>
    <n v="0"/>
    <n v="0"/>
    <n v="239.6"/>
    <x v="49"/>
    <s v="App Mobile"/>
    <s v="App Mobile"/>
    <n v="239.6"/>
    <x v="337"/>
    <x v="2"/>
    <x v="337"/>
  </r>
  <r>
    <n v="2186"/>
    <x v="822"/>
    <n v="99"/>
    <n v="4"/>
    <n v="59.78"/>
    <n v="59.78"/>
    <n v="0"/>
    <n v="0"/>
    <n v="0"/>
    <n v="239.12"/>
    <x v="34"/>
    <s v="App Mobile"/>
    <s v="App Mobile"/>
    <n v="239.12"/>
    <x v="55"/>
    <x v="4"/>
    <x v="55"/>
  </r>
  <r>
    <n v="770"/>
    <x v="823"/>
    <n v="464"/>
    <n v="4"/>
    <n v="59.58"/>
    <n v="59.58"/>
    <n v="0"/>
    <n v="0"/>
    <n v="0"/>
    <n v="238.32"/>
    <x v="11"/>
    <s v="E-commerce"/>
    <s v="Website Banner"/>
    <n v="238.32"/>
    <x v="57"/>
    <x v="1"/>
    <x v="57"/>
  </r>
  <r>
    <n v="1692"/>
    <x v="341"/>
    <n v="464"/>
    <n v="4"/>
    <n v="59.58"/>
    <n v="59.58"/>
    <n v="0"/>
    <n v="0"/>
    <n v="0"/>
    <n v="238.32"/>
    <x v="1"/>
    <s v="E-commerce"/>
    <s v="Website Banner"/>
    <n v="238.32"/>
    <x v="57"/>
    <x v="1"/>
    <x v="57"/>
  </r>
  <r>
    <n v="1953"/>
    <x v="653"/>
    <n v="464"/>
    <n v="4"/>
    <n v="59.58"/>
    <n v="59.58"/>
    <n v="0"/>
    <n v="0"/>
    <n v="0"/>
    <n v="238.32"/>
    <x v="28"/>
    <s v="App Mobile"/>
    <s v="App Mobile"/>
    <n v="238.32"/>
    <x v="57"/>
    <x v="1"/>
    <x v="57"/>
  </r>
  <r>
    <n v="925"/>
    <x v="519"/>
    <n v="291"/>
    <n v="4"/>
    <n v="59.56"/>
    <n v="59.56"/>
    <n v="0"/>
    <n v="0"/>
    <n v="0"/>
    <n v="238.24"/>
    <x v="33"/>
    <s v="E-commerce"/>
    <s v="Website Banner"/>
    <n v="238.24"/>
    <x v="58"/>
    <x v="1"/>
    <x v="58"/>
  </r>
  <r>
    <n v="2209"/>
    <x v="824"/>
    <n v="291"/>
    <n v="4"/>
    <n v="59.56"/>
    <n v="59.56"/>
    <n v="0"/>
    <n v="0"/>
    <n v="0"/>
    <n v="238.24"/>
    <x v="14"/>
    <s v="App Mobile"/>
    <s v="App Mobile"/>
    <n v="238.24"/>
    <x v="58"/>
    <x v="1"/>
    <x v="58"/>
  </r>
  <r>
    <n v="2657"/>
    <x v="825"/>
    <n v="291"/>
    <n v="4"/>
    <n v="59.56"/>
    <n v="59.56"/>
    <n v="0"/>
    <n v="0"/>
    <n v="0"/>
    <n v="238.24"/>
    <x v="21"/>
    <s v="E-commerce"/>
    <s v="Website Banner"/>
    <n v="238.24"/>
    <x v="58"/>
    <x v="1"/>
    <x v="58"/>
  </r>
  <r>
    <n v="3223"/>
    <x v="200"/>
    <n v="291"/>
    <n v="4"/>
    <n v="59.56"/>
    <n v="59.56"/>
    <n v="0"/>
    <n v="0"/>
    <n v="0"/>
    <n v="238.24"/>
    <x v="31"/>
    <s v="E-commerce"/>
    <s v="Website Banner"/>
    <n v="238.24"/>
    <x v="58"/>
    <x v="1"/>
    <x v="58"/>
  </r>
  <r>
    <n v="1810"/>
    <x v="647"/>
    <n v="390"/>
    <n v="4"/>
    <n v="59.33"/>
    <n v="59.33"/>
    <n v="0"/>
    <n v="0"/>
    <n v="0"/>
    <n v="237.32"/>
    <x v="13"/>
    <s v="App Mobile"/>
    <s v="App Mobile"/>
    <n v="237.32"/>
    <x v="446"/>
    <x v="1"/>
    <x v="446"/>
  </r>
  <r>
    <n v="2621"/>
    <x v="727"/>
    <n v="390"/>
    <n v="4"/>
    <n v="59.33"/>
    <n v="59.33"/>
    <n v="0"/>
    <n v="0"/>
    <n v="0"/>
    <n v="237.32"/>
    <x v="5"/>
    <s v="E-commerce"/>
    <s v="Website Banner"/>
    <n v="237.32"/>
    <x v="446"/>
    <x v="1"/>
    <x v="446"/>
  </r>
  <r>
    <n v="317"/>
    <x v="240"/>
    <n v="244"/>
    <n v="4"/>
    <n v="59.32"/>
    <n v="59.32"/>
    <n v="0"/>
    <n v="0"/>
    <n v="0"/>
    <n v="237.28"/>
    <x v="35"/>
    <s v="App Mobile"/>
    <s v="App Mobile"/>
    <n v="237.28"/>
    <x v="60"/>
    <x v="1"/>
    <x v="60"/>
  </r>
  <r>
    <n v="226"/>
    <x v="232"/>
    <n v="78"/>
    <n v="4"/>
    <n v="59.21"/>
    <n v="59.21"/>
    <n v="0"/>
    <n v="0"/>
    <n v="0"/>
    <n v="236.84"/>
    <x v="18"/>
    <s v="App Mobile"/>
    <s v="App Mobile"/>
    <n v="236.84"/>
    <x v="339"/>
    <x v="1"/>
    <x v="339"/>
  </r>
  <r>
    <n v="1980"/>
    <x v="346"/>
    <n v="384"/>
    <n v="4"/>
    <n v="58.94"/>
    <n v="58.94"/>
    <n v="0"/>
    <n v="0"/>
    <n v="0"/>
    <n v="235.76"/>
    <x v="17"/>
    <s v="App Mobile"/>
    <s v="App Mobile"/>
    <n v="235.76"/>
    <x v="62"/>
    <x v="3"/>
    <x v="62"/>
  </r>
  <r>
    <n v="2966"/>
    <x v="152"/>
    <n v="286"/>
    <n v="4"/>
    <n v="58.91"/>
    <n v="58.91"/>
    <n v="0"/>
    <n v="0"/>
    <n v="0"/>
    <n v="235.64"/>
    <x v="26"/>
    <s v="E-commerce"/>
    <s v="Website Banner"/>
    <n v="235.64"/>
    <x v="478"/>
    <x v="1"/>
    <x v="478"/>
  </r>
  <r>
    <n v="486"/>
    <x v="826"/>
    <n v="247"/>
    <n v="4"/>
    <n v="58.86"/>
    <n v="58.86"/>
    <n v="0"/>
    <n v="0"/>
    <n v="0"/>
    <n v="235.44"/>
    <x v="23"/>
    <s v="E-commerce"/>
    <s v="Website Banner"/>
    <n v="235.44"/>
    <x v="447"/>
    <x v="2"/>
    <x v="447"/>
  </r>
  <r>
    <n v="1301"/>
    <x v="250"/>
    <n v="247"/>
    <n v="4"/>
    <n v="58.86"/>
    <n v="58.86"/>
    <n v="0"/>
    <n v="0"/>
    <n v="0"/>
    <n v="235.44"/>
    <x v="5"/>
    <s v="E-commerce"/>
    <s v="Website Banner"/>
    <n v="235.44"/>
    <x v="447"/>
    <x v="2"/>
    <x v="447"/>
  </r>
  <r>
    <n v="3343"/>
    <x v="801"/>
    <n v="110"/>
    <n v="4"/>
    <n v="58.7"/>
    <n v="58.7"/>
    <n v="0"/>
    <n v="0"/>
    <n v="0"/>
    <n v="234.8"/>
    <x v="30"/>
    <s v="App Mobile"/>
    <s v="App Mobile"/>
    <n v="234.8"/>
    <x v="479"/>
    <x v="0"/>
    <x v="479"/>
  </r>
  <r>
    <n v="2665"/>
    <x v="422"/>
    <n v="63"/>
    <n v="4"/>
    <n v="58.67"/>
    <n v="58.67"/>
    <n v="0"/>
    <n v="0"/>
    <n v="0"/>
    <n v="234.68"/>
    <x v="33"/>
    <s v="App Mobile"/>
    <s v="App Mobile"/>
    <n v="234.68"/>
    <x v="63"/>
    <x v="3"/>
    <x v="63"/>
  </r>
  <r>
    <n v="1874"/>
    <x v="827"/>
    <n v="297"/>
    <n v="4"/>
    <n v="65.17"/>
    <n v="58.65"/>
    <n v="6.52"/>
    <n v="0.1"/>
    <n v="1"/>
    <n v="234.61"/>
    <x v="37"/>
    <s v="E-commerce"/>
    <s v="Website Banner"/>
    <n v="234.6"/>
    <x v="438"/>
    <x v="1"/>
    <x v="438"/>
  </r>
  <r>
    <n v="3235"/>
    <x v="177"/>
    <n v="366"/>
    <n v="4"/>
    <n v="58.34"/>
    <n v="58.34"/>
    <n v="0"/>
    <n v="0"/>
    <n v="0"/>
    <n v="233.36"/>
    <x v="28"/>
    <s v="App Mobile"/>
    <s v="App Mobile"/>
    <n v="233.36"/>
    <x v="64"/>
    <x v="2"/>
    <x v="64"/>
  </r>
  <r>
    <n v="1383"/>
    <x v="549"/>
    <n v="145"/>
    <n v="4"/>
    <n v="58.25"/>
    <n v="58.25"/>
    <n v="0"/>
    <n v="0"/>
    <n v="0"/>
    <n v="233"/>
    <x v="9"/>
    <s v="E-commerce"/>
    <s v="Website Banner"/>
    <n v="233"/>
    <x v="66"/>
    <x v="1"/>
    <x v="66"/>
  </r>
  <r>
    <n v="1655"/>
    <x v="739"/>
    <n v="101"/>
    <n v="4"/>
    <n v="58.11"/>
    <n v="58.11"/>
    <n v="0"/>
    <n v="0"/>
    <n v="0"/>
    <n v="232.44"/>
    <x v="43"/>
    <s v="E-commerce"/>
    <s v="Website Banner"/>
    <n v="232.44"/>
    <x v="67"/>
    <x v="4"/>
    <x v="67"/>
  </r>
  <r>
    <n v="2566"/>
    <x v="303"/>
    <n v="225"/>
    <n v="4"/>
    <n v="58.11"/>
    <n v="58.11"/>
    <n v="0"/>
    <n v="0"/>
    <n v="0"/>
    <n v="232.44"/>
    <x v="34"/>
    <s v="App Mobile"/>
    <s v="App Mobile"/>
    <n v="232.44"/>
    <x v="68"/>
    <x v="1"/>
    <x v="68"/>
  </r>
  <r>
    <n v="578"/>
    <x v="828"/>
    <n v="473"/>
    <n v="4"/>
    <n v="57.98"/>
    <n v="57.98"/>
    <n v="0"/>
    <n v="0"/>
    <n v="0"/>
    <n v="231.92"/>
    <x v="48"/>
    <s v="E-commerce"/>
    <s v="Website Banner"/>
    <n v="231.92"/>
    <x v="340"/>
    <x v="0"/>
    <x v="340"/>
  </r>
  <r>
    <n v="1827"/>
    <x v="590"/>
    <n v="473"/>
    <n v="4"/>
    <n v="57.98"/>
    <n v="57.98"/>
    <n v="0"/>
    <n v="0"/>
    <n v="0"/>
    <n v="231.92"/>
    <x v="43"/>
    <s v="E-commerce"/>
    <s v="Website Banner"/>
    <n v="231.92"/>
    <x v="340"/>
    <x v="0"/>
    <x v="340"/>
  </r>
  <r>
    <n v="2813"/>
    <x v="829"/>
    <n v="473"/>
    <n v="4"/>
    <n v="57.98"/>
    <n v="57.98"/>
    <n v="0"/>
    <n v="0"/>
    <n v="0"/>
    <n v="231.92"/>
    <x v="29"/>
    <s v="E-commerce"/>
    <s v="Website Banner"/>
    <n v="231.92"/>
    <x v="340"/>
    <x v="0"/>
    <x v="340"/>
  </r>
  <r>
    <n v="3082"/>
    <x v="547"/>
    <n v="473"/>
    <n v="4"/>
    <n v="57.98"/>
    <n v="57.98"/>
    <n v="0"/>
    <n v="0"/>
    <n v="0"/>
    <n v="231.92"/>
    <x v="13"/>
    <s v="App Mobile"/>
    <s v="App Mobile"/>
    <n v="231.92"/>
    <x v="340"/>
    <x v="0"/>
    <x v="340"/>
  </r>
  <r>
    <n v="1902"/>
    <x v="540"/>
    <n v="83"/>
    <n v="4"/>
    <n v="57.8"/>
    <n v="57.8"/>
    <n v="0"/>
    <n v="0"/>
    <n v="0"/>
    <n v="231.2"/>
    <x v="50"/>
    <s v="E-commerce"/>
    <s v="Website Banner"/>
    <n v="231.2"/>
    <x v="70"/>
    <x v="4"/>
    <x v="70"/>
  </r>
  <r>
    <n v="1258"/>
    <x v="201"/>
    <n v="7"/>
    <n v="4"/>
    <n v="57.66"/>
    <n v="57.66"/>
    <n v="0"/>
    <n v="0"/>
    <n v="0"/>
    <n v="230.64"/>
    <x v="25"/>
    <s v="E-commerce"/>
    <s v="Website Banner"/>
    <n v="230.64"/>
    <x v="341"/>
    <x v="0"/>
    <x v="341"/>
  </r>
  <r>
    <n v="1918"/>
    <x v="568"/>
    <n v="7"/>
    <n v="4"/>
    <n v="57.66"/>
    <n v="57.66"/>
    <n v="0"/>
    <n v="0"/>
    <n v="0"/>
    <n v="230.64"/>
    <x v="13"/>
    <s v="E-commerce"/>
    <s v="Website Banner"/>
    <n v="230.64"/>
    <x v="341"/>
    <x v="0"/>
    <x v="341"/>
  </r>
  <r>
    <n v="429"/>
    <x v="17"/>
    <n v="227"/>
    <n v="4"/>
    <n v="57.51"/>
    <n v="57.51"/>
    <n v="0"/>
    <n v="0"/>
    <n v="0"/>
    <n v="230.04"/>
    <x v="15"/>
    <s v="App Mobile"/>
    <s v="App Mobile"/>
    <n v="230.04"/>
    <x v="71"/>
    <x v="4"/>
    <x v="71"/>
  </r>
  <r>
    <n v="906"/>
    <x v="765"/>
    <n v="227"/>
    <n v="4"/>
    <n v="57.51"/>
    <n v="57.51"/>
    <n v="0"/>
    <n v="0"/>
    <n v="0"/>
    <n v="230.04"/>
    <x v="13"/>
    <s v="App Mobile"/>
    <s v="App Mobile"/>
    <n v="230.04"/>
    <x v="71"/>
    <x v="4"/>
    <x v="71"/>
  </r>
  <r>
    <n v="867"/>
    <x v="621"/>
    <n v="213"/>
    <n v="4"/>
    <n v="57.31"/>
    <n v="57.31"/>
    <n v="0"/>
    <n v="0"/>
    <n v="0"/>
    <n v="229.24"/>
    <x v="17"/>
    <s v="App Mobile"/>
    <s v="App Mobile"/>
    <n v="229.24"/>
    <x v="344"/>
    <x v="4"/>
    <x v="344"/>
  </r>
  <r>
    <n v="157"/>
    <x v="728"/>
    <n v="53"/>
    <n v="4"/>
    <n v="57.17"/>
    <n v="57.17"/>
    <n v="0"/>
    <n v="0"/>
    <n v="0"/>
    <n v="228.68"/>
    <x v="9"/>
    <s v="App Mobile"/>
    <s v="App Mobile"/>
    <n v="228.68"/>
    <x v="76"/>
    <x v="1"/>
    <x v="76"/>
  </r>
  <r>
    <n v="1912"/>
    <x v="716"/>
    <n v="53"/>
    <n v="4"/>
    <n v="57.17"/>
    <n v="57.17"/>
    <n v="0"/>
    <n v="0"/>
    <n v="0"/>
    <n v="228.68"/>
    <x v="18"/>
    <s v="App Mobile"/>
    <s v="App Mobile"/>
    <n v="228.68"/>
    <x v="76"/>
    <x v="1"/>
    <x v="76"/>
  </r>
  <r>
    <n v="3182"/>
    <x v="830"/>
    <n v="288"/>
    <n v="4"/>
    <n v="57.11"/>
    <n v="57.11"/>
    <n v="0"/>
    <n v="0"/>
    <n v="0"/>
    <n v="228.44"/>
    <x v="19"/>
    <s v="E-commerce"/>
    <s v="Website Banner"/>
    <n v="228.44"/>
    <x v="77"/>
    <x v="4"/>
    <x v="77"/>
  </r>
  <r>
    <n v="2674"/>
    <x v="831"/>
    <n v="407"/>
    <n v="4"/>
    <n v="56.84"/>
    <n v="56.84"/>
    <n v="0"/>
    <n v="0"/>
    <n v="0"/>
    <n v="227.36"/>
    <x v="35"/>
    <s v="E-commerce"/>
    <s v="Website Banner"/>
    <n v="227.36"/>
    <x v="222"/>
    <x v="4"/>
    <x v="222"/>
  </r>
  <r>
    <n v="1832"/>
    <x v="832"/>
    <n v="326"/>
    <n v="4"/>
    <n v="56.7"/>
    <n v="56.7"/>
    <n v="0"/>
    <n v="0"/>
    <n v="0"/>
    <n v="226.8"/>
    <x v="11"/>
    <s v="E-commerce"/>
    <s v="Website Banner"/>
    <n v="226.8"/>
    <x v="80"/>
    <x v="0"/>
    <x v="80"/>
  </r>
  <r>
    <n v="2742"/>
    <x v="750"/>
    <n v="326"/>
    <n v="4"/>
    <n v="56.7"/>
    <n v="56.7"/>
    <n v="0"/>
    <n v="0"/>
    <n v="0"/>
    <n v="226.8"/>
    <x v="8"/>
    <s v="App Mobile"/>
    <s v="App Mobile"/>
    <n v="226.8"/>
    <x v="80"/>
    <x v="0"/>
    <x v="80"/>
  </r>
  <r>
    <n v="1797"/>
    <x v="326"/>
    <n v="38"/>
    <n v="4"/>
    <n v="62.8"/>
    <n v="56.52"/>
    <n v="6.28"/>
    <n v="0.1"/>
    <n v="1"/>
    <n v="226.08"/>
    <x v="32"/>
    <s v="E-commerce"/>
    <s v="Website Banner"/>
    <n v="226.08"/>
    <x v="38"/>
    <x v="4"/>
    <x v="38"/>
  </r>
  <r>
    <n v="329"/>
    <x v="699"/>
    <n v="314"/>
    <n v="4"/>
    <n v="56.29"/>
    <n v="56.29"/>
    <n v="0"/>
    <n v="0"/>
    <n v="0"/>
    <n v="225.16"/>
    <x v="18"/>
    <s v="E-commerce"/>
    <s v="Website Banner"/>
    <n v="225.16"/>
    <x v="84"/>
    <x v="3"/>
    <x v="84"/>
  </r>
  <r>
    <n v="1440"/>
    <x v="502"/>
    <n v="314"/>
    <n v="4"/>
    <n v="56.29"/>
    <n v="56.29"/>
    <n v="0"/>
    <n v="0"/>
    <n v="0"/>
    <n v="225.16"/>
    <x v="41"/>
    <s v="E-commerce"/>
    <s v="Website Banner"/>
    <n v="225.16"/>
    <x v="84"/>
    <x v="3"/>
    <x v="84"/>
  </r>
  <r>
    <n v="1711"/>
    <x v="833"/>
    <n v="485"/>
    <n v="4"/>
    <n v="56.2"/>
    <n v="56.2"/>
    <n v="0"/>
    <n v="0"/>
    <n v="0"/>
    <n v="224.8"/>
    <x v="23"/>
    <s v="App Mobile"/>
    <s v="App Mobile"/>
    <n v="224.8"/>
    <x v="85"/>
    <x v="1"/>
    <x v="85"/>
  </r>
  <r>
    <n v="866"/>
    <x v="324"/>
    <n v="422"/>
    <n v="4"/>
    <n v="55.91"/>
    <n v="55.91"/>
    <n v="0"/>
    <n v="0"/>
    <n v="0"/>
    <n v="223.64"/>
    <x v="0"/>
    <s v="E-commerce"/>
    <s v="Website Banner"/>
    <n v="223.64"/>
    <x v="86"/>
    <x v="3"/>
    <x v="86"/>
  </r>
  <r>
    <n v="1495"/>
    <x v="834"/>
    <n v="422"/>
    <n v="4"/>
    <n v="55.91"/>
    <n v="55.91"/>
    <n v="0"/>
    <n v="0"/>
    <n v="0"/>
    <n v="223.64"/>
    <x v="19"/>
    <s v="App Mobile"/>
    <s v="App Mobile"/>
    <n v="223.64"/>
    <x v="86"/>
    <x v="3"/>
    <x v="86"/>
  </r>
  <r>
    <n v="2350"/>
    <x v="249"/>
    <n v="156"/>
    <n v="4"/>
    <n v="55.52"/>
    <n v="55.52"/>
    <n v="0"/>
    <n v="0"/>
    <n v="0"/>
    <n v="222.08"/>
    <x v="50"/>
    <s v="E-commerce"/>
    <s v="Website Banner"/>
    <n v="222.08"/>
    <x v="346"/>
    <x v="0"/>
    <x v="346"/>
  </r>
  <r>
    <n v="2976"/>
    <x v="200"/>
    <n v="446"/>
    <n v="4"/>
    <n v="55.14"/>
    <n v="55.14"/>
    <n v="0"/>
    <n v="0"/>
    <n v="0"/>
    <n v="220.56"/>
    <x v="31"/>
    <s v="E-commerce"/>
    <s v="Website Banner"/>
    <n v="220.56"/>
    <x v="397"/>
    <x v="4"/>
    <x v="397"/>
  </r>
  <r>
    <n v="126"/>
    <x v="51"/>
    <n v="124"/>
    <n v="4"/>
    <n v="55.04"/>
    <n v="55.04"/>
    <n v="0"/>
    <n v="0"/>
    <n v="0"/>
    <n v="220.16"/>
    <x v="28"/>
    <s v="App Mobile"/>
    <s v="App Mobile"/>
    <n v="220.16"/>
    <x v="91"/>
    <x v="3"/>
    <x v="91"/>
  </r>
  <r>
    <n v="1952"/>
    <x v="799"/>
    <n v="124"/>
    <n v="4"/>
    <n v="55.04"/>
    <n v="55.04"/>
    <n v="0"/>
    <n v="0"/>
    <n v="0"/>
    <n v="220.16"/>
    <x v="1"/>
    <s v="App Mobile"/>
    <s v="App Mobile"/>
    <n v="220.16"/>
    <x v="91"/>
    <x v="3"/>
    <x v="91"/>
  </r>
  <r>
    <n v="827"/>
    <x v="824"/>
    <n v="126"/>
    <n v="4"/>
    <n v="55.03"/>
    <n v="55.03"/>
    <n v="0"/>
    <n v="0"/>
    <n v="0"/>
    <n v="220.12"/>
    <x v="14"/>
    <s v="App Mobile"/>
    <s v="App Mobile"/>
    <n v="220.12"/>
    <x v="92"/>
    <x v="1"/>
    <x v="92"/>
  </r>
  <r>
    <n v="1446"/>
    <x v="196"/>
    <n v="188"/>
    <n v="4"/>
    <n v="55.01"/>
    <n v="55.01"/>
    <n v="0"/>
    <n v="0"/>
    <n v="0"/>
    <n v="220.04"/>
    <x v="7"/>
    <s v="App Mobile"/>
    <s v="App Mobile"/>
    <n v="220.04"/>
    <x v="94"/>
    <x v="1"/>
    <x v="94"/>
  </r>
  <r>
    <n v="1937"/>
    <x v="279"/>
    <n v="2"/>
    <n v="4"/>
    <n v="78.45"/>
    <n v="54.92"/>
    <n v="23.54"/>
    <n v="0.3"/>
    <n v="1"/>
    <n v="219.66"/>
    <x v="29"/>
    <s v="App Mobile"/>
    <s v="Social Media"/>
    <n v="219.68"/>
    <x v="312"/>
    <x v="4"/>
    <x v="312"/>
  </r>
  <r>
    <n v="1213"/>
    <x v="835"/>
    <n v="461"/>
    <n v="4"/>
    <n v="54.91"/>
    <n v="54.91"/>
    <n v="0"/>
    <n v="0"/>
    <n v="0"/>
    <n v="219.64"/>
    <x v="28"/>
    <s v="App Mobile"/>
    <s v="App Mobile"/>
    <n v="219.64"/>
    <x v="95"/>
    <x v="4"/>
    <x v="95"/>
  </r>
  <r>
    <n v="2892"/>
    <x v="49"/>
    <n v="304"/>
    <n v="4"/>
    <n v="54.88"/>
    <n v="54.88"/>
    <n v="0"/>
    <n v="0"/>
    <n v="0"/>
    <n v="219.52"/>
    <x v="7"/>
    <s v="App Mobile"/>
    <s v="App Mobile"/>
    <n v="219.52"/>
    <x v="462"/>
    <x v="4"/>
    <x v="462"/>
  </r>
  <r>
    <n v="1820"/>
    <x v="836"/>
    <n v="496"/>
    <n v="4"/>
    <n v="54.61"/>
    <n v="54.61"/>
    <n v="0"/>
    <n v="0"/>
    <n v="0"/>
    <n v="218.44"/>
    <x v="37"/>
    <s v="App Mobile"/>
    <s v="App Mobile"/>
    <n v="218.44"/>
    <x v="348"/>
    <x v="2"/>
    <x v="348"/>
  </r>
  <r>
    <n v="161"/>
    <x v="837"/>
    <n v="271"/>
    <n v="4"/>
    <n v="54.28"/>
    <n v="54.28"/>
    <n v="0"/>
    <n v="0"/>
    <n v="0"/>
    <n v="217.12"/>
    <x v="16"/>
    <s v="App Mobile"/>
    <s v="App Mobile"/>
    <n v="217.12"/>
    <x v="98"/>
    <x v="1"/>
    <x v="98"/>
  </r>
  <r>
    <n v="417"/>
    <x v="426"/>
    <n v="42"/>
    <n v="4"/>
    <n v="54.2"/>
    <n v="54.2"/>
    <n v="0"/>
    <n v="0"/>
    <n v="0"/>
    <n v="216.8"/>
    <x v="39"/>
    <s v="App Mobile"/>
    <s v="App Mobile"/>
    <n v="216.8"/>
    <x v="99"/>
    <x v="3"/>
    <x v="99"/>
  </r>
  <r>
    <n v="2381"/>
    <x v="719"/>
    <n v="425"/>
    <n v="4"/>
    <n v="53.99"/>
    <n v="53.99"/>
    <n v="0"/>
    <n v="0"/>
    <n v="0"/>
    <n v="215.96"/>
    <x v="2"/>
    <s v="App Mobile"/>
    <s v="App Mobile"/>
    <n v="215.96"/>
    <x v="480"/>
    <x v="3"/>
    <x v="480"/>
  </r>
  <r>
    <n v="2444"/>
    <x v="570"/>
    <n v="439"/>
    <n v="4"/>
    <n v="53.93"/>
    <n v="53.93"/>
    <n v="0"/>
    <n v="0"/>
    <n v="0"/>
    <n v="215.72"/>
    <x v="22"/>
    <s v="E-commerce"/>
    <s v="Website Banner"/>
    <n v="215.72"/>
    <x v="100"/>
    <x v="2"/>
    <x v="100"/>
  </r>
  <r>
    <n v="1474"/>
    <x v="268"/>
    <n v="154"/>
    <n v="4"/>
    <n v="53.74"/>
    <n v="53.74"/>
    <n v="0"/>
    <n v="0"/>
    <n v="0"/>
    <n v="214.96"/>
    <x v="4"/>
    <s v="App Mobile"/>
    <s v="App Mobile"/>
    <n v="214.96"/>
    <x v="101"/>
    <x v="3"/>
    <x v="101"/>
  </r>
  <r>
    <n v="1960"/>
    <x v="781"/>
    <n v="406"/>
    <n v="4"/>
    <n v="53.74"/>
    <n v="53.74"/>
    <n v="0"/>
    <n v="0"/>
    <n v="0"/>
    <n v="214.96"/>
    <x v="46"/>
    <s v="E-commerce"/>
    <s v="Website Banner"/>
    <n v="214.96"/>
    <x v="156"/>
    <x v="2"/>
    <x v="156"/>
  </r>
  <r>
    <n v="2331"/>
    <x v="838"/>
    <n v="127"/>
    <n v="4"/>
    <n v="53.67"/>
    <n v="53.67"/>
    <n v="0"/>
    <n v="0"/>
    <n v="0"/>
    <n v="214.68"/>
    <x v="18"/>
    <s v="E-commerce"/>
    <s v="Website Banner"/>
    <n v="214.68"/>
    <x v="350"/>
    <x v="2"/>
    <x v="350"/>
  </r>
  <r>
    <n v="912"/>
    <x v="715"/>
    <n v="52"/>
    <n v="4"/>
    <n v="53.61"/>
    <n v="53.61"/>
    <n v="0"/>
    <n v="0"/>
    <n v="0"/>
    <n v="214.44"/>
    <x v="28"/>
    <s v="App Mobile"/>
    <s v="App Mobile"/>
    <n v="214.44"/>
    <x v="104"/>
    <x v="4"/>
    <x v="104"/>
  </r>
  <r>
    <n v="812"/>
    <x v="839"/>
    <n v="416"/>
    <n v="4"/>
    <n v="53.46"/>
    <n v="53.46"/>
    <n v="0"/>
    <n v="0"/>
    <n v="0"/>
    <n v="213.84"/>
    <x v="2"/>
    <s v="App Mobile"/>
    <s v="App Mobile"/>
    <n v="213.84"/>
    <x v="106"/>
    <x v="2"/>
    <x v="106"/>
  </r>
  <r>
    <n v="3033"/>
    <x v="21"/>
    <n v="73"/>
    <n v="4"/>
    <n v="53.25"/>
    <n v="53.25"/>
    <n v="0"/>
    <n v="0"/>
    <n v="0"/>
    <n v="213"/>
    <x v="8"/>
    <s v="App Mobile"/>
    <s v="App Mobile"/>
    <n v="213"/>
    <x v="352"/>
    <x v="3"/>
    <x v="352"/>
  </r>
  <r>
    <n v="1900"/>
    <x v="339"/>
    <n v="40"/>
    <n v="4"/>
    <n v="53.19"/>
    <n v="53.19"/>
    <n v="0"/>
    <n v="0"/>
    <n v="0"/>
    <n v="212.76"/>
    <x v="45"/>
    <s v="E-commerce"/>
    <s v="Website Banner"/>
    <n v="212.76"/>
    <x v="110"/>
    <x v="2"/>
    <x v="110"/>
  </r>
  <r>
    <n v="243"/>
    <x v="836"/>
    <n v="133"/>
    <n v="4"/>
    <n v="53.05"/>
    <n v="53.05"/>
    <n v="0"/>
    <n v="0"/>
    <n v="0"/>
    <n v="212.2"/>
    <x v="37"/>
    <s v="App Mobile"/>
    <s v="App Mobile"/>
    <n v="212.2"/>
    <x v="353"/>
    <x v="4"/>
    <x v="353"/>
  </r>
  <r>
    <n v="2982"/>
    <x v="761"/>
    <n v="133"/>
    <n v="4"/>
    <n v="53.05"/>
    <n v="53.05"/>
    <n v="0"/>
    <n v="0"/>
    <n v="0"/>
    <n v="212.2"/>
    <x v="25"/>
    <s v="App Mobile"/>
    <s v="App Mobile"/>
    <n v="212.2"/>
    <x v="353"/>
    <x v="4"/>
    <x v="353"/>
  </r>
  <r>
    <n v="2985"/>
    <x v="840"/>
    <n v="286"/>
    <n v="4"/>
    <n v="58.91"/>
    <n v="53.02"/>
    <n v="5.89"/>
    <n v="0.1"/>
    <n v="1"/>
    <n v="212.08"/>
    <x v="32"/>
    <s v="E-commerce"/>
    <s v="Website Banner"/>
    <n v="212.08"/>
    <x v="478"/>
    <x v="1"/>
    <x v="478"/>
  </r>
  <r>
    <n v="2522"/>
    <x v="837"/>
    <n v="147"/>
    <n v="4"/>
    <n v="52.91"/>
    <n v="52.91"/>
    <n v="0"/>
    <n v="0"/>
    <n v="0"/>
    <n v="211.64"/>
    <x v="16"/>
    <s v="App Mobile"/>
    <s v="App Mobile"/>
    <n v="211.64"/>
    <x v="354"/>
    <x v="1"/>
    <x v="354"/>
  </r>
  <r>
    <n v="2185"/>
    <x v="793"/>
    <n v="393"/>
    <n v="4"/>
    <n v="52.88"/>
    <n v="52.88"/>
    <n v="0"/>
    <n v="0"/>
    <n v="0"/>
    <n v="211.52"/>
    <x v="18"/>
    <s v="App Mobile"/>
    <s v="App Mobile"/>
    <n v="211.52"/>
    <x v="481"/>
    <x v="3"/>
    <x v="481"/>
  </r>
  <r>
    <n v="3220"/>
    <x v="393"/>
    <n v="393"/>
    <n v="4"/>
    <n v="52.88"/>
    <n v="52.88"/>
    <n v="0"/>
    <n v="0"/>
    <n v="0"/>
    <n v="211.52"/>
    <x v="11"/>
    <s v="E-commerce"/>
    <s v="Website Banner"/>
    <n v="211.52"/>
    <x v="481"/>
    <x v="3"/>
    <x v="481"/>
  </r>
  <r>
    <n v="235"/>
    <x v="841"/>
    <n v="299"/>
    <n v="4"/>
    <n v="52.65"/>
    <n v="52.65"/>
    <n v="0"/>
    <n v="0"/>
    <n v="0"/>
    <n v="210.6"/>
    <x v="17"/>
    <s v="App Mobile"/>
    <s v="App Mobile"/>
    <n v="210.6"/>
    <x v="114"/>
    <x v="0"/>
    <x v="114"/>
  </r>
  <r>
    <n v="3139"/>
    <x v="808"/>
    <n v="220"/>
    <n v="4"/>
    <n v="52.6"/>
    <n v="52.6"/>
    <n v="0"/>
    <n v="0"/>
    <n v="0"/>
    <n v="210.4"/>
    <x v="37"/>
    <s v="App Mobile"/>
    <s v="App Mobile"/>
    <n v="210.4"/>
    <x v="355"/>
    <x v="3"/>
    <x v="355"/>
  </r>
  <r>
    <n v="58"/>
    <x v="842"/>
    <n v="432"/>
    <n v="4"/>
    <n v="52.39"/>
    <n v="52.39"/>
    <n v="0"/>
    <n v="0"/>
    <n v="0"/>
    <n v="209.56"/>
    <x v="39"/>
    <s v="E-commerce"/>
    <s v="Website Banner"/>
    <n v="209.56"/>
    <x v="356"/>
    <x v="4"/>
    <x v="356"/>
  </r>
  <r>
    <n v="2199"/>
    <x v="427"/>
    <n v="432"/>
    <n v="4"/>
    <n v="52.39"/>
    <n v="52.39"/>
    <n v="0"/>
    <n v="0"/>
    <n v="0"/>
    <n v="209.56"/>
    <x v="0"/>
    <s v="E-commerce"/>
    <s v="Website Banner"/>
    <n v="209.56"/>
    <x v="356"/>
    <x v="4"/>
    <x v="356"/>
  </r>
  <r>
    <n v="532"/>
    <x v="233"/>
    <n v="153"/>
    <n v="4"/>
    <n v="52.36"/>
    <n v="52.36"/>
    <n v="0"/>
    <n v="0"/>
    <n v="0"/>
    <n v="209.44"/>
    <x v="38"/>
    <s v="App Mobile"/>
    <s v="App Mobile"/>
    <n v="209.44"/>
    <x v="482"/>
    <x v="1"/>
    <x v="482"/>
  </r>
  <r>
    <n v="3174"/>
    <x v="216"/>
    <n v="445"/>
    <n v="4"/>
    <n v="52.28"/>
    <n v="52.28"/>
    <n v="0"/>
    <n v="0"/>
    <n v="0"/>
    <n v="209.12"/>
    <x v="38"/>
    <s v="App Mobile"/>
    <s v="App Mobile"/>
    <n v="209.12"/>
    <x v="117"/>
    <x v="3"/>
    <x v="117"/>
  </r>
  <r>
    <n v="2133"/>
    <x v="843"/>
    <n v="217"/>
    <n v="4"/>
    <n v="52.12"/>
    <n v="52.12"/>
    <n v="0"/>
    <n v="0"/>
    <n v="0"/>
    <n v="208.48"/>
    <x v="33"/>
    <s v="App Mobile"/>
    <s v="App Mobile"/>
    <n v="208.48"/>
    <x v="168"/>
    <x v="4"/>
    <x v="168"/>
  </r>
  <r>
    <n v="2573"/>
    <x v="457"/>
    <n v="217"/>
    <n v="4"/>
    <n v="52.12"/>
    <n v="52.12"/>
    <n v="0"/>
    <n v="0"/>
    <n v="0"/>
    <n v="208.48"/>
    <x v="12"/>
    <s v="E-commerce"/>
    <s v="Website Banner"/>
    <n v="208.48"/>
    <x v="168"/>
    <x v="4"/>
    <x v="168"/>
  </r>
  <r>
    <n v="222"/>
    <x v="131"/>
    <n v="275"/>
    <n v="4"/>
    <n v="52.11"/>
    <n v="52.11"/>
    <n v="0"/>
    <n v="0"/>
    <n v="0"/>
    <n v="208.44"/>
    <x v="11"/>
    <s v="App Mobile"/>
    <s v="App Mobile"/>
    <n v="208.44"/>
    <x v="169"/>
    <x v="4"/>
    <x v="169"/>
  </r>
  <r>
    <n v="3150"/>
    <x v="359"/>
    <n v="275"/>
    <n v="4"/>
    <n v="52.11"/>
    <n v="52.11"/>
    <n v="0"/>
    <n v="0"/>
    <n v="0"/>
    <n v="208.44"/>
    <x v="35"/>
    <s v="App Mobile"/>
    <s v="App Mobile"/>
    <n v="208.44"/>
    <x v="169"/>
    <x v="4"/>
    <x v="169"/>
  </r>
  <r>
    <n v="2632"/>
    <x v="844"/>
    <n v="203"/>
    <n v="4"/>
    <n v="52.1"/>
    <n v="52.1"/>
    <n v="0"/>
    <n v="0"/>
    <n v="0"/>
    <n v="208.4"/>
    <x v="24"/>
    <s v="App Mobile"/>
    <s v="App Mobile"/>
    <n v="208.4"/>
    <x v="120"/>
    <x v="0"/>
    <x v="120"/>
  </r>
  <r>
    <n v="3132"/>
    <x v="845"/>
    <n v="203"/>
    <n v="4"/>
    <n v="52.1"/>
    <n v="52.1"/>
    <n v="0"/>
    <n v="0"/>
    <n v="0"/>
    <n v="208.4"/>
    <x v="5"/>
    <s v="App Mobile"/>
    <s v="App Mobile"/>
    <n v="208.4"/>
    <x v="120"/>
    <x v="0"/>
    <x v="120"/>
  </r>
  <r>
    <n v="2848"/>
    <x v="497"/>
    <n v="440"/>
    <n v="4"/>
    <n v="52.08"/>
    <n v="52.08"/>
    <n v="0"/>
    <n v="0"/>
    <n v="0"/>
    <n v="208.32"/>
    <x v="9"/>
    <s v="E-commerce"/>
    <s v="Website Banner"/>
    <n v="208.32"/>
    <x v="121"/>
    <x v="1"/>
    <x v="121"/>
  </r>
  <r>
    <n v="3093"/>
    <x v="839"/>
    <n v="440"/>
    <n v="4"/>
    <n v="52.08"/>
    <n v="52.08"/>
    <n v="0"/>
    <n v="0"/>
    <n v="0"/>
    <n v="208.32"/>
    <x v="2"/>
    <s v="App Mobile"/>
    <s v="App Mobile"/>
    <n v="208.32"/>
    <x v="121"/>
    <x v="1"/>
    <x v="121"/>
  </r>
  <r>
    <n v="1800"/>
    <x v="154"/>
    <n v="320"/>
    <n v="4"/>
    <n v="74.260000000000005"/>
    <n v="51.98"/>
    <n v="22.28"/>
    <n v="0.3"/>
    <n v="1"/>
    <n v="207.93"/>
    <x v="27"/>
    <s v="App Mobile"/>
    <s v="Social Media"/>
    <n v="207.92"/>
    <x v="11"/>
    <x v="0"/>
    <x v="11"/>
  </r>
  <r>
    <n v="1087"/>
    <x v="431"/>
    <n v="426"/>
    <n v="4"/>
    <n v="51.97"/>
    <n v="51.97"/>
    <n v="0"/>
    <n v="0"/>
    <n v="0"/>
    <n v="207.88"/>
    <x v="44"/>
    <s v="App Mobile"/>
    <s v="App Mobile"/>
    <n v="207.88"/>
    <x v="359"/>
    <x v="0"/>
    <x v="359"/>
  </r>
  <r>
    <n v="534"/>
    <x v="305"/>
    <n v="327"/>
    <n v="4"/>
    <n v="74.239999999999995"/>
    <n v="51.97"/>
    <n v="22.27"/>
    <n v="0.3"/>
    <n v="1"/>
    <n v="207.87"/>
    <x v="12"/>
    <s v="App Mobile"/>
    <s v="Social Media"/>
    <n v="207.88"/>
    <x v="315"/>
    <x v="0"/>
    <x v="315"/>
  </r>
  <r>
    <n v="609"/>
    <x v="13"/>
    <n v="17"/>
    <n v="4"/>
    <n v="51.9"/>
    <n v="51.9"/>
    <n v="0"/>
    <n v="0"/>
    <n v="0"/>
    <n v="207.6"/>
    <x v="12"/>
    <s v="E-commerce"/>
    <s v="Website Banner"/>
    <n v="207.6"/>
    <x v="360"/>
    <x v="0"/>
    <x v="360"/>
  </r>
  <r>
    <n v="1659"/>
    <x v="634"/>
    <n v="468"/>
    <n v="4"/>
    <n v="51.8"/>
    <n v="51.8"/>
    <n v="0"/>
    <n v="0"/>
    <n v="0"/>
    <n v="207.2"/>
    <x v="45"/>
    <s v="E-commerce"/>
    <s v="Website Banner"/>
    <n v="207.2"/>
    <x v="123"/>
    <x v="3"/>
    <x v="123"/>
  </r>
  <r>
    <n v="3011"/>
    <x v="162"/>
    <n v="468"/>
    <n v="4"/>
    <n v="51.8"/>
    <n v="51.8"/>
    <n v="0"/>
    <n v="0"/>
    <n v="0"/>
    <n v="207.2"/>
    <x v="38"/>
    <s v="App Mobile"/>
    <s v="App Mobile"/>
    <n v="207.2"/>
    <x v="123"/>
    <x v="3"/>
    <x v="123"/>
  </r>
  <r>
    <n v="196"/>
    <x v="846"/>
    <n v="76"/>
    <n v="4"/>
    <n v="51.7"/>
    <n v="51.7"/>
    <n v="0"/>
    <n v="0"/>
    <n v="0"/>
    <n v="206.8"/>
    <x v="46"/>
    <s v="App Mobile"/>
    <s v="App Mobile"/>
    <n v="206.8"/>
    <x v="125"/>
    <x v="2"/>
    <x v="125"/>
  </r>
  <r>
    <n v="706"/>
    <x v="724"/>
    <n v="341"/>
    <n v="4"/>
    <n v="51.4"/>
    <n v="51.4"/>
    <n v="0"/>
    <n v="0"/>
    <n v="0"/>
    <n v="205.6"/>
    <x v="9"/>
    <s v="App Mobile"/>
    <s v="App Mobile"/>
    <n v="205.6"/>
    <x v="361"/>
    <x v="3"/>
    <x v="361"/>
  </r>
  <r>
    <n v="2544"/>
    <x v="371"/>
    <n v="341"/>
    <n v="4"/>
    <n v="51.4"/>
    <n v="51.4"/>
    <n v="0"/>
    <n v="0"/>
    <n v="0"/>
    <n v="205.6"/>
    <x v="17"/>
    <s v="App Mobile"/>
    <s v="App Mobile"/>
    <n v="205.6"/>
    <x v="361"/>
    <x v="3"/>
    <x v="361"/>
  </r>
  <r>
    <n v="1584"/>
    <x v="85"/>
    <n v="11"/>
    <n v="4"/>
    <n v="51.09"/>
    <n v="51.09"/>
    <n v="0"/>
    <n v="0"/>
    <n v="0"/>
    <n v="204.36"/>
    <x v="39"/>
    <s v="App Mobile"/>
    <s v="App Mobile"/>
    <n v="204.36"/>
    <x v="409"/>
    <x v="1"/>
    <x v="409"/>
  </r>
  <r>
    <n v="3172"/>
    <x v="262"/>
    <n v="11"/>
    <n v="4"/>
    <n v="51.09"/>
    <n v="51.09"/>
    <n v="0"/>
    <n v="0"/>
    <n v="0"/>
    <n v="204.36"/>
    <x v="16"/>
    <s v="App Mobile"/>
    <s v="App Mobile"/>
    <n v="204.36"/>
    <x v="409"/>
    <x v="1"/>
    <x v="409"/>
  </r>
  <r>
    <n v="324"/>
    <x v="8"/>
    <n v="396"/>
    <n v="4"/>
    <n v="51"/>
    <n v="51"/>
    <n v="0"/>
    <n v="0"/>
    <n v="0"/>
    <n v="204"/>
    <x v="8"/>
    <s v="E-commerce"/>
    <s v="Website Banner"/>
    <n v="204"/>
    <x v="134"/>
    <x v="4"/>
    <x v="134"/>
  </r>
  <r>
    <n v="3269"/>
    <x v="820"/>
    <n v="396"/>
    <n v="4"/>
    <n v="51"/>
    <n v="51"/>
    <n v="0"/>
    <n v="0"/>
    <n v="0"/>
    <n v="204"/>
    <x v="50"/>
    <s v="App Mobile"/>
    <s v="App Mobile"/>
    <n v="204"/>
    <x v="134"/>
    <x v="4"/>
    <x v="134"/>
  </r>
  <r>
    <n v="2252"/>
    <x v="847"/>
    <n v="8"/>
    <n v="4"/>
    <n v="50.91"/>
    <n v="50.91"/>
    <n v="0"/>
    <n v="0"/>
    <n v="0"/>
    <n v="203.64"/>
    <x v="21"/>
    <s v="App Mobile"/>
    <s v="App Mobile"/>
    <n v="203.64"/>
    <x v="135"/>
    <x v="2"/>
    <x v="135"/>
  </r>
  <r>
    <n v="878"/>
    <x v="517"/>
    <n v="421"/>
    <n v="4"/>
    <n v="50.89"/>
    <n v="50.89"/>
    <n v="0"/>
    <n v="0"/>
    <n v="0"/>
    <n v="203.56"/>
    <x v="7"/>
    <s v="App Mobile"/>
    <s v="App Mobile"/>
    <n v="203.56"/>
    <x v="363"/>
    <x v="3"/>
    <x v="363"/>
  </r>
  <r>
    <n v="348"/>
    <x v="550"/>
    <n v="61"/>
    <n v="4"/>
    <n v="50.88"/>
    <n v="50.88"/>
    <n v="0"/>
    <n v="0"/>
    <n v="0"/>
    <n v="203.52"/>
    <x v="14"/>
    <s v="E-commerce"/>
    <s v="Website Banner"/>
    <n v="203.52"/>
    <x v="136"/>
    <x v="4"/>
    <x v="136"/>
  </r>
  <r>
    <n v="2774"/>
    <x v="812"/>
    <n v="450"/>
    <n v="4"/>
    <n v="50.85"/>
    <n v="50.85"/>
    <n v="0"/>
    <n v="0"/>
    <n v="0"/>
    <n v="203.4"/>
    <x v="46"/>
    <s v="App Mobile"/>
    <s v="App Mobile"/>
    <n v="203.4"/>
    <x v="138"/>
    <x v="3"/>
    <x v="138"/>
  </r>
  <r>
    <n v="2999"/>
    <x v="481"/>
    <n v="273"/>
    <n v="4"/>
    <n v="50.72"/>
    <n v="50.72"/>
    <n v="0"/>
    <n v="0"/>
    <n v="0"/>
    <n v="202.88"/>
    <x v="3"/>
    <s v="App Mobile"/>
    <s v="App Mobile"/>
    <n v="202.88"/>
    <x v="139"/>
    <x v="4"/>
    <x v="139"/>
  </r>
  <r>
    <n v="3309"/>
    <x v="76"/>
    <n v="273"/>
    <n v="4"/>
    <n v="50.72"/>
    <n v="50.72"/>
    <n v="0"/>
    <n v="0"/>
    <n v="0"/>
    <n v="202.88"/>
    <x v="38"/>
    <s v="E-commerce"/>
    <s v="Website Banner"/>
    <n v="202.88"/>
    <x v="139"/>
    <x v="4"/>
    <x v="139"/>
  </r>
  <r>
    <n v="1851"/>
    <x v="304"/>
    <n v="488"/>
    <n v="4"/>
    <n v="50.68"/>
    <n v="50.68"/>
    <n v="0"/>
    <n v="0"/>
    <n v="0"/>
    <n v="202.72"/>
    <x v="19"/>
    <s v="App Mobile"/>
    <s v="App Mobile"/>
    <n v="202.72"/>
    <x v="140"/>
    <x v="3"/>
    <x v="140"/>
  </r>
  <r>
    <n v="2054"/>
    <x v="119"/>
    <n v="488"/>
    <n v="4"/>
    <n v="50.68"/>
    <n v="50.68"/>
    <n v="0"/>
    <n v="0"/>
    <n v="0"/>
    <n v="202.72"/>
    <x v="38"/>
    <s v="App Mobile"/>
    <s v="App Mobile"/>
    <n v="202.72"/>
    <x v="140"/>
    <x v="3"/>
    <x v="140"/>
  </r>
  <r>
    <n v="557"/>
    <x v="141"/>
    <n v="193"/>
    <n v="4"/>
    <n v="50.52"/>
    <n v="50.52"/>
    <n v="0"/>
    <n v="0"/>
    <n v="0"/>
    <n v="202.08"/>
    <x v="6"/>
    <s v="App Mobile"/>
    <s v="App Mobile"/>
    <n v="202.08"/>
    <x v="142"/>
    <x v="4"/>
    <x v="142"/>
  </r>
  <r>
    <n v="1002"/>
    <x v="226"/>
    <n v="278"/>
    <n v="4"/>
    <n v="50.41"/>
    <n v="50.41"/>
    <n v="0"/>
    <n v="0"/>
    <n v="0"/>
    <n v="201.64"/>
    <x v="25"/>
    <s v="E-commerce"/>
    <s v="Website Banner"/>
    <n v="201.64"/>
    <x v="382"/>
    <x v="4"/>
    <x v="382"/>
  </r>
  <r>
    <n v="788"/>
    <x v="826"/>
    <n v="370"/>
    <n v="4"/>
    <n v="50.34"/>
    <n v="50.34"/>
    <n v="0"/>
    <n v="0"/>
    <n v="0"/>
    <n v="201.36"/>
    <x v="23"/>
    <s v="E-commerce"/>
    <s v="Website Banner"/>
    <n v="201.36"/>
    <x v="143"/>
    <x v="4"/>
    <x v="143"/>
  </r>
  <r>
    <n v="1251"/>
    <x v="316"/>
    <n v="370"/>
    <n v="4"/>
    <n v="50.34"/>
    <n v="50.34"/>
    <n v="0"/>
    <n v="0"/>
    <n v="0"/>
    <n v="201.36"/>
    <x v="49"/>
    <s v="App Mobile"/>
    <s v="App Mobile"/>
    <n v="201.36"/>
    <x v="143"/>
    <x v="4"/>
    <x v="143"/>
  </r>
  <r>
    <n v="2782"/>
    <x v="178"/>
    <n v="419"/>
    <n v="4"/>
    <n v="50.34"/>
    <n v="50.34"/>
    <n v="0"/>
    <n v="0"/>
    <n v="0"/>
    <n v="201.36"/>
    <x v="44"/>
    <s v="E-commerce"/>
    <s v="Website Banner"/>
    <n v="201.36"/>
    <x v="454"/>
    <x v="0"/>
    <x v="454"/>
  </r>
  <r>
    <n v="1459"/>
    <x v="523"/>
    <n v="150"/>
    <n v="4"/>
    <n v="50.04"/>
    <n v="50.04"/>
    <n v="0"/>
    <n v="0"/>
    <n v="0"/>
    <n v="200.16"/>
    <x v="28"/>
    <s v="E-commerce"/>
    <s v="Website Banner"/>
    <n v="200.16"/>
    <x v="144"/>
    <x v="4"/>
    <x v="144"/>
  </r>
  <r>
    <n v="2238"/>
    <x v="546"/>
    <n v="150"/>
    <n v="4"/>
    <n v="50.04"/>
    <n v="50.04"/>
    <n v="0"/>
    <n v="0"/>
    <n v="0"/>
    <n v="200.16"/>
    <x v="15"/>
    <s v="E-commerce"/>
    <s v="Website Banner"/>
    <n v="200.16"/>
    <x v="144"/>
    <x v="4"/>
    <x v="144"/>
  </r>
  <r>
    <n v="1824"/>
    <x v="848"/>
    <n v="69"/>
    <n v="4"/>
    <n v="49.98"/>
    <n v="49.98"/>
    <n v="0"/>
    <n v="0"/>
    <n v="0"/>
    <n v="199.92"/>
    <x v="1"/>
    <s v="App Mobile"/>
    <s v="App Mobile"/>
    <n v="199.92"/>
    <x v="145"/>
    <x v="1"/>
    <x v="145"/>
  </r>
  <r>
    <n v="1033"/>
    <x v="660"/>
    <n v="487"/>
    <n v="4"/>
    <n v="49.84"/>
    <n v="49.84"/>
    <n v="0"/>
    <n v="0"/>
    <n v="0"/>
    <n v="199.36"/>
    <x v="43"/>
    <s v="App Mobile"/>
    <s v="App Mobile"/>
    <n v="199.36"/>
    <x v="146"/>
    <x v="1"/>
    <x v="146"/>
  </r>
  <r>
    <n v="765"/>
    <x v="763"/>
    <n v="436"/>
    <n v="4"/>
    <n v="49.81"/>
    <n v="49.81"/>
    <n v="0"/>
    <n v="0"/>
    <n v="0"/>
    <n v="199.24"/>
    <x v="26"/>
    <s v="App Mobile"/>
    <s v="App Mobile"/>
    <n v="199.24"/>
    <x v="147"/>
    <x v="1"/>
    <x v="147"/>
  </r>
  <r>
    <n v="2639"/>
    <x v="145"/>
    <n v="173"/>
    <n v="4"/>
    <n v="49.74"/>
    <n v="49.74"/>
    <n v="0"/>
    <n v="0"/>
    <n v="0"/>
    <n v="198.96"/>
    <x v="13"/>
    <s v="E-commerce"/>
    <s v="Website Banner"/>
    <n v="198.96"/>
    <x v="149"/>
    <x v="0"/>
    <x v="149"/>
  </r>
  <r>
    <n v="2286"/>
    <x v="849"/>
    <n v="268"/>
    <n v="4"/>
    <n v="49.59"/>
    <n v="49.59"/>
    <n v="0"/>
    <n v="0"/>
    <n v="0"/>
    <n v="198.36"/>
    <x v="21"/>
    <s v="App Mobile"/>
    <s v="App Mobile"/>
    <n v="198.36"/>
    <x v="150"/>
    <x v="3"/>
    <x v="150"/>
  </r>
  <r>
    <n v="2137"/>
    <x v="749"/>
    <n v="190"/>
    <n v="4"/>
    <n v="49.41"/>
    <n v="49.41"/>
    <n v="0"/>
    <n v="0"/>
    <n v="0"/>
    <n v="197.64"/>
    <x v="20"/>
    <s v="App Mobile"/>
    <s v="App Mobile"/>
    <n v="197.64"/>
    <x v="151"/>
    <x v="0"/>
    <x v="151"/>
  </r>
  <r>
    <n v="2685"/>
    <x v="464"/>
    <n v="43"/>
    <n v="4"/>
    <n v="49.4"/>
    <n v="49.4"/>
    <n v="0"/>
    <n v="0"/>
    <n v="0"/>
    <n v="197.6"/>
    <x v="12"/>
    <s v="E-commerce"/>
    <s v="Website Banner"/>
    <n v="197.6"/>
    <x v="364"/>
    <x v="0"/>
    <x v="364"/>
  </r>
  <r>
    <n v="2839"/>
    <x v="72"/>
    <n v="43"/>
    <n v="4"/>
    <n v="49.4"/>
    <n v="49.4"/>
    <n v="0"/>
    <n v="0"/>
    <n v="0"/>
    <n v="197.6"/>
    <x v="16"/>
    <s v="App Mobile"/>
    <s v="App Mobile"/>
    <n v="197.6"/>
    <x v="364"/>
    <x v="0"/>
    <x v="364"/>
  </r>
  <r>
    <n v="96"/>
    <x v="401"/>
    <n v="175"/>
    <n v="4"/>
    <n v="49.16"/>
    <n v="49.16"/>
    <n v="0"/>
    <n v="0"/>
    <n v="0"/>
    <n v="196.64"/>
    <x v="36"/>
    <s v="E-commerce"/>
    <s v="Website Banner"/>
    <n v="196.64"/>
    <x v="366"/>
    <x v="4"/>
    <x v="366"/>
  </r>
  <r>
    <n v="1414"/>
    <x v="737"/>
    <n v="175"/>
    <n v="4"/>
    <n v="49.16"/>
    <n v="49.16"/>
    <n v="0"/>
    <n v="0"/>
    <n v="0"/>
    <n v="196.64"/>
    <x v="27"/>
    <s v="E-commerce"/>
    <s v="Website Banner"/>
    <n v="196.64"/>
    <x v="366"/>
    <x v="4"/>
    <x v="366"/>
  </r>
  <r>
    <n v="2647"/>
    <x v="834"/>
    <n v="216"/>
    <n v="4"/>
    <n v="48.86"/>
    <n v="48.86"/>
    <n v="0"/>
    <n v="0"/>
    <n v="0"/>
    <n v="195.44"/>
    <x v="19"/>
    <s v="App Mobile"/>
    <s v="App Mobile"/>
    <n v="195.44"/>
    <x v="153"/>
    <x v="1"/>
    <x v="153"/>
  </r>
  <r>
    <n v="1047"/>
    <x v="822"/>
    <n v="295"/>
    <n v="4"/>
    <n v="48.73"/>
    <n v="48.73"/>
    <n v="0"/>
    <n v="0"/>
    <n v="0"/>
    <n v="194.92"/>
    <x v="34"/>
    <s v="App Mobile"/>
    <s v="App Mobile"/>
    <n v="194.92"/>
    <x v="154"/>
    <x v="2"/>
    <x v="154"/>
  </r>
  <r>
    <n v="2559"/>
    <x v="850"/>
    <n v="301"/>
    <n v="4"/>
    <n v="48.72"/>
    <n v="48.72"/>
    <n v="0"/>
    <n v="0"/>
    <n v="0"/>
    <n v="194.88"/>
    <x v="5"/>
    <s v="E-commerce"/>
    <s v="Website Banner"/>
    <n v="194.88"/>
    <x v="369"/>
    <x v="0"/>
    <x v="369"/>
  </r>
  <r>
    <n v="509"/>
    <x v="105"/>
    <n v="34"/>
    <n v="4"/>
    <n v="48.34"/>
    <n v="48.34"/>
    <n v="0"/>
    <n v="0"/>
    <n v="0"/>
    <n v="193.36"/>
    <x v="0"/>
    <s v="App Mobile"/>
    <s v="App Mobile"/>
    <n v="193.36"/>
    <x v="157"/>
    <x v="0"/>
    <x v="157"/>
  </r>
  <r>
    <n v="2851"/>
    <x v="195"/>
    <n v="108"/>
    <n v="4"/>
    <n v="48.19"/>
    <n v="48.19"/>
    <n v="0"/>
    <n v="0"/>
    <n v="0"/>
    <n v="192.76"/>
    <x v="6"/>
    <s v="E-commerce"/>
    <s v="Website Banner"/>
    <n v="192.76"/>
    <x v="483"/>
    <x v="2"/>
    <x v="483"/>
  </r>
  <r>
    <n v="2493"/>
    <x v="851"/>
    <n v="455"/>
    <n v="4"/>
    <n v="48.03"/>
    <n v="48.03"/>
    <n v="0"/>
    <n v="0"/>
    <n v="0"/>
    <n v="192.12"/>
    <x v="8"/>
    <s v="E-commerce"/>
    <s v="Website Banner"/>
    <n v="192.12"/>
    <x v="159"/>
    <x v="2"/>
    <x v="159"/>
  </r>
  <r>
    <n v="1813"/>
    <x v="706"/>
    <n v="121"/>
    <n v="4"/>
    <n v="47.91"/>
    <n v="47.91"/>
    <n v="0"/>
    <n v="0"/>
    <n v="0"/>
    <n v="191.64"/>
    <x v="26"/>
    <s v="App Mobile"/>
    <s v="App Mobile"/>
    <n v="191.64"/>
    <x v="160"/>
    <x v="1"/>
    <x v="160"/>
  </r>
  <r>
    <n v="1181"/>
    <x v="632"/>
    <n v="183"/>
    <n v="4"/>
    <n v="47.87"/>
    <n v="47.87"/>
    <n v="0"/>
    <n v="0"/>
    <n v="0"/>
    <n v="191.48"/>
    <x v="22"/>
    <s v="E-commerce"/>
    <s v="Website Banner"/>
    <n v="191.48"/>
    <x v="161"/>
    <x v="3"/>
    <x v="161"/>
  </r>
  <r>
    <n v="3000"/>
    <x v="852"/>
    <n v="185"/>
    <n v="4"/>
    <n v="47.73"/>
    <n v="47.73"/>
    <n v="0"/>
    <n v="0"/>
    <n v="0"/>
    <n v="190.92"/>
    <x v="31"/>
    <s v="E-commerce"/>
    <s v="Website Banner"/>
    <n v="190.92"/>
    <x v="162"/>
    <x v="2"/>
    <x v="162"/>
  </r>
  <r>
    <n v="1248"/>
    <x v="743"/>
    <n v="447"/>
    <n v="4"/>
    <n v="47.66"/>
    <n v="47.66"/>
    <n v="0"/>
    <n v="0"/>
    <n v="0"/>
    <n v="190.64"/>
    <x v="38"/>
    <s v="App Mobile"/>
    <s v="App Mobile"/>
    <n v="190.64"/>
    <x v="163"/>
    <x v="0"/>
    <x v="163"/>
  </r>
  <r>
    <n v="3123"/>
    <x v="444"/>
    <n v="262"/>
    <n v="4"/>
    <n v="52.94"/>
    <n v="47.65"/>
    <n v="5.29"/>
    <n v="0.1"/>
    <n v="1"/>
    <n v="190.58"/>
    <x v="37"/>
    <s v="E-commerce"/>
    <s v="Website Banner"/>
    <n v="190.6"/>
    <x v="111"/>
    <x v="3"/>
    <x v="111"/>
  </r>
  <r>
    <n v="3209"/>
    <x v="179"/>
    <n v="482"/>
    <n v="4"/>
    <n v="47.59"/>
    <n v="47.59"/>
    <n v="0"/>
    <n v="0"/>
    <n v="0"/>
    <n v="190.36"/>
    <x v="39"/>
    <s v="App Mobile"/>
    <s v="App Mobile"/>
    <n v="190.36"/>
    <x v="164"/>
    <x v="0"/>
    <x v="164"/>
  </r>
  <r>
    <n v="1666"/>
    <x v="601"/>
    <n v="410"/>
    <n v="4"/>
    <n v="47.47"/>
    <n v="47.47"/>
    <n v="0"/>
    <n v="0"/>
    <n v="0"/>
    <n v="189.88"/>
    <x v="0"/>
    <s v="E-commerce"/>
    <s v="Website Banner"/>
    <n v="189.88"/>
    <x v="165"/>
    <x v="3"/>
    <x v="165"/>
  </r>
  <r>
    <n v="2804"/>
    <x v="853"/>
    <n v="254"/>
    <n v="4"/>
    <n v="47.44"/>
    <n v="47.44"/>
    <n v="0"/>
    <n v="0"/>
    <n v="0"/>
    <n v="189.76"/>
    <x v="50"/>
    <s v="E-commerce"/>
    <s v="Website Banner"/>
    <n v="189.76"/>
    <x v="166"/>
    <x v="1"/>
    <x v="166"/>
  </r>
  <r>
    <n v="3147"/>
    <x v="500"/>
    <n v="479"/>
    <n v="4"/>
    <n v="47.42"/>
    <n v="47.42"/>
    <n v="0"/>
    <n v="0"/>
    <n v="0"/>
    <n v="189.68"/>
    <x v="0"/>
    <s v="App Mobile"/>
    <s v="App Mobile"/>
    <n v="189.68"/>
    <x v="456"/>
    <x v="0"/>
    <x v="456"/>
  </r>
  <r>
    <n v="3195"/>
    <x v="277"/>
    <n v="479"/>
    <n v="4"/>
    <n v="47.42"/>
    <n v="47.42"/>
    <n v="0"/>
    <n v="0"/>
    <n v="0"/>
    <n v="189.68"/>
    <x v="2"/>
    <s v="E-commerce"/>
    <s v="Website Banner"/>
    <n v="189.68"/>
    <x v="456"/>
    <x v="0"/>
    <x v="456"/>
  </r>
  <r>
    <n v="442"/>
    <x v="422"/>
    <n v="68"/>
    <n v="4"/>
    <n v="47.27"/>
    <n v="47.27"/>
    <n v="0"/>
    <n v="0"/>
    <n v="0"/>
    <n v="189.08"/>
    <x v="33"/>
    <s v="App Mobile"/>
    <s v="App Mobile"/>
    <n v="189.08"/>
    <x v="372"/>
    <x v="3"/>
    <x v="372"/>
  </r>
  <r>
    <n v="3277"/>
    <x v="435"/>
    <n v="118"/>
    <n v="4"/>
    <n v="46.99"/>
    <n v="46.99"/>
    <n v="0"/>
    <n v="0"/>
    <n v="0"/>
    <n v="187.96"/>
    <x v="26"/>
    <s v="App Mobile"/>
    <s v="App Mobile"/>
    <n v="187.96"/>
    <x v="167"/>
    <x v="4"/>
    <x v="167"/>
  </r>
  <r>
    <n v="1509"/>
    <x v="854"/>
    <n v="315"/>
    <n v="4"/>
    <n v="67.02"/>
    <n v="46.91"/>
    <n v="20.11"/>
    <n v="0.3"/>
    <n v="1"/>
    <n v="187.66"/>
    <x v="12"/>
    <s v="App Mobile"/>
    <s v="Social Media"/>
    <n v="187.64"/>
    <x v="436"/>
    <x v="4"/>
    <x v="436"/>
  </r>
  <r>
    <n v="2068"/>
    <x v="733"/>
    <n v="449"/>
    <n v="4"/>
    <n v="46.9"/>
    <n v="46.9"/>
    <n v="0"/>
    <n v="0"/>
    <n v="0"/>
    <n v="187.6"/>
    <x v="10"/>
    <s v="E-commerce"/>
    <s v="Website Banner"/>
    <n v="187.6"/>
    <x v="374"/>
    <x v="3"/>
    <x v="374"/>
  </r>
  <r>
    <n v="3012"/>
    <x v="855"/>
    <n v="132"/>
    <n v="4"/>
    <n v="46.9"/>
    <n v="46.9"/>
    <n v="0"/>
    <n v="0"/>
    <n v="0"/>
    <n v="187.6"/>
    <x v="31"/>
    <s v="App Mobile"/>
    <s v="App Mobile"/>
    <n v="187.6"/>
    <x v="170"/>
    <x v="1"/>
    <x v="170"/>
  </r>
  <r>
    <n v="775"/>
    <x v="139"/>
    <n v="228"/>
    <n v="4"/>
    <n v="46.89"/>
    <n v="46.89"/>
    <n v="0"/>
    <n v="0"/>
    <n v="0"/>
    <n v="187.56"/>
    <x v="23"/>
    <s v="E-commerce"/>
    <s v="Website Banner"/>
    <n v="187.56"/>
    <x v="264"/>
    <x v="2"/>
    <x v="264"/>
  </r>
  <r>
    <n v="1834"/>
    <x v="788"/>
    <n v="162"/>
    <n v="4"/>
    <n v="66.5"/>
    <n v="46.55"/>
    <n v="19.95"/>
    <n v="0.3"/>
    <n v="1"/>
    <n v="186.2"/>
    <x v="42"/>
    <s v="App Mobile"/>
    <s v="Social Media"/>
    <n v="186.2"/>
    <x v="473"/>
    <x v="3"/>
    <x v="473"/>
  </r>
  <r>
    <n v="1415"/>
    <x v="800"/>
    <n v="137"/>
    <n v="4"/>
    <n v="46.52"/>
    <n v="46.52"/>
    <n v="0"/>
    <n v="0"/>
    <n v="0"/>
    <n v="186.08"/>
    <x v="19"/>
    <s v="E-commerce"/>
    <s v="Website Banner"/>
    <n v="186.08"/>
    <x v="172"/>
    <x v="2"/>
    <x v="172"/>
  </r>
  <r>
    <n v="2049"/>
    <x v="856"/>
    <n v="137"/>
    <n v="4"/>
    <n v="46.52"/>
    <n v="46.52"/>
    <n v="0"/>
    <n v="0"/>
    <n v="0"/>
    <n v="186.08"/>
    <x v="3"/>
    <s v="E-commerce"/>
    <s v="Website Banner"/>
    <n v="186.08"/>
    <x v="172"/>
    <x v="2"/>
    <x v="172"/>
  </r>
  <r>
    <n v="2220"/>
    <x v="857"/>
    <n v="137"/>
    <n v="4"/>
    <n v="46.52"/>
    <n v="46.52"/>
    <n v="0"/>
    <n v="0"/>
    <n v="0"/>
    <n v="186.08"/>
    <x v="49"/>
    <s v="E-commerce"/>
    <s v="Website Banner"/>
    <n v="186.08"/>
    <x v="172"/>
    <x v="2"/>
    <x v="172"/>
  </r>
  <r>
    <n v="2084"/>
    <x v="253"/>
    <n v="200"/>
    <n v="4"/>
    <n v="46.41"/>
    <n v="46.41"/>
    <n v="0"/>
    <n v="0"/>
    <n v="0"/>
    <n v="185.64"/>
    <x v="11"/>
    <s v="App Mobile"/>
    <s v="App Mobile"/>
    <n v="185.64"/>
    <x v="376"/>
    <x v="3"/>
    <x v="376"/>
  </r>
  <r>
    <n v="902"/>
    <x v="184"/>
    <n v="345"/>
    <n v="4"/>
    <n v="46.36"/>
    <n v="46.36"/>
    <n v="0"/>
    <n v="0"/>
    <n v="0"/>
    <n v="185.44"/>
    <x v="5"/>
    <s v="E-commerce"/>
    <s v="Website Banner"/>
    <n v="185.44"/>
    <x v="173"/>
    <x v="4"/>
    <x v="173"/>
  </r>
  <r>
    <n v="1492"/>
    <x v="329"/>
    <n v="367"/>
    <n v="4"/>
    <n v="51.38"/>
    <n v="46.24"/>
    <n v="5.14"/>
    <n v="0.1"/>
    <n v="1"/>
    <n v="184.97"/>
    <x v="32"/>
    <s v="E-commerce"/>
    <s v="Website Banner"/>
    <n v="184.96"/>
    <x v="128"/>
    <x v="0"/>
    <x v="128"/>
  </r>
  <r>
    <n v="2507"/>
    <x v="833"/>
    <n v="351"/>
    <n v="4"/>
    <n v="46.11"/>
    <n v="46.11"/>
    <n v="0"/>
    <n v="0"/>
    <n v="0"/>
    <n v="184.44"/>
    <x v="23"/>
    <s v="App Mobile"/>
    <s v="App Mobile"/>
    <n v="184.44"/>
    <x v="174"/>
    <x v="2"/>
    <x v="174"/>
  </r>
  <r>
    <n v="2897"/>
    <x v="564"/>
    <n v="261"/>
    <n v="4"/>
    <n v="46.1"/>
    <n v="46.1"/>
    <n v="0"/>
    <n v="0"/>
    <n v="0"/>
    <n v="184.4"/>
    <x v="22"/>
    <s v="E-commerce"/>
    <s v="Website Banner"/>
    <n v="184.4"/>
    <x v="377"/>
    <x v="4"/>
    <x v="377"/>
  </r>
  <r>
    <n v="811"/>
    <x v="278"/>
    <n v="155"/>
    <n v="4"/>
    <n v="46.07"/>
    <n v="46.07"/>
    <n v="0"/>
    <n v="0"/>
    <n v="0"/>
    <n v="184.28"/>
    <x v="45"/>
    <s v="E-commerce"/>
    <s v="Website Banner"/>
    <n v="184.28"/>
    <x v="379"/>
    <x v="0"/>
    <x v="379"/>
  </r>
  <r>
    <n v="2169"/>
    <x v="677"/>
    <n v="155"/>
    <n v="4"/>
    <n v="46.07"/>
    <n v="46.07"/>
    <n v="0"/>
    <n v="0"/>
    <n v="0"/>
    <n v="184.28"/>
    <x v="27"/>
    <s v="E-commerce"/>
    <s v="Website Banner"/>
    <n v="184.28"/>
    <x v="379"/>
    <x v="0"/>
    <x v="379"/>
  </r>
  <r>
    <n v="1007"/>
    <x v="438"/>
    <n v="333"/>
    <n v="4"/>
    <n v="46.04"/>
    <n v="46.04"/>
    <n v="0"/>
    <n v="0"/>
    <n v="0"/>
    <n v="184.16"/>
    <x v="13"/>
    <s v="E-commerce"/>
    <s v="Website Banner"/>
    <n v="184.16"/>
    <x v="380"/>
    <x v="2"/>
    <x v="380"/>
  </r>
  <r>
    <n v="2122"/>
    <x v="99"/>
    <n v="335"/>
    <n v="4"/>
    <n v="45.97"/>
    <n v="45.97"/>
    <n v="0"/>
    <n v="0"/>
    <n v="0"/>
    <n v="183.88"/>
    <x v="36"/>
    <s v="App Mobile"/>
    <s v="App Mobile"/>
    <n v="183.88"/>
    <x v="484"/>
    <x v="1"/>
    <x v="484"/>
  </r>
  <r>
    <n v="2964"/>
    <x v="296"/>
    <n v="161"/>
    <n v="4"/>
    <n v="45.75"/>
    <n v="45.75"/>
    <n v="0"/>
    <n v="0"/>
    <n v="0"/>
    <n v="183"/>
    <x v="5"/>
    <s v="E-commerce"/>
    <s v="Website Banner"/>
    <n v="183"/>
    <x v="176"/>
    <x v="4"/>
    <x v="176"/>
  </r>
  <r>
    <n v="3126"/>
    <x v="143"/>
    <n v="161"/>
    <n v="4"/>
    <n v="45.75"/>
    <n v="45.75"/>
    <n v="0"/>
    <n v="0"/>
    <n v="0"/>
    <n v="183"/>
    <x v="17"/>
    <s v="E-commerce"/>
    <s v="Website Banner"/>
    <n v="183"/>
    <x v="176"/>
    <x v="4"/>
    <x v="176"/>
  </r>
  <r>
    <n v="2164"/>
    <x v="858"/>
    <n v="316"/>
    <n v="4"/>
    <n v="45.73"/>
    <n v="45.73"/>
    <n v="0"/>
    <n v="0"/>
    <n v="0"/>
    <n v="182.92"/>
    <x v="47"/>
    <s v="E-commerce"/>
    <s v="Website Banner"/>
    <n v="182.92"/>
    <x v="381"/>
    <x v="4"/>
    <x v="381"/>
  </r>
  <r>
    <n v="2666"/>
    <x v="580"/>
    <n v="316"/>
    <n v="4"/>
    <n v="45.73"/>
    <n v="45.73"/>
    <n v="0"/>
    <n v="0"/>
    <n v="0"/>
    <n v="182.92"/>
    <x v="25"/>
    <s v="App Mobile"/>
    <s v="App Mobile"/>
    <n v="182.92"/>
    <x v="381"/>
    <x v="4"/>
    <x v="381"/>
  </r>
  <r>
    <n v="117"/>
    <x v="261"/>
    <n v="201"/>
    <n v="4"/>
    <n v="45.62"/>
    <n v="45.62"/>
    <n v="0"/>
    <n v="0"/>
    <n v="0"/>
    <n v="182.48"/>
    <x v="23"/>
    <s v="App Mobile"/>
    <s v="App Mobile"/>
    <n v="182.48"/>
    <x v="178"/>
    <x v="4"/>
    <x v="178"/>
  </r>
  <r>
    <n v="455"/>
    <x v="361"/>
    <n v="201"/>
    <n v="4"/>
    <n v="45.62"/>
    <n v="45.62"/>
    <n v="0"/>
    <n v="0"/>
    <n v="0"/>
    <n v="182.48"/>
    <x v="38"/>
    <s v="E-commerce"/>
    <s v="Website Banner"/>
    <n v="182.48"/>
    <x v="178"/>
    <x v="4"/>
    <x v="178"/>
  </r>
  <r>
    <n v="2483"/>
    <x v="106"/>
    <n v="201"/>
    <n v="4"/>
    <n v="45.62"/>
    <n v="45.62"/>
    <n v="0"/>
    <n v="0"/>
    <n v="0"/>
    <n v="182.48"/>
    <x v="43"/>
    <s v="E-commerce"/>
    <s v="Website Banner"/>
    <n v="182.48"/>
    <x v="178"/>
    <x v="4"/>
    <x v="178"/>
  </r>
  <r>
    <n v="2030"/>
    <x v="351"/>
    <n v="229"/>
    <n v="4"/>
    <n v="45.58"/>
    <n v="45.58"/>
    <n v="0"/>
    <n v="0"/>
    <n v="0"/>
    <n v="182.32"/>
    <x v="46"/>
    <s v="App Mobile"/>
    <s v="App Mobile"/>
    <n v="182.32"/>
    <x v="179"/>
    <x v="1"/>
    <x v="179"/>
  </r>
  <r>
    <n v="1001"/>
    <x v="781"/>
    <n v="20"/>
    <n v="4"/>
    <n v="45.42"/>
    <n v="45.42"/>
    <n v="0"/>
    <n v="0"/>
    <n v="0"/>
    <n v="181.68"/>
    <x v="46"/>
    <s v="E-commerce"/>
    <s v="Website Banner"/>
    <n v="181.68"/>
    <x v="180"/>
    <x v="0"/>
    <x v="180"/>
  </r>
  <r>
    <n v="1017"/>
    <x v="624"/>
    <n v="44"/>
    <n v="4"/>
    <n v="64.84"/>
    <n v="45.39"/>
    <n v="19.45"/>
    <n v="0.3"/>
    <n v="1"/>
    <n v="181.55"/>
    <x v="27"/>
    <s v="App Mobile"/>
    <s v="Social Media"/>
    <n v="181.56"/>
    <x v="323"/>
    <x v="2"/>
    <x v="323"/>
  </r>
  <r>
    <n v="738"/>
    <x v="859"/>
    <n v="109"/>
    <n v="4"/>
    <n v="45.27"/>
    <n v="45.27"/>
    <n v="0"/>
    <n v="0"/>
    <n v="0"/>
    <n v="181.08"/>
    <x v="48"/>
    <s v="E-commerce"/>
    <s v="Website Banner"/>
    <n v="181.08"/>
    <x v="181"/>
    <x v="0"/>
    <x v="181"/>
  </r>
  <r>
    <n v="2200"/>
    <x v="559"/>
    <n v="404"/>
    <n v="4"/>
    <n v="45.19"/>
    <n v="45.19"/>
    <n v="0"/>
    <n v="0"/>
    <n v="0"/>
    <n v="180.76"/>
    <x v="3"/>
    <s v="App Mobile"/>
    <s v="App Mobile"/>
    <n v="180.76"/>
    <x v="182"/>
    <x v="3"/>
    <x v="182"/>
  </r>
  <r>
    <n v="361"/>
    <x v="769"/>
    <n v="89"/>
    <n v="4"/>
    <n v="45.12"/>
    <n v="45.12"/>
    <n v="0"/>
    <n v="0"/>
    <n v="0"/>
    <n v="180.48"/>
    <x v="2"/>
    <s v="E-commerce"/>
    <s v="Website Banner"/>
    <n v="180.48"/>
    <x v="457"/>
    <x v="1"/>
    <x v="457"/>
  </r>
  <r>
    <n v="1040"/>
    <x v="860"/>
    <n v="89"/>
    <n v="4"/>
    <n v="45.12"/>
    <n v="45.12"/>
    <n v="0"/>
    <n v="0"/>
    <n v="0"/>
    <n v="180.48"/>
    <x v="13"/>
    <s v="E-commerce"/>
    <s v="Website Banner"/>
    <n v="180.48"/>
    <x v="457"/>
    <x v="1"/>
    <x v="457"/>
  </r>
  <r>
    <n v="1917"/>
    <x v="754"/>
    <n v="128"/>
    <n v="4"/>
    <n v="44.9"/>
    <n v="44.9"/>
    <n v="0"/>
    <n v="0"/>
    <n v="0"/>
    <n v="179.6"/>
    <x v="12"/>
    <s v="E-commerce"/>
    <s v="Website Banner"/>
    <n v="179.6"/>
    <x v="383"/>
    <x v="4"/>
    <x v="383"/>
  </r>
  <r>
    <n v="2339"/>
    <x v="861"/>
    <n v="12"/>
    <n v="4"/>
    <n v="44.77"/>
    <n v="44.77"/>
    <n v="0"/>
    <n v="0"/>
    <n v="0"/>
    <n v="179.08"/>
    <x v="23"/>
    <s v="App Mobile"/>
    <s v="App Mobile"/>
    <n v="179.08"/>
    <x v="184"/>
    <x v="0"/>
    <x v="184"/>
  </r>
  <r>
    <n v="2446"/>
    <x v="473"/>
    <n v="12"/>
    <n v="4"/>
    <n v="44.77"/>
    <n v="44.77"/>
    <n v="0"/>
    <n v="0"/>
    <n v="0"/>
    <n v="179.08"/>
    <x v="6"/>
    <s v="E-commerce"/>
    <s v="Website Banner"/>
    <n v="179.08"/>
    <x v="184"/>
    <x v="0"/>
    <x v="184"/>
  </r>
  <r>
    <n v="3166"/>
    <x v="494"/>
    <n v="322"/>
    <n v="4"/>
    <n v="44.45"/>
    <n v="44.45"/>
    <n v="0"/>
    <n v="0"/>
    <n v="0"/>
    <n v="177.8"/>
    <x v="1"/>
    <s v="E-commerce"/>
    <s v="Website Banner"/>
    <n v="177.8"/>
    <x v="185"/>
    <x v="0"/>
    <x v="185"/>
  </r>
  <r>
    <n v="472"/>
    <x v="147"/>
    <n v="55"/>
    <n v="4"/>
    <n v="44.32"/>
    <n v="44.32"/>
    <n v="0"/>
    <n v="0"/>
    <n v="0"/>
    <n v="177.28"/>
    <x v="33"/>
    <s v="E-commerce"/>
    <s v="Website Banner"/>
    <n v="177.28"/>
    <x v="186"/>
    <x v="4"/>
    <x v="186"/>
  </r>
  <r>
    <n v="1237"/>
    <x v="400"/>
    <n v="55"/>
    <n v="4"/>
    <n v="44.32"/>
    <n v="44.32"/>
    <n v="0"/>
    <n v="0"/>
    <n v="0"/>
    <n v="177.28"/>
    <x v="41"/>
    <s v="App Mobile"/>
    <s v="App Mobile"/>
    <n v="177.28"/>
    <x v="186"/>
    <x v="4"/>
    <x v="186"/>
  </r>
  <r>
    <n v="2149"/>
    <x v="862"/>
    <n v="55"/>
    <n v="4"/>
    <n v="44.32"/>
    <n v="44.32"/>
    <n v="0"/>
    <n v="0"/>
    <n v="0"/>
    <n v="177.28"/>
    <x v="8"/>
    <s v="E-commerce"/>
    <s v="Website Banner"/>
    <n v="177.28"/>
    <x v="186"/>
    <x v="4"/>
    <x v="186"/>
  </r>
  <r>
    <n v="863"/>
    <x v="383"/>
    <n v="29"/>
    <n v="4"/>
    <n v="44.27"/>
    <n v="44.27"/>
    <n v="0"/>
    <n v="0"/>
    <n v="0"/>
    <n v="177.08"/>
    <x v="36"/>
    <s v="E-commerce"/>
    <s v="Website Banner"/>
    <n v="177.08"/>
    <x v="385"/>
    <x v="3"/>
    <x v="385"/>
  </r>
  <r>
    <n v="1249"/>
    <x v="861"/>
    <n v="489"/>
    <n v="4"/>
    <n v="44.21"/>
    <n v="44.21"/>
    <n v="0"/>
    <n v="0"/>
    <n v="0"/>
    <n v="176.84"/>
    <x v="23"/>
    <s v="App Mobile"/>
    <s v="App Mobile"/>
    <n v="176.84"/>
    <x v="458"/>
    <x v="4"/>
    <x v="458"/>
  </r>
  <r>
    <n v="808"/>
    <x v="856"/>
    <n v="280"/>
    <n v="4"/>
    <n v="44.14"/>
    <n v="44.14"/>
    <n v="0"/>
    <n v="0"/>
    <n v="0"/>
    <n v="176.56"/>
    <x v="3"/>
    <s v="E-commerce"/>
    <s v="Website Banner"/>
    <n v="176.56"/>
    <x v="187"/>
    <x v="4"/>
    <x v="187"/>
  </r>
  <r>
    <n v="2046"/>
    <x v="841"/>
    <n v="184"/>
    <n v="4"/>
    <n v="44.08"/>
    <n v="44.08"/>
    <n v="0"/>
    <n v="0"/>
    <n v="0"/>
    <n v="176.32"/>
    <x v="17"/>
    <s v="App Mobile"/>
    <s v="App Mobile"/>
    <n v="176.32"/>
    <x v="189"/>
    <x v="2"/>
    <x v="189"/>
  </r>
  <r>
    <n v="673"/>
    <x v="506"/>
    <n v="231"/>
    <n v="4"/>
    <n v="44.06"/>
    <n v="44.06"/>
    <n v="0"/>
    <n v="0"/>
    <n v="0"/>
    <n v="176.24"/>
    <x v="6"/>
    <s v="E-commerce"/>
    <s v="Website Banner"/>
    <n v="176.24"/>
    <x v="190"/>
    <x v="1"/>
    <x v="190"/>
  </r>
  <r>
    <n v="1121"/>
    <x v="695"/>
    <n v="411"/>
    <n v="4"/>
    <n v="43.94"/>
    <n v="43.94"/>
    <n v="0"/>
    <n v="0"/>
    <n v="0"/>
    <n v="175.76"/>
    <x v="20"/>
    <s v="App Mobile"/>
    <s v="App Mobile"/>
    <n v="175.76"/>
    <x v="459"/>
    <x v="3"/>
    <x v="459"/>
  </r>
  <r>
    <n v="1461"/>
    <x v="660"/>
    <n v="277"/>
    <n v="4"/>
    <n v="43.92"/>
    <n v="43.92"/>
    <n v="0"/>
    <n v="0"/>
    <n v="0"/>
    <n v="175.68"/>
    <x v="43"/>
    <s v="App Mobile"/>
    <s v="App Mobile"/>
    <n v="175.68"/>
    <x v="191"/>
    <x v="4"/>
    <x v="191"/>
  </r>
  <r>
    <n v="2009"/>
    <x v="128"/>
    <n v="363"/>
    <n v="4"/>
    <n v="43.64"/>
    <n v="43.64"/>
    <n v="0"/>
    <n v="0"/>
    <n v="0"/>
    <n v="174.56"/>
    <x v="5"/>
    <s v="E-commerce"/>
    <s v="Website Banner"/>
    <n v="174.56"/>
    <x v="192"/>
    <x v="0"/>
    <x v="192"/>
  </r>
  <r>
    <n v="412"/>
    <x v="515"/>
    <n v="211"/>
    <n v="4"/>
    <n v="43.5"/>
    <n v="43.5"/>
    <n v="0"/>
    <n v="0"/>
    <n v="0"/>
    <n v="174"/>
    <x v="41"/>
    <s v="E-commerce"/>
    <s v="Website Banner"/>
    <n v="174"/>
    <x v="387"/>
    <x v="1"/>
    <x v="387"/>
  </r>
  <r>
    <n v="3256"/>
    <x v="227"/>
    <n v="211"/>
    <n v="4"/>
    <n v="43.5"/>
    <n v="43.5"/>
    <n v="0"/>
    <n v="0"/>
    <n v="0"/>
    <n v="174"/>
    <x v="37"/>
    <s v="App Mobile"/>
    <s v="App Mobile"/>
    <n v="174"/>
    <x v="387"/>
    <x v="1"/>
    <x v="387"/>
  </r>
  <r>
    <n v="31"/>
    <x v="664"/>
    <n v="374"/>
    <n v="4"/>
    <n v="43.43"/>
    <n v="43.43"/>
    <n v="0"/>
    <n v="0"/>
    <n v="0"/>
    <n v="173.72"/>
    <x v="25"/>
    <s v="E-commerce"/>
    <s v="Website Banner"/>
    <n v="173.72"/>
    <x v="193"/>
    <x v="3"/>
    <x v="193"/>
  </r>
  <r>
    <n v="1173"/>
    <x v="603"/>
    <n v="374"/>
    <n v="4"/>
    <n v="43.43"/>
    <n v="43.43"/>
    <n v="0"/>
    <n v="0"/>
    <n v="0"/>
    <n v="173.72"/>
    <x v="10"/>
    <s v="App Mobile"/>
    <s v="App Mobile"/>
    <n v="173.72"/>
    <x v="193"/>
    <x v="3"/>
    <x v="193"/>
  </r>
  <r>
    <n v="1302"/>
    <x v="50"/>
    <n v="374"/>
    <n v="4"/>
    <n v="43.43"/>
    <n v="43.43"/>
    <n v="0"/>
    <n v="0"/>
    <n v="0"/>
    <n v="173.72"/>
    <x v="27"/>
    <s v="E-commerce"/>
    <s v="Website Banner"/>
    <n v="173.72"/>
    <x v="193"/>
    <x v="3"/>
    <x v="193"/>
  </r>
  <r>
    <n v="800"/>
    <x v="863"/>
    <n v="302"/>
    <n v="4"/>
    <n v="43.4"/>
    <n v="43.4"/>
    <n v="0"/>
    <n v="0"/>
    <n v="0"/>
    <n v="173.6"/>
    <x v="9"/>
    <s v="App Mobile"/>
    <s v="App Mobile"/>
    <n v="173.6"/>
    <x v="388"/>
    <x v="4"/>
    <x v="388"/>
  </r>
  <r>
    <n v="1589"/>
    <x v="658"/>
    <n v="429"/>
    <n v="4"/>
    <n v="43.34"/>
    <n v="43.34"/>
    <n v="0"/>
    <n v="0"/>
    <n v="0"/>
    <n v="173.36"/>
    <x v="26"/>
    <s v="E-commerce"/>
    <s v="Website Banner"/>
    <n v="173.36"/>
    <x v="389"/>
    <x v="4"/>
    <x v="389"/>
  </r>
  <r>
    <n v="2955"/>
    <x v="864"/>
    <n v="308"/>
    <n v="4"/>
    <n v="43.27"/>
    <n v="43.27"/>
    <n v="0"/>
    <n v="0"/>
    <n v="0"/>
    <n v="173.08"/>
    <x v="34"/>
    <s v="E-commerce"/>
    <s v="Website Banner"/>
    <n v="173.08"/>
    <x v="417"/>
    <x v="2"/>
    <x v="417"/>
  </r>
  <r>
    <n v="1465"/>
    <x v="212"/>
    <n v="455"/>
    <n v="4"/>
    <n v="48.03"/>
    <n v="43.23"/>
    <n v="4.8"/>
    <n v="0.1"/>
    <n v="1"/>
    <n v="172.91"/>
    <x v="37"/>
    <s v="E-commerce"/>
    <s v="Website Banner"/>
    <n v="172.92"/>
    <x v="159"/>
    <x v="2"/>
    <x v="159"/>
  </r>
  <r>
    <n v="1305"/>
    <x v="612"/>
    <n v="434"/>
    <n v="4"/>
    <n v="43.14"/>
    <n v="43.14"/>
    <n v="0"/>
    <n v="0"/>
    <n v="0"/>
    <n v="172.56"/>
    <x v="28"/>
    <s v="E-commerce"/>
    <s v="Website Banner"/>
    <n v="172.56"/>
    <x v="195"/>
    <x v="4"/>
    <x v="195"/>
  </r>
  <r>
    <n v="2845"/>
    <x v="548"/>
    <n v="434"/>
    <n v="4"/>
    <n v="43.14"/>
    <n v="43.14"/>
    <n v="0"/>
    <n v="0"/>
    <n v="0"/>
    <n v="172.56"/>
    <x v="36"/>
    <s v="App Mobile"/>
    <s v="App Mobile"/>
    <n v="172.56"/>
    <x v="195"/>
    <x v="4"/>
    <x v="195"/>
  </r>
  <r>
    <n v="3091"/>
    <x v="617"/>
    <n v="434"/>
    <n v="4"/>
    <n v="43.14"/>
    <n v="43.14"/>
    <n v="0"/>
    <n v="0"/>
    <n v="0"/>
    <n v="172.56"/>
    <x v="29"/>
    <s v="E-commerce"/>
    <s v="Website Banner"/>
    <n v="172.56"/>
    <x v="195"/>
    <x v="4"/>
    <x v="195"/>
  </r>
  <r>
    <n v="2389"/>
    <x v="838"/>
    <n v="329"/>
    <n v="4"/>
    <n v="43.09"/>
    <n v="43.09"/>
    <n v="0"/>
    <n v="0"/>
    <n v="0"/>
    <n v="172.36"/>
    <x v="18"/>
    <s v="E-commerce"/>
    <s v="Website Banner"/>
    <n v="172.36"/>
    <x v="390"/>
    <x v="3"/>
    <x v="390"/>
  </r>
  <r>
    <n v="2871"/>
    <x v="29"/>
    <n v="102"/>
    <n v="4"/>
    <n v="43.06"/>
    <n v="43.06"/>
    <n v="0"/>
    <n v="0"/>
    <n v="0"/>
    <n v="172.24"/>
    <x v="18"/>
    <s v="App Mobile"/>
    <s v="App Mobile"/>
    <n v="172.24"/>
    <x v="197"/>
    <x v="4"/>
    <x v="197"/>
  </r>
  <r>
    <n v="2820"/>
    <x v="537"/>
    <n v="24"/>
    <n v="4"/>
    <n v="42.76"/>
    <n v="42.76"/>
    <n v="0"/>
    <n v="0"/>
    <n v="0"/>
    <n v="171.04"/>
    <x v="36"/>
    <s v="App Mobile"/>
    <s v="App Mobile"/>
    <n v="171.04"/>
    <x v="391"/>
    <x v="0"/>
    <x v="391"/>
  </r>
  <r>
    <n v="1860"/>
    <x v="24"/>
    <n v="375"/>
    <n v="4"/>
    <n v="42.67"/>
    <n v="42.67"/>
    <n v="0"/>
    <n v="0"/>
    <n v="0"/>
    <n v="170.68"/>
    <x v="9"/>
    <s v="App Mobile"/>
    <s v="App Mobile"/>
    <n v="170.68"/>
    <x v="200"/>
    <x v="1"/>
    <x v="200"/>
  </r>
  <r>
    <n v="2340"/>
    <x v="643"/>
    <n v="375"/>
    <n v="4"/>
    <n v="42.67"/>
    <n v="42.67"/>
    <n v="0"/>
    <n v="0"/>
    <n v="0"/>
    <n v="170.68"/>
    <x v="37"/>
    <s v="App Mobile"/>
    <s v="App Mobile"/>
    <n v="170.68"/>
    <x v="200"/>
    <x v="1"/>
    <x v="200"/>
  </r>
  <r>
    <n v="3358"/>
    <x v="865"/>
    <n v="165"/>
    <n v="4"/>
    <n v="42.67"/>
    <n v="42.67"/>
    <n v="0"/>
    <n v="0"/>
    <n v="0"/>
    <n v="170.68"/>
    <x v="31"/>
    <s v="E-commerce"/>
    <s v="Website Banner"/>
    <n v="170.68"/>
    <x v="485"/>
    <x v="1"/>
    <x v="485"/>
  </r>
  <r>
    <n v="545"/>
    <x v="319"/>
    <n v="177"/>
    <n v="4"/>
    <n v="42.66"/>
    <n v="42.66"/>
    <n v="0"/>
    <n v="0"/>
    <n v="0"/>
    <n v="170.64"/>
    <x v="8"/>
    <s v="App Mobile"/>
    <s v="App Mobile"/>
    <n v="170.64"/>
    <x v="201"/>
    <x v="3"/>
    <x v="201"/>
  </r>
  <r>
    <n v="2514"/>
    <x v="809"/>
    <n v="177"/>
    <n v="4"/>
    <n v="42.66"/>
    <n v="42.66"/>
    <n v="0"/>
    <n v="0"/>
    <n v="0"/>
    <n v="170.64"/>
    <x v="19"/>
    <s v="App Mobile"/>
    <s v="App Mobile"/>
    <n v="170.64"/>
    <x v="201"/>
    <x v="3"/>
    <x v="201"/>
  </r>
  <r>
    <n v="332"/>
    <x v="571"/>
    <n v="68"/>
    <n v="4"/>
    <n v="47.27"/>
    <n v="42.54"/>
    <n v="4.7300000000000004"/>
    <n v="0.1"/>
    <n v="1"/>
    <n v="170.17"/>
    <x v="32"/>
    <s v="E-commerce"/>
    <s v="Website Banner"/>
    <n v="170.16"/>
    <x v="372"/>
    <x v="3"/>
    <x v="372"/>
  </r>
  <r>
    <n v="2237"/>
    <x v="349"/>
    <n v="263"/>
    <n v="4"/>
    <n v="42.48"/>
    <n v="42.48"/>
    <n v="0"/>
    <n v="0"/>
    <n v="0"/>
    <n v="169.92"/>
    <x v="41"/>
    <s v="App Mobile"/>
    <s v="App Mobile"/>
    <n v="169.92"/>
    <x v="486"/>
    <x v="1"/>
    <x v="486"/>
  </r>
  <r>
    <n v="1244"/>
    <x v="866"/>
    <n v="395"/>
    <n v="4"/>
    <n v="42.31"/>
    <n v="42.31"/>
    <n v="0"/>
    <n v="0"/>
    <n v="0"/>
    <n v="169.24"/>
    <x v="19"/>
    <s v="E-commerce"/>
    <s v="Website Banner"/>
    <n v="169.24"/>
    <x v="460"/>
    <x v="0"/>
    <x v="460"/>
  </r>
  <r>
    <n v="1380"/>
    <x v="598"/>
    <n v="395"/>
    <n v="4"/>
    <n v="42.31"/>
    <n v="42.31"/>
    <n v="0"/>
    <n v="0"/>
    <n v="0"/>
    <n v="169.24"/>
    <x v="35"/>
    <s v="App Mobile"/>
    <s v="App Mobile"/>
    <n v="169.24"/>
    <x v="460"/>
    <x v="0"/>
    <x v="460"/>
  </r>
  <r>
    <n v="444"/>
    <x v="203"/>
    <n v="309"/>
    <n v="4"/>
    <n v="42.14"/>
    <n v="42.14"/>
    <n v="0"/>
    <n v="0"/>
    <n v="0"/>
    <n v="168.56"/>
    <x v="30"/>
    <s v="App Mobile"/>
    <s v="App Mobile"/>
    <n v="168.56"/>
    <x v="205"/>
    <x v="0"/>
    <x v="205"/>
  </r>
  <r>
    <n v="1367"/>
    <x v="595"/>
    <n v="172"/>
    <n v="4"/>
    <n v="41.7"/>
    <n v="41.7"/>
    <n v="0"/>
    <n v="0"/>
    <n v="0"/>
    <n v="166.8"/>
    <x v="39"/>
    <s v="E-commerce"/>
    <s v="Website Banner"/>
    <n v="166.8"/>
    <x v="209"/>
    <x v="1"/>
    <x v="209"/>
  </r>
  <r>
    <n v="2997"/>
    <x v="90"/>
    <n v="172"/>
    <n v="4"/>
    <n v="41.7"/>
    <n v="41.7"/>
    <n v="0"/>
    <n v="0"/>
    <n v="0"/>
    <n v="166.8"/>
    <x v="3"/>
    <s v="E-commerce"/>
    <s v="Website Banner"/>
    <n v="166.8"/>
    <x v="209"/>
    <x v="1"/>
    <x v="209"/>
  </r>
  <r>
    <n v="3048"/>
    <x v="455"/>
    <n v="172"/>
    <n v="4"/>
    <n v="41.7"/>
    <n v="41.7"/>
    <n v="0"/>
    <n v="0"/>
    <n v="0"/>
    <n v="166.8"/>
    <x v="23"/>
    <s v="App Mobile"/>
    <s v="App Mobile"/>
    <n v="166.8"/>
    <x v="209"/>
    <x v="1"/>
    <x v="209"/>
  </r>
  <r>
    <n v="3273"/>
    <x v="867"/>
    <n v="157"/>
    <n v="4"/>
    <n v="41.56"/>
    <n v="41.56"/>
    <n v="0"/>
    <n v="0"/>
    <n v="0"/>
    <n v="166.24"/>
    <x v="14"/>
    <s v="E-commerce"/>
    <s v="Website Banner"/>
    <n v="166.24"/>
    <x v="211"/>
    <x v="3"/>
    <x v="211"/>
  </r>
  <r>
    <n v="1941"/>
    <x v="696"/>
    <n v="289"/>
    <n v="4"/>
    <n v="41.51"/>
    <n v="41.51"/>
    <n v="0"/>
    <n v="0"/>
    <n v="0"/>
    <n v="166.04"/>
    <x v="28"/>
    <s v="E-commerce"/>
    <s v="Website Banner"/>
    <n v="166.04"/>
    <x v="212"/>
    <x v="0"/>
    <x v="212"/>
  </r>
  <r>
    <n v="2356"/>
    <x v="621"/>
    <n v="289"/>
    <n v="4"/>
    <n v="41.51"/>
    <n v="41.51"/>
    <n v="0"/>
    <n v="0"/>
    <n v="0"/>
    <n v="166.04"/>
    <x v="17"/>
    <s v="App Mobile"/>
    <s v="App Mobile"/>
    <n v="166.04"/>
    <x v="212"/>
    <x v="0"/>
    <x v="212"/>
  </r>
  <r>
    <n v="2934"/>
    <x v="854"/>
    <n v="110"/>
    <n v="4"/>
    <n v="58.7"/>
    <n v="41.09"/>
    <n v="17.61"/>
    <n v="0.3"/>
    <n v="1"/>
    <n v="164.36"/>
    <x v="12"/>
    <s v="App Mobile"/>
    <s v="Social Media"/>
    <n v="164.36"/>
    <x v="479"/>
    <x v="0"/>
    <x v="479"/>
  </r>
  <r>
    <n v="836"/>
    <x v="734"/>
    <n v="74"/>
    <n v="4"/>
    <n v="40.94"/>
    <n v="40.94"/>
    <n v="0"/>
    <n v="0"/>
    <n v="0"/>
    <n v="163.76"/>
    <x v="21"/>
    <s v="E-commerce"/>
    <s v="Website Banner"/>
    <n v="163.76"/>
    <x v="392"/>
    <x v="3"/>
    <x v="392"/>
  </r>
  <r>
    <n v="3323"/>
    <x v="653"/>
    <n v="74"/>
    <n v="4"/>
    <n v="40.94"/>
    <n v="40.94"/>
    <n v="0"/>
    <n v="0"/>
    <n v="0"/>
    <n v="163.76"/>
    <x v="28"/>
    <s v="App Mobile"/>
    <s v="App Mobile"/>
    <n v="163.76"/>
    <x v="392"/>
    <x v="3"/>
    <x v="392"/>
  </r>
  <r>
    <n v="1759"/>
    <x v="190"/>
    <n v="293"/>
    <n v="4"/>
    <n v="40.770000000000003"/>
    <n v="40.770000000000003"/>
    <n v="0"/>
    <n v="0"/>
    <n v="0"/>
    <n v="163.08000000000001"/>
    <x v="40"/>
    <s v="App Mobile"/>
    <s v="App Mobile"/>
    <n v="163.08000000000001"/>
    <x v="216"/>
    <x v="1"/>
    <x v="216"/>
  </r>
  <r>
    <n v="280"/>
    <x v="707"/>
    <n v="106"/>
    <n v="4"/>
    <n v="40.75"/>
    <n v="40.75"/>
    <n v="0"/>
    <n v="0"/>
    <n v="0"/>
    <n v="163"/>
    <x v="19"/>
    <s v="App Mobile"/>
    <s v="App Mobile"/>
    <n v="163"/>
    <x v="217"/>
    <x v="4"/>
    <x v="217"/>
  </r>
  <r>
    <n v="2143"/>
    <x v="207"/>
    <n v="106"/>
    <n v="4"/>
    <n v="40.75"/>
    <n v="40.75"/>
    <n v="0"/>
    <n v="0"/>
    <n v="0"/>
    <n v="163"/>
    <x v="24"/>
    <s v="E-commerce"/>
    <s v="Website Banner"/>
    <n v="163"/>
    <x v="217"/>
    <x v="4"/>
    <x v="217"/>
  </r>
  <r>
    <n v="612"/>
    <x v="506"/>
    <n v="9"/>
    <n v="4"/>
    <n v="40.5"/>
    <n v="40.5"/>
    <n v="0"/>
    <n v="0"/>
    <n v="0"/>
    <n v="162"/>
    <x v="6"/>
    <s v="E-commerce"/>
    <s v="Website Banner"/>
    <n v="162"/>
    <x v="218"/>
    <x v="1"/>
    <x v="218"/>
  </r>
  <r>
    <n v="846"/>
    <x v="515"/>
    <n v="9"/>
    <n v="4"/>
    <n v="40.5"/>
    <n v="40.5"/>
    <n v="0"/>
    <n v="0"/>
    <n v="0"/>
    <n v="162"/>
    <x v="41"/>
    <s v="E-commerce"/>
    <s v="Website Banner"/>
    <n v="162"/>
    <x v="218"/>
    <x v="1"/>
    <x v="218"/>
  </r>
  <r>
    <n v="1316"/>
    <x v="646"/>
    <n v="16"/>
    <n v="4"/>
    <n v="40.36"/>
    <n v="40.36"/>
    <n v="0"/>
    <n v="0"/>
    <n v="0"/>
    <n v="161.44"/>
    <x v="46"/>
    <s v="App Mobile"/>
    <s v="App Mobile"/>
    <n v="161.44"/>
    <x v="219"/>
    <x v="2"/>
    <x v="219"/>
  </r>
  <r>
    <n v="1364"/>
    <x v="846"/>
    <n v="92"/>
    <n v="4"/>
    <n v="40.25"/>
    <n v="40.25"/>
    <n v="0"/>
    <n v="0"/>
    <n v="0"/>
    <n v="161"/>
    <x v="46"/>
    <s v="App Mobile"/>
    <s v="App Mobile"/>
    <n v="161"/>
    <x v="220"/>
    <x v="1"/>
    <x v="220"/>
  </r>
  <r>
    <n v="2419"/>
    <x v="652"/>
    <n v="222"/>
    <n v="4"/>
    <n v="57.19"/>
    <n v="40.03"/>
    <n v="17.16"/>
    <n v="0.3"/>
    <n v="1"/>
    <n v="160.13"/>
    <x v="29"/>
    <s v="App Mobile"/>
    <s v="Social Media"/>
    <n v="160.12"/>
    <x v="75"/>
    <x v="0"/>
    <x v="75"/>
  </r>
  <r>
    <n v="3330"/>
    <x v="317"/>
    <n v="288"/>
    <n v="4"/>
    <n v="57.11"/>
    <n v="39.979999999999997"/>
    <n v="17.13"/>
    <n v="0.3"/>
    <n v="1"/>
    <n v="159.91"/>
    <x v="42"/>
    <s v="App Mobile"/>
    <s v="Social Media"/>
    <n v="159.91999999999999"/>
    <x v="77"/>
    <x v="4"/>
    <x v="77"/>
  </r>
  <r>
    <n v="1207"/>
    <x v="269"/>
    <n v="226"/>
    <n v="4"/>
    <n v="39.78"/>
    <n v="39.78"/>
    <n v="0"/>
    <n v="0"/>
    <n v="0"/>
    <n v="159.12"/>
    <x v="29"/>
    <s v="E-commerce"/>
    <s v="Website Banner"/>
    <n v="159.12"/>
    <x v="224"/>
    <x v="3"/>
    <x v="224"/>
  </r>
  <r>
    <n v="2052"/>
    <x v="99"/>
    <n v="325"/>
    <n v="4"/>
    <n v="39.78"/>
    <n v="39.78"/>
    <n v="0"/>
    <n v="0"/>
    <n v="0"/>
    <n v="159.12"/>
    <x v="36"/>
    <s v="App Mobile"/>
    <s v="App Mobile"/>
    <n v="159.12"/>
    <x v="223"/>
    <x v="1"/>
    <x v="223"/>
  </r>
  <r>
    <n v="2888"/>
    <x v="845"/>
    <n v="325"/>
    <n v="4"/>
    <n v="39.78"/>
    <n v="39.78"/>
    <n v="0"/>
    <n v="0"/>
    <n v="0"/>
    <n v="159.12"/>
    <x v="5"/>
    <s v="App Mobile"/>
    <s v="App Mobile"/>
    <n v="159.12"/>
    <x v="223"/>
    <x v="1"/>
    <x v="223"/>
  </r>
  <r>
    <n v="762"/>
    <x v="608"/>
    <n v="143"/>
    <n v="4"/>
    <n v="39.75"/>
    <n v="39.75"/>
    <n v="0"/>
    <n v="0"/>
    <n v="0"/>
    <n v="159"/>
    <x v="9"/>
    <s v="E-commerce"/>
    <s v="Website Banner"/>
    <n v="159"/>
    <x v="394"/>
    <x v="3"/>
    <x v="394"/>
  </r>
  <r>
    <n v="713"/>
    <x v="868"/>
    <n v="283"/>
    <n v="4"/>
    <n v="39.619999999999997"/>
    <n v="39.619999999999997"/>
    <n v="0"/>
    <n v="0"/>
    <n v="0"/>
    <n v="158.47999999999999"/>
    <x v="48"/>
    <s v="E-commerce"/>
    <s v="Website Banner"/>
    <n v="158.47999999999999"/>
    <x v="225"/>
    <x v="1"/>
    <x v="225"/>
  </r>
  <r>
    <n v="2928"/>
    <x v="133"/>
    <n v="283"/>
    <n v="4"/>
    <n v="39.619999999999997"/>
    <n v="39.619999999999997"/>
    <n v="0"/>
    <n v="0"/>
    <n v="0"/>
    <n v="158.47999999999999"/>
    <x v="14"/>
    <s v="E-commerce"/>
    <s v="Website Banner"/>
    <n v="158.47999999999999"/>
    <x v="225"/>
    <x v="1"/>
    <x v="225"/>
  </r>
  <r>
    <n v="80"/>
    <x v="569"/>
    <n v="490"/>
    <n v="4"/>
    <n v="39.42"/>
    <n v="39.42"/>
    <n v="0"/>
    <n v="0"/>
    <n v="0"/>
    <n v="157.68"/>
    <x v="46"/>
    <s v="E-commerce"/>
    <s v="Website Banner"/>
    <n v="157.68"/>
    <x v="226"/>
    <x v="1"/>
    <x v="226"/>
  </r>
  <r>
    <n v="292"/>
    <x v="608"/>
    <n v="490"/>
    <n v="4"/>
    <n v="39.42"/>
    <n v="39.42"/>
    <n v="0"/>
    <n v="0"/>
    <n v="0"/>
    <n v="157.68"/>
    <x v="9"/>
    <s v="E-commerce"/>
    <s v="Website Banner"/>
    <n v="157.68"/>
    <x v="226"/>
    <x v="1"/>
    <x v="226"/>
  </r>
  <r>
    <n v="1333"/>
    <x v="404"/>
    <n v="490"/>
    <n v="4"/>
    <n v="39.42"/>
    <n v="39.42"/>
    <n v="0"/>
    <n v="0"/>
    <n v="0"/>
    <n v="157.68"/>
    <x v="17"/>
    <s v="App Mobile"/>
    <s v="App Mobile"/>
    <n v="157.68"/>
    <x v="226"/>
    <x v="1"/>
    <x v="226"/>
  </r>
  <r>
    <n v="1694"/>
    <x v="186"/>
    <n v="467"/>
    <n v="4"/>
    <n v="39.22"/>
    <n v="39.22"/>
    <n v="0"/>
    <n v="0"/>
    <n v="0"/>
    <n v="156.88"/>
    <x v="34"/>
    <s v="E-commerce"/>
    <s v="Website Banner"/>
    <n v="156.88"/>
    <x v="228"/>
    <x v="2"/>
    <x v="228"/>
  </r>
  <r>
    <n v="782"/>
    <x v="476"/>
    <n v="113"/>
    <n v="4"/>
    <n v="39.18"/>
    <n v="39.18"/>
    <n v="0"/>
    <n v="0"/>
    <n v="0"/>
    <n v="156.72"/>
    <x v="35"/>
    <s v="App Mobile"/>
    <s v="App Mobile"/>
    <n v="156.72"/>
    <x v="229"/>
    <x v="0"/>
    <x v="229"/>
  </r>
  <r>
    <n v="2568"/>
    <x v="558"/>
    <n v="113"/>
    <n v="4"/>
    <n v="39.18"/>
    <n v="39.18"/>
    <n v="0"/>
    <n v="0"/>
    <n v="0"/>
    <n v="156.72"/>
    <x v="44"/>
    <s v="E-commerce"/>
    <s v="Website Banner"/>
    <n v="156.72"/>
    <x v="229"/>
    <x v="0"/>
    <x v="229"/>
  </r>
  <r>
    <n v="2565"/>
    <x v="472"/>
    <n v="456"/>
    <n v="4"/>
    <n v="39.090000000000003"/>
    <n v="39.090000000000003"/>
    <n v="0"/>
    <n v="0"/>
    <n v="0"/>
    <n v="156.36000000000001"/>
    <x v="49"/>
    <s v="App Mobile"/>
    <s v="App Mobile"/>
    <n v="156.36000000000001"/>
    <x v="231"/>
    <x v="0"/>
    <x v="231"/>
  </r>
  <r>
    <n v="760"/>
    <x v="827"/>
    <n v="311"/>
    <n v="4"/>
    <n v="43.38"/>
    <n v="39.04"/>
    <n v="4.34"/>
    <n v="0.1"/>
    <n v="1"/>
    <n v="156.16999999999999"/>
    <x v="37"/>
    <s v="E-commerce"/>
    <s v="Website Banner"/>
    <n v="156.16"/>
    <x v="194"/>
    <x v="0"/>
    <x v="194"/>
  </r>
  <r>
    <n v="1042"/>
    <x v="722"/>
    <n v="96"/>
    <n v="4"/>
    <n v="39.03"/>
    <n v="39.03"/>
    <n v="0"/>
    <n v="0"/>
    <n v="0"/>
    <n v="156.12"/>
    <x v="43"/>
    <s v="App Mobile"/>
    <s v="App Mobile"/>
    <n v="156.12"/>
    <x v="232"/>
    <x v="4"/>
    <x v="232"/>
  </r>
  <r>
    <n v="2247"/>
    <x v="830"/>
    <n v="96"/>
    <n v="4"/>
    <n v="39.03"/>
    <n v="39.03"/>
    <n v="0"/>
    <n v="0"/>
    <n v="0"/>
    <n v="156.12"/>
    <x v="19"/>
    <s v="E-commerce"/>
    <s v="Website Banner"/>
    <n v="156.12"/>
    <x v="232"/>
    <x v="4"/>
    <x v="232"/>
  </r>
  <r>
    <n v="2207"/>
    <x v="420"/>
    <n v="477"/>
    <n v="4"/>
    <n v="38.9"/>
    <n v="38.9"/>
    <n v="0"/>
    <n v="0"/>
    <n v="0"/>
    <n v="155.6"/>
    <x v="9"/>
    <s v="E-commerce"/>
    <s v="Website Banner"/>
    <n v="155.6"/>
    <x v="233"/>
    <x v="1"/>
    <x v="233"/>
  </r>
  <r>
    <n v="905"/>
    <x v="856"/>
    <n v="180"/>
    <n v="4"/>
    <n v="38.81"/>
    <n v="38.81"/>
    <n v="0"/>
    <n v="0"/>
    <n v="0"/>
    <n v="155.24"/>
    <x v="3"/>
    <s v="E-commerce"/>
    <s v="Website Banner"/>
    <n v="155.24"/>
    <x v="234"/>
    <x v="1"/>
    <x v="234"/>
  </r>
  <r>
    <n v="3057"/>
    <x v="252"/>
    <n v="180"/>
    <n v="4"/>
    <n v="38.81"/>
    <n v="38.81"/>
    <n v="0"/>
    <n v="0"/>
    <n v="0"/>
    <n v="155.24"/>
    <x v="40"/>
    <s v="App Mobile"/>
    <s v="App Mobile"/>
    <n v="155.24"/>
    <x v="234"/>
    <x v="1"/>
    <x v="234"/>
  </r>
  <r>
    <n v="2652"/>
    <x v="797"/>
    <n v="438"/>
    <n v="4"/>
    <n v="38.74"/>
    <n v="38.74"/>
    <n v="0"/>
    <n v="0"/>
    <n v="0"/>
    <n v="154.96"/>
    <x v="25"/>
    <s v="E-commerce"/>
    <s v="Website Banner"/>
    <n v="154.96"/>
    <x v="235"/>
    <x v="0"/>
    <x v="235"/>
  </r>
  <r>
    <n v="155"/>
    <x v="869"/>
    <n v="233"/>
    <n v="4"/>
    <n v="38.68"/>
    <n v="38.68"/>
    <n v="0"/>
    <n v="0"/>
    <n v="0"/>
    <n v="154.72"/>
    <x v="31"/>
    <s v="App Mobile"/>
    <s v="App Mobile"/>
    <n v="154.72"/>
    <x v="236"/>
    <x v="1"/>
    <x v="236"/>
  </r>
  <r>
    <n v="1526"/>
    <x v="640"/>
    <n v="233"/>
    <n v="4"/>
    <n v="38.68"/>
    <n v="38.68"/>
    <n v="0"/>
    <n v="0"/>
    <n v="0"/>
    <n v="154.72"/>
    <x v="47"/>
    <s v="E-commerce"/>
    <s v="Website Banner"/>
    <n v="154.72"/>
    <x v="236"/>
    <x v="1"/>
    <x v="236"/>
  </r>
  <r>
    <n v="2125"/>
    <x v="503"/>
    <n v="484"/>
    <n v="4"/>
    <n v="38.49"/>
    <n v="38.49"/>
    <n v="0"/>
    <n v="0"/>
    <n v="0"/>
    <n v="153.96"/>
    <x v="24"/>
    <s v="E-commerce"/>
    <s v="Website Banner"/>
    <n v="153.96"/>
    <x v="412"/>
    <x v="2"/>
    <x v="412"/>
  </r>
  <r>
    <n v="2178"/>
    <x v="805"/>
    <n v="484"/>
    <n v="4"/>
    <n v="38.49"/>
    <n v="38.49"/>
    <n v="0"/>
    <n v="0"/>
    <n v="0"/>
    <n v="153.96"/>
    <x v="50"/>
    <s v="App Mobile"/>
    <s v="App Mobile"/>
    <n v="153.96"/>
    <x v="412"/>
    <x v="2"/>
    <x v="412"/>
  </r>
  <r>
    <n v="2915"/>
    <x v="870"/>
    <n v="256"/>
    <n v="4"/>
    <n v="38.409999999999997"/>
    <n v="38.409999999999997"/>
    <n v="0"/>
    <n v="0"/>
    <n v="0"/>
    <n v="153.63999999999999"/>
    <x v="36"/>
    <s v="E-commerce"/>
    <s v="Website Banner"/>
    <n v="153.63999999999999"/>
    <x v="238"/>
    <x v="3"/>
    <x v="238"/>
  </r>
  <r>
    <n v="252"/>
    <x v="182"/>
    <n v="498"/>
    <n v="4"/>
    <n v="38.33"/>
    <n v="38.33"/>
    <n v="0"/>
    <n v="0"/>
    <n v="0"/>
    <n v="153.32"/>
    <x v="36"/>
    <s v="App Mobile"/>
    <s v="App Mobile"/>
    <n v="153.32"/>
    <x v="399"/>
    <x v="4"/>
    <x v="399"/>
  </r>
  <r>
    <n v="2057"/>
    <x v="851"/>
    <n v="498"/>
    <n v="4"/>
    <n v="38.33"/>
    <n v="38.33"/>
    <n v="0"/>
    <n v="0"/>
    <n v="0"/>
    <n v="153.32"/>
    <x v="8"/>
    <s v="E-commerce"/>
    <s v="Website Banner"/>
    <n v="153.32"/>
    <x v="399"/>
    <x v="4"/>
    <x v="399"/>
  </r>
  <r>
    <n v="1734"/>
    <x v="397"/>
    <n v="240"/>
    <n v="4"/>
    <n v="38.14"/>
    <n v="38.14"/>
    <n v="0"/>
    <n v="0"/>
    <n v="0"/>
    <n v="152.56"/>
    <x v="44"/>
    <s v="E-commerce"/>
    <s v="Website Banner"/>
    <n v="152.56"/>
    <x v="239"/>
    <x v="2"/>
    <x v="239"/>
  </r>
  <r>
    <n v="132"/>
    <x v="847"/>
    <n v="387"/>
    <n v="4"/>
    <n v="38.06"/>
    <n v="38.06"/>
    <n v="0"/>
    <n v="0"/>
    <n v="0"/>
    <n v="152.24"/>
    <x v="21"/>
    <s v="App Mobile"/>
    <s v="App Mobile"/>
    <n v="152.24"/>
    <x v="241"/>
    <x v="3"/>
    <x v="241"/>
  </r>
  <r>
    <n v="3177"/>
    <x v="595"/>
    <n v="41"/>
    <n v="4"/>
    <n v="37.94"/>
    <n v="37.94"/>
    <n v="0"/>
    <n v="0"/>
    <n v="0"/>
    <n v="151.76"/>
    <x v="39"/>
    <s v="E-commerce"/>
    <s v="Website Banner"/>
    <n v="151.76"/>
    <x v="243"/>
    <x v="2"/>
    <x v="243"/>
  </r>
  <r>
    <n v="3206"/>
    <x v="169"/>
    <n v="41"/>
    <n v="4"/>
    <n v="37.94"/>
    <n v="37.94"/>
    <n v="0"/>
    <n v="0"/>
    <n v="0"/>
    <n v="151.76"/>
    <x v="37"/>
    <s v="App Mobile"/>
    <s v="App Mobile"/>
    <n v="151.76"/>
    <x v="243"/>
    <x v="2"/>
    <x v="243"/>
  </r>
  <r>
    <n v="3367"/>
    <x v="480"/>
    <n v="41"/>
    <n v="4"/>
    <n v="37.94"/>
    <n v="37.94"/>
    <n v="0"/>
    <n v="0"/>
    <n v="0"/>
    <n v="151.76"/>
    <x v="31"/>
    <s v="App Mobile"/>
    <s v="App Mobile"/>
    <n v="151.76"/>
    <x v="243"/>
    <x v="2"/>
    <x v="243"/>
  </r>
  <r>
    <n v="2123"/>
    <x v="622"/>
    <n v="47"/>
    <n v="4"/>
    <n v="53.73"/>
    <n v="37.61"/>
    <n v="16.12"/>
    <n v="0.3"/>
    <n v="1"/>
    <n v="150.44"/>
    <x v="12"/>
    <s v="App Mobile"/>
    <s v="Social Media"/>
    <n v="150.44"/>
    <x v="102"/>
    <x v="4"/>
    <x v="102"/>
  </r>
  <r>
    <n v="1585"/>
    <x v="677"/>
    <n v="318"/>
    <n v="4"/>
    <n v="37.549999999999997"/>
    <n v="37.549999999999997"/>
    <n v="0"/>
    <n v="0"/>
    <n v="0"/>
    <n v="150.19999999999999"/>
    <x v="27"/>
    <s v="E-commerce"/>
    <s v="Website Banner"/>
    <n v="150.19999999999999"/>
    <x v="487"/>
    <x v="4"/>
    <x v="487"/>
  </r>
  <r>
    <n v="909"/>
    <x v="364"/>
    <n v="423"/>
    <n v="4"/>
    <n v="41.64"/>
    <n v="37.479999999999997"/>
    <n v="4.16"/>
    <n v="0.1"/>
    <n v="1"/>
    <n v="149.9"/>
    <x v="37"/>
    <s v="E-commerce"/>
    <s v="Website Banner"/>
    <n v="149.91999999999999"/>
    <x v="210"/>
    <x v="4"/>
    <x v="210"/>
  </r>
  <r>
    <n v="2769"/>
    <x v="159"/>
    <n v="208"/>
    <n v="4"/>
    <n v="37.450000000000003"/>
    <n v="37.450000000000003"/>
    <n v="0"/>
    <n v="0"/>
    <n v="0"/>
    <n v="149.80000000000001"/>
    <x v="39"/>
    <s v="E-commerce"/>
    <s v="Website Banner"/>
    <n v="149.80000000000001"/>
    <x v="244"/>
    <x v="4"/>
    <x v="244"/>
  </r>
  <r>
    <n v="2931"/>
    <x v="775"/>
    <n v="85"/>
    <n v="4"/>
    <n v="37.35"/>
    <n v="37.35"/>
    <n v="0"/>
    <n v="0"/>
    <n v="0"/>
    <n v="149.4"/>
    <x v="0"/>
    <s v="E-commerce"/>
    <s v="Website Banner"/>
    <n v="149.4"/>
    <x v="401"/>
    <x v="0"/>
    <x v="401"/>
  </r>
  <r>
    <n v="421"/>
    <x v="486"/>
    <n v="408"/>
    <n v="4"/>
    <n v="37.17"/>
    <n v="37.17"/>
    <n v="0"/>
    <n v="0"/>
    <n v="0"/>
    <n v="148.68"/>
    <x v="49"/>
    <s v="E-commerce"/>
    <s v="Website Banner"/>
    <n v="148.68"/>
    <x v="402"/>
    <x v="4"/>
    <x v="402"/>
  </r>
  <r>
    <n v="908"/>
    <x v="244"/>
    <n v="408"/>
    <n v="4"/>
    <n v="37.17"/>
    <n v="37.17"/>
    <n v="0"/>
    <n v="0"/>
    <n v="0"/>
    <n v="148.68"/>
    <x v="36"/>
    <s v="E-commerce"/>
    <s v="Website Banner"/>
    <n v="148.68"/>
    <x v="402"/>
    <x v="4"/>
    <x v="402"/>
  </r>
  <r>
    <n v="1101"/>
    <x v="871"/>
    <n v="492"/>
    <n v="4"/>
    <n v="37.119999999999997"/>
    <n v="37.119999999999997"/>
    <n v="0"/>
    <n v="0"/>
    <n v="0"/>
    <n v="148.47999999999999"/>
    <x v="40"/>
    <s v="E-commerce"/>
    <s v="Website Banner"/>
    <n v="148.47999999999999"/>
    <x v="403"/>
    <x v="2"/>
    <x v="403"/>
  </r>
  <r>
    <n v="1199"/>
    <x v="872"/>
    <n v="215"/>
    <n v="4"/>
    <n v="37.11"/>
    <n v="37.11"/>
    <n v="0"/>
    <n v="0"/>
    <n v="0"/>
    <n v="148.44"/>
    <x v="24"/>
    <s v="App Mobile"/>
    <s v="App Mobile"/>
    <n v="148.44"/>
    <x v="245"/>
    <x v="2"/>
    <x v="245"/>
  </r>
  <r>
    <n v="2069"/>
    <x v="278"/>
    <n v="243"/>
    <n v="4"/>
    <n v="37.06"/>
    <n v="37.06"/>
    <n v="0"/>
    <n v="0"/>
    <n v="0"/>
    <n v="148.24"/>
    <x v="45"/>
    <s v="E-commerce"/>
    <s v="Website Banner"/>
    <n v="148.24"/>
    <x v="246"/>
    <x v="3"/>
    <x v="246"/>
  </r>
  <r>
    <n v="1107"/>
    <x v="772"/>
    <n v="441"/>
    <n v="4"/>
    <n v="36.99"/>
    <n v="36.99"/>
    <n v="0"/>
    <n v="0"/>
    <n v="0"/>
    <n v="147.96"/>
    <x v="38"/>
    <s v="E-commerce"/>
    <s v="Website Banner"/>
    <n v="147.96"/>
    <x v="247"/>
    <x v="0"/>
    <x v="247"/>
  </r>
  <r>
    <n v="2640"/>
    <x v="690"/>
    <n v="441"/>
    <n v="4"/>
    <n v="36.99"/>
    <n v="36.99"/>
    <n v="0"/>
    <n v="0"/>
    <n v="0"/>
    <n v="147.96"/>
    <x v="8"/>
    <s v="App Mobile"/>
    <s v="App Mobile"/>
    <n v="147.96"/>
    <x v="247"/>
    <x v="0"/>
    <x v="247"/>
  </r>
  <r>
    <n v="1319"/>
    <x v="487"/>
    <n v="105"/>
    <n v="4"/>
    <n v="36.9"/>
    <n v="36.9"/>
    <n v="0"/>
    <n v="0"/>
    <n v="0"/>
    <n v="147.6"/>
    <x v="36"/>
    <s v="App Mobile"/>
    <s v="App Mobile"/>
    <n v="147.6"/>
    <x v="404"/>
    <x v="4"/>
    <x v="404"/>
  </r>
  <r>
    <n v="3175"/>
    <x v="23"/>
    <n v="105"/>
    <n v="4"/>
    <n v="36.9"/>
    <n v="36.9"/>
    <n v="0"/>
    <n v="0"/>
    <n v="0"/>
    <n v="147.6"/>
    <x v="18"/>
    <s v="E-commerce"/>
    <s v="Website Banner"/>
    <n v="147.6"/>
    <x v="404"/>
    <x v="4"/>
    <x v="404"/>
  </r>
  <r>
    <n v="481"/>
    <x v="735"/>
    <n v="251"/>
    <n v="4"/>
    <n v="36.880000000000003"/>
    <n v="36.880000000000003"/>
    <n v="0"/>
    <n v="0"/>
    <n v="0"/>
    <n v="147.52000000000001"/>
    <x v="5"/>
    <s v="E-commerce"/>
    <s v="Website Banner"/>
    <n v="147.52000000000001"/>
    <x v="248"/>
    <x v="4"/>
    <x v="248"/>
  </r>
  <r>
    <n v="1444"/>
    <x v="434"/>
    <n v="251"/>
    <n v="4"/>
    <n v="36.880000000000003"/>
    <n v="36.880000000000003"/>
    <n v="0"/>
    <n v="0"/>
    <n v="0"/>
    <n v="147.52000000000001"/>
    <x v="5"/>
    <s v="App Mobile"/>
    <s v="App Mobile"/>
    <n v="147.52000000000001"/>
    <x v="248"/>
    <x v="4"/>
    <x v="248"/>
  </r>
  <r>
    <n v="590"/>
    <x v="873"/>
    <n v="5"/>
    <n v="4"/>
    <n v="36.840000000000003"/>
    <n v="36.840000000000003"/>
    <n v="0"/>
    <n v="0"/>
    <n v="0"/>
    <n v="147.36000000000001"/>
    <x v="9"/>
    <s v="App Mobile"/>
    <s v="App Mobile"/>
    <n v="147.36000000000001"/>
    <x v="249"/>
    <x v="2"/>
    <x v="249"/>
  </r>
  <r>
    <n v="1863"/>
    <x v="496"/>
    <n v="5"/>
    <n v="4"/>
    <n v="36.840000000000003"/>
    <n v="36.840000000000003"/>
    <n v="0"/>
    <n v="0"/>
    <n v="0"/>
    <n v="147.36000000000001"/>
    <x v="2"/>
    <s v="App Mobile"/>
    <s v="App Mobile"/>
    <n v="147.36000000000001"/>
    <x v="249"/>
    <x v="2"/>
    <x v="249"/>
  </r>
  <r>
    <n v="1008"/>
    <x v="285"/>
    <n v="248"/>
    <n v="4"/>
    <n v="36.79"/>
    <n v="36.79"/>
    <n v="0"/>
    <n v="0"/>
    <n v="0"/>
    <n v="147.16"/>
    <x v="50"/>
    <s v="E-commerce"/>
    <s v="Website Banner"/>
    <n v="147.16"/>
    <x v="463"/>
    <x v="4"/>
    <x v="463"/>
  </r>
  <r>
    <n v="1919"/>
    <x v="670"/>
    <n v="248"/>
    <n v="4"/>
    <n v="36.79"/>
    <n v="36.79"/>
    <n v="0"/>
    <n v="0"/>
    <n v="0"/>
    <n v="147.16"/>
    <x v="17"/>
    <s v="App Mobile"/>
    <s v="App Mobile"/>
    <n v="147.16"/>
    <x v="463"/>
    <x v="4"/>
    <x v="463"/>
  </r>
  <r>
    <n v="2877"/>
    <x v="228"/>
    <n v="106"/>
    <n v="4"/>
    <n v="40.75"/>
    <n v="36.67"/>
    <n v="4.08"/>
    <n v="0.1"/>
    <n v="1"/>
    <n v="146.69999999999999"/>
    <x v="37"/>
    <s v="E-commerce"/>
    <s v="Website Banner"/>
    <n v="146.68"/>
    <x v="217"/>
    <x v="4"/>
    <x v="217"/>
  </r>
  <r>
    <n v="2586"/>
    <x v="314"/>
    <n v="199"/>
    <n v="4"/>
    <n v="36.479999999999997"/>
    <n v="36.479999999999997"/>
    <n v="0"/>
    <n v="0"/>
    <n v="0"/>
    <n v="145.91999999999999"/>
    <x v="18"/>
    <s v="App Mobile"/>
    <s v="App Mobile"/>
    <n v="145.91999999999999"/>
    <x v="488"/>
    <x v="0"/>
    <x v="488"/>
  </r>
  <r>
    <n v="3104"/>
    <x v="347"/>
    <n v="140"/>
    <n v="4"/>
    <n v="52.08"/>
    <n v="36.46"/>
    <n v="15.62"/>
    <n v="0.3"/>
    <n v="1"/>
    <n v="145.82"/>
    <x v="42"/>
    <s v="App Mobile"/>
    <s v="Social Media"/>
    <n v="145.84"/>
    <x v="122"/>
    <x v="0"/>
    <x v="122"/>
  </r>
  <r>
    <n v="3363"/>
    <x v="648"/>
    <n v="140"/>
    <n v="4"/>
    <n v="52.08"/>
    <n v="36.46"/>
    <n v="15.62"/>
    <n v="0.3"/>
    <n v="1"/>
    <n v="145.82"/>
    <x v="22"/>
    <s v="App Mobile"/>
    <s v="Social Media"/>
    <n v="145.84"/>
    <x v="122"/>
    <x v="0"/>
    <x v="122"/>
  </r>
  <r>
    <n v="3090"/>
    <x v="347"/>
    <n v="17"/>
    <n v="4"/>
    <n v="51.9"/>
    <n v="36.33"/>
    <n v="15.57"/>
    <n v="0.3"/>
    <n v="1"/>
    <n v="145.32"/>
    <x v="42"/>
    <s v="App Mobile"/>
    <s v="Social Media"/>
    <n v="145.32"/>
    <x v="360"/>
    <x v="0"/>
    <x v="360"/>
  </r>
  <r>
    <n v="616"/>
    <x v="796"/>
    <n v="427"/>
    <n v="4"/>
    <n v="36.01"/>
    <n v="36.01"/>
    <n v="0"/>
    <n v="0"/>
    <n v="0"/>
    <n v="144.04"/>
    <x v="15"/>
    <s v="E-commerce"/>
    <s v="Website Banner"/>
    <n v="144.04"/>
    <x v="252"/>
    <x v="3"/>
    <x v="252"/>
  </r>
  <r>
    <n v="2183"/>
    <x v="874"/>
    <n v="427"/>
    <n v="4"/>
    <n v="36.01"/>
    <n v="36.01"/>
    <n v="0"/>
    <n v="0"/>
    <n v="0"/>
    <n v="144.04"/>
    <x v="21"/>
    <s v="App Mobile"/>
    <s v="App Mobile"/>
    <n v="144.04"/>
    <x v="252"/>
    <x v="3"/>
    <x v="252"/>
  </r>
  <r>
    <n v="826"/>
    <x v="625"/>
    <n v="28"/>
    <n v="4"/>
    <n v="51.18"/>
    <n v="35.83"/>
    <n v="15.35"/>
    <n v="0.3"/>
    <n v="1"/>
    <n v="143.30000000000001"/>
    <x v="45"/>
    <s v="App Mobile"/>
    <s v="Social Media"/>
    <n v="143.32"/>
    <x v="362"/>
    <x v="1"/>
    <x v="362"/>
  </r>
  <r>
    <n v="2260"/>
    <x v="606"/>
    <n v="396"/>
    <n v="4"/>
    <n v="51"/>
    <n v="35.700000000000003"/>
    <n v="15.3"/>
    <n v="0.3"/>
    <n v="1"/>
    <n v="142.80000000000001"/>
    <x v="27"/>
    <s v="App Mobile"/>
    <s v="Social Media"/>
    <n v="142.80000000000001"/>
    <x v="134"/>
    <x v="4"/>
    <x v="134"/>
  </r>
  <r>
    <n v="2011"/>
    <x v="100"/>
    <n v="381"/>
    <n v="4"/>
    <n v="35.590000000000003"/>
    <n v="35.590000000000003"/>
    <n v="0"/>
    <n v="0"/>
    <n v="0"/>
    <n v="142.36000000000001"/>
    <x v="25"/>
    <s v="E-commerce"/>
    <s v="Website Banner"/>
    <n v="142.36000000000001"/>
    <x v="489"/>
    <x v="4"/>
    <x v="489"/>
  </r>
  <r>
    <n v="2020"/>
    <x v="859"/>
    <n v="381"/>
    <n v="4"/>
    <n v="35.590000000000003"/>
    <n v="35.590000000000003"/>
    <n v="0"/>
    <n v="0"/>
    <n v="0"/>
    <n v="142.36000000000001"/>
    <x v="48"/>
    <s v="E-commerce"/>
    <s v="Website Banner"/>
    <n v="142.36000000000001"/>
    <x v="489"/>
    <x v="4"/>
    <x v="489"/>
  </r>
  <r>
    <n v="3354"/>
    <x v="289"/>
    <n v="381"/>
    <n v="4"/>
    <n v="35.590000000000003"/>
    <n v="35.590000000000003"/>
    <n v="0"/>
    <n v="0"/>
    <n v="0"/>
    <n v="142.36000000000001"/>
    <x v="22"/>
    <s v="E-commerce"/>
    <s v="Website Banner"/>
    <n v="142.36000000000001"/>
    <x v="489"/>
    <x v="4"/>
    <x v="489"/>
  </r>
  <r>
    <n v="2868"/>
    <x v="487"/>
    <n v="59"/>
    <n v="4"/>
    <n v="34.58"/>
    <n v="34.58"/>
    <n v="0"/>
    <n v="0"/>
    <n v="0"/>
    <n v="138.32"/>
    <x v="36"/>
    <s v="App Mobile"/>
    <s v="App Mobile"/>
    <n v="138.32"/>
    <x v="256"/>
    <x v="3"/>
    <x v="256"/>
  </r>
  <r>
    <n v="1571"/>
    <x v="148"/>
    <n v="348"/>
    <n v="4"/>
    <n v="34.47"/>
    <n v="34.47"/>
    <n v="0"/>
    <n v="0"/>
    <n v="0"/>
    <n v="137.88"/>
    <x v="39"/>
    <s v="App Mobile"/>
    <s v="App Mobile"/>
    <n v="137.88"/>
    <x v="468"/>
    <x v="3"/>
    <x v="468"/>
  </r>
  <r>
    <n v="1131"/>
    <x v="583"/>
    <n v="402"/>
    <n v="4"/>
    <n v="34.450000000000003"/>
    <n v="34.450000000000003"/>
    <n v="0"/>
    <n v="0"/>
    <n v="0"/>
    <n v="137.80000000000001"/>
    <x v="3"/>
    <s v="E-commerce"/>
    <s v="Website Banner"/>
    <n v="137.80000000000001"/>
    <x v="257"/>
    <x v="3"/>
    <x v="257"/>
  </r>
  <r>
    <n v="147"/>
    <x v="80"/>
    <n v="343"/>
    <n v="4"/>
    <n v="34.39"/>
    <n v="34.39"/>
    <n v="0"/>
    <n v="0"/>
    <n v="0"/>
    <n v="137.56"/>
    <x v="35"/>
    <s v="App Mobile"/>
    <s v="App Mobile"/>
    <n v="137.56"/>
    <x v="413"/>
    <x v="4"/>
    <x v="413"/>
  </r>
  <r>
    <n v="1084"/>
    <x v="72"/>
    <n v="343"/>
    <n v="4"/>
    <n v="34.39"/>
    <n v="34.39"/>
    <n v="0"/>
    <n v="0"/>
    <n v="0"/>
    <n v="137.56"/>
    <x v="16"/>
    <s v="App Mobile"/>
    <s v="App Mobile"/>
    <n v="137.56"/>
    <x v="413"/>
    <x v="4"/>
    <x v="413"/>
  </r>
  <r>
    <n v="2998"/>
    <x v="255"/>
    <n v="13"/>
    <n v="4"/>
    <n v="34.25"/>
    <n v="34.25"/>
    <n v="0"/>
    <n v="0"/>
    <n v="0"/>
    <n v="137"/>
    <x v="29"/>
    <s v="E-commerce"/>
    <s v="Website Banner"/>
    <n v="137"/>
    <x v="466"/>
    <x v="1"/>
    <x v="466"/>
  </r>
  <r>
    <n v="541"/>
    <x v="530"/>
    <n v="430"/>
    <n v="4"/>
    <n v="33.979999999999997"/>
    <n v="33.979999999999997"/>
    <n v="0"/>
    <n v="0"/>
    <n v="0"/>
    <n v="135.91999999999999"/>
    <x v="50"/>
    <s v="App Mobile"/>
    <s v="App Mobile"/>
    <n v="135.91999999999999"/>
    <x v="490"/>
    <x v="3"/>
    <x v="490"/>
  </r>
  <r>
    <n v="3345"/>
    <x v="875"/>
    <n v="91"/>
    <n v="4"/>
    <n v="33.950000000000003"/>
    <n v="33.950000000000003"/>
    <n v="0"/>
    <n v="0"/>
    <n v="0"/>
    <n v="135.80000000000001"/>
    <x v="9"/>
    <s v="App Mobile"/>
    <s v="App Mobile"/>
    <n v="135.80000000000001"/>
    <x v="259"/>
    <x v="3"/>
    <x v="259"/>
  </r>
  <r>
    <n v="36"/>
    <x v="865"/>
    <n v="330"/>
    <n v="4"/>
    <n v="33.94"/>
    <n v="33.94"/>
    <n v="0"/>
    <n v="0"/>
    <n v="0"/>
    <n v="135.76"/>
    <x v="31"/>
    <s v="E-commerce"/>
    <s v="Website Banner"/>
    <n v="135.76"/>
    <x v="298"/>
    <x v="3"/>
    <x v="298"/>
  </r>
  <r>
    <n v="2278"/>
    <x v="486"/>
    <n v="330"/>
    <n v="4"/>
    <n v="33.94"/>
    <n v="33.94"/>
    <n v="0"/>
    <n v="0"/>
    <n v="0"/>
    <n v="135.76"/>
    <x v="49"/>
    <s v="E-commerce"/>
    <s v="Website Banner"/>
    <n v="135.76"/>
    <x v="298"/>
    <x v="3"/>
    <x v="298"/>
  </r>
  <r>
    <n v="1394"/>
    <x v="274"/>
    <n v="455"/>
    <n v="4"/>
    <n v="48.03"/>
    <n v="33.619999999999997"/>
    <n v="14.41"/>
    <n v="0.3"/>
    <n v="1"/>
    <n v="134.47999999999999"/>
    <x v="29"/>
    <s v="App Mobile"/>
    <s v="Social Media"/>
    <n v="134.47999999999999"/>
    <x v="159"/>
    <x v="2"/>
    <x v="159"/>
  </r>
  <r>
    <n v="2004"/>
    <x v="742"/>
    <n v="159"/>
    <n v="4"/>
    <n v="33.590000000000003"/>
    <n v="33.590000000000003"/>
    <n v="0"/>
    <n v="0"/>
    <n v="0"/>
    <n v="134.36000000000001"/>
    <x v="34"/>
    <s v="E-commerce"/>
    <s v="Website Banner"/>
    <n v="134.36000000000001"/>
    <x v="414"/>
    <x v="2"/>
    <x v="414"/>
  </r>
  <r>
    <n v="1443"/>
    <x v="204"/>
    <n v="338"/>
    <n v="4"/>
    <n v="33.39"/>
    <n v="33.39"/>
    <n v="0"/>
    <n v="0"/>
    <n v="0"/>
    <n v="133.56"/>
    <x v="46"/>
    <s v="App Mobile"/>
    <s v="App Mobile"/>
    <n v="133.56"/>
    <x v="262"/>
    <x v="3"/>
    <x v="262"/>
  </r>
  <r>
    <n v="3346"/>
    <x v="81"/>
    <n v="338"/>
    <n v="4"/>
    <n v="33.39"/>
    <n v="33.39"/>
    <n v="0"/>
    <n v="0"/>
    <n v="0"/>
    <n v="133.56"/>
    <x v="18"/>
    <s v="App Mobile"/>
    <s v="App Mobile"/>
    <n v="133.56"/>
    <x v="262"/>
    <x v="3"/>
    <x v="262"/>
  </r>
  <r>
    <n v="1330"/>
    <x v="876"/>
    <n v="362"/>
    <n v="4"/>
    <n v="32.64"/>
    <n v="32.64"/>
    <n v="0"/>
    <n v="0"/>
    <n v="0"/>
    <n v="130.56"/>
    <x v="33"/>
    <s v="E-commerce"/>
    <s v="Website Banner"/>
    <n v="130.56"/>
    <x v="415"/>
    <x v="3"/>
    <x v="415"/>
  </r>
  <r>
    <n v="1089"/>
    <x v="127"/>
    <n v="209"/>
    <n v="4"/>
    <n v="32.409999999999997"/>
    <n v="32.409999999999997"/>
    <n v="0"/>
    <n v="0"/>
    <n v="0"/>
    <n v="129.63999999999999"/>
    <x v="10"/>
    <s v="E-commerce"/>
    <s v="Website Banner"/>
    <n v="129.63999999999999"/>
    <x v="265"/>
    <x v="1"/>
    <x v="265"/>
  </r>
  <r>
    <n v="1644"/>
    <x v="526"/>
    <n v="209"/>
    <n v="4"/>
    <n v="32.409999999999997"/>
    <n v="32.409999999999997"/>
    <n v="0"/>
    <n v="0"/>
    <n v="0"/>
    <n v="129.63999999999999"/>
    <x v="35"/>
    <s v="E-commerce"/>
    <s v="Website Banner"/>
    <n v="129.63999999999999"/>
    <x v="265"/>
    <x v="1"/>
    <x v="265"/>
  </r>
  <r>
    <n v="952"/>
    <x v="231"/>
    <n v="82"/>
    <n v="4"/>
    <n v="32.21"/>
    <n v="32.21"/>
    <n v="0"/>
    <n v="0"/>
    <n v="0"/>
    <n v="128.84"/>
    <x v="35"/>
    <s v="E-commerce"/>
    <s v="Website Banner"/>
    <n v="128.84"/>
    <x v="266"/>
    <x v="0"/>
    <x v="266"/>
  </r>
  <r>
    <n v="2306"/>
    <x v="46"/>
    <n v="82"/>
    <n v="4"/>
    <n v="32.21"/>
    <n v="32.21"/>
    <n v="0"/>
    <n v="0"/>
    <n v="0"/>
    <n v="128.84"/>
    <x v="2"/>
    <s v="App Mobile"/>
    <s v="App Mobile"/>
    <n v="128.84"/>
    <x v="266"/>
    <x v="0"/>
    <x v="266"/>
  </r>
  <r>
    <n v="140"/>
    <x v="379"/>
    <n v="80"/>
    <n v="4"/>
    <n v="31.86"/>
    <n v="31.86"/>
    <n v="0"/>
    <n v="0"/>
    <n v="0"/>
    <n v="127.44"/>
    <x v="45"/>
    <s v="E-commerce"/>
    <s v="Website Banner"/>
    <n v="127.44"/>
    <x v="268"/>
    <x v="0"/>
    <x v="268"/>
  </r>
  <r>
    <n v="1887"/>
    <x v="612"/>
    <n v="80"/>
    <n v="4"/>
    <n v="31.86"/>
    <n v="31.86"/>
    <n v="0"/>
    <n v="0"/>
    <n v="0"/>
    <n v="127.44"/>
    <x v="28"/>
    <s v="E-commerce"/>
    <s v="Website Banner"/>
    <n v="127.44"/>
    <x v="268"/>
    <x v="0"/>
    <x v="268"/>
  </r>
  <r>
    <n v="2650"/>
    <x v="877"/>
    <n v="80"/>
    <n v="4"/>
    <n v="31.86"/>
    <n v="31.86"/>
    <n v="0"/>
    <n v="0"/>
    <n v="0"/>
    <n v="127.44"/>
    <x v="40"/>
    <s v="E-commerce"/>
    <s v="Website Banner"/>
    <n v="127.44"/>
    <x v="268"/>
    <x v="0"/>
    <x v="268"/>
  </r>
  <r>
    <n v="1689"/>
    <x v="878"/>
    <n v="418"/>
    <n v="4"/>
    <n v="31.84"/>
    <n v="31.84"/>
    <n v="0"/>
    <n v="0"/>
    <n v="0"/>
    <n v="127.36"/>
    <x v="34"/>
    <s v="E-commerce"/>
    <s v="Website Banner"/>
    <n v="127.36"/>
    <x v="269"/>
    <x v="1"/>
    <x v="269"/>
  </r>
  <r>
    <n v="2784"/>
    <x v="547"/>
    <n v="90"/>
    <n v="4"/>
    <n v="31.67"/>
    <n v="31.67"/>
    <n v="0"/>
    <n v="0"/>
    <n v="0"/>
    <n v="126.68"/>
    <x v="13"/>
    <s v="App Mobile"/>
    <s v="App Mobile"/>
    <n v="126.68"/>
    <x v="271"/>
    <x v="1"/>
    <x v="271"/>
  </r>
  <r>
    <n v="1352"/>
    <x v="474"/>
    <n v="454"/>
    <n v="4"/>
    <n v="35.159999999999997"/>
    <n v="31.64"/>
    <n v="3.52"/>
    <n v="0.1"/>
    <n v="1"/>
    <n v="126.58"/>
    <x v="32"/>
    <s v="E-commerce"/>
    <s v="Website Banner"/>
    <n v="126.56"/>
    <x v="464"/>
    <x v="3"/>
    <x v="464"/>
  </r>
  <r>
    <n v="2800"/>
    <x v="273"/>
    <n v="404"/>
    <n v="4"/>
    <n v="45.19"/>
    <n v="31.63"/>
    <n v="13.56"/>
    <n v="0.3"/>
    <n v="1"/>
    <n v="126.53"/>
    <x v="29"/>
    <s v="App Mobile"/>
    <s v="Social Media"/>
    <n v="126.52"/>
    <x v="182"/>
    <x v="3"/>
    <x v="182"/>
  </r>
  <r>
    <n v="525"/>
    <x v="507"/>
    <n v="258"/>
    <n v="4"/>
    <n v="31.48"/>
    <n v="31.48"/>
    <n v="0"/>
    <n v="0"/>
    <n v="0"/>
    <n v="125.92"/>
    <x v="44"/>
    <s v="App Mobile"/>
    <s v="App Mobile"/>
    <n v="125.92"/>
    <x v="273"/>
    <x v="1"/>
    <x v="273"/>
  </r>
  <r>
    <n v="2266"/>
    <x v="713"/>
    <n v="95"/>
    <n v="4"/>
    <n v="31.15"/>
    <n v="31.15"/>
    <n v="0"/>
    <n v="0"/>
    <n v="0"/>
    <n v="124.6"/>
    <x v="20"/>
    <s v="App Mobile"/>
    <s v="App Mobile"/>
    <n v="124.6"/>
    <x v="274"/>
    <x v="3"/>
    <x v="274"/>
  </r>
  <r>
    <n v="2944"/>
    <x v="186"/>
    <n v="95"/>
    <n v="4"/>
    <n v="31.15"/>
    <n v="31.15"/>
    <n v="0"/>
    <n v="0"/>
    <n v="0"/>
    <n v="124.6"/>
    <x v="34"/>
    <s v="E-commerce"/>
    <s v="Website Banner"/>
    <n v="124.6"/>
    <x v="274"/>
    <x v="3"/>
    <x v="274"/>
  </r>
  <r>
    <n v="3134"/>
    <x v="624"/>
    <n v="322"/>
    <n v="4"/>
    <n v="44.45"/>
    <n v="31.12"/>
    <n v="13.34"/>
    <n v="0.3"/>
    <n v="1"/>
    <n v="124.46"/>
    <x v="27"/>
    <s v="App Mobile"/>
    <s v="App Mobile"/>
    <n v="124.48"/>
    <x v="185"/>
    <x v="0"/>
    <x v="185"/>
  </r>
  <r>
    <n v="1739"/>
    <x v="701"/>
    <n v="452"/>
    <n v="4"/>
    <n v="30.85"/>
    <n v="30.85"/>
    <n v="0"/>
    <n v="0"/>
    <n v="0"/>
    <n v="123.4"/>
    <x v="23"/>
    <s v="E-commerce"/>
    <s v="Website Banner"/>
    <n v="123.4"/>
    <x v="275"/>
    <x v="0"/>
    <x v="275"/>
  </r>
  <r>
    <n v="3192"/>
    <x v="301"/>
    <n v="452"/>
    <n v="4"/>
    <n v="30.85"/>
    <n v="30.85"/>
    <n v="0"/>
    <n v="0"/>
    <n v="0"/>
    <n v="123.4"/>
    <x v="42"/>
    <s v="E-commerce"/>
    <s v="Website Banner"/>
    <n v="123.4"/>
    <x v="275"/>
    <x v="0"/>
    <x v="275"/>
  </r>
  <r>
    <n v="853"/>
    <x v="814"/>
    <n v="401"/>
    <n v="4"/>
    <n v="30.83"/>
    <n v="30.83"/>
    <n v="0"/>
    <n v="0"/>
    <n v="0"/>
    <n v="123.32"/>
    <x v="1"/>
    <s v="E-commerce"/>
    <s v="Website Banner"/>
    <n v="123.32"/>
    <x v="276"/>
    <x v="0"/>
    <x v="276"/>
  </r>
  <r>
    <n v="2385"/>
    <x v="318"/>
    <n v="401"/>
    <n v="4"/>
    <n v="30.83"/>
    <n v="30.83"/>
    <n v="0"/>
    <n v="0"/>
    <n v="0"/>
    <n v="123.32"/>
    <x v="47"/>
    <s v="E-commerce"/>
    <s v="Website Banner"/>
    <n v="123.32"/>
    <x v="276"/>
    <x v="0"/>
    <x v="276"/>
  </r>
  <r>
    <n v="806"/>
    <x v="49"/>
    <n v="431"/>
    <n v="4"/>
    <n v="30.41"/>
    <n v="30.41"/>
    <n v="0"/>
    <n v="0"/>
    <n v="0"/>
    <n v="121.64"/>
    <x v="7"/>
    <s v="App Mobile"/>
    <s v="App Mobile"/>
    <n v="121.64"/>
    <x v="277"/>
    <x v="1"/>
    <x v="277"/>
  </r>
  <r>
    <n v="2223"/>
    <x v="721"/>
    <n v="431"/>
    <n v="4"/>
    <n v="30.41"/>
    <n v="30.41"/>
    <n v="0"/>
    <n v="0"/>
    <n v="0"/>
    <n v="121.64"/>
    <x v="23"/>
    <s v="App Mobile"/>
    <s v="App Mobile"/>
    <n v="121.64"/>
    <x v="277"/>
    <x v="1"/>
    <x v="277"/>
  </r>
  <r>
    <n v="18"/>
    <x v="358"/>
    <n v="339"/>
    <n v="4"/>
    <n v="30.35"/>
    <n v="30.35"/>
    <n v="0"/>
    <n v="0"/>
    <n v="0"/>
    <n v="121.4"/>
    <x v="18"/>
    <s v="App Mobile"/>
    <s v="App Mobile"/>
    <n v="121.4"/>
    <x v="416"/>
    <x v="4"/>
    <x v="416"/>
  </r>
  <r>
    <n v="318"/>
    <x v="439"/>
    <n v="339"/>
    <n v="4"/>
    <n v="30.35"/>
    <n v="30.35"/>
    <n v="0"/>
    <n v="0"/>
    <n v="0"/>
    <n v="121.4"/>
    <x v="16"/>
    <s v="App Mobile"/>
    <s v="App Mobile"/>
    <n v="121.4"/>
    <x v="416"/>
    <x v="4"/>
    <x v="416"/>
  </r>
  <r>
    <n v="1442"/>
    <x v="252"/>
    <n v="339"/>
    <n v="4"/>
    <n v="30.35"/>
    <n v="30.35"/>
    <n v="0"/>
    <n v="0"/>
    <n v="0"/>
    <n v="121.4"/>
    <x v="40"/>
    <s v="App Mobile"/>
    <s v="App Mobile"/>
    <n v="121.4"/>
    <x v="416"/>
    <x v="4"/>
    <x v="416"/>
  </r>
  <r>
    <n v="3232"/>
    <x v="698"/>
    <n v="339"/>
    <n v="4"/>
    <n v="30.35"/>
    <n v="30.35"/>
    <n v="0"/>
    <n v="0"/>
    <n v="0"/>
    <n v="121.4"/>
    <x v="28"/>
    <s v="App Mobile"/>
    <s v="App Mobile"/>
    <n v="121.4"/>
    <x v="416"/>
    <x v="4"/>
    <x v="416"/>
  </r>
  <r>
    <n v="2484"/>
    <x v="851"/>
    <n v="187"/>
    <n v="4"/>
    <n v="30.19"/>
    <n v="30.19"/>
    <n v="0"/>
    <n v="0"/>
    <n v="0"/>
    <n v="120.76"/>
    <x v="8"/>
    <s v="E-commerce"/>
    <s v="Website Banner"/>
    <n v="120.76"/>
    <x v="491"/>
    <x v="2"/>
    <x v="491"/>
  </r>
  <r>
    <n v="11"/>
    <x v="780"/>
    <n v="88"/>
    <n v="4"/>
    <n v="29.81"/>
    <n v="29.81"/>
    <n v="0"/>
    <n v="0"/>
    <n v="0"/>
    <n v="119.24"/>
    <x v="11"/>
    <s v="App Mobile"/>
    <s v="App Mobile"/>
    <n v="119.24"/>
    <x v="281"/>
    <x v="3"/>
    <x v="281"/>
  </r>
  <r>
    <n v="1339"/>
    <x v="238"/>
    <n v="88"/>
    <n v="4"/>
    <n v="29.81"/>
    <n v="29.81"/>
    <n v="0"/>
    <n v="0"/>
    <n v="0"/>
    <n v="119.24"/>
    <x v="0"/>
    <s v="E-commerce"/>
    <s v="Website Banner"/>
    <n v="119.24"/>
    <x v="281"/>
    <x v="3"/>
    <x v="281"/>
  </r>
  <r>
    <n v="1098"/>
    <x v="495"/>
    <n v="400"/>
    <n v="4"/>
    <n v="29.68"/>
    <n v="29.68"/>
    <n v="0"/>
    <n v="0"/>
    <n v="0"/>
    <n v="118.72"/>
    <x v="48"/>
    <s v="E-commerce"/>
    <s v="Website Banner"/>
    <n v="118.72"/>
    <x v="282"/>
    <x v="2"/>
    <x v="282"/>
  </r>
  <r>
    <n v="3066"/>
    <x v="879"/>
    <n v="144"/>
    <n v="4"/>
    <n v="41.84"/>
    <n v="29.29"/>
    <n v="12.55"/>
    <n v="0.3"/>
    <n v="1"/>
    <n v="117.15"/>
    <x v="42"/>
    <s v="App Mobile"/>
    <s v="App Mobile"/>
    <n v="117.16"/>
    <x v="208"/>
    <x v="2"/>
    <x v="208"/>
  </r>
  <r>
    <n v="1906"/>
    <x v="613"/>
    <n v="246"/>
    <n v="4"/>
    <n v="28.98"/>
    <n v="28.98"/>
    <n v="0"/>
    <n v="0"/>
    <n v="0"/>
    <n v="115.92"/>
    <x v="0"/>
    <s v="E-commerce"/>
    <s v="Website Banner"/>
    <n v="115.92"/>
    <x v="284"/>
    <x v="0"/>
    <x v="284"/>
  </r>
  <r>
    <n v="3107"/>
    <x v="875"/>
    <n v="249"/>
    <n v="4"/>
    <n v="28.42"/>
    <n v="28.42"/>
    <n v="0"/>
    <n v="0"/>
    <n v="0"/>
    <n v="113.68"/>
    <x v="9"/>
    <s v="App Mobile"/>
    <s v="App Mobile"/>
    <n v="113.68"/>
    <x v="286"/>
    <x v="3"/>
    <x v="286"/>
  </r>
  <r>
    <n v="1908"/>
    <x v="826"/>
    <n v="176"/>
    <n v="4"/>
    <n v="27.94"/>
    <n v="27.94"/>
    <n v="0"/>
    <n v="0"/>
    <n v="0"/>
    <n v="111.76"/>
    <x v="23"/>
    <s v="E-commerce"/>
    <s v="Website Banner"/>
    <n v="111.76"/>
    <x v="294"/>
    <x v="0"/>
    <x v="294"/>
  </r>
  <r>
    <n v="3054"/>
    <x v="880"/>
    <n v="65"/>
    <n v="4"/>
    <n v="27.45"/>
    <n v="27.45"/>
    <n v="0"/>
    <n v="0"/>
    <n v="0"/>
    <n v="109.8"/>
    <x v="34"/>
    <s v="App Mobile"/>
    <s v="App Mobile"/>
    <n v="109.8"/>
    <x v="419"/>
    <x v="4"/>
    <x v="419"/>
  </r>
  <r>
    <n v="3204"/>
    <x v="153"/>
    <n v="119"/>
    <n v="4"/>
    <n v="27.34"/>
    <n v="27.34"/>
    <n v="0"/>
    <n v="0"/>
    <n v="0"/>
    <n v="109.36"/>
    <x v="28"/>
    <s v="E-commerce"/>
    <s v="Website Banner"/>
    <n v="109.36"/>
    <x v="290"/>
    <x v="0"/>
    <x v="290"/>
  </r>
  <r>
    <n v="1958"/>
    <x v="556"/>
    <n v="376"/>
    <n v="4"/>
    <n v="38.520000000000003"/>
    <n v="26.96"/>
    <n v="11.56"/>
    <n v="0.3"/>
    <n v="1"/>
    <n v="107.86"/>
    <x v="12"/>
    <s v="App Mobile"/>
    <s v="App Mobile"/>
    <n v="107.84"/>
    <x v="237"/>
    <x v="3"/>
    <x v="237"/>
  </r>
  <r>
    <n v="1610"/>
    <x v="767"/>
    <n v="397"/>
    <n v="4"/>
    <n v="26.48"/>
    <n v="26.48"/>
    <n v="0"/>
    <n v="0"/>
    <n v="0"/>
    <n v="105.92"/>
    <x v="14"/>
    <s v="E-commerce"/>
    <s v="Website Banner"/>
    <n v="105.92"/>
    <x v="492"/>
    <x v="0"/>
    <x v="492"/>
  </r>
  <r>
    <n v="1625"/>
    <x v="699"/>
    <n v="397"/>
    <n v="4"/>
    <n v="26.48"/>
    <n v="26.48"/>
    <n v="0"/>
    <n v="0"/>
    <n v="0"/>
    <n v="105.92"/>
    <x v="18"/>
    <s v="E-commerce"/>
    <s v="Website Banner"/>
    <n v="105.92"/>
    <x v="492"/>
    <x v="0"/>
    <x v="492"/>
  </r>
  <r>
    <n v="1329"/>
    <x v="881"/>
    <n v="120"/>
    <n v="4"/>
    <n v="25.7"/>
    <n v="25.7"/>
    <n v="0"/>
    <n v="0"/>
    <n v="0"/>
    <n v="102.8"/>
    <x v="12"/>
    <s v="E-commerce"/>
    <s v="Website Banner"/>
    <n v="102.8"/>
    <x v="293"/>
    <x v="3"/>
    <x v="293"/>
  </r>
  <r>
    <n v="2611"/>
    <x v="553"/>
    <n v="495"/>
    <n v="4"/>
    <n v="36.65"/>
    <n v="25.66"/>
    <n v="11"/>
    <n v="0.3"/>
    <n v="1"/>
    <n v="102.62"/>
    <x v="47"/>
    <s v="App Mobile"/>
    <s v="App Mobile"/>
    <n v="102.64"/>
    <x v="250"/>
    <x v="0"/>
    <x v="250"/>
  </r>
  <r>
    <n v="720"/>
    <x v="662"/>
    <n v="46"/>
    <n v="4"/>
    <n v="25.15"/>
    <n v="25.15"/>
    <n v="0"/>
    <n v="0"/>
    <n v="0"/>
    <n v="100.6"/>
    <x v="23"/>
    <s v="E-commerce"/>
    <s v="Website Banner"/>
    <n v="100.6"/>
    <x v="295"/>
    <x v="3"/>
    <x v="295"/>
  </r>
  <r>
    <n v="1650"/>
    <x v="788"/>
    <n v="313"/>
    <n v="4"/>
    <n v="35.69"/>
    <n v="24.98"/>
    <n v="10.71"/>
    <n v="0.3"/>
    <n v="1"/>
    <n v="99.93"/>
    <x v="42"/>
    <s v="App Mobile"/>
    <s v="App Mobile"/>
    <n v="99.92"/>
    <x v="253"/>
    <x v="3"/>
    <x v="253"/>
  </r>
  <r>
    <n v="2093"/>
    <x v="490"/>
    <n v="14"/>
    <n v="4"/>
    <n v="24.96"/>
    <n v="24.96"/>
    <n v="0"/>
    <n v="0"/>
    <n v="0"/>
    <n v="99.84"/>
    <x v="43"/>
    <s v="App Mobile"/>
    <s v="App Mobile"/>
    <n v="99.84"/>
    <x v="301"/>
    <x v="0"/>
    <x v="301"/>
  </r>
  <r>
    <n v="3271"/>
    <x v="154"/>
    <n v="454"/>
    <n v="4"/>
    <n v="35.159999999999997"/>
    <n v="24.61"/>
    <n v="10.55"/>
    <n v="0.3"/>
    <n v="1"/>
    <n v="98.45"/>
    <x v="27"/>
    <s v="App Mobile"/>
    <s v="App Mobile"/>
    <n v="98.44"/>
    <x v="464"/>
    <x v="3"/>
    <x v="464"/>
  </r>
  <r>
    <n v="279"/>
    <x v="367"/>
    <n v="405"/>
    <n v="4"/>
    <n v="34.71"/>
    <n v="24.3"/>
    <n v="10.41"/>
    <n v="0.3"/>
    <n v="1"/>
    <n v="97.19"/>
    <x v="22"/>
    <s v="App Mobile"/>
    <s v="App Mobile"/>
    <n v="97.2"/>
    <x v="411"/>
    <x v="0"/>
    <x v="411"/>
  </r>
  <r>
    <n v="1878"/>
    <x v="615"/>
    <n v="66"/>
    <n v="4"/>
    <n v="24.13"/>
    <n v="24.13"/>
    <n v="0"/>
    <n v="0"/>
    <n v="0"/>
    <n v="96.52"/>
    <x v="34"/>
    <s v="App Mobile"/>
    <s v="App Mobile"/>
    <n v="96.52"/>
    <x v="493"/>
    <x v="0"/>
    <x v="493"/>
  </r>
  <r>
    <n v="1572"/>
    <x v="300"/>
    <n v="13"/>
    <n v="4"/>
    <n v="34.25"/>
    <n v="23.98"/>
    <n v="10.28"/>
    <n v="0.3"/>
    <n v="1"/>
    <n v="95.9"/>
    <x v="12"/>
    <s v="App Mobile"/>
    <s v="App Mobile"/>
    <n v="95.92"/>
    <x v="466"/>
    <x v="1"/>
    <x v="466"/>
  </r>
  <r>
    <n v="2692"/>
    <x v="582"/>
    <n v="430"/>
    <n v="4"/>
    <n v="33.979999999999997"/>
    <n v="23.79"/>
    <n v="10.19"/>
    <n v="0.3"/>
    <n v="1"/>
    <n v="95.14"/>
    <x v="27"/>
    <s v="App Mobile"/>
    <s v="App Mobile"/>
    <n v="95.16"/>
    <x v="490"/>
    <x v="3"/>
    <x v="490"/>
  </r>
  <r>
    <n v="500"/>
    <x v="882"/>
    <n v="298"/>
    <n v="4"/>
    <n v="33.94"/>
    <n v="23.76"/>
    <n v="10.18"/>
    <n v="0.3"/>
    <n v="1"/>
    <n v="95.03"/>
    <x v="12"/>
    <s v="App Mobile"/>
    <s v="App Mobile"/>
    <n v="95.04"/>
    <x v="260"/>
    <x v="1"/>
    <x v="260"/>
  </r>
  <r>
    <n v="3171"/>
    <x v="759"/>
    <n v="164"/>
    <n v="4"/>
    <n v="22.96"/>
    <n v="22.96"/>
    <n v="0"/>
    <n v="0"/>
    <n v="0"/>
    <n v="91.84"/>
    <x v="13"/>
    <s v="E-commerce"/>
    <s v="Website Banner"/>
    <n v="91.84"/>
    <x v="300"/>
    <x v="0"/>
    <x v="300"/>
  </r>
  <r>
    <n v="1232"/>
    <x v="717"/>
    <n v="355"/>
    <n v="4"/>
    <n v="21.38"/>
    <n v="21.38"/>
    <n v="0"/>
    <n v="0"/>
    <n v="0"/>
    <n v="85.52"/>
    <x v="0"/>
    <s v="E-commerce"/>
    <s v="Website Banner"/>
    <n v="85.52"/>
    <x v="422"/>
    <x v="2"/>
    <x v="422"/>
  </r>
  <r>
    <n v="1886"/>
    <x v="823"/>
    <n v="334"/>
    <n v="4"/>
    <n v="20.82"/>
    <n v="20.82"/>
    <n v="0"/>
    <n v="0"/>
    <n v="0"/>
    <n v="83.28"/>
    <x v="11"/>
    <s v="E-commerce"/>
    <s v="Website Banner"/>
    <n v="83.28"/>
    <x v="303"/>
    <x v="0"/>
    <x v="303"/>
  </r>
  <r>
    <n v="3215"/>
    <x v="14"/>
    <n v="334"/>
    <n v="4"/>
    <n v="20.82"/>
    <n v="20.82"/>
    <n v="0"/>
    <n v="0"/>
    <n v="0"/>
    <n v="83.28"/>
    <x v="13"/>
    <s v="App Mobile"/>
    <s v="App Mobile"/>
    <n v="83.28"/>
    <x v="303"/>
    <x v="0"/>
    <x v="303"/>
  </r>
  <r>
    <n v="1796"/>
    <x v="665"/>
    <n v="346"/>
    <n v="4"/>
    <n v="15.31"/>
    <n v="15.31"/>
    <n v="0"/>
    <n v="0"/>
    <n v="0"/>
    <n v="61.24"/>
    <x v="9"/>
    <s v="App Mobile"/>
    <s v="App Mobile"/>
    <n v="61.24"/>
    <x v="494"/>
    <x v="2"/>
    <x v="494"/>
  </r>
  <r>
    <n v="1537"/>
    <x v="130"/>
    <n v="198"/>
    <n v="4"/>
    <n v="14.64"/>
    <n v="14.64"/>
    <n v="0"/>
    <n v="0"/>
    <n v="0"/>
    <n v="58.56"/>
    <x v="12"/>
    <s v="E-commerce"/>
    <s v="Website Banner"/>
    <n v="58.56"/>
    <x v="307"/>
    <x v="0"/>
    <x v="307"/>
  </r>
  <r>
    <n v="896"/>
    <x v="376"/>
    <n v="195"/>
    <n v="4"/>
    <n v="16.690000000000001"/>
    <n v="11.68"/>
    <n v="5.01"/>
    <n v="0.3"/>
    <n v="1"/>
    <n v="46.73"/>
    <x v="47"/>
    <s v="App Mobile"/>
    <s v="App Mobile"/>
    <n v="46.72"/>
    <x v="424"/>
    <x v="4"/>
    <x v="424"/>
  </r>
  <r>
    <n v="2322"/>
    <x v="16"/>
    <n v="71"/>
    <n v="5"/>
    <n v="80.760000000000005"/>
    <n v="80.760000000000005"/>
    <n v="0"/>
    <n v="0"/>
    <n v="0"/>
    <n v="403.8"/>
    <x v="0"/>
    <s v="App Mobile"/>
    <s v="App Mobile"/>
    <n v="403.8"/>
    <x v="2"/>
    <x v="2"/>
    <x v="2"/>
  </r>
  <r>
    <n v="2570"/>
    <x v="1"/>
    <n v="234"/>
    <n v="5"/>
    <n v="80"/>
    <n v="80"/>
    <n v="0"/>
    <n v="0"/>
    <n v="0"/>
    <n v="400"/>
    <x v="1"/>
    <s v="E-commerce"/>
    <s v="Website Banner"/>
    <n v="400"/>
    <x v="495"/>
    <x v="4"/>
    <x v="495"/>
  </r>
  <r>
    <n v="856"/>
    <x v="385"/>
    <n v="10"/>
    <n v="5"/>
    <n v="79.7"/>
    <n v="79.7"/>
    <n v="0"/>
    <n v="0"/>
    <n v="0"/>
    <n v="398.5"/>
    <x v="17"/>
    <s v="E-commerce"/>
    <s v="Website Banner"/>
    <n v="398.5"/>
    <x v="425"/>
    <x v="2"/>
    <x v="425"/>
  </r>
  <r>
    <n v="250"/>
    <x v="846"/>
    <n v="98"/>
    <n v="5"/>
    <n v="78.52"/>
    <n v="78.52"/>
    <n v="0"/>
    <n v="0"/>
    <n v="0"/>
    <n v="392.6"/>
    <x v="46"/>
    <s v="App Mobile"/>
    <s v="App Mobile"/>
    <n v="392.59999999999997"/>
    <x v="3"/>
    <x v="1"/>
    <x v="3"/>
  </r>
  <r>
    <n v="580"/>
    <x v="702"/>
    <n v="98"/>
    <n v="5"/>
    <n v="78.52"/>
    <n v="78.52"/>
    <n v="0"/>
    <n v="0"/>
    <n v="0"/>
    <n v="392.6"/>
    <x v="4"/>
    <s v="App Mobile"/>
    <s v="App Mobile"/>
    <n v="392.59999999999997"/>
    <x v="3"/>
    <x v="1"/>
    <x v="3"/>
  </r>
  <r>
    <n v="1643"/>
    <x v="701"/>
    <n v="2"/>
    <n v="5"/>
    <n v="78.45"/>
    <n v="78.45"/>
    <n v="0"/>
    <n v="0"/>
    <n v="0"/>
    <n v="392.25"/>
    <x v="23"/>
    <s v="E-commerce"/>
    <s v="Website Banner"/>
    <n v="392.25"/>
    <x v="312"/>
    <x v="4"/>
    <x v="312"/>
  </r>
  <r>
    <n v="3261"/>
    <x v="66"/>
    <n v="2"/>
    <n v="5"/>
    <n v="78.45"/>
    <n v="78.45"/>
    <n v="0"/>
    <n v="0"/>
    <n v="0"/>
    <n v="392.25"/>
    <x v="34"/>
    <s v="E-commerce"/>
    <s v="Website Banner"/>
    <n v="392.25"/>
    <x v="312"/>
    <x v="4"/>
    <x v="312"/>
  </r>
  <r>
    <n v="2037"/>
    <x v="641"/>
    <n v="269"/>
    <n v="5"/>
    <n v="77.59"/>
    <n v="77.59"/>
    <n v="0"/>
    <n v="0"/>
    <n v="0"/>
    <n v="387.95"/>
    <x v="45"/>
    <s v="E-commerce"/>
    <s v="Website Banner"/>
    <n v="387.95000000000005"/>
    <x v="426"/>
    <x v="0"/>
    <x v="426"/>
  </r>
  <r>
    <n v="1016"/>
    <x v="875"/>
    <n v="413"/>
    <n v="5"/>
    <n v="76.150000000000006"/>
    <n v="76.150000000000006"/>
    <n v="0"/>
    <n v="0"/>
    <n v="0"/>
    <n v="380.75"/>
    <x v="9"/>
    <s v="App Mobile"/>
    <s v="App Mobile"/>
    <n v="380.75"/>
    <x v="5"/>
    <x v="1"/>
    <x v="5"/>
  </r>
  <r>
    <n v="2432"/>
    <x v="811"/>
    <n v="448"/>
    <n v="5"/>
    <n v="75.62"/>
    <n v="75.62"/>
    <n v="0"/>
    <n v="0"/>
    <n v="0"/>
    <n v="378.1"/>
    <x v="33"/>
    <s v="E-commerce"/>
    <s v="Website Banner"/>
    <n v="378.1"/>
    <x v="314"/>
    <x v="0"/>
    <x v="314"/>
  </r>
  <r>
    <n v="2894"/>
    <x v="351"/>
    <n v="392"/>
    <n v="5"/>
    <n v="75.47"/>
    <n v="75.47"/>
    <n v="0"/>
    <n v="0"/>
    <n v="0"/>
    <n v="377.35"/>
    <x v="46"/>
    <s v="App Mobile"/>
    <s v="App Mobile"/>
    <n v="377.35"/>
    <x v="6"/>
    <x v="1"/>
    <x v="6"/>
  </r>
  <r>
    <n v="1015"/>
    <x v="260"/>
    <n v="224"/>
    <n v="5"/>
    <n v="75.400000000000006"/>
    <n v="75.400000000000006"/>
    <n v="0"/>
    <n v="0"/>
    <n v="0"/>
    <n v="377"/>
    <x v="42"/>
    <s v="E-commerce"/>
    <s v="Website Banner"/>
    <n v="377"/>
    <x v="7"/>
    <x v="0"/>
    <x v="7"/>
  </r>
  <r>
    <n v="3017"/>
    <x v="599"/>
    <n v="224"/>
    <n v="5"/>
    <n v="75.400000000000006"/>
    <n v="75.400000000000006"/>
    <n v="0"/>
    <n v="0"/>
    <n v="0"/>
    <n v="377"/>
    <x v="12"/>
    <s v="E-commerce"/>
    <s v="Website Banner"/>
    <n v="377"/>
    <x v="7"/>
    <x v="0"/>
    <x v="7"/>
  </r>
  <r>
    <n v="2993"/>
    <x v="221"/>
    <n v="459"/>
    <n v="5"/>
    <n v="75.17"/>
    <n v="75.17"/>
    <n v="0"/>
    <n v="0"/>
    <n v="0"/>
    <n v="375.85"/>
    <x v="41"/>
    <s v="App Mobile"/>
    <s v="App Mobile"/>
    <n v="375.85"/>
    <x v="8"/>
    <x v="0"/>
    <x v="8"/>
  </r>
  <r>
    <n v="2947"/>
    <x v="520"/>
    <n v="116"/>
    <n v="5"/>
    <n v="74.81"/>
    <n v="74.81"/>
    <n v="0"/>
    <n v="0"/>
    <n v="0"/>
    <n v="374.05"/>
    <x v="33"/>
    <s v="E-commerce"/>
    <s v="Website Banner"/>
    <n v="374.05"/>
    <x v="9"/>
    <x v="2"/>
    <x v="9"/>
  </r>
  <r>
    <n v="2751"/>
    <x v="210"/>
    <n v="306"/>
    <n v="5"/>
    <n v="74.67"/>
    <n v="74.67"/>
    <n v="0"/>
    <n v="0"/>
    <n v="0"/>
    <n v="373.35"/>
    <x v="47"/>
    <s v="E-commerce"/>
    <s v="Website Banner"/>
    <n v="373.35"/>
    <x v="118"/>
    <x v="3"/>
    <x v="118"/>
  </r>
  <r>
    <n v="506"/>
    <x v="96"/>
    <n v="320"/>
    <n v="5"/>
    <n v="74.260000000000005"/>
    <n v="74.260000000000005"/>
    <n v="0"/>
    <n v="0"/>
    <n v="0"/>
    <n v="371.3"/>
    <x v="18"/>
    <s v="E-commerce"/>
    <s v="Website Banner"/>
    <n v="371.3"/>
    <x v="11"/>
    <x v="0"/>
    <x v="11"/>
  </r>
  <r>
    <n v="611"/>
    <x v="282"/>
    <n v="320"/>
    <n v="5"/>
    <n v="74.260000000000005"/>
    <n v="74.260000000000005"/>
    <n v="0"/>
    <n v="0"/>
    <n v="0"/>
    <n v="371.3"/>
    <x v="45"/>
    <s v="E-commerce"/>
    <s v="Website Banner"/>
    <n v="371.3"/>
    <x v="11"/>
    <x v="0"/>
    <x v="11"/>
  </r>
  <r>
    <n v="540"/>
    <x v="876"/>
    <n v="327"/>
    <n v="5"/>
    <n v="74.239999999999995"/>
    <n v="74.239999999999995"/>
    <n v="0"/>
    <n v="0"/>
    <n v="0"/>
    <n v="371.2"/>
    <x v="33"/>
    <s v="E-commerce"/>
    <s v="Website Banner"/>
    <n v="371.2"/>
    <x v="315"/>
    <x v="0"/>
    <x v="315"/>
  </r>
  <r>
    <n v="1627"/>
    <x v="783"/>
    <n v="327"/>
    <n v="5"/>
    <n v="74.239999999999995"/>
    <n v="74.239999999999995"/>
    <n v="0"/>
    <n v="0"/>
    <n v="0"/>
    <n v="371.2"/>
    <x v="10"/>
    <s v="E-commerce"/>
    <s v="Website Banner"/>
    <n v="371.2"/>
    <x v="315"/>
    <x v="0"/>
    <x v="315"/>
  </r>
  <r>
    <n v="1699"/>
    <x v="77"/>
    <n v="212"/>
    <n v="5"/>
    <n v="74.13"/>
    <n v="74.13"/>
    <n v="0"/>
    <n v="0"/>
    <n v="0"/>
    <n v="370.65"/>
    <x v="36"/>
    <s v="E-commerce"/>
    <s v="Website Banner"/>
    <n v="370.65"/>
    <x v="428"/>
    <x v="4"/>
    <x v="428"/>
  </r>
  <r>
    <n v="400"/>
    <x v="518"/>
    <n v="356"/>
    <n v="5"/>
    <n v="72.41"/>
    <n v="72.41"/>
    <n v="0"/>
    <n v="0"/>
    <n v="0"/>
    <n v="362.05"/>
    <x v="43"/>
    <s v="E-commerce"/>
    <s v="Website Banner"/>
    <n v="362.04999999999995"/>
    <x v="430"/>
    <x v="3"/>
    <x v="430"/>
  </r>
  <r>
    <n v="1529"/>
    <x v="295"/>
    <n v="310"/>
    <n v="5"/>
    <n v="72.099999999999994"/>
    <n v="72.099999999999994"/>
    <n v="0"/>
    <n v="0"/>
    <n v="0"/>
    <n v="360.5"/>
    <x v="0"/>
    <s v="App Mobile"/>
    <s v="App Mobile"/>
    <n v="360.5"/>
    <x v="431"/>
    <x v="2"/>
    <x v="431"/>
  </r>
  <r>
    <n v="1714"/>
    <x v="303"/>
    <n v="310"/>
    <n v="5"/>
    <n v="72.099999999999994"/>
    <n v="72.099999999999994"/>
    <n v="0"/>
    <n v="0"/>
    <n v="0"/>
    <n v="360.5"/>
    <x v="34"/>
    <s v="App Mobile"/>
    <s v="App Mobile"/>
    <n v="360.5"/>
    <x v="431"/>
    <x v="2"/>
    <x v="431"/>
  </r>
  <r>
    <n v="2723"/>
    <x v="758"/>
    <n v="310"/>
    <n v="5"/>
    <n v="72.099999999999994"/>
    <n v="72.099999999999994"/>
    <n v="0"/>
    <n v="0"/>
    <n v="0"/>
    <n v="360.5"/>
    <x v="36"/>
    <s v="App Mobile"/>
    <s v="App Mobile"/>
    <n v="360.5"/>
    <x v="431"/>
    <x v="2"/>
    <x v="431"/>
  </r>
  <r>
    <n v="3326"/>
    <x v="507"/>
    <n v="310"/>
    <n v="5"/>
    <n v="72.099999999999994"/>
    <n v="72.099999999999994"/>
    <n v="0"/>
    <n v="0"/>
    <n v="0"/>
    <n v="360.5"/>
    <x v="44"/>
    <s v="App Mobile"/>
    <s v="App Mobile"/>
    <n v="360.5"/>
    <x v="431"/>
    <x v="2"/>
    <x v="431"/>
  </r>
  <r>
    <n v="1491"/>
    <x v="101"/>
    <n v="36"/>
    <n v="5"/>
    <n v="72.06"/>
    <n v="72.06"/>
    <n v="0"/>
    <n v="0"/>
    <n v="0"/>
    <n v="360.3"/>
    <x v="12"/>
    <s v="E-commerce"/>
    <s v="Website Banner"/>
    <n v="360.3"/>
    <x v="432"/>
    <x v="0"/>
    <x v="432"/>
  </r>
  <r>
    <n v="3253"/>
    <x v="478"/>
    <n v="337"/>
    <n v="5"/>
    <n v="71.72"/>
    <n v="71.72"/>
    <n v="0"/>
    <n v="0"/>
    <n v="0"/>
    <n v="358.6"/>
    <x v="11"/>
    <s v="App Mobile"/>
    <s v="App Mobile"/>
    <n v="358.6"/>
    <x v="316"/>
    <x v="3"/>
    <x v="316"/>
  </r>
  <r>
    <n v="569"/>
    <x v="573"/>
    <n v="398"/>
    <n v="5"/>
    <n v="71.150000000000006"/>
    <n v="71.150000000000006"/>
    <n v="0"/>
    <n v="0"/>
    <n v="0"/>
    <n v="355.75"/>
    <x v="20"/>
    <s v="E-commerce"/>
    <s v="Website Banner"/>
    <n v="355.75"/>
    <x v="14"/>
    <x v="3"/>
    <x v="14"/>
  </r>
  <r>
    <n v="2552"/>
    <x v="867"/>
    <n v="398"/>
    <n v="5"/>
    <n v="71.150000000000006"/>
    <n v="71.150000000000006"/>
    <n v="0"/>
    <n v="0"/>
    <n v="0"/>
    <n v="355.75"/>
    <x v="14"/>
    <s v="E-commerce"/>
    <s v="Website Banner"/>
    <n v="355.75"/>
    <x v="14"/>
    <x v="3"/>
    <x v="14"/>
  </r>
  <r>
    <n v="1664"/>
    <x v="796"/>
    <n v="463"/>
    <n v="5"/>
    <n v="70.56"/>
    <n v="70.56"/>
    <n v="0"/>
    <n v="0"/>
    <n v="0"/>
    <n v="352.8"/>
    <x v="15"/>
    <s v="E-commerce"/>
    <s v="Website Banner"/>
    <n v="352.8"/>
    <x v="16"/>
    <x v="0"/>
    <x v="16"/>
  </r>
  <r>
    <n v="2236"/>
    <x v="737"/>
    <n v="463"/>
    <n v="5"/>
    <n v="70.56"/>
    <n v="70.56"/>
    <n v="0"/>
    <n v="0"/>
    <n v="0"/>
    <n v="352.8"/>
    <x v="27"/>
    <s v="E-commerce"/>
    <s v="Website Banner"/>
    <n v="352.8"/>
    <x v="16"/>
    <x v="0"/>
    <x v="16"/>
  </r>
  <r>
    <n v="102"/>
    <x v="216"/>
    <n v="270"/>
    <n v="5"/>
    <n v="70.459999999999994"/>
    <n v="70.459999999999994"/>
    <n v="0"/>
    <n v="0"/>
    <n v="0"/>
    <n v="352.3"/>
    <x v="38"/>
    <s v="App Mobile"/>
    <s v="App Mobile"/>
    <n v="352.29999999999995"/>
    <x v="434"/>
    <x v="4"/>
    <x v="434"/>
  </r>
  <r>
    <n v="306"/>
    <x v="313"/>
    <n v="353"/>
    <n v="5"/>
    <n v="69.540000000000006"/>
    <n v="69.540000000000006"/>
    <n v="0"/>
    <n v="0"/>
    <n v="0"/>
    <n v="347.7"/>
    <x v="9"/>
    <s v="E-commerce"/>
    <s v="Website Banner"/>
    <n v="347.70000000000005"/>
    <x v="18"/>
    <x v="2"/>
    <x v="18"/>
  </r>
  <r>
    <n v="1145"/>
    <x v="535"/>
    <n v="353"/>
    <n v="5"/>
    <n v="69.540000000000006"/>
    <n v="69.540000000000006"/>
    <n v="0"/>
    <n v="0"/>
    <n v="0"/>
    <n v="347.7"/>
    <x v="41"/>
    <s v="E-commerce"/>
    <s v="Website Banner"/>
    <n v="347.70000000000005"/>
    <x v="18"/>
    <x v="2"/>
    <x v="18"/>
  </r>
  <r>
    <n v="3083"/>
    <x v="542"/>
    <n v="360"/>
    <n v="5"/>
    <n v="69.48"/>
    <n v="69.48"/>
    <n v="0"/>
    <n v="0"/>
    <n v="0"/>
    <n v="347.4"/>
    <x v="16"/>
    <s v="E-commerce"/>
    <s v="Website Banner"/>
    <n v="347.40000000000003"/>
    <x v="19"/>
    <x v="4"/>
    <x v="19"/>
  </r>
  <r>
    <n v="1048"/>
    <x v="120"/>
    <n v="474"/>
    <n v="5"/>
    <n v="68.47"/>
    <n v="68.47"/>
    <n v="0"/>
    <n v="0"/>
    <n v="0"/>
    <n v="342.35"/>
    <x v="46"/>
    <s v="E-commerce"/>
    <s v="Website Banner"/>
    <n v="342.35"/>
    <x v="20"/>
    <x v="1"/>
    <x v="20"/>
  </r>
  <r>
    <n v="1617"/>
    <x v="594"/>
    <n v="474"/>
    <n v="5"/>
    <n v="68.47"/>
    <n v="68.47"/>
    <n v="0"/>
    <n v="0"/>
    <n v="0"/>
    <n v="342.35"/>
    <x v="21"/>
    <s v="E-commerce"/>
    <s v="Website Banner"/>
    <n v="342.35"/>
    <x v="20"/>
    <x v="1"/>
    <x v="20"/>
  </r>
  <r>
    <n v="947"/>
    <x v="538"/>
    <n v="250"/>
    <n v="5"/>
    <n v="68.22"/>
    <n v="68.22"/>
    <n v="0"/>
    <n v="0"/>
    <n v="0"/>
    <n v="341.1"/>
    <x v="24"/>
    <s v="App Mobile"/>
    <s v="App Mobile"/>
    <n v="341.1"/>
    <x v="435"/>
    <x v="1"/>
    <x v="435"/>
  </r>
  <r>
    <n v="2545"/>
    <x v="39"/>
    <n v="486"/>
    <n v="5"/>
    <n v="68.03"/>
    <n v="68.03"/>
    <n v="0"/>
    <n v="0"/>
    <n v="0"/>
    <n v="340.15"/>
    <x v="16"/>
    <s v="App Mobile"/>
    <s v="App Mobile"/>
    <n v="340.15"/>
    <x v="21"/>
    <x v="4"/>
    <x v="21"/>
  </r>
  <r>
    <n v="464"/>
    <x v="770"/>
    <n v="116"/>
    <n v="5"/>
    <n v="74.81"/>
    <n v="67.33"/>
    <n v="7.48"/>
    <n v="0.1"/>
    <n v="1"/>
    <n v="336.65"/>
    <x v="37"/>
    <s v="E-commerce"/>
    <s v="Website Banner"/>
    <n v="336.65"/>
    <x v="9"/>
    <x v="2"/>
    <x v="9"/>
  </r>
  <r>
    <n v="246"/>
    <x v="686"/>
    <n v="315"/>
    <n v="5"/>
    <n v="67.02"/>
    <n v="67.02"/>
    <n v="0"/>
    <n v="0"/>
    <n v="0"/>
    <n v="335.1"/>
    <x v="5"/>
    <s v="E-commerce"/>
    <s v="Website Banner"/>
    <n v="335.09999999999997"/>
    <x v="436"/>
    <x v="4"/>
    <x v="436"/>
  </r>
  <r>
    <n v="932"/>
    <x v="57"/>
    <n v="239"/>
    <n v="5"/>
    <n v="66.989999999999995"/>
    <n v="66.989999999999995"/>
    <n v="0"/>
    <n v="0"/>
    <n v="0"/>
    <n v="334.95"/>
    <x v="10"/>
    <s v="App Mobile"/>
    <s v="App Mobile"/>
    <n v="334.95"/>
    <x v="24"/>
    <x v="2"/>
    <x v="24"/>
  </r>
  <r>
    <n v="2314"/>
    <x v="633"/>
    <n v="307"/>
    <n v="5"/>
    <n v="66.87"/>
    <n v="66.87"/>
    <n v="0"/>
    <n v="0"/>
    <n v="0"/>
    <n v="334.35"/>
    <x v="4"/>
    <s v="App Mobile"/>
    <s v="App Mobile"/>
    <n v="334.35"/>
    <x v="25"/>
    <x v="4"/>
    <x v="25"/>
  </r>
  <r>
    <n v="2375"/>
    <x v="447"/>
    <n v="307"/>
    <n v="5"/>
    <n v="66.87"/>
    <n v="66.87"/>
    <n v="0"/>
    <n v="0"/>
    <n v="0"/>
    <n v="334.35"/>
    <x v="9"/>
    <s v="E-commerce"/>
    <s v="Website Banner"/>
    <n v="334.35"/>
    <x v="25"/>
    <x v="4"/>
    <x v="25"/>
  </r>
  <r>
    <n v="230"/>
    <x v="818"/>
    <n v="131"/>
    <n v="5"/>
    <n v="66.63"/>
    <n v="66.63"/>
    <n v="0"/>
    <n v="0"/>
    <n v="0"/>
    <n v="333.15"/>
    <x v="36"/>
    <s v="E-commerce"/>
    <s v="Website Banner"/>
    <n v="333.15"/>
    <x v="27"/>
    <x v="3"/>
    <x v="27"/>
  </r>
  <r>
    <n v="1094"/>
    <x v="255"/>
    <n v="70"/>
    <n v="5"/>
    <n v="66.33"/>
    <n v="66.33"/>
    <n v="0"/>
    <n v="0"/>
    <n v="0"/>
    <n v="331.65"/>
    <x v="29"/>
    <s v="E-commerce"/>
    <s v="Website Banner"/>
    <n v="331.65"/>
    <x v="29"/>
    <x v="0"/>
    <x v="29"/>
  </r>
  <r>
    <n v="692"/>
    <x v="511"/>
    <n v="19"/>
    <n v="5"/>
    <n v="65.260000000000005"/>
    <n v="65.260000000000005"/>
    <n v="0"/>
    <n v="0"/>
    <n v="0"/>
    <n v="326.3"/>
    <x v="18"/>
    <s v="E-commerce"/>
    <s v="Website Banner"/>
    <n v="326.3"/>
    <x v="177"/>
    <x v="0"/>
    <x v="177"/>
  </r>
  <r>
    <n v="1020"/>
    <x v="502"/>
    <n v="166"/>
    <n v="5"/>
    <n v="65.260000000000005"/>
    <n v="65.260000000000005"/>
    <n v="0"/>
    <n v="0"/>
    <n v="0"/>
    <n v="326.3"/>
    <x v="41"/>
    <s v="E-commerce"/>
    <s v="Website Banner"/>
    <n v="326.3"/>
    <x v="322"/>
    <x v="1"/>
    <x v="322"/>
  </r>
  <r>
    <n v="2055"/>
    <x v="378"/>
    <n v="166"/>
    <n v="5"/>
    <n v="65.260000000000005"/>
    <n v="65.260000000000005"/>
    <n v="0"/>
    <n v="0"/>
    <n v="0"/>
    <n v="326.3"/>
    <x v="22"/>
    <s v="E-commerce"/>
    <s v="Website Banner"/>
    <n v="326.3"/>
    <x v="322"/>
    <x v="1"/>
    <x v="322"/>
  </r>
  <r>
    <n v="3112"/>
    <x v="736"/>
    <n v="44"/>
    <n v="5"/>
    <n v="64.84"/>
    <n v="64.84"/>
    <n v="0"/>
    <n v="0"/>
    <n v="0"/>
    <n v="324.2"/>
    <x v="10"/>
    <s v="E-commerce"/>
    <s v="Website Banner"/>
    <n v="324.20000000000005"/>
    <x v="323"/>
    <x v="2"/>
    <x v="323"/>
  </r>
  <r>
    <n v="2151"/>
    <x v="402"/>
    <n v="276"/>
    <n v="5"/>
    <n v="64.44"/>
    <n v="64.44"/>
    <n v="0"/>
    <n v="0"/>
    <n v="0"/>
    <n v="322.2"/>
    <x v="16"/>
    <s v="App Mobile"/>
    <s v="App Mobile"/>
    <n v="322.2"/>
    <x v="31"/>
    <x v="4"/>
    <x v="31"/>
  </r>
  <r>
    <n v="1726"/>
    <x v="533"/>
    <n v="260"/>
    <n v="5"/>
    <n v="64.28"/>
    <n v="64.28"/>
    <n v="0"/>
    <n v="0"/>
    <n v="0"/>
    <n v="321.39999999999998"/>
    <x v="45"/>
    <s v="E-commerce"/>
    <s v="Website Banner"/>
    <n v="321.39999999999998"/>
    <x v="324"/>
    <x v="0"/>
    <x v="324"/>
  </r>
  <r>
    <n v="287"/>
    <x v="878"/>
    <n v="469"/>
    <n v="5"/>
    <n v="64.08"/>
    <n v="64.08"/>
    <n v="0"/>
    <n v="0"/>
    <n v="0"/>
    <n v="320.39999999999998"/>
    <x v="34"/>
    <s v="E-commerce"/>
    <s v="Website Banner"/>
    <n v="320.39999999999998"/>
    <x v="325"/>
    <x v="0"/>
    <x v="325"/>
  </r>
  <r>
    <n v="456"/>
    <x v="130"/>
    <n v="469"/>
    <n v="5"/>
    <n v="64.08"/>
    <n v="64.08"/>
    <n v="0"/>
    <n v="0"/>
    <n v="0"/>
    <n v="320.39999999999998"/>
    <x v="12"/>
    <s v="E-commerce"/>
    <s v="Website Banner"/>
    <n v="320.39999999999998"/>
    <x v="325"/>
    <x v="0"/>
    <x v="325"/>
  </r>
  <r>
    <n v="407"/>
    <x v="883"/>
    <n v="372"/>
    <n v="5"/>
    <n v="63.79"/>
    <n v="63.79"/>
    <n v="0"/>
    <n v="0"/>
    <n v="0"/>
    <n v="318.95"/>
    <x v="49"/>
    <s v="App Mobile"/>
    <s v="App Mobile"/>
    <n v="318.95"/>
    <x v="34"/>
    <x v="2"/>
    <x v="34"/>
  </r>
  <r>
    <n v="571"/>
    <x v="852"/>
    <n v="385"/>
    <n v="5"/>
    <n v="63.23"/>
    <n v="63.23"/>
    <n v="0"/>
    <n v="0"/>
    <n v="0"/>
    <n v="316.14999999999998"/>
    <x v="31"/>
    <s v="E-commerce"/>
    <s v="Website Banner"/>
    <n v="316.14999999999998"/>
    <x v="326"/>
    <x v="2"/>
    <x v="326"/>
  </r>
  <r>
    <n v="2193"/>
    <x v="124"/>
    <n v="79"/>
    <n v="5"/>
    <n v="63.22"/>
    <n v="63.22"/>
    <n v="0"/>
    <n v="0"/>
    <n v="0"/>
    <n v="316.10000000000002"/>
    <x v="34"/>
    <s v="E-commerce"/>
    <s v="Website Banner"/>
    <n v="316.10000000000002"/>
    <x v="35"/>
    <x v="2"/>
    <x v="35"/>
  </r>
  <r>
    <n v="2351"/>
    <x v="759"/>
    <n v="79"/>
    <n v="5"/>
    <n v="63.22"/>
    <n v="63.22"/>
    <n v="0"/>
    <n v="0"/>
    <n v="0"/>
    <n v="316.10000000000002"/>
    <x v="13"/>
    <s v="E-commerce"/>
    <s v="Website Banner"/>
    <n v="316.10000000000002"/>
    <x v="35"/>
    <x v="2"/>
    <x v="35"/>
  </r>
  <r>
    <n v="1222"/>
    <x v="744"/>
    <n v="206"/>
    <n v="5"/>
    <n v="63.03"/>
    <n v="63.03"/>
    <n v="0"/>
    <n v="0"/>
    <n v="0"/>
    <n v="315.14999999999998"/>
    <x v="50"/>
    <s v="App Mobile"/>
    <s v="App Mobile"/>
    <n v="315.14999999999998"/>
    <x v="36"/>
    <x v="2"/>
    <x v="36"/>
  </r>
  <r>
    <n v="1382"/>
    <x v="852"/>
    <n v="236"/>
    <n v="5"/>
    <n v="62.93"/>
    <n v="62.93"/>
    <n v="0"/>
    <n v="0"/>
    <n v="0"/>
    <n v="314.64999999999998"/>
    <x v="31"/>
    <s v="E-commerce"/>
    <s v="Website Banner"/>
    <n v="314.64999999999998"/>
    <x v="440"/>
    <x v="1"/>
    <x v="440"/>
  </r>
  <r>
    <n v="2112"/>
    <x v="816"/>
    <n v="236"/>
    <n v="5"/>
    <n v="62.93"/>
    <n v="62.93"/>
    <n v="0"/>
    <n v="0"/>
    <n v="0"/>
    <n v="314.64999999999998"/>
    <x v="48"/>
    <s v="E-commerce"/>
    <s v="Website Banner"/>
    <n v="314.64999999999998"/>
    <x v="440"/>
    <x v="1"/>
    <x v="440"/>
  </r>
  <r>
    <n v="1386"/>
    <x v="60"/>
    <n v="38"/>
    <n v="5"/>
    <n v="62.8"/>
    <n v="62.8"/>
    <n v="0"/>
    <n v="0"/>
    <n v="0"/>
    <n v="314"/>
    <x v="24"/>
    <s v="App Mobile"/>
    <s v="App Mobile"/>
    <n v="314"/>
    <x v="38"/>
    <x v="4"/>
    <x v="38"/>
  </r>
  <r>
    <n v="1914"/>
    <x v="418"/>
    <n v="38"/>
    <n v="5"/>
    <n v="62.8"/>
    <n v="62.8"/>
    <n v="0"/>
    <n v="0"/>
    <n v="0"/>
    <n v="314"/>
    <x v="1"/>
    <s v="E-commerce"/>
    <s v="Website Banner"/>
    <n v="314"/>
    <x v="38"/>
    <x v="4"/>
    <x v="38"/>
  </r>
  <r>
    <n v="2109"/>
    <x v="884"/>
    <n v="317"/>
    <n v="5"/>
    <n v="62.63"/>
    <n v="62.63"/>
    <n v="0"/>
    <n v="0"/>
    <n v="0"/>
    <n v="313.14999999999998"/>
    <x v="49"/>
    <s v="E-commerce"/>
    <s v="Website Banner"/>
    <n v="313.15000000000003"/>
    <x v="39"/>
    <x v="3"/>
    <x v="39"/>
  </r>
  <r>
    <n v="2227"/>
    <x v="885"/>
    <n v="317"/>
    <n v="5"/>
    <n v="62.63"/>
    <n v="62.63"/>
    <n v="0"/>
    <n v="0"/>
    <n v="0"/>
    <n v="313.14999999999998"/>
    <x v="25"/>
    <s v="E-commerce"/>
    <s v="Website Banner"/>
    <n v="313.15000000000003"/>
    <x v="39"/>
    <x v="3"/>
    <x v="39"/>
  </r>
  <r>
    <n v="2508"/>
    <x v="817"/>
    <n v="317"/>
    <n v="5"/>
    <n v="62.63"/>
    <n v="62.63"/>
    <n v="0"/>
    <n v="0"/>
    <n v="0"/>
    <n v="313.14999999999998"/>
    <x v="50"/>
    <s v="App Mobile"/>
    <s v="App Mobile"/>
    <n v="313.15000000000003"/>
    <x v="39"/>
    <x v="3"/>
    <x v="39"/>
  </r>
  <r>
    <n v="927"/>
    <x v="538"/>
    <n v="382"/>
    <n v="5"/>
    <n v="62.52"/>
    <n v="62.52"/>
    <n v="0"/>
    <n v="0"/>
    <n v="0"/>
    <n v="312.60000000000002"/>
    <x v="24"/>
    <s v="App Mobile"/>
    <s v="App Mobile"/>
    <n v="312.60000000000002"/>
    <x v="441"/>
    <x v="0"/>
    <x v="441"/>
  </r>
  <r>
    <n v="2827"/>
    <x v="886"/>
    <n v="382"/>
    <n v="5"/>
    <n v="62.52"/>
    <n v="62.52"/>
    <n v="0"/>
    <n v="0"/>
    <n v="0"/>
    <n v="312.60000000000002"/>
    <x v="2"/>
    <s v="App Mobile"/>
    <s v="App Mobile"/>
    <n v="312.60000000000002"/>
    <x v="441"/>
    <x v="0"/>
    <x v="441"/>
  </r>
  <r>
    <n v="969"/>
    <x v="868"/>
    <n v="378"/>
    <n v="5"/>
    <n v="62.39"/>
    <n v="62.39"/>
    <n v="0"/>
    <n v="0"/>
    <n v="0"/>
    <n v="311.95"/>
    <x v="48"/>
    <s v="E-commerce"/>
    <s v="Website Banner"/>
    <n v="311.95"/>
    <x v="328"/>
    <x v="2"/>
    <x v="328"/>
  </r>
  <r>
    <n v="2309"/>
    <x v="233"/>
    <n v="323"/>
    <n v="5"/>
    <n v="62.34"/>
    <n v="62.34"/>
    <n v="0"/>
    <n v="0"/>
    <n v="0"/>
    <n v="311.7"/>
    <x v="38"/>
    <s v="App Mobile"/>
    <s v="App Mobile"/>
    <n v="311.70000000000005"/>
    <x v="329"/>
    <x v="4"/>
    <x v="329"/>
  </r>
  <r>
    <n v="585"/>
    <x v="488"/>
    <n v="437"/>
    <n v="5"/>
    <n v="62.17"/>
    <n v="62.17"/>
    <n v="0"/>
    <n v="0"/>
    <n v="0"/>
    <n v="310.85000000000002"/>
    <x v="10"/>
    <s v="E-commerce"/>
    <s v="Website Banner"/>
    <n v="310.85000000000002"/>
    <x v="41"/>
    <x v="0"/>
    <x v="41"/>
  </r>
  <r>
    <n v="2333"/>
    <x v="887"/>
    <n v="50"/>
    <n v="5"/>
    <n v="61.95"/>
    <n v="61.95"/>
    <n v="0"/>
    <n v="0"/>
    <n v="0"/>
    <n v="309.75"/>
    <x v="9"/>
    <s v="App Mobile"/>
    <s v="App Mobile"/>
    <n v="309.75"/>
    <x v="42"/>
    <x v="4"/>
    <x v="42"/>
  </r>
  <r>
    <n v="981"/>
    <x v="642"/>
    <n v="134"/>
    <n v="5"/>
    <n v="61.75"/>
    <n v="61.75"/>
    <n v="0"/>
    <n v="0"/>
    <n v="0"/>
    <n v="308.75"/>
    <x v="31"/>
    <s v="App Mobile"/>
    <s v="App Mobile"/>
    <n v="308.75"/>
    <x v="443"/>
    <x v="2"/>
    <x v="443"/>
  </r>
  <r>
    <n v="2119"/>
    <x v="597"/>
    <n v="134"/>
    <n v="5"/>
    <n v="61.75"/>
    <n v="61.75"/>
    <n v="0"/>
    <n v="0"/>
    <n v="0"/>
    <n v="308.75"/>
    <x v="20"/>
    <s v="App Mobile"/>
    <s v="App Mobile"/>
    <n v="308.75"/>
    <x v="443"/>
    <x v="2"/>
    <x v="443"/>
  </r>
  <r>
    <n v="130"/>
    <x v="209"/>
    <n v="123"/>
    <n v="5"/>
    <n v="61.51"/>
    <n v="61.51"/>
    <n v="0"/>
    <n v="0"/>
    <n v="0"/>
    <n v="307.55"/>
    <x v="4"/>
    <s v="E-commerce"/>
    <s v="Website Banner"/>
    <n v="307.55"/>
    <x v="196"/>
    <x v="3"/>
    <x v="196"/>
  </r>
  <r>
    <n v="520"/>
    <x v="554"/>
    <n v="125"/>
    <n v="5"/>
    <n v="61.27"/>
    <n v="61.27"/>
    <n v="0"/>
    <n v="0"/>
    <n v="0"/>
    <n v="306.35000000000002"/>
    <x v="31"/>
    <s v="E-commerce"/>
    <s v="Website Banner"/>
    <n v="306.35000000000002"/>
    <x v="331"/>
    <x v="1"/>
    <x v="331"/>
  </r>
  <r>
    <n v="877"/>
    <x v="815"/>
    <n v="428"/>
    <n v="5"/>
    <n v="61.22"/>
    <n v="61.22"/>
    <n v="0"/>
    <n v="0"/>
    <n v="0"/>
    <n v="306.10000000000002"/>
    <x v="49"/>
    <s v="E-commerce"/>
    <s v="Website Banner"/>
    <n v="306.10000000000002"/>
    <x v="46"/>
    <x v="1"/>
    <x v="46"/>
  </r>
  <r>
    <n v="1279"/>
    <x v="236"/>
    <n v="428"/>
    <n v="5"/>
    <n v="61.22"/>
    <n v="61.22"/>
    <n v="0"/>
    <n v="0"/>
    <n v="0"/>
    <n v="306.10000000000002"/>
    <x v="35"/>
    <s v="E-commerce"/>
    <s v="Website Banner"/>
    <n v="306.10000000000002"/>
    <x v="46"/>
    <x v="1"/>
    <x v="46"/>
  </r>
  <r>
    <n v="1852"/>
    <x v="858"/>
    <n v="428"/>
    <n v="5"/>
    <n v="61.22"/>
    <n v="61.22"/>
    <n v="0"/>
    <n v="0"/>
    <n v="0"/>
    <n v="306.10000000000002"/>
    <x v="47"/>
    <s v="E-commerce"/>
    <s v="Website Banner"/>
    <n v="306.10000000000002"/>
    <x v="46"/>
    <x v="1"/>
    <x v="46"/>
  </r>
  <r>
    <n v="1613"/>
    <x v="398"/>
    <n v="112"/>
    <n v="5"/>
    <n v="61.2"/>
    <n v="61.2"/>
    <n v="0"/>
    <n v="0"/>
    <n v="0"/>
    <n v="306"/>
    <x v="14"/>
    <s v="E-commerce"/>
    <s v="Website Banner"/>
    <n v="306"/>
    <x v="476"/>
    <x v="3"/>
    <x v="476"/>
  </r>
  <r>
    <n v="702"/>
    <x v="377"/>
    <n v="305"/>
    <n v="5"/>
    <n v="60.79"/>
    <n v="60.79"/>
    <n v="0"/>
    <n v="0"/>
    <n v="0"/>
    <n v="303.95"/>
    <x v="34"/>
    <s v="E-commerce"/>
    <s v="Website Banner"/>
    <n v="303.95"/>
    <x v="334"/>
    <x v="2"/>
    <x v="334"/>
  </r>
  <r>
    <n v="1515"/>
    <x v="85"/>
    <n v="305"/>
    <n v="5"/>
    <n v="60.79"/>
    <n v="60.79"/>
    <n v="0"/>
    <n v="0"/>
    <n v="0"/>
    <n v="303.95"/>
    <x v="39"/>
    <s v="App Mobile"/>
    <s v="App Mobile"/>
    <n v="303.95"/>
    <x v="334"/>
    <x v="2"/>
    <x v="334"/>
  </r>
  <r>
    <n v="1925"/>
    <x v="469"/>
    <n v="129"/>
    <n v="5"/>
    <n v="60.68"/>
    <n v="60.68"/>
    <n v="0"/>
    <n v="0"/>
    <n v="0"/>
    <n v="303.39999999999998"/>
    <x v="26"/>
    <s v="E-commerce"/>
    <s v="Website Banner"/>
    <n v="303.39999999999998"/>
    <x v="49"/>
    <x v="2"/>
    <x v="49"/>
  </r>
  <r>
    <n v="3024"/>
    <x v="175"/>
    <n v="129"/>
    <n v="5"/>
    <n v="60.68"/>
    <n v="60.68"/>
    <n v="0"/>
    <n v="0"/>
    <n v="0"/>
    <n v="303.39999999999998"/>
    <x v="21"/>
    <s v="App Mobile"/>
    <s v="App Mobile"/>
    <n v="303.39999999999998"/>
    <x v="49"/>
    <x v="2"/>
    <x v="49"/>
  </r>
  <r>
    <n v="307"/>
    <x v="712"/>
    <n v="111"/>
    <n v="5"/>
    <n v="60.36"/>
    <n v="60.36"/>
    <n v="0"/>
    <n v="0"/>
    <n v="0"/>
    <n v="301.8"/>
    <x v="48"/>
    <s v="E-commerce"/>
    <s v="Website Banner"/>
    <n v="301.8"/>
    <x v="336"/>
    <x v="2"/>
    <x v="336"/>
  </r>
  <r>
    <n v="2609"/>
    <x v="877"/>
    <n v="111"/>
    <n v="5"/>
    <n v="60.36"/>
    <n v="60.36"/>
    <n v="0"/>
    <n v="0"/>
    <n v="0"/>
    <n v="301.8"/>
    <x v="40"/>
    <s v="E-commerce"/>
    <s v="Website Banner"/>
    <n v="301.8"/>
    <x v="336"/>
    <x v="2"/>
    <x v="336"/>
  </r>
  <r>
    <n v="247"/>
    <x v="697"/>
    <n v="54"/>
    <n v="5"/>
    <n v="60.33"/>
    <n v="60.33"/>
    <n v="0"/>
    <n v="0"/>
    <n v="0"/>
    <n v="301.64999999999998"/>
    <x v="31"/>
    <s v="App Mobile"/>
    <s v="App Mobile"/>
    <n v="301.64999999999998"/>
    <x v="51"/>
    <x v="0"/>
    <x v="51"/>
  </r>
  <r>
    <n v="1146"/>
    <x v="258"/>
    <n v="412"/>
    <n v="5"/>
    <n v="60.33"/>
    <n v="60.33"/>
    <n v="0"/>
    <n v="0"/>
    <n v="0"/>
    <n v="301.64999999999998"/>
    <x v="31"/>
    <s v="E-commerce"/>
    <s v="Website Banner"/>
    <n v="301.64999999999998"/>
    <x v="496"/>
    <x v="1"/>
    <x v="496"/>
  </r>
  <r>
    <n v="1326"/>
    <x v="669"/>
    <n v="54"/>
    <n v="5"/>
    <n v="60.33"/>
    <n v="60.33"/>
    <n v="0"/>
    <n v="0"/>
    <n v="0"/>
    <n v="301.64999999999998"/>
    <x v="40"/>
    <s v="E-commerce"/>
    <s v="Website Banner"/>
    <n v="301.64999999999998"/>
    <x v="51"/>
    <x v="0"/>
    <x v="51"/>
  </r>
  <r>
    <n v="1100"/>
    <x v="888"/>
    <n v="433"/>
    <n v="5"/>
    <n v="60.12"/>
    <n v="60.12"/>
    <n v="0"/>
    <n v="0"/>
    <n v="0"/>
    <n v="300.60000000000002"/>
    <x v="47"/>
    <s v="E-commerce"/>
    <s v="Website Banner"/>
    <n v="300.59999999999997"/>
    <x v="53"/>
    <x v="2"/>
    <x v="53"/>
  </r>
  <r>
    <n v="2694"/>
    <x v="429"/>
    <n v="433"/>
    <n v="5"/>
    <n v="60.12"/>
    <n v="60.12"/>
    <n v="0"/>
    <n v="0"/>
    <n v="0"/>
    <n v="300.60000000000002"/>
    <x v="33"/>
    <s v="App Mobile"/>
    <s v="App Mobile"/>
    <n v="300.59999999999997"/>
    <x v="53"/>
    <x v="2"/>
    <x v="53"/>
  </r>
  <r>
    <n v="3072"/>
    <x v="889"/>
    <n v="433"/>
    <n v="5"/>
    <n v="60.12"/>
    <n v="60.12"/>
    <n v="0"/>
    <n v="0"/>
    <n v="0"/>
    <n v="300.60000000000002"/>
    <x v="7"/>
    <s v="E-commerce"/>
    <s v="Website Banner"/>
    <n v="300.59999999999997"/>
    <x v="53"/>
    <x v="2"/>
    <x v="53"/>
  </r>
  <r>
    <n v="524"/>
    <x v="850"/>
    <n v="4"/>
    <n v="5"/>
    <n v="60"/>
    <n v="60"/>
    <n v="0"/>
    <n v="0"/>
    <n v="0"/>
    <n v="300"/>
    <x v="5"/>
    <s v="E-commerce"/>
    <s v="Website Banner"/>
    <n v="300"/>
    <x v="477"/>
    <x v="4"/>
    <x v="477"/>
  </r>
  <r>
    <n v="2250"/>
    <x v="400"/>
    <n v="347"/>
    <n v="5"/>
    <n v="59.92"/>
    <n v="59.92"/>
    <n v="0"/>
    <n v="0"/>
    <n v="0"/>
    <n v="299.60000000000002"/>
    <x v="41"/>
    <s v="App Mobile"/>
    <s v="App Mobile"/>
    <n v="299.60000000000002"/>
    <x v="54"/>
    <x v="4"/>
    <x v="54"/>
  </r>
  <r>
    <n v="698"/>
    <x v="453"/>
    <n v="464"/>
    <n v="5"/>
    <n v="59.58"/>
    <n v="59.58"/>
    <n v="0"/>
    <n v="0"/>
    <n v="0"/>
    <n v="297.89999999999998"/>
    <x v="0"/>
    <s v="E-commerce"/>
    <s v="Website Banner"/>
    <n v="297.89999999999998"/>
    <x v="57"/>
    <x v="1"/>
    <x v="57"/>
  </r>
  <r>
    <n v="1751"/>
    <x v="33"/>
    <n v="464"/>
    <n v="5"/>
    <n v="59.58"/>
    <n v="59.58"/>
    <n v="0"/>
    <n v="0"/>
    <n v="0"/>
    <n v="297.89999999999998"/>
    <x v="22"/>
    <s v="E-commerce"/>
    <s v="Website Banner"/>
    <n v="297.89999999999998"/>
    <x v="57"/>
    <x v="1"/>
    <x v="57"/>
  </r>
  <r>
    <n v="2139"/>
    <x v="638"/>
    <n v="160"/>
    <n v="5"/>
    <n v="59.38"/>
    <n v="59.38"/>
    <n v="0"/>
    <n v="0"/>
    <n v="0"/>
    <n v="296.89999999999998"/>
    <x v="47"/>
    <s v="E-commerce"/>
    <s v="Website Banner"/>
    <n v="296.90000000000003"/>
    <x v="59"/>
    <x v="3"/>
    <x v="59"/>
  </r>
  <r>
    <n v="1269"/>
    <x v="229"/>
    <n v="186"/>
    <n v="5"/>
    <n v="59.35"/>
    <n v="59.35"/>
    <n v="0"/>
    <n v="0"/>
    <n v="0"/>
    <n v="296.75"/>
    <x v="19"/>
    <s v="App Mobile"/>
    <s v="App Mobile"/>
    <n v="296.75"/>
    <x v="445"/>
    <x v="1"/>
    <x v="445"/>
  </r>
  <r>
    <n v="2527"/>
    <x v="672"/>
    <n v="390"/>
    <n v="5"/>
    <n v="59.33"/>
    <n v="59.33"/>
    <n v="0"/>
    <n v="0"/>
    <n v="0"/>
    <n v="296.64999999999998"/>
    <x v="4"/>
    <s v="E-commerce"/>
    <s v="Website Banner"/>
    <n v="296.64999999999998"/>
    <x v="446"/>
    <x v="1"/>
    <x v="446"/>
  </r>
  <r>
    <n v="182"/>
    <x v="890"/>
    <n v="214"/>
    <n v="5"/>
    <n v="59.07"/>
    <n v="59.07"/>
    <n v="0"/>
    <n v="0"/>
    <n v="0"/>
    <n v="295.35000000000002"/>
    <x v="15"/>
    <s v="E-commerce"/>
    <s v="Website Banner"/>
    <n v="295.35000000000002"/>
    <x v="61"/>
    <x v="2"/>
    <x v="61"/>
  </r>
  <r>
    <n v="1241"/>
    <x v="741"/>
    <n v="247"/>
    <n v="5"/>
    <n v="58.86"/>
    <n v="58.86"/>
    <n v="0"/>
    <n v="0"/>
    <n v="0"/>
    <n v="294.3"/>
    <x v="16"/>
    <s v="E-commerce"/>
    <s v="Website Banner"/>
    <n v="294.3"/>
    <x v="447"/>
    <x v="2"/>
    <x v="447"/>
  </r>
  <r>
    <n v="1298"/>
    <x v="863"/>
    <n v="110"/>
    <n v="5"/>
    <n v="58.7"/>
    <n v="58.7"/>
    <n v="0"/>
    <n v="0"/>
    <n v="0"/>
    <n v="293.5"/>
    <x v="9"/>
    <s v="App Mobile"/>
    <s v="App Mobile"/>
    <n v="293.5"/>
    <x v="479"/>
    <x v="0"/>
    <x v="479"/>
  </r>
  <r>
    <n v="2461"/>
    <x v="576"/>
    <n v="110"/>
    <n v="5"/>
    <n v="58.7"/>
    <n v="58.7"/>
    <n v="0"/>
    <n v="0"/>
    <n v="0"/>
    <n v="293.5"/>
    <x v="30"/>
    <s v="App Mobile"/>
    <s v="App Mobile"/>
    <n v="293.5"/>
    <x v="479"/>
    <x v="0"/>
    <x v="479"/>
  </r>
  <r>
    <n v="44"/>
    <x v="318"/>
    <n v="63"/>
    <n v="5"/>
    <n v="58.67"/>
    <n v="58.67"/>
    <n v="0"/>
    <n v="0"/>
    <n v="0"/>
    <n v="293.35000000000002"/>
    <x v="47"/>
    <s v="E-commerce"/>
    <s v="Website Banner"/>
    <n v="293.35000000000002"/>
    <x v="63"/>
    <x v="3"/>
    <x v="63"/>
  </r>
  <r>
    <n v="618"/>
    <x v="246"/>
    <n v="366"/>
    <n v="5"/>
    <n v="58.34"/>
    <n v="58.34"/>
    <n v="0"/>
    <n v="0"/>
    <n v="0"/>
    <n v="291.7"/>
    <x v="11"/>
    <s v="E-commerce"/>
    <s v="Website Banner"/>
    <n v="291.70000000000005"/>
    <x v="64"/>
    <x v="2"/>
    <x v="64"/>
  </r>
  <r>
    <n v="2216"/>
    <x v="188"/>
    <n v="493"/>
    <n v="5"/>
    <n v="57.37"/>
    <n v="57.37"/>
    <n v="0"/>
    <n v="0"/>
    <n v="0"/>
    <n v="286.85000000000002"/>
    <x v="38"/>
    <s v="App Mobile"/>
    <s v="App Mobile"/>
    <n v="286.84999999999997"/>
    <x v="342"/>
    <x v="2"/>
    <x v="342"/>
  </r>
  <r>
    <n v="2635"/>
    <x v="232"/>
    <n v="493"/>
    <n v="5"/>
    <n v="57.37"/>
    <n v="57.37"/>
    <n v="0"/>
    <n v="0"/>
    <n v="0"/>
    <n v="286.85000000000002"/>
    <x v="18"/>
    <s v="App Mobile"/>
    <s v="App Mobile"/>
    <n v="286.84999999999997"/>
    <x v="342"/>
    <x v="2"/>
    <x v="342"/>
  </r>
  <r>
    <n v="2317"/>
    <x v="528"/>
    <n v="223"/>
    <n v="5"/>
    <n v="57.36"/>
    <n v="57.36"/>
    <n v="0"/>
    <n v="0"/>
    <n v="0"/>
    <n v="286.8"/>
    <x v="50"/>
    <s v="E-commerce"/>
    <s v="Website Banner"/>
    <n v="286.8"/>
    <x v="343"/>
    <x v="2"/>
    <x v="343"/>
  </r>
  <r>
    <n v="497"/>
    <x v="890"/>
    <n v="27"/>
    <n v="5"/>
    <n v="57.35"/>
    <n v="57.35"/>
    <n v="0"/>
    <n v="0"/>
    <n v="0"/>
    <n v="286.75"/>
    <x v="15"/>
    <s v="E-commerce"/>
    <s v="Website Banner"/>
    <n v="286.75"/>
    <x v="73"/>
    <x v="0"/>
    <x v="73"/>
  </r>
  <r>
    <n v="3095"/>
    <x v="814"/>
    <n v="210"/>
    <n v="5"/>
    <n v="57.32"/>
    <n v="57.32"/>
    <n v="0"/>
    <n v="0"/>
    <n v="0"/>
    <n v="286.60000000000002"/>
    <x v="1"/>
    <s v="E-commerce"/>
    <s v="Website Banner"/>
    <n v="286.60000000000002"/>
    <x v="448"/>
    <x v="3"/>
    <x v="448"/>
  </r>
  <r>
    <n v="51"/>
    <x v="786"/>
    <n v="213"/>
    <n v="5"/>
    <n v="57.31"/>
    <n v="57.31"/>
    <n v="0"/>
    <n v="0"/>
    <n v="0"/>
    <n v="286.55"/>
    <x v="41"/>
    <s v="App Mobile"/>
    <s v="App Mobile"/>
    <n v="286.55"/>
    <x v="344"/>
    <x v="4"/>
    <x v="344"/>
  </r>
  <r>
    <n v="322"/>
    <x v="365"/>
    <n v="213"/>
    <n v="5"/>
    <n v="57.31"/>
    <n v="57.31"/>
    <n v="0"/>
    <n v="0"/>
    <n v="0"/>
    <n v="286.55"/>
    <x v="27"/>
    <s v="E-commerce"/>
    <s v="Website Banner"/>
    <n v="286.55"/>
    <x v="344"/>
    <x v="4"/>
    <x v="344"/>
  </r>
  <r>
    <n v="1059"/>
    <x v="891"/>
    <n v="60"/>
    <n v="5"/>
    <n v="81.7"/>
    <n v="57.19"/>
    <n v="24.51"/>
    <n v="0.3"/>
    <n v="1"/>
    <n v="285.95"/>
    <x v="27"/>
    <s v="App Mobile"/>
    <s v="App Mobile"/>
    <n v="285.95"/>
    <x v="309"/>
    <x v="4"/>
    <x v="309"/>
  </r>
  <r>
    <n v="2814"/>
    <x v="441"/>
    <n v="222"/>
    <n v="5"/>
    <n v="57.19"/>
    <n v="57.19"/>
    <n v="0"/>
    <n v="0"/>
    <n v="0"/>
    <n v="285.95"/>
    <x v="25"/>
    <s v="App Mobile"/>
    <s v="App Mobile"/>
    <n v="285.95"/>
    <x v="75"/>
    <x v="0"/>
    <x v="75"/>
  </r>
  <r>
    <n v="2012"/>
    <x v="388"/>
    <n v="53"/>
    <n v="5"/>
    <n v="57.17"/>
    <n v="57.17"/>
    <n v="0"/>
    <n v="0"/>
    <n v="0"/>
    <n v="285.85000000000002"/>
    <x v="24"/>
    <s v="E-commerce"/>
    <s v="Website Banner"/>
    <n v="285.85000000000002"/>
    <x v="76"/>
    <x v="1"/>
    <x v="76"/>
  </r>
  <r>
    <n v="2891"/>
    <x v="825"/>
    <n v="53"/>
    <n v="5"/>
    <n v="57.17"/>
    <n v="57.17"/>
    <n v="0"/>
    <n v="0"/>
    <n v="0"/>
    <n v="285.85000000000002"/>
    <x v="21"/>
    <s v="E-commerce"/>
    <s v="Website Banner"/>
    <n v="285.85000000000002"/>
    <x v="76"/>
    <x v="1"/>
    <x v="76"/>
  </r>
  <r>
    <n v="1722"/>
    <x v="167"/>
    <n v="288"/>
    <n v="5"/>
    <n v="57.11"/>
    <n v="57.11"/>
    <n v="0"/>
    <n v="0"/>
    <n v="0"/>
    <n v="285.55"/>
    <x v="48"/>
    <s v="App Mobile"/>
    <s v="App Mobile"/>
    <n v="285.55"/>
    <x v="77"/>
    <x v="4"/>
    <x v="77"/>
  </r>
  <r>
    <n v="2536"/>
    <x v="711"/>
    <n v="357"/>
    <n v="5"/>
    <n v="56.91"/>
    <n v="56.91"/>
    <n v="0"/>
    <n v="0"/>
    <n v="0"/>
    <n v="284.55"/>
    <x v="43"/>
    <s v="App Mobile"/>
    <s v="App Mobile"/>
    <n v="284.54999999999995"/>
    <x v="79"/>
    <x v="3"/>
    <x v="79"/>
  </r>
  <r>
    <n v="663"/>
    <x v="798"/>
    <n v="407"/>
    <n v="5"/>
    <n v="56.84"/>
    <n v="56.84"/>
    <n v="0"/>
    <n v="0"/>
    <n v="0"/>
    <n v="284.2"/>
    <x v="3"/>
    <s v="App Mobile"/>
    <s v="App Mobile"/>
    <n v="284.20000000000005"/>
    <x v="222"/>
    <x v="4"/>
    <x v="222"/>
  </r>
  <r>
    <n v="724"/>
    <x v="13"/>
    <n v="294"/>
    <n v="5"/>
    <n v="56.69"/>
    <n v="56.69"/>
    <n v="0"/>
    <n v="0"/>
    <n v="0"/>
    <n v="283.45"/>
    <x v="12"/>
    <s v="E-commerce"/>
    <s v="Website Banner"/>
    <n v="283.45"/>
    <x v="81"/>
    <x v="1"/>
    <x v="81"/>
  </r>
  <r>
    <n v="1228"/>
    <x v="458"/>
    <n v="303"/>
    <n v="5"/>
    <n v="56.58"/>
    <n v="56.58"/>
    <n v="0"/>
    <n v="0"/>
    <n v="0"/>
    <n v="282.89999999999998"/>
    <x v="7"/>
    <s v="App Mobile"/>
    <s v="App Mobile"/>
    <n v="282.89999999999998"/>
    <x v="82"/>
    <x v="3"/>
    <x v="82"/>
  </r>
  <r>
    <n v="1239"/>
    <x v="869"/>
    <n v="303"/>
    <n v="5"/>
    <n v="56.58"/>
    <n v="56.58"/>
    <n v="0"/>
    <n v="0"/>
    <n v="0"/>
    <n v="282.89999999999998"/>
    <x v="31"/>
    <s v="App Mobile"/>
    <s v="App Mobile"/>
    <n v="282.89999999999998"/>
    <x v="82"/>
    <x v="3"/>
    <x v="82"/>
  </r>
  <r>
    <n v="2202"/>
    <x v="312"/>
    <n v="314"/>
    <n v="5"/>
    <n v="56.29"/>
    <n v="56.29"/>
    <n v="0"/>
    <n v="0"/>
    <n v="0"/>
    <n v="281.45"/>
    <x v="13"/>
    <s v="E-commerce"/>
    <s v="Website Banner"/>
    <n v="281.45"/>
    <x v="84"/>
    <x v="3"/>
    <x v="84"/>
  </r>
  <r>
    <n v="1959"/>
    <x v="358"/>
    <n v="485"/>
    <n v="5"/>
    <n v="56.2"/>
    <n v="56.2"/>
    <n v="0"/>
    <n v="0"/>
    <n v="0"/>
    <n v="281"/>
    <x v="18"/>
    <s v="App Mobile"/>
    <s v="App Mobile"/>
    <n v="281"/>
    <x v="85"/>
    <x v="1"/>
    <x v="85"/>
  </r>
  <r>
    <n v="228"/>
    <x v="231"/>
    <n v="422"/>
    <n v="5"/>
    <n v="55.91"/>
    <n v="55.91"/>
    <n v="0"/>
    <n v="0"/>
    <n v="0"/>
    <n v="279.55"/>
    <x v="35"/>
    <s v="E-commerce"/>
    <s v="Website Banner"/>
    <n v="279.54999999999995"/>
    <x v="86"/>
    <x v="3"/>
    <x v="86"/>
  </r>
  <r>
    <n v="2679"/>
    <x v="777"/>
    <n v="422"/>
    <n v="5"/>
    <n v="55.91"/>
    <n v="55.91"/>
    <n v="0"/>
    <n v="0"/>
    <n v="0"/>
    <n v="279.55"/>
    <x v="7"/>
    <s v="E-commerce"/>
    <s v="Website Banner"/>
    <n v="279.54999999999995"/>
    <x v="86"/>
    <x v="3"/>
    <x v="86"/>
  </r>
  <r>
    <n v="1565"/>
    <x v="892"/>
    <n v="97"/>
    <n v="5"/>
    <n v="55.27"/>
    <n v="55.27"/>
    <n v="0"/>
    <n v="0"/>
    <n v="0"/>
    <n v="276.35000000000002"/>
    <x v="47"/>
    <s v="E-commerce"/>
    <s v="Website Banner"/>
    <n v="276.35000000000002"/>
    <x v="88"/>
    <x v="1"/>
    <x v="88"/>
  </r>
  <r>
    <n v="1787"/>
    <x v="866"/>
    <n v="265"/>
    <n v="5"/>
    <n v="55.25"/>
    <n v="55.25"/>
    <n v="0"/>
    <n v="0"/>
    <n v="0"/>
    <n v="276.25"/>
    <x v="19"/>
    <s v="E-commerce"/>
    <s v="Website Banner"/>
    <n v="276.25"/>
    <x v="89"/>
    <x v="1"/>
    <x v="89"/>
  </r>
  <r>
    <n v="1799"/>
    <x v="711"/>
    <n v="265"/>
    <n v="5"/>
    <n v="55.25"/>
    <n v="55.25"/>
    <n v="0"/>
    <n v="0"/>
    <n v="0"/>
    <n v="276.25"/>
    <x v="43"/>
    <s v="App Mobile"/>
    <s v="App Mobile"/>
    <n v="276.25"/>
    <x v="89"/>
    <x v="1"/>
    <x v="89"/>
  </r>
  <r>
    <n v="1691"/>
    <x v="893"/>
    <n v="107"/>
    <n v="5"/>
    <n v="55.06"/>
    <n v="55.06"/>
    <n v="0"/>
    <n v="0"/>
    <n v="0"/>
    <n v="275.3"/>
    <x v="27"/>
    <s v="E-commerce"/>
    <s v="Website Banner"/>
    <n v="275.3"/>
    <x v="90"/>
    <x v="1"/>
    <x v="90"/>
  </r>
  <r>
    <n v="1135"/>
    <x v="371"/>
    <n v="124"/>
    <n v="5"/>
    <n v="55.04"/>
    <n v="55.04"/>
    <n v="0"/>
    <n v="0"/>
    <n v="0"/>
    <n v="275.2"/>
    <x v="17"/>
    <s v="App Mobile"/>
    <s v="App Mobile"/>
    <n v="275.2"/>
    <x v="91"/>
    <x v="3"/>
    <x v="91"/>
  </r>
  <r>
    <n v="3350"/>
    <x v="848"/>
    <n v="126"/>
    <n v="5"/>
    <n v="55.03"/>
    <n v="55.03"/>
    <n v="0"/>
    <n v="0"/>
    <n v="0"/>
    <n v="275.14999999999998"/>
    <x v="1"/>
    <s v="App Mobile"/>
    <s v="App Mobile"/>
    <n v="275.14999999999998"/>
    <x v="92"/>
    <x v="1"/>
    <x v="92"/>
  </r>
  <r>
    <n v="1789"/>
    <x v="207"/>
    <n v="264"/>
    <n v="5"/>
    <n v="55.01"/>
    <n v="55.01"/>
    <n v="0"/>
    <n v="0"/>
    <n v="0"/>
    <n v="275.05"/>
    <x v="24"/>
    <s v="E-commerce"/>
    <s v="Website Banner"/>
    <n v="275.05"/>
    <x v="93"/>
    <x v="4"/>
    <x v="93"/>
  </r>
  <r>
    <n v="2077"/>
    <x v="619"/>
    <n v="188"/>
    <n v="5"/>
    <n v="55.01"/>
    <n v="55.01"/>
    <n v="0"/>
    <n v="0"/>
    <n v="0"/>
    <n v="275.05"/>
    <x v="27"/>
    <s v="E-commerce"/>
    <s v="Website Banner"/>
    <n v="275.05"/>
    <x v="94"/>
    <x v="1"/>
    <x v="94"/>
  </r>
  <r>
    <n v="3201"/>
    <x v="860"/>
    <n v="264"/>
    <n v="5"/>
    <n v="55.01"/>
    <n v="55.01"/>
    <n v="0"/>
    <n v="0"/>
    <n v="0"/>
    <n v="275.05"/>
    <x v="13"/>
    <s v="E-commerce"/>
    <s v="Website Banner"/>
    <n v="275.05"/>
    <x v="93"/>
    <x v="4"/>
    <x v="93"/>
  </r>
  <r>
    <n v="2602"/>
    <x v="309"/>
    <n v="481"/>
    <n v="5"/>
    <n v="54.87"/>
    <n v="54.87"/>
    <n v="0"/>
    <n v="0"/>
    <n v="0"/>
    <n v="274.35000000000002"/>
    <x v="39"/>
    <s v="App Mobile"/>
    <s v="App Mobile"/>
    <n v="274.34999999999997"/>
    <x v="96"/>
    <x v="1"/>
    <x v="96"/>
  </r>
  <r>
    <n v="2323"/>
    <x v="887"/>
    <n v="32"/>
    <n v="5"/>
    <n v="54.83"/>
    <n v="54.83"/>
    <n v="0"/>
    <n v="0"/>
    <n v="0"/>
    <n v="274.14999999999998"/>
    <x v="9"/>
    <s v="App Mobile"/>
    <s v="App Mobile"/>
    <n v="274.14999999999998"/>
    <x v="97"/>
    <x v="4"/>
    <x v="97"/>
  </r>
  <r>
    <n v="1178"/>
    <x v="124"/>
    <n v="496"/>
    <n v="5"/>
    <n v="54.61"/>
    <n v="54.61"/>
    <n v="0"/>
    <n v="0"/>
    <n v="0"/>
    <n v="273.05"/>
    <x v="34"/>
    <s v="E-commerce"/>
    <s v="Website Banner"/>
    <n v="273.05"/>
    <x v="348"/>
    <x v="2"/>
    <x v="348"/>
  </r>
  <r>
    <n v="1208"/>
    <x v="472"/>
    <n v="48"/>
    <n v="5"/>
    <n v="54.38"/>
    <n v="54.38"/>
    <n v="0"/>
    <n v="0"/>
    <n v="0"/>
    <n v="271.89999999999998"/>
    <x v="49"/>
    <s v="App Mobile"/>
    <s v="App Mobile"/>
    <n v="271.90000000000003"/>
    <x v="240"/>
    <x v="1"/>
    <x v="240"/>
  </r>
  <r>
    <n v="2056"/>
    <x v="703"/>
    <n v="42"/>
    <n v="5"/>
    <n v="54.2"/>
    <n v="54.2"/>
    <n v="0"/>
    <n v="0"/>
    <n v="0"/>
    <n v="271"/>
    <x v="9"/>
    <s v="App Mobile"/>
    <s v="App Mobile"/>
    <n v="271"/>
    <x v="99"/>
    <x v="3"/>
    <x v="99"/>
  </r>
  <r>
    <n v="1973"/>
    <x v="774"/>
    <n v="267"/>
    <n v="5"/>
    <n v="53.91"/>
    <n v="53.91"/>
    <n v="0"/>
    <n v="0"/>
    <n v="0"/>
    <n v="269.55"/>
    <x v="49"/>
    <s v="E-commerce"/>
    <s v="Website Banner"/>
    <n v="269.54999999999995"/>
    <x v="400"/>
    <x v="3"/>
    <x v="400"/>
  </r>
  <r>
    <n v="2857"/>
    <x v="451"/>
    <n v="267"/>
    <n v="5"/>
    <n v="53.91"/>
    <n v="53.91"/>
    <n v="0"/>
    <n v="0"/>
    <n v="0"/>
    <n v="269.55"/>
    <x v="47"/>
    <s v="E-commerce"/>
    <s v="Website Banner"/>
    <n v="269.54999999999995"/>
    <x v="400"/>
    <x v="3"/>
    <x v="400"/>
  </r>
  <r>
    <n v="832"/>
    <x v="807"/>
    <n v="154"/>
    <n v="5"/>
    <n v="53.74"/>
    <n v="53.74"/>
    <n v="0"/>
    <n v="0"/>
    <n v="0"/>
    <n v="268.7"/>
    <x v="11"/>
    <s v="E-commerce"/>
    <s v="Website Banner"/>
    <n v="268.7"/>
    <x v="101"/>
    <x v="3"/>
    <x v="101"/>
  </r>
  <r>
    <n v="3097"/>
    <x v="266"/>
    <n v="406"/>
    <n v="5"/>
    <n v="53.74"/>
    <n v="53.74"/>
    <n v="0"/>
    <n v="0"/>
    <n v="0"/>
    <n v="268.7"/>
    <x v="1"/>
    <s v="App Mobile"/>
    <s v="App Mobile"/>
    <n v="268.7"/>
    <x v="156"/>
    <x v="2"/>
    <x v="156"/>
  </r>
  <r>
    <n v="1777"/>
    <x v="756"/>
    <n v="494"/>
    <n v="5"/>
    <n v="53.52"/>
    <n v="53.52"/>
    <n v="0"/>
    <n v="0"/>
    <n v="0"/>
    <n v="267.60000000000002"/>
    <x v="6"/>
    <s v="App Mobile"/>
    <s v="App Mobile"/>
    <n v="267.60000000000002"/>
    <x v="450"/>
    <x v="4"/>
    <x v="450"/>
  </r>
  <r>
    <n v="2907"/>
    <x v="551"/>
    <n v="494"/>
    <n v="5"/>
    <n v="53.52"/>
    <n v="53.52"/>
    <n v="0"/>
    <n v="0"/>
    <n v="0"/>
    <n v="267.60000000000002"/>
    <x v="1"/>
    <s v="App Mobile"/>
    <s v="App Mobile"/>
    <n v="267.60000000000002"/>
    <x v="450"/>
    <x v="4"/>
    <x v="450"/>
  </r>
  <r>
    <n v="3035"/>
    <x v="813"/>
    <n v="416"/>
    <n v="5"/>
    <n v="53.46"/>
    <n v="53.46"/>
    <n v="0"/>
    <n v="0"/>
    <n v="0"/>
    <n v="267.3"/>
    <x v="12"/>
    <s v="E-commerce"/>
    <s v="Website Banner"/>
    <n v="267.3"/>
    <x v="106"/>
    <x v="2"/>
    <x v="106"/>
  </r>
  <r>
    <n v="1416"/>
    <x v="871"/>
    <n v="458"/>
    <n v="5"/>
    <n v="53.35"/>
    <n v="53.35"/>
    <n v="0"/>
    <n v="0"/>
    <n v="0"/>
    <n v="266.75"/>
    <x v="40"/>
    <s v="E-commerce"/>
    <s v="Website Banner"/>
    <n v="266.75"/>
    <x v="107"/>
    <x v="3"/>
    <x v="107"/>
  </r>
  <r>
    <n v="1453"/>
    <x v="197"/>
    <n v="331"/>
    <n v="5"/>
    <n v="53.34"/>
    <n v="53.34"/>
    <n v="0"/>
    <n v="0"/>
    <n v="0"/>
    <n v="266.7"/>
    <x v="4"/>
    <s v="E-commerce"/>
    <s v="Website Banner"/>
    <n v="266.70000000000005"/>
    <x v="351"/>
    <x v="2"/>
    <x v="351"/>
  </r>
  <r>
    <n v="899"/>
    <x v="682"/>
    <n v="442"/>
    <n v="5"/>
    <n v="53.27"/>
    <n v="53.27"/>
    <n v="0"/>
    <n v="0"/>
    <n v="0"/>
    <n v="266.35000000000002"/>
    <x v="15"/>
    <s v="App Mobile"/>
    <s v="App Mobile"/>
    <n v="266.35000000000002"/>
    <x v="109"/>
    <x v="0"/>
    <x v="109"/>
  </r>
  <r>
    <n v="1513"/>
    <x v="45"/>
    <n v="442"/>
    <n v="5"/>
    <n v="53.27"/>
    <n v="53.27"/>
    <n v="0"/>
    <n v="0"/>
    <n v="0"/>
    <n v="266.35000000000002"/>
    <x v="14"/>
    <s v="E-commerce"/>
    <s v="Website Banner"/>
    <n v="266.35000000000002"/>
    <x v="109"/>
    <x v="0"/>
    <x v="109"/>
  </r>
  <r>
    <n v="1152"/>
    <x v="700"/>
    <n v="73"/>
    <n v="5"/>
    <n v="53.25"/>
    <n v="53.25"/>
    <n v="0"/>
    <n v="0"/>
    <n v="0"/>
    <n v="266.25"/>
    <x v="31"/>
    <s v="E-commerce"/>
    <s v="Website Banner"/>
    <n v="266.25"/>
    <x v="352"/>
    <x v="3"/>
    <x v="352"/>
  </r>
  <r>
    <n v="1431"/>
    <x v="894"/>
    <n v="40"/>
    <n v="5"/>
    <n v="53.19"/>
    <n v="53.19"/>
    <n v="0"/>
    <n v="0"/>
    <n v="0"/>
    <n v="265.95"/>
    <x v="44"/>
    <s v="App Mobile"/>
    <s v="App Mobile"/>
    <n v="265.95"/>
    <x v="110"/>
    <x v="2"/>
    <x v="110"/>
  </r>
  <r>
    <n v="1460"/>
    <x v="773"/>
    <n v="40"/>
    <n v="5"/>
    <n v="53.19"/>
    <n v="53.19"/>
    <n v="0"/>
    <n v="0"/>
    <n v="0"/>
    <n v="265.95"/>
    <x v="29"/>
    <s v="E-commerce"/>
    <s v="Website Banner"/>
    <n v="265.95"/>
    <x v="110"/>
    <x v="2"/>
    <x v="110"/>
  </r>
  <r>
    <n v="2422"/>
    <x v="820"/>
    <n v="262"/>
    <n v="5"/>
    <n v="52.94"/>
    <n v="52.94"/>
    <n v="0"/>
    <n v="0"/>
    <n v="0"/>
    <n v="264.7"/>
    <x v="50"/>
    <s v="App Mobile"/>
    <s v="App Mobile"/>
    <n v="264.7"/>
    <x v="111"/>
    <x v="3"/>
    <x v="111"/>
  </r>
  <r>
    <n v="139"/>
    <x v="730"/>
    <n v="147"/>
    <n v="5"/>
    <n v="52.91"/>
    <n v="52.91"/>
    <n v="0"/>
    <n v="0"/>
    <n v="0"/>
    <n v="264.55"/>
    <x v="23"/>
    <s v="E-commerce"/>
    <s v="Website Banner"/>
    <n v="264.54999999999995"/>
    <x v="354"/>
    <x v="1"/>
    <x v="354"/>
  </r>
  <r>
    <n v="1077"/>
    <x v="558"/>
    <n v="147"/>
    <n v="5"/>
    <n v="52.91"/>
    <n v="52.91"/>
    <n v="0"/>
    <n v="0"/>
    <n v="0"/>
    <n v="264.55"/>
    <x v="44"/>
    <s v="E-commerce"/>
    <s v="Website Banner"/>
    <n v="264.54999999999995"/>
    <x v="354"/>
    <x v="1"/>
    <x v="354"/>
  </r>
  <r>
    <n v="2294"/>
    <x v="219"/>
    <n v="147"/>
    <n v="5"/>
    <n v="52.91"/>
    <n v="52.91"/>
    <n v="0"/>
    <n v="0"/>
    <n v="0"/>
    <n v="264.55"/>
    <x v="36"/>
    <s v="E-commerce"/>
    <s v="Website Banner"/>
    <n v="264.54999999999995"/>
    <x v="354"/>
    <x v="1"/>
    <x v="354"/>
  </r>
  <r>
    <n v="298"/>
    <x v="805"/>
    <n v="75"/>
    <n v="5"/>
    <n v="52.83"/>
    <n v="52.83"/>
    <n v="0"/>
    <n v="0"/>
    <n v="0"/>
    <n v="264.14999999999998"/>
    <x v="50"/>
    <s v="App Mobile"/>
    <s v="App Mobile"/>
    <n v="264.14999999999998"/>
    <x v="113"/>
    <x v="3"/>
    <x v="113"/>
  </r>
  <r>
    <n v="2515"/>
    <x v="705"/>
    <n v="299"/>
    <n v="5"/>
    <n v="52.65"/>
    <n v="52.65"/>
    <n v="0"/>
    <n v="0"/>
    <n v="0"/>
    <n v="263.25"/>
    <x v="2"/>
    <s v="App Mobile"/>
    <s v="App Mobile"/>
    <n v="263.25"/>
    <x v="114"/>
    <x v="0"/>
    <x v="114"/>
  </r>
  <r>
    <n v="710"/>
    <x v="762"/>
    <n v="394"/>
    <n v="5"/>
    <n v="52.58"/>
    <n v="52.58"/>
    <n v="0"/>
    <n v="0"/>
    <n v="0"/>
    <n v="262.89999999999998"/>
    <x v="24"/>
    <s v="E-commerce"/>
    <s v="Website Banner"/>
    <n v="262.89999999999998"/>
    <x v="115"/>
    <x v="4"/>
    <x v="115"/>
  </r>
  <r>
    <n v="1353"/>
    <x v="382"/>
    <n v="394"/>
    <n v="5"/>
    <n v="52.58"/>
    <n v="52.58"/>
    <n v="0"/>
    <n v="0"/>
    <n v="0"/>
    <n v="262.89999999999998"/>
    <x v="14"/>
    <s v="App Mobile"/>
    <s v="App Mobile"/>
    <n v="262.89999999999998"/>
    <x v="115"/>
    <x v="4"/>
    <x v="115"/>
  </r>
  <r>
    <n v="427"/>
    <x v="209"/>
    <n v="354"/>
    <n v="5"/>
    <n v="52.42"/>
    <n v="52.42"/>
    <n v="0"/>
    <n v="0"/>
    <n v="0"/>
    <n v="262.10000000000002"/>
    <x v="4"/>
    <s v="E-commerce"/>
    <s v="Website Banner"/>
    <n v="262.10000000000002"/>
    <x v="497"/>
    <x v="4"/>
    <x v="497"/>
  </r>
  <r>
    <n v="100"/>
    <x v="668"/>
    <n v="432"/>
    <n v="5"/>
    <n v="52.39"/>
    <n v="52.39"/>
    <n v="0"/>
    <n v="0"/>
    <n v="0"/>
    <n v="261.95"/>
    <x v="19"/>
    <s v="E-commerce"/>
    <s v="Website Banner"/>
    <n v="261.95"/>
    <x v="356"/>
    <x v="4"/>
    <x v="356"/>
  </r>
  <r>
    <n v="475"/>
    <x v="895"/>
    <n v="445"/>
    <n v="5"/>
    <n v="52.28"/>
    <n v="52.28"/>
    <n v="0"/>
    <n v="0"/>
    <n v="0"/>
    <n v="261.39999999999998"/>
    <x v="33"/>
    <s v="E-commerce"/>
    <s v="Website Banner"/>
    <n v="261.39999999999998"/>
    <x v="117"/>
    <x v="3"/>
    <x v="117"/>
  </r>
  <r>
    <n v="830"/>
    <x v="285"/>
    <n v="445"/>
    <n v="5"/>
    <n v="52.28"/>
    <n v="52.28"/>
    <n v="0"/>
    <n v="0"/>
    <n v="0"/>
    <n v="261.39999999999998"/>
    <x v="50"/>
    <s v="E-commerce"/>
    <s v="Website Banner"/>
    <n v="261.39999999999998"/>
    <x v="117"/>
    <x v="3"/>
    <x v="117"/>
  </r>
  <r>
    <n v="1126"/>
    <x v="896"/>
    <n v="445"/>
    <n v="5"/>
    <n v="52.28"/>
    <n v="52.28"/>
    <n v="0"/>
    <n v="0"/>
    <n v="0"/>
    <n v="261.39999999999998"/>
    <x v="7"/>
    <s v="App Mobile"/>
    <s v="App Mobile"/>
    <n v="261.39999999999998"/>
    <x v="117"/>
    <x v="3"/>
    <x v="117"/>
  </r>
  <r>
    <n v="2010"/>
    <x v="445"/>
    <n v="181"/>
    <n v="5"/>
    <n v="52.18"/>
    <n v="52.18"/>
    <n v="0"/>
    <n v="0"/>
    <n v="0"/>
    <n v="260.89999999999998"/>
    <x v="40"/>
    <s v="App Mobile"/>
    <s v="App Mobile"/>
    <n v="260.89999999999998"/>
    <x v="119"/>
    <x v="1"/>
    <x v="119"/>
  </r>
  <r>
    <n v="2192"/>
    <x v="191"/>
    <n v="181"/>
    <n v="5"/>
    <n v="52.18"/>
    <n v="52.18"/>
    <n v="0"/>
    <n v="0"/>
    <n v="0"/>
    <n v="260.89999999999998"/>
    <x v="26"/>
    <s v="E-commerce"/>
    <s v="Website Banner"/>
    <n v="260.89999999999998"/>
    <x v="119"/>
    <x v="1"/>
    <x v="119"/>
  </r>
  <r>
    <n v="2383"/>
    <x v="669"/>
    <n v="181"/>
    <n v="5"/>
    <n v="52.18"/>
    <n v="52.18"/>
    <n v="0"/>
    <n v="0"/>
    <n v="0"/>
    <n v="260.89999999999998"/>
    <x v="40"/>
    <s v="E-commerce"/>
    <s v="Website Banner"/>
    <n v="260.89999999999998"/>
    <x v="119"/>
    <x v="1"/>
    <x v="119"/>
  </r>
  <r>
    <n v="334"/>
    <x v="802"/>
    <n v="217"/>
    <n v="5"/>
    <n v="52.12"/>
    <n v="52.12"/>
    <n v="0"/>
    <n v="0"/>
    <n v="0"/>
    <n v="260.60000000000002"/>
    <x v="5"/>
    <s v="E-commerce"/>
    <s v="Website Banner"/>
    <n v="260.59999999999997"/>
    <x v="168"/>
    <x v="4"/>
    <x v="168"/>
  </r>
  <r>
    <n v="2226"/>
    <x v="813"/>
    <n v="217"/>
    <n v="5"/>
    <n v="52.12"/>
    <n v="52.12"/>
    <n v="0"/>
    <n v="0"/>
    <n v="0"/>
    <n v="260.60000000000002"/>
    <x v="12"/>
    <s v="E-commerce"/>
    <s v="Website Banner"/>
    <n v="260.59999999999997"/>
    <x v="168"/>
    <x v="4"/>
    <x v="168"/>
  </r>
  <r>
    <n v="1503"/>
    <x v="151"/>
    <n v="275"/>
    <n v="5"/>
    <n v="52.11"/>
    <n v="52.11"/>
    <n v="0"/>
    <n v="0"/>
    <n v="0"/>
    <n v="260.55"/>
    <x v="43"/>
    <s v="E-commerce"/>
    <s v="Website Banner"/>
    <n v="260.55"/>
    <x v="169"/>
    <x v="4"/>
    <x v="169"/>
  </r>
  <r>
    <n v="2447"/>
    <x v="230"/>
    <n v="275"/>
    <n v="5"/>
    <n v="52.11"/>
    <n v="52.11"/>
    <n v="0"/>
    <n v="0"/>
    <n v="0"/>
    <n v="260.55"/>
    <x v="8"/>
    <s v="App Mobile"/>
    <s v="App Mobile"/>
    <n v="260.55"/>
    <x v="169"/>
    <x v="4"/>
    <x v="169"/>
  </r>
  <r>
    <n v="50"/>
    <x v="674"/>
    <n v="440"/>
    <n v="5"/>
    <n v="52.08"/>
    <n v="52.08"/>
    <n v="0"/>
    <n v="0"/>
    <n v="0"/>
    <n v="260.39999999999998"/>
    <x v="16"/>
    <s v="E-commerce"/>
    <s v="Website Banner"/>
    <n v="260.39999999999998"/>
    <x v="121"/>
    <x v="1"/>
    <x v="121"/>
  </r>
  <r>
    <n v="1903"/>
    <x v="239"/>
    <n v="426"/>
    <n v="5"/>
    <n v="51.97"/>
    <n v="51.97"/>
    <n v="0"/>
    <n v="0"/>
    <n v="0"/>
    <n v="259.85000000000002"/>
    <x v="11"/>
    <s v="E-commerce"/>
    <s v="Website Banner"/>
    <n v="259.85000000000002"/>
    <x v="359"/>
    <x v="0"/>
    <x v="359"/>
  </r>
  <r>
    <n v="1154"/>
    <x v="828"/>
    <n v="468"/>
    <n v="5"/>
    <n v="51.8"/>
    <n v="51.8"/>
    <n v="0"/>
    <n v="0"/>
    <n v="0"/>
    <n v="259"/>
    <x v="48"/>
    <s v="E-commerce"/>
    <s v="Website Banner"/>
    <n v="259"/>
    <x v="123"/>
    <x v="3"/>
    <x v="123"/>
  </r>
  <r>
    <n v="1377"/>
    <x v="850"/>
    <n v="468"/>
    <n v="5"/>
    <n v="51.8"/>
    <n v="51.8"/>
    <n v="0"/>
    <n v="0"/>
    <n v="0"/>
    <n v="259"/>
    <x v="5"/>
    <s v="E-commerce"/>
    <s v="Website Banner"/>
    <n v="259"/>
    <x v="123"/>
    <x v="3"/>
    <x v="123"/>
  </r>
  <r>
    <n v="1045"/>
    <x v="245"/>
    <n v="361"/>
    <n v="5"/>
    <n v="51.76"/>
    <n v="51.76"/>
    <n v="0"/>
    <n v="0"/>
    <n v="0"/>
    <n v="258.8"/>
    <x v="19"/>
    <s v="App Mobile"/>
    <s v="App Mobile"/>
    <n v="258.8"/>
    <x v="124"/>
    <x v="3"/>
    <x v="124"/>
  </r>
  <r>
    <n v="3131"/>
    <x v="19"/>
    <n v="361"/>
    <n v="5"/>
    <n v="51.76"/>
    <n v="51.76"/>
    <n v="0"/>
    <n v="0"/>
    <n v="0"/>
    <n v="258.8"/>
    <x v="6"/>
    <s v="App Mobile"/>
    <s v="App Mobile"/>
    <n v="258.8"/>
    <x v="124"/>
    <x v="3"/>
    <x v="124"/>
  </r>
  <r>
    <n v="2218"/>
    <x v="708"/>
    <n v="76"/>
    <n v="5"/>
    <n v="51.7"/>
    <n v="51.7"/>
    <n v="0"/>
    <n v="0"/>
    <n v="0"/>
    <n v="258.5"/>
    <x v="49"/>
    <s v="E-commerce"/>
    <s v="Website Banner"/>
    <n v="258.5"/>
    <x v="125"/>
    <x v="2"/>
    <x v="125"/>
  </r>
  <r>
    <n v="1215"/>
    <x v="872"/>
    <n v="367"/>
    <n v="5"/>
    <n v="51.38"/>
    <n v="51.38"/>
    <n v="0"/>
    <n v="0"/>
    <n v="0"/>
    <n v="256.89999999999998"/>
    <x v="24"/>
    <s v="App Mobile"/>
    <s v="App Mobile"/>
    <n v="256.90000000000003"/>
    <x v="128"/>
    <x v="0"/>
    <x v="128"/>
  </r>
  <r>
    <n v="1619"/>
    <x v="709"/>
    <n v="367"/>
    <n v="5"/>
    <n v="51.38"/>
    <n v="51.38"/>
    <n v="0"/>
    <n v="0"/>
    <n v="0"/>
    <n v="256.89999999999998"/>
    <x v="3"/>
    <s v="E-commerce"/>
    <s v="Website Banner"/>
    <n v="256.90000000000003"/>
    <x v="128"/>
    <x v="0"/>
    <x v="128"/>
  </r>
  <r>
    <n v="212"/>
    <x v="897"/>
    <n v="242"/>
    <n v="5"/>
    <n v="51.25"/>
    <n v="51.25"/>
    <n v="0"/>
    <n v="0"/>
    <n v="0"/>
    <n v="256.25"/>
    <x v="44"/>
    <s v="App Mobile"/>
    <s v="App Mobile"/>
    <n v="256.25"/>
    <x v="130"/>
    <x v="1"/>
    <x v="130"/>
  </r>
  <r>
    <n v="1648"/>
    <x v="671"/>
    <n v="242"/>
    <n v="5"/>
    <n v="51.25"/>
    <n v="51.25"/>
    <n v="0"/>
    <n v="0"/>
    <n v="0"/>
    <n v="256.25"/>
    <x v="4"/>
    <s v="E-commerce"/>
    <s v="Website Banner"/>
    <n v="256.25"/>
    <x v="130"/>
    <x v="1"/>
    <x v="130"/>
  </r>
  <r>
    <n v="2500"/>
    <x v="542"/>
    <n v="242"/>
    <n v="5"/>
    <n v="51.25"/>
    <n v="51.25"/>
    <n v="0"/>
    <n v="0"/>
    <n v="0"/>
    <n v="256.25"/>
    <x v="16"/>
    <s v="E-commerce"/>
    <s v="Website Banner"/>
    <n v="256.25"/>
    <x v="130"/>
    <x v="1"/>
    <x v="130"/>
  </r>
  <r>
    <n v="463"/>
    <x v="803"/>
    <n v="28"/>
    <n v="5"/>
    <n v="51.18"/>
    <n v="51.18"/>
    <n v="0"/>
    <n v="0"/>
    <n v="0"/>
    <n v="255.9"/>
    <x v="15"/>
    <s v="App Mobile"/>
    <s v="App Mobile"/>
    <n v="255.9"/>
    <x v="362"/>
    <x v="1"/>
    <x v="362"/>
  </r>
  <r>
    <n v="2292"/>
    <x v="524"/>
    <n v="28"/>
    <n v="5"/>
    <n v="51.18"/>
    <n v="51.18"/>
    <n v="0"/>
    <n v="0"/>
    <n v="0"/>
    <n v="255.9"/>
    <x v="26"/>
    <s v="E-commerce"/>
    <s v="Website Banner"/>
    <n v="255.9"/>
    <x v="362"/>
    <x v="1"/>
    <x v="362"/>
  </r>
  <r>
    <n v="1175"/>
    <x v="703"/>
    <n v="421"/>
    <n v="5"/>
    <n v="50.89"/>
    <n v="50.89"/>
    <n v="0"/>
    <n v="0"/>
    <n v="0"/>
    <n v="254.45"/>
    <x v="9"/>
    <s v="App Mobile"/>
    <s v="App Mobile"/>
    <n v="254.45"/>
    <x v="363"/>
    <x v="3"/>
    <x v="363"/>
  </r>
  <r>
    <n v="3331"/>
    <x v="561"/>
    <n v="421"/>
    <n v="5"/>
    <n v="50.89"/>
    <n v="50.89"/>
    <n v="0"/>
    <n v="0"/>
    <n v="0"/>
    <n v="254.45"/>
    <x v="13"/>
    <s v="E-commerce"/>
    <s v="Website Banner"/>
    <n v="254.45"/>
    <x v="363"/>
    <x v="3"/>
    <x v="363"/>
  </r>
  <r>
    <n v="994"/>
    <x v="568"/>
    <n v="290"/>
    <n v="5"/>
    <n v="50.86"/>
    <n v="50.86"/>
    <n v="0"/>
    <n v="0"/>
    <n v="0"/>
    <n v="254.3"/>
    <x v="13"/>
    <s v="E-commerce"/>
    <s v="Website Banner"/>
    <n v="254.3"/>
    <x v="137"/>
    <x v="3"/>
    <x v="137"/>
  </r>
  <r>
    <n v="3304"/>
    <x v="172"/>
    <n v="290"/>
    <n v="5"/>
    <n v="50.86"/>
    <n v="50.86"/>
    <n v="0"/>
    <n v="0"/>
    <n v="0"/>
    <n v="254.3"/>
    <x v="13"/>
    <s v="App Mobile"/>
    <s v="App Mobile"/>
    <n v="254.3"/>
    <x v="137"/>
    <x v="3"/>
    <x v="137"/>
  </r>
  <r>
    <n v="2374"/>
    <x v="861"/>
    <n v="253"/>
    <n v="5"/>
    <n v="50.55"/>
    <n v="50.55"/>
    <n v="0"/>
    <n v="0"/>
    <n v="0"/>
    <n v="252.75"/>
    <x v="23"/>
    <s v="App Mobile"/>
    <s v="App Mobile"/>
    <n v="252.75"/>
    <x v="141"/>
    <x v="4"/>
    <x v="141"/>
  </r>
  <r>
    <n v="1567"/>
    <x v="563"/>
    <n v="193"/>
    <n v="5"/>
    <n v="50.52"/>
    <n v="50.52"/>
    <n v="0"/>
    <n v="0"/>
    <n v="0"/>
    <n v="252.6"/>
    <x v="3"/>
    <s v="App Mobile"/>
    <s v="App Mobile"/>
    <n v="252.60000000000002"/>
    <x v="142"/>
    <x v="4"/>
    <x v="142"/>
  </r>
  <r>
    <n v="1346"/>
    <x v="534"/>
    <n v="310"/>
    <n v="5"/>
    <n v="72.099999999999994"/>
    <n v="50.47"/>
    <n v="21.63"/>
    <n v="0.3"/>
    <n v="1"/>
    <n v="252.35"/>
    <x v="42"/>
    <s v="App Mobile"/>
    <s v="App Mobile"/>
    <n v="252.35"/>
    <x v="431"/>
    <x v="2"/>
    <x v="431"/>
  </r>
  <r>
    <n v="1769"/>
    <x v="795"/>
    <n v="310"/>
    <n v="5"/>
    <n v="72.099999999999994"/>
    <n v="50.47"/>
    <n v="21.63"/>
    <n v="0.3"/>
    <n v="1"/>
    <n v="252.35"/>
    <x v="42"/>
    <s v="App Mobile"/>
    <s v="App Mobile"/>
    <n v="252.35"/>
    <x v="431"/>
    <x v="2"/>
    <x v="431"/>
  </r>
  <r>
    <n v="366"/>
    <x v="896"/>
    <n v="419"/>
    <n v="5"/>
    <n v="50.34"/>
    <n v="50.34"/>
    <n v="0"/>
    <n v="0"/>
    <n v="0"/>
    <n v="251.7"/>
    <x v="7"/>
    <s v="App Mobile"/>
    <s v="App Mobile"/>
    <n v="251.70000000000002"/>
    <x v="454"/>
    <x v="0"/>
    <x v="454"/>
  </r>
  <r>
    <n v="1166"/>
    <x v="128"/>
    <n v="370"/>
    <n v="5"/>
    <n v="50.34"/>
    <n v="50.34"/>
    <n v="0"/>
    <n v="0"/>
    <n v="0"/>
    <n v="251.7"/>
    <x v="5"/>
    <s v="E-commerce"/>
    <s v="Website Banner"/>
    <n v="251.70000000000002"/>
    <x v="143"/>
    <x v="4"/>
    <x v="143"/>
  </r>
  <r>
    <n v="3302"/>
    <x v="832"/>
    <n v="419"/>
    <n v="5"/>
    <n v="50.34"/>
    <n v="50.34"/>
    <n v="0"/>
    <n v="0"/>
    <n v="0"/>
    <n v="251.7"/>
    <x v="11"/>
    <s v="E-commerce"/>
    <s v="Website Banner"/>
    <n v="251.70000000000002"/>
    <x v="454"/>
    <x v="0"/>
    <x v="454"/>
  </r>
  <r>
    <n v="3075"/>
    <x v="849"/>
    <n v="69"/>
    <n v="5"/>
    <n v="49.98"/>
    <n v="49.98"/>
    <n v="0"/>
    <n v="0"/>
    <n v="0"/>
    <n v="249.9"/>
    <x v="21"/>
    <s v="App Mobile"/>
    <s v="App Mobile"/>
    <n v="249.89999999999998"/>
    <x v="145"/>
    <x v="1"/>
    <x v="145"/>
  </r>
  <r>
    <n v="1388"/>
    <x v="172"/>
    <n v="436"/>
    <n v="5"/>
    <n v="49.81"/>
    <n v="49.81"/>
    <n v="0"/>
    <n v="0"/>
    <n v="0"/>
    <n v="249.05"/>
    <x v="13"/>
    <s v="App Mobile"/>
    <s v="App Mobile"/>
    <n v="249.05"/>
    <x v="147"/>
    <x v="1"/>
    <x v="147"/>
  </r>
  <r>
    <n v="2962"/>
    <x v="436"/>
    <n v="219"/>
    <n v="5"/>
    <n v="49.76"/>
    <n v="49.76"/>
    <n v="0"/>
    <n v="0"/>
    <n v="0"/>
    <n v="248.8"/>
    <x v="2"/>
    <s v="App Mobile"/>
    <s v="App Mobile"/>
    <n v="248.79999999999998"/>
    <x v="148"/>
    <x v="1"/>
    <x v="148"/>
  </r>
  <r>
    <n v="736"/>
    <x v="331"/>
    <n v="173"/>
    <n v="5"/>
    <n v="49.74"/>
    <n v="49.74"/>
    <n v="0"/>
    <n v="0"/>
    <n v="0"/>
    <n v="248.7"/>
    <x v="1"/>
    <s v="App Mobile"/>
    <s v="App Mobile"/>
    <n v="248.70000000000002"/>
    <x v="149"/>
    <x v="0"/>
    <x v="149"/>
  </r>
  <r>
    <n v="253"/>
    <x v="199"/>
    <n v="268"/>
    <n v="5"/>
    <n v="49.59"/>
    <n v="49.59"/>
    <n v="0"/>
    <n v="0"/>
    <n v="0"/>
    <n v="247.95"/>
    <x v="25"/>
    <s v="E-commerce"/>
    <s v="Website Banner"/>
    <n v="247.95000000000002"/>
    <x v="150"/>
    <x v="3"/>
    <x v="150"/>
  </r>
  <r>
    <n v="722"/>
    <x v="499"/>
    <n v="190"/>
    <n v="5"/>
    <n v="49.41"/>
    <n v="49.41"/>
    <n v="0"/>
    <n v="0"/>
    <n v="0"/>
    <n v="247.05"/>
    <x v="48"/>
    <s v="App Mobile"/>
    <s v="App Mobile"/>
    <n v="247.04999999999998"/>
    <x v="151"/>
    <x v="0"/>
    <x v="151"/>
  </r>
  <r>
    <n v="2711"/>
    <x v="61"/>
    <n v="190"/>
    <n v="5"/>
    <n v="49.41"/>
    <n v="49.41"/>
    <n v="0"/>
    <n v="0"/>
    <n v="0"/>
    <n v="247.05"/>
    <x v="20"/>
    <s v="App Mobile"/>
    <s v="App Mobile"/>
    <n v="247.04999999999998"/>
    <x v="151"/>
    <x v="0"/>
    <x v="151"/>
  </r>
  <r>
    <n v="552"/>
    <x v="790"/>
    <n v="389"/>
    <n v="5"/>
    <n v="54.76"/>
    <n v="49.28"/>
    <n v="5.48"/>
    <n v="0.1"/>
    <n v="1"/>
    <n v="246.42"/>
    <x v="30"/>
    <s v="E-commerce"/>
    <s v="Website Banner"/>
    <n v="246.4"/>
    <x v="449"/>
    <x v="3"/>
    <x v="449"/>
  </r>
  <r>
    <n v="1606"/>
    <x v="389"/>
    <n v="301"/>
    <n v="5"/>
    <n v="48.72"/>
    <n v="48.72"/>
    <n v="0"/>
    <n v="0"/>
    <n v="0"/>
    <n v="243.6"/>
    <x v="30"/>
    <s v="App Mobile"/>
    <s v="App Mobile"/>
    <n v="243.6"/>
    <x v="369"/>
    <x v="0"/>
    <x v="369"/>
  </r>
  <r>
    <n v="727"/>
    <x v="645"/>
    <n v="460"/>
    <n v="5"/>
    <n v="48.64"/>
    <n v="48.64"/>
    <n v="0"/>
    <n v="0"/>
    <n v="0"/>
    <n v="243.2"/>
    <x v="8"/>
    <s v="App Mobile"/>
    <s v="App Mobile"/>
    <n v="243.2"/>
    <x v="155"/>
    <x v="4"/>
    <x v="155"/>
  </r>
  <r>
    <n v="175"/>
    <x v="21"/>
    <n v="274"/>
    <n v="5"/>
    <n v="48.38"/>
    <n v="48.38"/>
    <n v="0"/>
    <n v="0"/>
    <n v="0"/>
    <n v="241.9"/>
    <x v="8"/>
    <s v="App Mobile"/>
    <s v="App Mobile"/>
    <n v="241.9"/>
    <x v="467"/>
    <x v="3"/>
    <x v="467"/>
  </r>
  <r>
    <n v="152"/>
    <x v="476"/>
    <n v="34"/>
    <n v="5"/>
    <n v="48.34"/>
    <n v="48.34"/>
    <n v="0"/>
    <n v="0"/>
    <n v="0"/>
    <n v="241.7"/>
    <x v="35"/>
    <s v="App Mobile"/>
    <s v="App Mobile"/>
    <n v="241.70000000000002"/>
    <x v="157"/>
    <x v="0"/>
    <x v="157"/>
  </r>
  <r>
    <n v="2860"/>
    <x v="414"/>
    <n v="34"/>
    <n v="5"/>
    <n v="48.34"/>
    <n v="48.34"/>
    <n v="0"/>
    <n v="0"/>
    <n v="0"/>
    <n v="241.7"/>
    <x v="15"/>
    <s v="App Mobile"/>
    <s v="App Mobile"/>
    <n v="241.70000000000002"/>
    <x v="157"/>
    <x v="0"/>
    <x v="157"/>
  </r>
  <r>
    <n v="990"/>
    <x v="348"/>
    <n v="230"/>
    <n v="5"/>
    <n v="48.3"/>
    <n v="48.3"/>
    <n v="0"/>
    <n v="0"/>
    <n v="0"/>
    <n v="241.5"/>
    <x v="11"/>
    <s v="App Mobile"/>
    <s v="App Mobile"/>
    <n v="241.5"/>
    <x v="158"/>
    <x v="3"/>
    <x v="158"/>
  </r>
  <r>
    <n v="3317"/>
    <x v="471"/>
    <n v="230"/>
    <n v="5"/>
    <n v="48.3"/>
    <n v="48.3"/>
    <n v="0"/>
    <n v="0"/>
    <n v="0"/>
    <n v="241.5"/>
    <x v="19"/>
    <s v="E-commerce"/>
    <s v="Website Banner"/>
    <n v="241.5"/>
    <x v="158"/>
    <x v="3"/>
    <x v="158"/>
  </r>
  <r>
    <n v="3313"/>
    <x v="679"/>
    <n v="189"/>
    <n v="5"/>
    <n v="48.12"/>
    <n v="48.12"/>
    <n v="0"/>
    <n v="0"/>
    <n v="0"/>
    <n v="240.6"/>
    <x v="18"/>
    <s v="App Mobile"/>
    <s v="App Mobile"/>
    <n v="240.6"/>
    <x v="370"/>
    <x v="3"/>
    <x v="370"/>
  </r>
  <r>
    <n v="803"/>
    <x v="680"/>
    <n v="455"/>
    <n v="5"/>
    <n v="48.03"/>
    <n v="48.03"/>
    <n v="0"/>
    <n v="0"/>
    <n v="0"/>
    <n v="240.15"/>
    <x v="14"/>
    <s v="App Mobile"/>
    <s v="App Mobile"/>
    <n v="240.15"/>
    <x v="159"/>
    <x v="2"/>
    <x v="159"/>
  </r>
  <r>
    <n v="2903"/>
    <x v="889"/>
    <n v="121"/>
    <n v="5"/>
    <n v="47.91"/>
    <n v="47.91"/>
    <n v="0"/>
    <n v="0"/>
    <n v="0"/>
    <n v="239.55"/>
    <x v="7"/>
    <s v="E-commerce"/>
    <s v="Website Banner"/>
    <n v="239.54999999999998"/>
    <x v="160"/>
    <x v="1"/>
    <x v="160"/>
  </r>
  <r>
    <n v="769"/>
    <x v="105"/>
    <n v="409"/>
    <n v="5"/>
    <n v="47.84"/>
    <n v="47.84"/>
    <n v="0"/>
    <n v="0"/>
    <n v="0"/>
    <n v="239.2"/>
    <x v="0"/>
    <s v="App Mobile"/>
    <s v="App Mobile"/>
    <n v="239.20000000000002"/>
    <x v="371"/>
    <x v="1"/>
    <x v="371"/>
  </r>
  <r>
    <n v="1117"/>
    <x v="93"/>
    <n v="409"/>
    <n v="5"/>
    <n v="47.84"/>
    <n v="47.84"/>
    <n v="0"/>
    <n v="0"/>
    <n v="0"/>
    <n v="239.2"/>
    <x v="41"/>
    <s v="App Mobile"/>
    <s v="App Mobile"/>
    <n v="239.20000000000002"/>
    <x v="371"/>
    <x v="1"/>
    <x v="371"/>
  </r>
  <r>
    <n v="2179"/>
    <x v="665"/>
    <n v="409"/>
    <n v="5"/>
    <n v="47.84"/>
    <n v="47.84"/>
    <n v="0"/>
    <n v="0"/>
    <n v="0"/>
    <n v="239.2"/>
    <x v="9"/>
    <s v="App Mobile"/>
    <s v="App Mobile"/>
    <n v="239.20000000000002"/>
    <x v="371"/>
    <x v="1"/>
    <x v="371"/>
  </r>
  <r>
    <n v="2988"/>
    <x v="722"/>
    <n v="185"/>
    <n v="5"/>
    <n v="47.73"/>
    <n v="47.73"/>
    <n v="0"/>
    <n v="0"/>
    <n v="0"/>
    <n v="238.65"/>
    <x v="43"/>
    <s v="App Mobile"/>
    <s v="App Mobile"/>
    <n v="238.64999999999998"/>
    <x v="162"/>
    <x v="2"/>
    <x v="162"/>
  </r>
  <r>
    <n v="948"/>
    <x v="691"/>
    <n v="447"/>
    <n v="5"/>
    <n v="47.66"/>
    <n v="47.66"/>
    <n v="0"/>
    <n v="0"/>
    <n v="0"/>
    <n v="238.3"/>
    <x v="28"/>
    <s v="E-commerce"/>
    <s v="Website Banner"/>
    <n v="238.29999999999998"/>
    <x v="163"/>
    <x v="0"/>
    <x v="163"/>
  </r>
  <r>
    <n v="2603"/>
    <x v="784"/>
    <n v="447"/>
    <n v="5"/>
    <n v="47.66"/>
    <n v="47.66"/>
    <n v="0"/>
    <n v="0"/>
    <n v="0"/>
    <n v="238.3"/>
    <x v="10"/>
    <s v="App Mobile"/>
    <s v="App Mobile"/>
    <n v="238.29999999999998"/>
    <x v="163"/>
    <x v="0"/>
    <x v="163"/>
  </r>
  <r>
    <n v="297"/>
    <x v="857"/>
    <n v="482"/>
    <n v="5"/>
    <n v="47.59"/>
    <n v="47.59"/>
    <n v="0"/>
    <n v="0"/>
    <n v="0"/>
    <n v="237.95"/>
    <x v="49"/>
    <s v="E-commerce"/>
    <s v="Website Banner"/>
    <n v="237.95000000000002"/>
    <x v="164"/>
    <x v="0"/>
    <x v="164"/>
  </r>
  <r>
    <n v="3021"/>
    <x v="843"/>
    <n v="482"/>
    <n v="5"/>
    <n v="47.59"/>
    <n v="47.59"/>
    <n v="0"/>
    <n v="0"/>
    <n v="0"/>
    <n v="237.95"/>
    <x v="33"/>
    <s v="App Mobile"/>
    <s v="App Mobile"/>
    <n v="237.95000000000002"/>
    <x v="164"/>
    <x v="0"/>
    <x v="164"/>
  </r>
  <r>
    <n v="773"/>
    <x v="126"/>
    <n v="410"/>
    <n v="5"/>
    <n v="47.47"/>
    <n v="47.47"/>
    <n v="0"/>
    <n v="0"/>
    <n v="0"/>
    <n v="237.35"/>
    <x v="26"/>
    <s v="E-commerce"/>
    <s v="Website Banner"/>
    <n v="237.35"/>
    <x v="165"/>
    <x v="3"/>
    <x v="165"/>
  </r>
  <r>
    <n v="1469"/>
    <x v="163"/>
    <n v="410"/>
    <n v="5"/>
    <n v="47.47"/>
    <n v="47.47"/>
    <n v="0"/>
    <n v="0"/>
    <n v="0"/>
    <n v="237.35"/>
    <x v="45"/>
    <s v="E-commerce"/>
    <s v="Website Banner"/>
    <n v="237.35"/>
    <x v="165"/>
    <x v="3"/>
    <x v="165"/>
  </r>
  <r>
    <n v="2072"/>
    <x v="726"/>
    <n v="410"/>
    <n v="5"/>
    <n v="47.47"/>
    <n v="47.47"/>
    <n v="0"/>
    <n v="0"/>
    <n v="0"/>
    <n v="237.35"/>
    <x v="9"/>
    <s v="E-commerce"/>
    <s v="Website Banner"/>
    <n v="237.35"/>
    <x v="165"/>
    <x v="3"/>
    <x v="165"/>
  </r>
  <r>
    <n v="1811"/>
    <x v="898"/>
    <n v="365"/>
    <n v="5"/>
    <n v="67.760000000000005"/>
    <n v="47.43"/>
    <n v="20.329999999999998"/>
    <n v="0.3"/>
    <n v="1"/>
    <n v="237.16"/>
    <x v="42"/>
    <s v="App Mobile"/>
    <s v="App Mobile"/>
    <n v="237.15"/>
    <x v="319"/>
    <x v="4"/>
    <x v="319"/>
  </r>
  <r>
    <n v="1168"/>
    <x v="164"/>
    <n v="479"/>
    <n v="5"/>
    <n v="47.42"/>
    <n v="47.42"/>
    <n v="0"/>
    <n v="0"/>
    <n v="0"/>
    <n v="237.1"/>
    <x v="2"/>
    <s v="E-commerce"/>
    <s v="Website Banner"/>
    <n v="237.10000000000002"/>
    <x v="456"/>
    <x v="0"/>
    <x v="456"/>
  </r>
  <r>
    <n v="834"/>
    <x v="545"/>
    <n v="68"/>
    <n v="5"/>
    <n v="47.27"/>
    <n v="47.27"/>
    <n v="0"/>
    <n v="0"/>
    <n v="0"/>
    <n v="236.35"/>
    <x v="12"/>
    <s v="E-commerce"/>
    <s v="Website Banner"/>
    <n v="236.35000000000002"/>
    <x v="372"/>
    <x v="3"/>
    <x v="372"/>
  </r>
  <r>
    <n v="701"/>
    <x v="560"/>
    <n v="118"/>
    <n v="5"/>
    <n v="46.99"/>
    <n v="46.99"/>
    <n v="0"/>
    <n v="0"/>
    <n v="0"/>
    <n v="234.95"/>
    <x v="46"/>
    <s v="E-commerce"/>
    <s v="Website Banner"/>
    <n v="234.95000000000002"/>
    <x v="167"/>
    <x v="4"/>
    <x v="167"/>
  </r>
  <r>
    <n v="2165"/>
    <x v="808"/>
    <n v="132"/>
    <n v="5"/>
    <n v="46.9"/>
    <n v="46.9"/>
    <n v="0"/>
    <n v="0"/>
    <n v="0"/>
    <n v="234.5"/>
    <x v="37"/>
    <s v="App Mobile"/>
    <s v="App Mobile"/>
    <n v="234.5"/>
    <x v="170"/>
    <x v="1"/>
    <x v="170"/>
  </r>
  <r>
    <n v="3138"/>
    <x v="890"/>
    <n v="132"/>
    <n v="5"/>
    <n v="46.9"/>
    <n v="46.9"/>
    <n v="0"/>
    <n v="0"/>
    <n v="0"/>
    <n v="234.5"/>
    <x v="15"/>
    <s v="E-commerce"/>
    <s v="Website Banner"/>
    <n v="234.5"/>
    <x v="170"/>
    <x v="1"/>
    <x v="170"/>
  </r>
  <r>
    <n v="3214"/>
    <x v="249"/>
    <n v="132"/>
    <n v="5"/>
    <n v="46.9"/>
    <n v="46.9"/>
    <n v="0"/>
    <n v="0"/>
    <n v="0"/>
    <n v="234.5"/>
    <x v="50"/>
    <s v="E-commerce"/>
    <s v="Website Banner"/>
    <n v="234.5"/>
    <x v="170"/>
    <x v="1"/>
    <x v="170"/>
  </r>
  <r>
    <n v="1966"/>
    <x v="897"/>
    <n v="228"/>
    <n v="5"/>
    <n v="46.89"/>
    <n v="46.89"/>
    <n v="0"/>
    <n v="0"/>
    <n v="0"/>
    <n v="234.45"/>
    <x v="44"/>
    <s v="App Mobile"/>
    <s v="App Mobile"/>
    <n v="234.45"/>
    <x v="264"/>
    <x v="2"/>
    <x v="264"/>
  </r>
  <r>
    <n v="2487"/>
    <x v="111"/>
    <n v="228"/>
    <n v="5"/>
    <n v="46.89"/>
    <n v="46.89"/>
    <n v="0"/>
    <n v="0"/>
    <n v="0"/>
    <n v="234.45"/>
    <x v="23"/>
    <s v="E-commerce"/>
    <s v="Website Banner"/>
    <n v="234.45"/>
    <x v="264"/>
    <x v="2"/>
    <x v="264"/>
  </r>
  <r>
    <n v="2512"/>
    <x v="512"/>
    <n v="228"/>
    <n v="5"/>
    <n v="46.89"/>
    <n v="46.89"/>
    <n v="0"/>
    <n v="0"/>
    <n v="0"/>
    <n v="234.45"/>
    <x v="21"/>
    <s v="E-commerce"/>
    <s v="Website Banner"/>
    <n v="234.45"/>
    <x v="264"/>
    <x v="2"/>
    <x v="264"/>
  </r>
  <r>
    <n v="1350"/>
    <x v="559"/>
    <n v="349"/>
    <n v="5"/>
    <n v="46.72"/>
    <n v="46.72"/>
    <n v="0"/>
    <n v="0"/>
    <n v="0"/>
    <n v="233.6"/>
    <x v="3"/>
    <s v="App Mobile"/>
    <s v="App Mobile"/>
    <n v="233.6"/>
    <x v="171"/>
    <x v="1"/>
    <x v="171"/>
  </r>
  <r>
    <n v="2967"/>
    <x v="726"/>
    <n v="137"/>
    <n v="5"/>
    <n v="46.52"/>
    <n v="46.52"/>
    <n v="0"/>
    <n v="0"/>
    <n v="0"/>
    <n v="232.6"/>
    <x v="9"/>
    <s v="E-commerce"/>
    <s v="Website Banner"/>
    <n v="232.60000000000002"/>
    <x v="172"/>
    <x v="2"/>
    <x v="172"/>
  </r>
  <r>
    <n v="919"/>
    <x v="832"/>
    <n v="200"/>
    <n v="5"/>
    <n v="46.41"/>
    <n v="46.41"/>
    <n v="0"/>
    <n v="0"/>
    <n v="0"/>
    <n v="232.05"/>
    <x v="11"/>
    <s v="E-commerce"/>
    <s v="Website Banner"/>
    <n v="232.04999999999998"/>
    <x v="376"/>
    <x v="3"/>
    <x v="376"/>
  </r>
  <r>
    <n v="1642"/>
    <x v="899"/>
    <n v="261"/>
    <n v="5"/>
    <n v="46.1"/>
    <n v="46.1"/>
    <n v="0"/>
    <n v="0"/>
    <n v="0"/>
    <n v="230.5"/>
    <x v="34"/>
    <s v="App Mobile"/>
    <s v="App Mobile"/>
    <n v="230.5"/>
    <x v="377"/>
    <x v="4"/>
    <x v="377"/>
  </r>
  <r>
    <n v="1674"/>
    <x v="842"/>
    <n v="62"/>
    <n v="5"/>
    <n v="46.09"/>
    <n v="46.09"/>
    <n v="0"/>
    <n v="0"/>
    <n v="0"/>
    <n v="230.45"/>
    <x v="39"/>
    <s v="E-commerce"/>
    <s v="Website Banner"/>
    <n v="230.45000000000002"/>
    <x v="378"/>
    <x v="2"/>
    <x v="378"/>
  </r>
  <r>
    <n v="159"/>
    <x v="630"/>
    <n v="155"/>
    <n v="5"/>
    <n v="46.07"/>
    <n v="46.07"/>
    <n v="0"/>
    <n v="0"/>
    <n v="0"/>
    <n v="230.35"/>
    <x v="34"/>
    <s v="E-commerce"/>
    <s v="Website Banner"/>
    <n v="230.35"/>
    <x v="379"/>
    <x v="0"/>
    <x v="379"/>
  </r>
  <r>
    <n v="796"/>
    <x v="866"/>
    <n v="201"/>
    <n v="5"/>
    <n v="45.62"/>
    <n v="45.62"/>
    <n v="0"/>
    <n v="0"/>
    <n v="0"/>
    <n v="228.1"/>
    <x v="19"/>
    <s v="E-commerce"/>
    <s v="Website Banner"/>
    <n v="228.1"/>
    <x v="178"/>
    <x v="4"/>
    <x v="178"/>
  </r>
  <r>
    <n v="394"/>
    <x v="900"/>
    <n v="109"/>
    <n v="5"/>
    <n v="45.27"/>
    <n v="45.27"/>
    <n v="0"/>
    <n v="0"/>
    <n v="0"/>
    <n v="226.35"/>
    <x v="50"/>
    <s v="E-commerce"/>
    <s v="Website Banner"/>
    <n v="226.35000000000002"/>
    <x v="181"/>
    <x v="0"/>
    <x v="181"/>
  </r>
  <r>
    <n v="187"/>
    <x v="228"/>
    <n v="487"/>
    <n v="5"/>
    <n v="49.84"/>
    <n v="44.86"/>
    <n v="4.9800000000000004"/>
    <n v="0.1"/>
    <n v="1"/>
    <n v="224.28"/>
    <x v="37"/>
    <s v="E-commerce"/>
    <s v="Website Banner"/>
    <n v="224.3"/>
    <x v="146"/>
    <x v="1"/>
    <x v="146"/>
  </r>
  <r>
    <n v="851"/>
    <x v="69"/>
    <n v="12"/>
    <n v="5"/>
    <n v="44.77"/>
    <n v="44.77"/>
    <n v="0"/>
    <n v="0"/>
    <n v="0"/>
    <n v="223.85"/>
    <x v="29"/>
    <s v="E-commerce"/>
    <s v="Website Banner"/>
    <n v="223.85000000000002"/>
    <x v="184"/>
    <x v="0"/>
    <x v="184"/>
  </r>
  <r>
    <n v="2553"/>
    <x v="136"/>
    <n v="12"/>
    <n v="5"/>
    <n v="44.77"/>
    <n v="44.77"/>
    <n v="0"/>
    <n v="0"/>
    <n v="0"/>
    <n v="223.85"/>
    <x v="12"/>
    <s v="E-commerce"/>
    <s v="Website Banner"/>
    <n v="223.85000000000002"/>
    <x v="184"/>
    <x v="0"/>
    <x v="184"/>
  </r>
  <r>
    <n v="3122"/>
    <x v="895"/>
    <n v="322"/>
    <n v="5"/>
    <n v="44.45"/>
    <n v="44.45"/>
    <n v="0"/>
    <n v="0"/>
    <n v="0"/>
    <n v="222.25"/>
    <x v="33"/>
    <s v="E-commerce"/>
    <s v="Website Banner"/>
    <n v="222.25"/>
    <x v="185"/>
    <x v="0"/>
    <x v="185"/>
  </r>
  <r>
    <n v="84"/>
    <x v="892"/>
    <n v="55"/>
    <n v="5"/>
    <n v="44.32"/>
    <n v="44.32"/>
    <n v="0"/>
    <n v="0"/>
    <n v="0"/>
    <n v="221.6"/>
    <x v="47"/>
    <s v="E-commerce"/>
    <s v="Website Banner"/>
    <n v="221.6"/>
    <x v="186"/>
    <x v="4"/>
    <x v="186"/>
  </r>
  <r>
    <n v="1000"/>
    <x v="116"/>
    <n v="29"/>
    <n v="5"/>
    <n v="44.27"/>
    <n v="44.27"/>
    <n v="0"/>
    <n v="0"/>
    <n v="0"/>
    <n v="221.35"/>
    <x v="41"/>
    <s v="App Mobile"/>
    <s v="App Mobile"/>
    <n v="221.35000000000002"/>
    <x v="385"/>
    <x v="3"/>
    <x v="385"/>
  </r>
  <r>
    <n v="2180"/>
    <x v="103"/>
    <n v="489"/>
    <n v="5"/>
    <n v="44.21"/>
    <n v="44.21"/>
    <n v="0"/>
    <n v="0"/>
    <n v="0"/>
    <n v="221.05"/>
    <x v="26"/>
    <s v="E-commerce"/>
    <s v="Website Banner"/>
    <n v="221.05"/>
    <x v="458"/>
    <x v="4"/>
    <x v="458"/>
  </r>
  <r>
    <n v="3151"/>
    <x v="525"/>
    <n v="489"/>
    <n v="5"/>
    <n v="44.21"/>
    <n v="44.21"/>
    <n v="0"/>
    <n v="0"/>
    <n v="0"/>
    <n v="221.05"/>
    <x v="13"/>
    <s v="App Mobile"/>
    <s v="App Mobile"/>
    <n v="221.05"/>
    <x v="458"/>
    <x v="4"/>
    <x v="458"/>
  </r>
  <r>
    <n v="918"/>
    <x v="6"/>
    <n v="280"/>
    <n v="5"/>
    <n v="44.14"/>
    <n v="44.14"/>
    <n v="0"/>
    <n v="0"/>
    <n v="0"/>
    <n v="220.7"/>
    <x v="6"/>
    <s v="App Mobile"/>
    <s v="App Mobile"/>
    <n v="220.7"/>
    <x v="187"/>
    <x v="4"/>
    <x v="187"/>
  </r>
  <r>
    <n v="3074"/>
    <x v="98"/>
    <n v="280"/>
    <n v="5"/>
    <n v="44.14"/>
    <n v="44.14"/>
    <n v="0"/>
    <n v="0"/>
    <n v="0"/>
    <n v="220.7"/>
    <x v="43"/>
    <s v="App Mobile"/>
    <s v="App Mobile"/>
    <n v="220.7"/>
    <x v="187"/>
    <x v="4"/>
    <x v="187"/>
  </r>
  <r>
    <n v="660"/>
    <x v="251"/>
    <n v="184"/>
    <n v="5"/>
    <n v="44.08"/>
    <n v="44.08"/>
    <n v="0"/>
    <n v="0"/>
    <n v="0"/>
    <n v="220.4"/>
    <x v="19"/>
    <s v="E-commerce"/>
    <s v="Website Banner"/>
    <n v="220.39999999999998"/>
    <x v="189"/>
    <x v="2"/>
    <x v="189"/>
  </r>
  <r>
    <n v="2051"/>
    <x v="792"/>
    <n v="184"/>
    <n v="5"/>
    <n v="44.08"/>
    <n v="44.08"/>
    <n v="0"/>
    <n v="0"/>
    <n v="0"/>
    <n v="220.4"/>
    <x v="23"/>
    <s v="E-commerce"/>
    <s v="Website Banner"/>
    <n v="220.39999999999998"/>
    <x v="189"/>
    <x v="2"/>
    <x v="189"/>
  </r>
  <r>
    <n v="1866"/>
    <x v="853"/>
    <n v="231"/>
    <n v="5"/>
    <n v="44.06"/>
    <n v="44.06"/>
    <n v="0"/>
    <n v="0"/>
    <n v="0"/>
    <n v="220.3"/>
    <x v="50"/>
    <s v="E-commerce"/>
    <s v="Website Banner"/>
    <n v="220.3"/>
    <x v="190"/>
    <x v="1"/>
    <x v="190"/>
  </r>
  <r>
    <n v="72"/>
    <x v="886"/>
    <n v="411"/>
    <n v="5"/>
    <n v="43.94"/>
    <n v="43.94"/>
    <n v="0"/>
    <n v="0"/>
    <n v="0"/>
    <n v="219.7"/>
    <x v="2"/>
    <s v="App Mobile"/>
    <s v="App Mobile"/>
    <n v="219.7"/>
    <x v="459"/>
    <x v="3"/>
    <x v="459"/>
  </r>
  <r>
    <n v="2101"/>
    <x v="498"/>
    <n v="277"/>
    <n v="5"/>
    <n v="43.92"/>
    <n v="43.92"/>
    <n v="0"/>
    <n v="0"/>
    <n v="0"/>
    <n v="219.6"/>
    <x v="10"/>
    <s v="App Mobile"/>
    <s v="App Mobile"/>
    <n v="219.60000000000002"/>
    <x v="191"/>
    <x v="4"/>
    <x v="191"/>
  </r>
  <r>
    <n v="1830"/>
    <x v="806"/>
    <n v="312"/>
    <n v="5"/>
    <n v="43.84"/>
    <n v="43.84"/>
    <n v="0"/>
    <n v="0"/>
    <n v="0"/>
    <n v="219.2"/>
    <x v="49"/>
    <s v="App Mobile"/>
    <s v="App Mobile"/>
    <n v="219.20000000000002"/>
    <x v="386"/>
    <x v="0"/>
    <x v="386"/>
  </r>
  <r>
    <n v="1879"/>
    <x v="34"/>
    <n v="312"/>
    <n v="5"/>
    <n v="43.84"/>
    <n v="43.84"/>
    <n v="0"/>
    <n v="0"/>
    <n v="0"/>
    <n v="219.2"/>
    <x v="24"/>
    <s v="App Mobile"/>
    <s v="App Mobile"/>
    <n v="219.20000000000002"/>
    <x v="386"/>
    <x v="0"/>
    <x v="386"/>
  </r>
  <r>
    <n v="1345"/>
    <x v="688"/>
    <n v="363"/>
    <n v="5"/>
    <n v="43.64"/>
    <n v="43.64"/>
    <n v="0"/>
    <n v="0"/>
    <n v="0"/>
    <n v="218.2"/>
    <x v="1"/>
    <s v="App Mobile"/>
    <s v="App Mobile"/>
    <n v="218.2"/>
    <x v="192"/>
    <x v="0"/>
    <x v="192"/>
  </r>
  <r>
    <n v="1357"/>
    <x v="235"/>
    <n v="363"/>
    <n v="5"/>
    <n v="43.64"/>
    <n v="43.64"/>
    <n v="0"/>
    <n v="0"/>
    <n v="0"/>
    <n v="218.2"/>
    <x v="17"/>
    <s v="App Mobile"/>
    <s v="App Mobile"/>
    <n v="218.2"/>
    <x v="192"/>
    <x v="0"/>
    <x v="192"/>
  </r>
  <r>
    <n v="10"/>
    <x v="443"/>
    <n v="374"/>
    <n v="5"/>
    <n v="43.43"/>
    <n v="43.43"/>
    <n v="0"/>
    <n v="0"/>
    <n v="0"/>
    <n v="217.15"/>
    <x v="32"/>
    <s v="App Mobile"/>
    <s v="App Mobile"/>
    <n v="217.15"/>
    <x v="193"/>
    <x v="3"/>
    <x v="193"/>
  </r>
  <r>
    <n v="385"/>
    <x v="901"/>
    <n v="302"/>
    <n v="5"/>
    <n v="43.4"/>
    <n v="43.4"/>
    <n v="0"/>
    <n v="0"/>
    <n v="0"/>
    <n v="217"/>
    <x v="28"/>
    <s v="E-commerce"/>
    <s v="Website Banner"/>
    <n v="217"/>
    <x v="388"/>
    <x v="4"/>
    <x v="388"/>
  </r>
  <r>
    <n v="1888"/>
    <x v="282"/>
    <n v="429"/>
    <n v="5"/>
    <n v="43.34"/>
    <n v="43.34"/>
    <n v="0"/>
    <n v="0"/>
    <n v="0"/>
    <n v="216.7"/>
    <x v="45"/>
    <s v="E-commerce"/>
    <s v="Website Banner"/>
    <n v="216.70000000000002"/>
    <x v="389"/>
    <x v="4"/>
    <x v="389"/>
  </r>
  <r>
    <n v="622"/>
    <x v="883"/>
    <n v="21"/>
    <n v="5"/>
    <n v="43.3"/>
    <n v="43.3"/>
    <n v="0"/>
    <n v="0"/>
    <n v="0"/>
    <n v="216.5"/>
    <x v="49"/>
    <s v="App Mobile"/>
    <s v="App Mobile"/>
    <n v="216.5"/>
    <x v="498"/>
    <x v="1"/>
    <x v="498"/>
  </r>
  <r>
    <n v="3081"/>
    <x v="111"/>
    <n v="329"/>
    <n v="5"/>
    <n v="43.09"/>
    <n v="43.09"/>
    <n v="0"/>
    <n v="0"/>
    <n v="0"/>
    <n v="215.45"/>
    <x v="23"/>
    <s v="E-commerce"/>
    <s v="Website Banner"/>
    <n v="215.45000000000002"/>
    <x v="390"/>
    <x v="3"/>
    <x v="390"/>
  </r>
  <r>
    <n v="600"/>
    <x v="161"/>
    <n v="102"/>
    <n v="5"/>
    <n v="43.06"/>
    <n v="43.06"/>
    <n v="0"/>
    <n v="0"/>
    <n v="0"/>
    <n v="215.3"/>
    <x v="21"/>
    <s v="E-commerce"/>
    <s v="Website Banner"/>
    <n v="215.3"/>
    <x v="197"/>
    <x v="4"/>
    <x v="197"/>
  </r>
  <r>
    <n v="801"/>
    <x v="902"/>
    <n v="102"/>
    <n v="5"/>
    <n v="43.06"/>
    <n v="43.06"/>
    <n v="0"/>
    <n v="0"/>
    <n v="0"/>
    <n v="215.3"/>
    <x v="20"/>
    <s v="App Mobile"/>
    <s v="App Mobile"/>
    <n v="215.3"/>
    <x v="197"/>
    <x v="4"/>
    <x v="197"/>
  </r>
  <r>
    <n v="937"/>
    <x v="206"/>
    <n v="102"/>
    <n v="5"/>
    <n v="43.06"/>
    <n v="43.06"/>
    <n v="0"/>
    <n v="0"/>
    <n v="0"/>
    <n v="215.3"/>
    <x v="25"/>
    <s v="App Mobile"/>
    <s v="App Mobile"/>
    <n v="215.3"/>
    <x v="197"/>
    <x v="4"/>
    <x v="197"/>
  </r>
  <r>
    <n v="1578"/>
    <x v="48"/>
    <n v="369"/>
    <n v="5"/>
    <n v="43.04"/>
    <n v="43.04"/>
    <n v="0"/>
    <n v="0"/>
    <n v="0"/>
    <n v="215.2"/>
    <x v="4"/>
    <s v="E-commerce"/>
    <s v="Website Banner"/>
    <n v="215.2"/>
    <x v="198"/>
    <x v="0"/>
    <x v="198"/>
  </r>
  <r>
    <n v="1160"/>
    <x v="600"/>
    <n v="428"/>
    <n v="5"/>
    <n v="61.22"/>
    <n v="42.85"/>
    <n v="18.37"/>
    <n v="0.3"/>
    <n v="1"/>
    <n v="214.27"/>
    <x v="12"/>
    <s v="App Mobile"/>
    <s v="App Mobile"/>
    <n v="214.25"/>
    <x v="46"/>
    <x v="1"/>
    <x v="46"/>
  </r>
  <r>
    <n v="2942"/>
    <x v="300"/>
    <n v="352"/>
    <n v="5"/>
    <n v="61.12"/>
    <n v="42.78"/>
    <n v="18.34"/>
    <n v="0.3"/>
    <n v="1"/>
    <n v="213.92"/>
    <x v="12"/>
    <s v="App Mobile"/>
    <s v="App Mobile"/>
    <n v="213.9"/>
    <x v="333"/>
    <x v="3"/>
    <x v="333"/>
  </r>
  <r>
    <n v="1334"/>
    <x v="698"/>
    <n v="24"/>
    <n v="5"/>
    <n v="42.76"/>
    <n v="42.76"/>
    <n v="0"/>
    <n v="0"/>
    <n v="0"/>
    <n v="213.8"/>
    <x v="28"/>
    <s v="App Mobile"/>
    <s v="App Mobile"/>
    <n v="213.79999999999998"/>
    <x v="391"/>
    <x v="0"/>
    <x v="391"/>
  </r>
  <r>
    <n v="2167"/>
    <x v="868"/>
    <n v="476"/>
    <n v="5"/>
    <n v="42.72"/>
    <n v="42.72"/>
    <n v="0"/>
    <n v="0"/>
    <n v="0"/>
    <n v="213.6"/>
    <x v="48"/>
    <s v="E-commerce"/>
    <s v="Website Banner"/>
    <n v="213.6"/>
    <x v="199"/>
    <x v="1"/>
    <x v="199"/>
  </r>
  <r>
    <n v="3351"/>
    <x v="901"/>
    <n v="476"/>
    <n v="5"/>
    <n v="42.72"/>
    <n v="42.72"/>
    <n v="0"/>
    <n v="0"/>
    <n v="0"/>
    <n v="213.6"/>
    <x v="28"/>
    <s v="E-commerce"/>
    <s v="Website Banner"/>
    <n v="213.6"/>
    <x v="199"/>
    <x v="1"/>
    <x v="199"/>
  </r>
  <r>
    <n v="2"/>
    <x v="381"/>
    <n v="375"/>
    <n v="5"/>
    <n v="42.67"/>
    <n v="42.67"/>
    <n v="0"/>
    <n v="0"/>
    <n v="0"/>
    <n v="213.35"/>
    <x v="50"/>
    <s v="E-commerce"/>
    <s v="Website Banner"/>
    <n v="213.35000000000002"/>
    <x v="200"/>
    <x v="1"/>
    <x v="200"/>
  </r>
  <r>
    <n v="510"/>
    <x v="334"/>
    <n v="375"/>
    <n v="5"/>
    <n v="42.67"/>
    <n v="42.67"/>
    <n v="0"/>
    <n v="0"/>
    <n v="0"/>
    <n v="213.35"/>
    <x v="22"/>
    <s v="E-commerce"/>
    <s v="Website Banner"/>
    <n v="213.35000000000002"/>
    <x v="200"/>
    <x v="1"/>
    <x v="200"/>
  </r>
  <r>
    <n v="617"/>
    <x v="164"/>
    <n v="177"/>
    <n v="5"/>
    <n v="42.66"/>
    <n v="42.66"/>
    <n v="0"/>
    <n v="0"/>
    <n v="0"/>
    <n v="213.3"/>
    <x v="2"/>
    <s v="E-commerce"/>
    <s v="Website Banner"/>
    <n v="213.29999999999998"/>
    <x v="201"/>
    <x v="3"/>
    <x v="201"/>
  </r>
  <r>
    <n v="2503"/>
    <x v="461"/>
    <n v="135"/>
    <n v="5"/>
    <n v="42.47"/>
    <n v="42.47"/>
    <n v="0"/>
    <n v="0"/>
    <n v="0"/>
    <n v="212.35"/>
    <x v="33"/>
    <s v="E-commerce"/>
    <s v="Website Banner"/>
    <n v="212.35"/>
    <x v="203"/>
    <x v="1"/>
    <x v="203"/>
  </r>
  <r>
    <n v="153"/>
    <x v="898"/>
    <n v="191"/>
    <n v="5"/>
    <n v="60.52"/>
    <n v="42.36"/>
    <n v="18.16"/>
    <n v="0.3"/>
    <n v="1"/>
    <n v="211.82"/>
    <x v="42"/>
    <s v="App Mobile"/>
    <s v="App Mobile"/>
    <n v="211.8"/>
    <x v="335"/>
    <x v="0"/>
    <x v="335"/>
  </r>
  <r>
    <n v="1099"/>
    <x v="787"/>
    <n v="287"/>
    <n v="5"/>
    <n v="60.34"/>
    <n v="42.24"/>
    <n v="18.100000000000001"/>
    <n v="0.3"/>
    <n v="1"/>
    <n v="211.19"/>
    <x v="12"/>
    <s v="App Mobile"/>
    <s v="App Mobile"/>
    <n v="211.20000000000002"/>
    <x v="50"/>
    <x v="3"/>
    <x v="50"/>
  </r>
  <r>
    <n v="2870"/>
    <x v="14"/>
    <n v="309"/>
    <n v="5"/>
    <n v="42.14"/>
    <n v="42.14"/>
    <n v="0"/>
    <n v="0"/>
    <n v="0"/>
    <n v="210.7"/>
    <x v="13"/>
    <s v="App Mobile"/>
    <s v="App Mobile"/>
    <n v="210.7"/>
    <x v="205"/>
    <x v="0"/>
    <x v="205"/>
  </r>
  <r>
    <n v="337"/>
    <x v="623"/>
    <n v="136"/>
    <n v="5"/>
    <n v="46.8"/>
    <n v="42.12"/>
    <n v="4.68"/>
    <n v="0.1"/>
    <n v="1"/>
    <n v="210.6"/>
    <x v="32"/>
    <s v="E-commerce"/>
    <s v="Website Banner"/>
    <n v="210.6"/>
    <x v="375"/>
    <x v="2"/>
    <x v="375"/>
  </r>
  <r>
    <n v="755"/>
    <x v="881"/>
    <n v="344"/>
    <n v="5"/>
    <n v="42.1"/>
    <n v="42.1"/>
    <n v="0"/>
    <n v="0"/>
    <n v="0"/>
    <n v="210.5"/>
    <x v="12"/>
    <s v="E-commerce"/>
    <s v="Website Banner"/>
    <n v="210.5"/>
    <x v="206"/>
    <x v="4"/>
    <x v="206"/>
  </r>
  <r>
    <n v="761"/>
    <x v="835"/>
    <n v="202"/>
    <n v="5"/>
    <n v="41.88"/>
    <n v="41.88"/>
    <n v="0"/>
    <n v="0"/>
    <n v="0"/>
    <n v="209.4"/>
    <x v="28"/>
    <s v="App Mobile"/>
    <s v="App Mobile"/>
    <n v="209.4"/>
    <x v="207"/>
    <x v="4"/>
    <x v="207"/>
  </r>
  <r>
    <n v="1397"/>
    <x v="685"/>
    <n v="202"/>
    <n v="5"/>
    <n v="41.88"/>
    <n v="41.88"/>
    <n v="0"/>
    <n v="0"/>
    <n v="0"/>
    <n v="209.4"/>
    <x v="28"/>
    <s v="E-commerce"/>
    <s v="Website Banner"/>
    <n v="209.4"/>
    <x v="207"/>
    <x v="4"/>
    <x v="207"/>
  </r>
  <r>
    <n v="677"/>
    <x v="714"/>
    <n v="144"/>
    <n v="5"/>
    <n v="41.84"/>
    <n v="41.84"/>
    <n v="0"/>
    <n v="0"/>
    <n v="0"/>
    <n v="209.2"/>
    <x v="38"/>
    <s v="App Mobile"/>
    <s v="App Mobile"/>
    <n v="209.20000000000002"/>
    <x v="208"/>
    <x v="2"/>
    <x v="208"/>
  </r>
  <r>
    <n v="2835"/>
    <x v="526"/>
    <n v="172"/>
    <n v="5"/>
    <n v="41.7"/>
    <n v="41.7"/>
    <n v="0"/>
    <n v="0"/>
    <n v="0"/>
    <n v="208.5"/>
    <x v="35"/>
    <s v="E-commerce"/>
    <s v="Website Banner"/>
    <n v="208.5"/>
    <x v="209"/>
    <x v="1"/>
    <x v="209"/>
  </r>
  <r>
    <n v="1771"/>
    <x v="654"/>
    <n v="291"/>
    <n v="5"/>
    <n v="59.56"/>
    <n v="41.69"/>
    <n v="17.87"/>
    <n v="0.3"/>
    <n v="1"/>
    <n v="208.46"/>
    <x v="45"/>
    <s v="App Mobile"/>
    <s v="App Mobile"/>
    <n v="208.45"/>
    <x v="58"/>
    <x v="1"/>
    <x v="58"/>
  </r>
  <r>
    <n v="300"/>
    <x v="435"/>
    <n v="423"/>
    <n v="5"/>
    <n v="41.64"/>
    <n v="41.64"/>
    <n v="0"/>
    <n v="0"/>
    <n v="0"/>
    <n v="208.2"/>
    <x v="26"/>
    <s v="App Mobile"/>
    <s v="App Mobile"/>
    <n v="208.2"/>
    <x v="210"/>
    <x v="4"/>
    <x v="210"/>
  </r>
  <r>
    <n v="2832"/>
    <x v="785"/>
    <n v="423"/>
    <n v="5"/>
    <n v="41.64"/>
    <n v="41.64"/>
    <n v="0"/>
    <n v="0"/>
    <n v="0"/>
    <n v="208.2"/>
    <x v="7"/>
    <s v="E-commerce"/>
    <s v="Website Banner"/>
    <n v="208.2"/>
    <x v="210"/>
    <x v="4"/>
    <x v="210"/>
  </r>
  <r>
    <n v="1986"/>
    <x v="536"/>
    <n v="351"/>
    <n v="5"/>
    <n v="46.11"/>
    <n v="41.5"/>
    <n v="4.6100000000000003"/>
    <n v="0.1"/>
    <n v="1"/>
    <n v="207.5"/>
    <x v="37"/>
    <s v="E-commerce"/>
    <s v="Website Banner"/>
    <n v="207.5"/>
    <x v="174"/>
    <x v="2"/>
    <x v="174"/>
  </r>
  <r>
    <n v="2556"/>
    <x v="562"/>
    <n v="78"/>
    <n v="5"/>
    <n v="59.21"/>
    <n v="41.45"/>
    <n v="17.760000000000002"/>
    <n v="0.3"/>
    <n v="1"/>
    <n v="207.24"/>
    <x v="42"/>
    <s v="App Mobile"/>
    <s v="App Mobile"/>
    <n v="207.25"/>
    <x v="339"/>
    <x v="1"/>
    <x v="339"/>
  </r>
  <r>
    <n v="1552"/>
    <x v="693"/>
    <n v="86"/>
    <n v="5"/>
    <n v="41.26"/>
    <n v="41.26"/>
    <n v="0"/>
    <n v="0"/>
    <n v="0"/>
    <n v="206.3"/>
    <x v="44"/>
    <s v="App Mobile"/>
    <s v="App Mobile"/>
    <n v="206.29999999999998"/>
    <x v="213"/>
    <x v="3"/>
    <x v="213"/>
  </r>
  <r>
    <n v="1369"/>
    <x v="865"/>
    <n v="18"/>
    <n v="5"/>
    <n v="40.99"/>
    <n v="40.99"/>
    <n v="0"/>
    <n v="0"/>
    <n v="0"/>
    <n v="204.95"/>
    <x v="31"/>
    <s v="E-commerce"/>
    <s v="Website Banner"/>
    <n v="204.95000000000002"/>
    <x v="214"/>
    <x v="1"/>
    <x v="214"/>
  </r>
  <r>
    <n v="2268"/>
    <x v="157"/>
    <n v="18"/>
    <n v="5"/>
    <n v="40.99"/>
    <n v="40.99"/>
    <n v="0"/>
    <n v="0"/>
    <n v="0"/>
    <n v="204.95"/>
    <x v="23"/>
    <s v="App Mobile"/>
    <s v="App Mobile"/>
    <n v="204.95000000000002"/>
    <x v="214"/>
    <x v="1"/>
    <x v="214"/>
  </r>
  <r>
    <n v="2624"/>
    <x v="684"/>
    <n v="74"/>
    <n v="5"/>
    <n v="40.94"/>
    <n v="40.94"/>
    <n v="0"/>
    <n v="0"/>
    <n v="0"/>
    <n v="204.7"/>
    <x v="15"/>
    <s v="E-commerce"/>
    <s v="Website Banner"/>
    <n v="204.7"/>
    <x v="392"/>
    <x v="3"/>
    <x v="392"/>
  </r>
  <r>
    <n v="2581"/>
    <x v="863"/>
    <n v="293"/>
    <n v="5"/>
    <n v="40.770000000000003"/>
    <n v="40.770000000000003"/>
    <n v="0"/>
    <n v="0"/>
    <n v="0"/>
    <n v="203.85"/>
    <x v="9"/>
    <s v="App Mobile"/>
    <s v="App Mobile"/>
    <n v="203.85000000000002"/>
    <x v="216"/>
    <x v="1"/>
    <x v="216"/>
  </r>
  <r>
    <n v="2595"/>
    <x v="882"/>
    <n v="321"/>
    <n v="5"/>
    <n v="58.09"/>
    <n v="40.659999999999997"/>
    <n v="17.43"/>
    <n v="0.3"/>
    <n v="1"/>
    <n v="203.32"/>
    <x v="12"/>
    <s v="App Mobile"/>
    <s v="App Mobile"/>
    <n v="203.29999999999998"/>
    <x v="69"/>
    <x v="2"/>
    <x v="69"/>
  </r>
  <r>
    <n v="3193"/>
    <x v="74"/>
    <n v="9"/>
    <n v="5"/>
    <n v="40.5"/>
    <n v="40.5"/>
    <n v="0"/>
    <n v="0"/>
    <n v="0"/>
    <n v="202.5"/>
    <x v="38"/>
    <s v="App Mobile"/>
    <s v="App Mobile"/>
    <n v="202.5"/>
    <x v="218"/>
    <x v="1"/>
    <x v="218"/>
  </r>
  <r>
    <n v="2172"/>
    <x v="557"/>
    <n v="1"/>
    <n v="5"/>
    <n v="40.409999999999997"/>
    <n v="40.409999999999997"/>
    <n v="0"/>
    <n v="0"/>
    <n v="0"/>
    <n v="202.05"/>
    <x v="33"/>
    <s v="App Mobile"/>
    <s v="App Mobile"/>
    <n v="202.04999999999998"/>
    <x v="461"/>
    <x v="0"/>
    <x v="461"/>
  </r>
  <r>
    <n v="505"/>
    <x v="210"/>
    <n v="16"/>
    <n v="5"/>
    <n v="40.36"/>
    <n v="40.36"/>
    <n v="0"/>
    <n v="0"/>
    <n v="0"/>
    <n v="201.8"/>
    <x v="47"/>
    <s v="E-commerce"/>
    <s v="Website Banner"/>
    <n v="201.8"/>
    <x v="219"/>
    <x v="2"/>
    <x v="219"/>
  </r>
  <r>
    <n v="1231"/>
    <x v="715"/>
    <n v="92"/>
    <n v="5"/>
    <n v="40.25"/>
    <n v="40.25"/>
    <n v="0"/>
    <n v="0"/>
    <n v="0"/>
    <n v="201.25"/>
    <x v="28"/>
    <s v="App Mobile"/>
    <s v="App Mobile"/>
    <n v="201.25"/>
    <x v="220"/>
    <x v="1"/>
    <x v="220"/>
  </r>
  <r>
    <n v="88"/>
    <x v="903"/>
    <n v="226"/>
    <n v="5"/>
    <n v="39.78"/>
    <n v="39.78"/>
    <n v="0"/>
    <n v="0"/>
    <n v="0"/>
    <n v="198.9"/>
    <x v="24"/>
    <s v="E-commerce"/>
    <s v="Website Banner"/>
    <n v="198.9"/>
    <x v="224"/>
    <x v="3"/>
    <x v="224"/>
  </r>
  <r>
    <n v="158"/>
    <x v="661"/>
    <n v="325"/>
    <n v="5"/>
    <n v="39.78"/>
    <n v="39.78"/>
    <n v="0"/>
    <n v="0"/>
    <n v="0"/>
    <n v="198.9"/>
    <x v="7"/>
    <s v="E-commerce"/>
    <s v="Website Banner"/>
    <n v="198.9"/>
    <x v="223"/>
    <x v="1"/>
    <x v="223"/>
  </r>
  <r>
    <n v="1426"/>
    <x v="52"/>
    <n v="143"/>
    <n v="5"/>
    <n v="39.75"/>
    <n v="39.75"/>
    <n v="0"/>
    <n v="0"/>
    <n v="0"/>
    <n v="198.75"/>
    <x v="29"/>
    <s v="E-commerce"/>
    <s v="Website Banner"/>
    <n v="198.75"/>
    <x v="394"/>
    <x v="3"/>
    <x v="394"/>
  </r>
  <r>
    <n v="2016"/>
    <x v="265"/>
    <n v="143"/>
    <n v="5"/>
    <n v="39.75"/>
    <n v="39.75"/>
    <n v="0"/>
    <n v="0"/>
    <n v="0"/>
    <n v="198.75"/>
    <x v="7"/>
    <s v="App Mobile"/>
    <s v="App Mobile"/>
    <n v="198.75"/>
    <x v="394"/>
    <x v="3"/>
    <x v="394"/>
  </r>
  <r>
    <n v="3128"/>
    <x v="884"/>
    <n v="143"/>
    <n v="5"/>
    <n v="39.75"/>
    <n v="39.75"/>
    <n v="0"/>
    <n v="0"/>
    <n v="0"/>
    <n v="198.75"/>
    <x v="49"/>
    <s v="E-commerce"/>
    <s v="Website Banner"/>
    <n v="198.75"/>
    <x v="394"/>
    <x v="3"/>
    <x v="394"/>
  </r>
  <r>
    <n v="148"/>
    <x v="27"/>
    <n v="490"/>
    <n v="5"/>
    <n v="39.42"/>
    <n v="39.42"/>
    <n v="0"/>
    <n v="0"/>
    <n v="0"/>
    <n v="197.1"/>
    <x v="20"/>
    <s v="E-commerce"/>
    <s v="Website Banner"/>
    <n v="197.10000000000002"/>
    <x v="226"/>
    <x v="1"/>
    <x v="226"/>
  </r>
  <r>
    <n v="2373"/>
    <x v="276"/>
    <n v="178"/>
    <n v="5"/>
    <n v="39.340000000000003"/>
    <n v="39.340000000000003"/>
    <n v="0"/>
    <n v="0"/>
    <n v="0"/>
    <n v="196.7"/>
    <x v="43"/>
    <s v="App Mobile"/>
    <s v="App Mobile"/>
    <n v="196.70000000000002"/>
    <x v="227"/>
    <x v="2"/>
    <x v="227"/>
  </r>
  <r>
    <n v="1337"/>
    <x v="642"/>
    <n v="467"/>
    <n v="5"/>
    <n v="39.22"/>
    <n v="39.22"/>
    <n v="0"/>
    <n v="0"/>
    <n v="0"/>
    <n v="196.1"/>
    <x v="31"/>
    <s v="App Mobile"/>
    <s v="App Mobile"/>
    <n v="196.1"/>
    <x v="228"/>
    <x v="2"/>
    <x v="228"/>
  </r>
  <r>
    <n v="488"/>
    <x v="894"/>
    <n v="204"/>
    <n v="5"/>
    <n v="39.200000000000003"/>
    <n v="39.200000000000003"/>
    <n v="0"/>
    <n v="0"/>
    <n v="0"/>
    <n v="196"/>
    <x v="44"/>
    <s v="App Mobile"/>
    <s v="App Mobile"/>
    <n v="196"/>
    <x v="254"/>
    <x v="0"/>
    <x v="254"/>
  </r>
  <r>
    <n v="2189"/>
    <x v="902"/>
    <n v="204"/>
    <n v="5"/>
    <n v="39.200000000000003"/>
    <n v="39.200000000000003"/>
    <n v="0"/>
    <n v="0"/>
    <n v="0"/>
    <n v="196"/>
    <x v="20"/>
    <s v="App Mobile"/>
    <s v="App Mobile"/>
    <n v="196"/>
    <x v="254"/>
    <x v="0"/>
    <x v="254"/>
  </r>
  <r>
    <n v="3165"/>
    <x v="93"/>
    <n v="204"/>
    <n v="5"/>
    <n v="39.200000000000003"/>
    <n v="39.200000000000003"/>
    <n v="0"/>
    <n v="0"/>
    <n v="0"/>
    <n v="196"/>
    <x v="41"/>
    <s v="App Mobile"/>
    <s v="App Mobile"/>
    <n v="196"/>
    <x v="254"/>
    <x v="0"/>
    <x v="254"/>
  </r>
  <r>
    <n v="3341"/>
    <x v="581"/>
    <n v="204"/>
    <n v="5"/>
    <n v="39.200000000000003"/>
    <n v="39.200000000000003"/>
    <n v="0"/>
    <n v="0"/>
    <n v="0"/>
    <n v="196"/>
    <x v="46"/>
    <s v="App Mobile"/>
    <s v="App Mobile"/>
    <n v="196"/>
    <x v="254"/>
    <x v="0"/>
    <x v="254"/>
  </r>
  <r>
    <n v="904"/>
    <x v="338"/>
    <n v="113"/>
    <n v="5"/>
    <n v="39.18"/>
    <n v="39.18"/>
    <n v="0"/>
    <n v="0"/>
    <n v="0"/>
    <n v="195.9"/>
    <x v="44"/>
    <s v="App Mobile"/>
    <s v="App Mobile"/>
    <n v="195.9"/>
    <x v="229"/>
    <x v="0"/>
    <x v="229"/>
  </r>
  <r>
    <n v="2047"/>
    <x v="819"/>
    <n v="141"/>
    <n v="5"/>
    <n v="39.159999999999997"/>
    <n v="39.159999999999997"/>
    <n v="0"/>
    <n v="0"/>
    <n v="0"/>
    <n v="195.8"/>
    <x v="1"/>
    <s v="App Mobile"/>
    <s v="App Mobile"/>
    <n v="195.79999999999998"/>
    <x v="396"/>
    <x v="0"/>
    <x v="396"/>
  </r>
  <r>
    <n v="8"/>
    <x v="804"/>
    <n v="96"/>
    <n v="5"/>
    <n v="39.03"/>
    <n v="39.03"/>
    <n v="0"/>
    <n v="0"/>
    <n v="0"/>
    <n v="195.15"/>
    <x v="28"/>
    <s v="E-commerce"/>
    <s v="Website Banner"/>
    <n v="195.15"/>
    <x v="232"/>
    <x v="4"/>
    <x v="232"/>
  </r>
  <r>
    <n v="2579"/>
    <x v="740"/>
    <n v="180"/>
    <n v="5"/>
    <n v="38.81"/>
    <n v="38.81"/>
    <n v="0"/>
    <n v="0"/>
    <n v="0"/>
    <n v="194.05"/>
    <x v="15"/>
    <s v="E-commerce"/>
    <s v="Website Banner"/>
    <n v="194.05"/>
    <x v="234"/>
    <x v="1"/>
    <x v="234"/>
  </r>
  <r>
    <n v="2728"/>
    <x v="66"/>
    <n v="438"/>
    <n v="5"/>
    <n v="38.74"/>
    <n v="38.74"/>
    <n v="0"/>
    <n v="0"/>
    <n v="0"/>
    <n v="193.7"/>
    <x v="34"/>
    <s v="E-commerce"/>
    <s v="Website Banner"/>
    <n v="193.70000000000002"/>
    <x v="235"/>
    <x v="0"/>
    <x v="235"/>
  </r>
  <r>
    <n v="1922"/>
    <x v="264"/>
    <n v="446"/>
    <n v="5"/>
    <n v="55.14"/>
    <n v="38.6"/>
    <n v="16.54"/>
    <n v="0.3"/>
    <n v="1"/>
    <n v="192.99"/>
    <x v="42"/>
    <s v="App Mobile"/>
    <s v="App Mobile"/>
    <n v="193"/>
    <x v="397"/>
    <x v="4"/>
    <x v="397"/>
  </r>
  <r>
    <n v="1114"/>
    <x v="475"/>
    <n v="376"/>
    <n v="5"/>
    <n v="38.520000000000003"/>
    <n v="38.520000000000003"/>
    <n v="0"/>
    <n v="0"/>
    <n v="0"/>
    <n v="192.6"/>
    <x v="32"/>
    <s v="App Mobile"/>
    <s v="App Mobile"/>
    <n v="192.60000000000002"/>
    <x v="237"/>
    <x v="3"/>
    <x v="237"/>
  </r>
  <r>
    <n v="1864"/>
    <x v="752"/>
    <n v="376"/>
    <n v="5"/>
    <n v="38.520000000000003"/>
    <n v="38.520000000000003"/>
    <n v="0"/>
    <n v="0"/>
    <n v="0"/>
    <n v="192.6"/>
    <x v="14"/>
    <s v="App Mobile"/>
    <s v="App Mobile"/>
    <n v="192.60000000000002"/>
    <x v="237"/>
    <x v="3"/>
    <x v="237"/>
  </r>
  <r>
    <n v="62"/>
    <x v="230"/>
    <n v="484"/>
    <n v="5"/>
    <n v="38.49"/>
    <n v="38.49"/>
    <n v="0"/>
    <n v="0"/>
    <n v="0"/>
    <n v="192.45"/>
    <x v="8"/>
    <s v="App Mobile"/>
    <s v="App Mobile"/>
    <n v="192.45000000000002"/>
    <x v="412"/>
    <x v="2"/>
    <x v="412"/>
  </r>
  <r>
    <n v="2935"/>
    <x v="899"/>
    <n v="484"/>
    <n v="5"/>
    <n v="38.49"/>
    <n v="38.49"/>
    <n v="0"/>
    <n v="0"/>
    <n v="0"/>
    <n v="192.45"/>
    <x v="34"/>
    <s v="App Mobile"/>
    <s v="App Mobile"/>
    <n v="192.45000000000002"/>
    <x v="412"/>
    <x v="2"/>
    <x v="412"/>
  </r>
  <r>
    <n v="2994"/>
    <x v="575"/>
    <n v="484"/>
    <n v="5"/>
    <n v="38.49"/>
    <n v="38.49"/>
    <n v="0"/>
    <n v="0"/>
    <n v="0"/>
    <n v="192.45"/>
    <x v="29"/>
    <s v="E-commerce"/>
    <s v="Website Banner"/>
    <n v="192.45000000000002"/>
    <x v="412"/>
    <x v="2"/>
    <x v="412"/>
  </r>
  <r>
    <n v="1321"/>
    <x v="227"/>
    <n v="256"/>
    <n v="5"/>
    <n v="38.409999999999997"/>
    <n v="38.409999999999997"/>
    <n v="0"/>
    <n v="0"/>
    <n v="0"/>
    <n v="192.05"/>
    <x v="37"/>
    <s v="App Mobile"/>
    <s v="App Mobile"/>
    <n v="192.04999999999998"/>
    <x v="238"/>
    <x v="3"/>
    <x v="238"/>
  </r>
  <r>
    <n v="1877"/>
    <x v="829"/>
    <n v="498"/>
    <n v="5"/>
    <n v="38.33"/>
    <n v="38.33"/>
    <n v="0"/>
    <n v="0"/>
    <n v="0"/>
    <n v="191.65"/>
    <x v="29"/>
    <s v="E-commerce"/>
    <s v="Website Banner"/>
    <n v="191.64999999999998"/>
    <x v="399"/>
    <x v="4"/>
    <x v="399"/>
  </r>
  <r>
    <n v="156"/>
    <x v="891"/>
    <n v="496"/>
    <n v="5"/>
    <n v="54.61"/>
    <n v="38.229999999999997"/>
    <n v="16.38"/>
    <n v="0.3"/>
    <n v="1"/>
    <n v="191.14"/>
    <x v="27"/>
    <s v="App Mobile"/>
    <s v="App Mobile"/>
    <n v="191.14999999999998"/>
    <x v="348"/>
    <x v="2"/>
    <x v="348"/>
  </r>
  <r>
    <n v="741"/>
    <x v="689"/>
    <n v="240"/>
    <n v="5"/>
    <n v="38.14"/>
    <n v="38.14"/>
    <n v="0"/>
    <n v="0"/>
    <n v="0"/>
    <n v="190.7"/>
    <x v="21"/>
    <s v="App Mobile"/>
    <s v="App Mobile"/>
    <n v="190.7"/>
    <x v="239"/>
    <x v="2"/>
    <x v="239"/>
  </r>
  <r>
    <n v="333"/>
    <x v="794"/>
    <n v="48"/>
    <n v="5"/>
    <n v="54.38"/>
    <n v="38.07"/>
    <n v="16.309999999999999"/>
    <n v="0.3"/>
    <n v="1"/>
    <n v="190.33"/>
    <x v="42"/>
    <s v="App Mobile"/>
    <s v="App Mobile"/>
    <n v="190.35"/>
    <x v="240"/>
    <x v="1"/>
    <x v="240"/>
  </r>
  <r>
    <n v="694"/>
    <x v="146"/>
    <n v="387"/>
    <n v="5"/>
    <n v="38.06"/>
    <n v="38.06"/>
    <n v="0"/>
    <n v="0"/>
    <n v="0"/>
    <n v="190.3"/>
    <x v="36"/>
    <s v="E-commerce"/>
    <s v="Website Banner"/>
    <n v="190.3"/>
    <x v="241"/>
    <x v="3"/>
    <x v="241"/>
  </r>
  <r>
    <n v="1614"/>
    <x v="783"/>
    <n v="451"/>
    <n v="5"/>
    <n v="37.799999999999997"/>
    <n v="37.799999999999997"/>
    <n v="0"/>
    <n v="0"/>
    <n v="0"/>
    <n v="189"/>
    <x v="10"/>
    <s v="E-commerce"/>
    <s v="Website Banner"/>
    <n v="189"/>
    <x v="291"/>
    <x v="4"/>
    <x v="291"/>
  </r>
  <r>
    <n v="1116"/>
    <x v="729"/>
    <n v="318"/>
    <n v="5"/>
    <n v="37.549999999999997"/>
    <n v="37.549999999999997"/>
    <n v="0"/>
    <n v="0"/>
    <n v="0"/>
    <n v="187.75"/>
    <x v="8"/>
    <s v="App Mobile"/>
    <s v="App Mobile"/>
    <n v="187.75"/>
    <x v="487"/>
    <x v="4"/>
    <x v="487"/>
  </r>
  <r>
    <n v="3187"/>
    <x v="102"/>
    <n v="318"/>
    <n v="5"/>
    <n v="37.549999999999997"/>
    <n v="37.549999999999997"/>
    <n v="0"/>
    <n v="0"/>
    <n v="0"/>
    <n v="187.75"/>
    <x v="9"/>
    <s v="App Mobile"/>
    <s v="App Mobile"/>
    <n v="187.75"/>
    <x v="487"/>
    <x v="4"/>
    <x v="487"/>
  </r>
  <r>
    <n v="1267"/>
    <x v="731"/>
    <n v="208"/>
    <n v="5"/>
    <n v="37.450000000000003"/>
    <n v="37.450000000000003"/>
    <n v="0"/>
    <n v="0"/>
    <n v="0"/>
    <n v="187.25"/>
    <x v="21"/>
    <s v="E-commerce"/>
    <s v="Website Banner"/>
    <n v="187.25"/>
    <x v="244"/>
    <x v="4"/>
    <x v="244"/>
  </r>
  <r>
    <n v="1566"/>
    <x v="884"/>
    <n v="85"/>
    <n v="5"/>
    <n v="37.35"/>
    <n v="37.35"/>
    <n v="0"/>
    <n v="0"/>
    <n v="0"/>
    <n v="186.75"/>
    <x v="49"/>
    <s v="E-commerce"/>
    <s v="Website Banner"/>
    <n v="186.75"/>
    <x v="401"/>
    <x v="0"/>
    <x v="401"/>
  </r>
  <r>
    <n v="1266"/>
    <x v="757"/>
    <n v="492"/>
    <n v="5"/>
    <n v="37.119999999999997"/>
    <n v="37.119999999999997"/>
    <n v="0"/>
    <n v="0"/>
    <n v="0"/>
    <n v="185.6"/>
    <x v="47"/>
    <s v="E-commerce"/>
    <s v="Website Banner"/>
    <n v="185.6"/>
    <x v="403"/>
    <x v="2"/>
    <x v="403"/>
  </r>
  <r>
    <n v="1823"/>
    <x v="639"/>
    <n v="492"/>
    <n v="5"/>
    <n v="37.119999999999997"/>
    <n v="37.119999999999997"/>
    <n v="0"/>
    <n v="0"/>
    <n v="0"/>
    <n v="185.6"/>
    <x v="50"/>
    <s v="E-commerce"/>
    <s v="Website Banner"/>
    <n v="185.6"/>
    <x v="403"/>
    <x v="2"/>
    <x v="403"/>
  </r>
  <r>
    <n v="3087"/>
    <x v="789"/>
    <n v="243"/>
    <n v="5"/>
    <n v="37.06"/>
    <n v="37.06"/>
    <n v="0"/>
    <n v="0"/>
    <n v="0"/>
    <n v="185.3"/>
    <x v="1"/>
    <s v="E-commerce"/>
    <s v="Website Banner"/>
    <n v="185.3"/>
    <x v="246"/>
    <x v="3"/>
    <x v="246"/>
  </r>
  <r>
    <n v="2504"/>
    <x v="862"/>
    <n v="441"/>
    <n v="5"/>
    <n v="36.99"/>
    <n v="36.99"/>
    <n v="0"/>
    <n v="0"/>
    <n v="0"/>
    <n v="184.95"/>
    <x v="8"/>
    <s v="E-commerce"/>
    <s v="Website Banner"/>
    <n v="184.95000000000002"/>
    <x v="247"/>
    <x v="0"/>
    <x v="247"/>
  </r>
  <r>
    <n v="2173"/>
    <x v="508"/>
    <n v="251"/>
    <n v="5"/>
    <n v="36.880000000000003"/>
    <n v="36.880000000000003"/>
    <n v="0"/>
    <n v="0"/>
    <n v="0"/>
    <n v="184.4"/>
    <x v="17"/>
    <s v="E-commerce"/>
    <s v="Website Banner"/>
    <n v="184.4"/>
    <x v="248"/>
    <x v="4"/>
    <x v="248"/>
  </r>
  <r>
    <n v="1312"/>
    <x v="544"/>
    <n v="5"/>
    <n v="5"/>
    <n v="36.840000000000003"/>
    <n v="36.840000000000003"/>
    <n v="0"/>
    <n v="0"/>
    <n v="0"/>
    <n v="184.2"/>
    <x v="28"/>
    <s v="E-commerce"/>
    <s v="Website Banner"/>
    <n v="184.20000000000002"/>
    <x v="249"/>
    <x v="2"/>
    <x v="249"/>
  </r>
  <r>
    <n v="1355"/>
    <x v="757"/>
    <n v="5"/>
    <n v="5"/>
    <n v="36.840000000000003"/>
    <n v="36.840000000000003"/>
    <n v="0"/>
    <n v="0"/>
    <n v="0"/>
    <n v="184.2"/>
    <x v="47"/>
    <s v="E-commerce"/>
    <s v="Website Banner"/>
    <n v="184.20000000000002"/>
    <x v="249"/>
    <x v="2"/>
    <x v="249"/>
  </r>
  <r>
    <n v="3085"/>
    <x v="89"/>
    <n v="5"/>
    <n v="5"/>
    <n v="36.840000000000003"/>
    <n v="36.840000000000003"/>
    <n v="0"/>
    <n v="0"/>
    <n v="0"/>
    <n v="184.2"/>
    <x v="16"/>
    <s v="E-commerce"/>
    <s v="Website Banner"/>
    <n v="184.20000000000002"/>
    <x v="249"/>
    <x v="2"/>
    <x v="249"/>
  </r>
  <r>
    <n v="1544"/>
    <x v="821"/>
    <n v="248"/>
    <n v="5"/>
    <n v="36.79"/>
    <n v="36.79"/>
    <n v="0"/>
    <n v="0"/>
    <n v="0"/>
    <n v="183.95"/>
    <x v="35"/>
    <s v="App Mobile"/>
    <s v="App Mobile"/>
    <n v="183.95"/>
    <x v="463"/>
    <x v="4"/>
    <x v="463"/>
  </r>
  <r>
    <n v="2840"/>
    <x v="667"/>
    <n v="148"/>
    <n v="5"/>
    <n v="36.69"/>
    <n v="36.69"/>
    <n v="0"/>
    <n v="0"/>
    <n v="0"/>
    <n v="183.45"/>
    <x v="24"/>
    <s v="E-commerce"/>
    <s v="Website Banner"/>
    <n v="183.45"/>
    <x v="405"/>
    <x v="4"/>
    <x v="405"/>
  </r>
  <r>
    <n v="1518"/>
    <x v="844"/>
    <n v="495"/>
    <n v="5"/>
    <n v="36.65"/>
    <n v="36.65"/>
    <n v="0"/>
    <n v="0"/>
    <n v="0"/>
    <n v="183.25"/>
    <x v="24"/>
    <s v="App Mobile"/>
    <s v="App Mobile"/>
    <n v="183.25"/>
    <x v="250"/>
    <x v="0"/>
    <x v="250"/>
  </r>
  <r>
    <n v="2363"/>
    <x v="531"/>
    <n v="445"/>
    <n v="5"/>
    <n v="52.28"/>
    <n v="36.6"/>
    <n v="15.68"/>
    <n v="0.3"/>
    <n v="1"/>
    <n v="182.98"/>
    <x v="22"/>
    <s v="App Mobile"/>
    <s v="App Mobile"/>
    <n v="183"/>
    <x v="117"/>
    <x v="3"/>
    <x v="117"/>
  </r>
  <r>
    <n v="1678"/>
    <x v="688"/>
    <n v="364"/>
    <n v="5"/>
    <n v="36.340000000000003"/>
    <n v="36.340000000000003"/>
    <n v="0"/>
    <n v="0"/>
    <n v="0"/>
    <n v="181.7"/>
    <x v="1"/>
    <s v="App Mobile"/>
    <s v="App Mobile"/>
    <n v="181.70000000000002"/>
    <x v="406"/>
    <x v="0"/>
    <x v="406"/>
  </r>
  <r>
    <n v="1856"/>
    <x v="845"/>
    <n v="364"/>
    <n v="5"/>
    <n v="36.340000000000003"/>
    <n v="36.340000000000003"/>
    <n v="0"/>
    <n v="0"/>
    <n v="0"/>
    <n v="181.7"/>
    <x v="5"/>
    <s v="App Mobile"/>
    <s v="App Mobile"/>
    <n v="181.70000000000002"/>
    <x v="406"/>
    <x v="0"/>
    <x v="406"/>
  </r>
  <r>
    <n v="1012"/>
    <x v="793"/>
    <n v="259"/>
    <n v="5"/>
    <n v="35.729999999999997"/>
    <n v="35.729999999999997"/>
    <n v="0"/>
    <n v="0"/>
    <n v="0"/>
    <n v="178.65"/>
    <x v="18"/>
    <s v="App Mobile"/>
    <s v="App Mobile"/>
    <n v="178.64999999999998"/>
    <x v="410"/>
    <x v="2"/>
    <x v="410"/>
  </r>
  <r>
    <n v="1112"/>
    <x v="755"/>
    <n v="313"/>
    <n v="5"/>
    <n v="35.69"/>
    <n v="35.69"/>
    <n v="0"/>
    <n v="0"/>
    <n v="0"/>
    <n v="178.45"/>
    <x v="49"/>
    <s v="E-commerce"/>
    <s v="Website Banner"/>
    <n v="178.45"/>
    <x v="253"/>
    <x v="3"/>
    <x v="253"/>
  </r>
  <r>
    <n v="55"/>
    <x v="831"/>
    <n v="381"/>
    <n v="5"/>
    <n v="35.590000000000003"/>
    <n v="35.590000000000003"/>
    <n v="0"/>
    <n v="0"/>
    <n v="0"/>
    <n v="177.95"/>
    <x v="35"/>
    <s v="E-commerce"/>
    <s v="Website Banner"/>
    <n v="177.95000000000002"/>
    <x v="489"/>
    <x v="4"/>
    <x v="489"/>
  </r>
  <r>
    <n v="2772"/>
    <x v="663"/>
    <n v="370"/>
    <n v="5"/>
    <n v="50.34"/>
    <n v="35.24"/>
    <n v="15.1"/>
    <n v="0.3"/>
    <n v="1"/>
    <n v="176.19"/>
    <x v="22"/>
    <s v="App Mobile"/>
    <s v="App Mobile"/>
    <n v="176.20000000000002"/>
    <x v="143"/>
    <x v="4"/>
    <x v="143"/>
  </r>
  <r>
    <n v="192"/>
    <x v="289"/>
    <n v="414"/>
    <n v="5"/>
    <n v="35.200000000000003"/>
    <n v="35.200000000000003"/>
    <n v="0"/>
    <n v="0"/>
    <n v="0"/>
    <n v="176"/>
    <x v="22"/>
    <s v="E-commerce"/>
    <s v="Website Banner"/>
    <n v="176"/>
    <x v="255"/>
    <x v="3"/>
    <x v="255"/>
  </r>
  <r>
    <n v="1819"/>
    <x v="776"/>
    <n v="454"/>
    <n v="5"/>
    <n v="35.159999999999997"/>
    <n v="35.159999999999997"/>
    <n v="0"/>
    <n v="0"/>
    <n v="0"/>
    <n v="175.8"/>
    <x v="46"/>
    <s v="E-commerce"/>
    <s v="Website Banner"/>
    <n v="175.79999999999998"/>
    <x v="464"/>
    <x v="3"/>
    <x v="464"/>
  </r>
  <r>
    <n v="852"/>
    <x v="170"/>
    <n v="405"/>
    <n v="5"/>
    <n v="34.71"/>
    <n v="34.71"/>
    <n v="0"/>
    <n v="0"/>
    <n v="0"/>
    <n v="173.55"/>
    <x v="18"/>
    <s v="E-commerce"/>
    <s v="Website Banner"/>
    <n v="173.55"/>
    <x v="411"/>
    <x v="0"/>
    <x v="411"/>
  </r>
  <r>
    <n v="1399"/>
    <x v="75"/>
    <n v="59"/>
    <n v="5"/>
    <n v="34.58"/>
    <n v="34.58"/>
    <n v="0"/>
    <n v="0"/>
    <n v="0"/>
    <n v="172.9"/>
    <x v="18"/>
    <s v="E-commerce"/>
    <s v="Website Banner"/>
    <n v="172.89999999999998"/>
    <x v="256"/>
    <x v="3"/>
    <x v="256"/>
  </r>
  <r>
    <n v="2044"/>
    <x v="879"/>
    <n v="175"/>
    <n v="5"/>
    <n v="49.16"/>
    <n v="34.409999999999997"/>
    <n v="14.75"/>
    <n v="0.3"/>
    <n v="1"/>
    <n v="172.06"/>
    <x v="42"/>
    <s v="App Mobile"/>
    <s v="App Mobile"/>
    <n v="172.04999999999998"/>
    <x v="366"/>
    <x v="4"/>
    <x v="366"/>
  </r>
  <r>
    <n v="657"/>
    <x v="786"/>
    <n v="343"/>
    <n v="5"/>
    <n v="34.39"/>
    <n v="34.39"/>
    <n v="0"/>
    <n v="0"/>
    <n v="0"/>
    <n v="171.95"/>
    <x v="41"/>
    <s v="App Mobile"/>
    <s v="App Mobile"/>
    <n v="171.95"/>
    <x v="413"/>
    <x v="4"/>
    <x v="413"/>
  </r>
  <r>
    <n v="789"/>
    <x v="885"/>
    <n v="342"/>
    <n v="5"/>
    <n v="34.35"/>
    <n v="34.35"/>
    <n v="0"/>
    <n v="0"/>
    <n v="0"/>
    <n v="171.75"/>
    <x v="25"/>
    <s v="E-commerce"/>
    <s v="Website Banner"/>
    <n v="171.75"/>
    <x v="465"/>
    <x v="3"/>
    <x v="465"/>
  </r>
  <r>
    <n v="1928"/>
    <x v="810"/>
    <n v="342"/>
    <n v="5"/>
    <n v="34.35"/>
    <n v="34.35"/>
    <n v="0"/>
    <n v="0"/>
    <n v="0"/>
    <n v="171.75"/>
    <x v="5"/>
    <s v="App Mobile"/>
    <s v="App Mobile"/>
    <n v="171.75"/>
    <x v="465"/>
    <x v="3"/>
    <x v="465"/>
  </r>
  <r>
    <n v="1930"/>
    <x v="880"/>
    <n v="342"/>
    <n v="5"/>
    <n v="34.35"/>
    <n v="34.35"/>
    <n v="0"/>
    <n v="0"/>
    <n v="0"/>
    <n v="171.75"/>
    <x v="34"/>
    <s v="App Mobile"/>
    <s v="App Mobile"/>
    <n v="171.75"/>
    <x v="465"/>
    <x v="3"/>
    <x v="465"/>
  </r>
  <r>
    <n v="1484"/>
    <x v="399"/>
    <n v="13"/>
    <n v="5"/>
    <n v="34.25"/>
    <n v="34.25"/>
    <n v="0"/>
    <n v="0"/>
    <n v="0"/>
    <n v="171.25"/>
    <x v="13"/>
    <s v="E-commerce"/>
    <s v="Website Banner"/>
    <n v="171.25"/>
    <x v="466"/>
    <x v="1"/>
    <x v="466"/>
  </r>
  <r>
    <n v="595"/>
    <x v="243"/>
    <n v="388"/>
    <n v="5"/>
    <n v="34.229999999999997"/>
    <n v="34.229999999999997"/>
    <n v="0"/>
    <n v="0"/>
    <n v="0"/>
    <n v="171.15"/>
    <x v="48"/>
    <s v="E-commerce"/>
    <s v="Website Banner"/>
    <n v="171.14999999999998"/>
    <x v="258"/>
    <x v="0"/>
    <x v="258"/>
  </r>
  <r>
    <n v="1336"/>
    <x v="166"/>
    <n v="388"/>
    <n v="5"/>
    <n v="34.229999999999997"/>
    <n v="34.229999999999997"/>
    <n v="0"/>
    <n v="0"/>
    <n v="0"/>
    <n v="171.15"/>
    <x v="25"/>
    <s v="E-commerce"/>
    <s v="Website Banner"/>
    <n v="171.14999999999998"/>
    <x v="258"/>
    <x v="0"/>
    <x v="258"/>
  </r>
  <r>
    <n v="2534"/>
    <x v="505"/>
    <n v="388"/>
    <n v="5"/>
    <n v="34.229999999999997"/>
    <n v="34.229999999999997"/>
    <n v="0"/>
    <n v="0"/>
    <n v="0"/>
    <n v="171.15"/>
    <x v="50"/>
    <s v="App Mobile"/>
    <s v="App Mobile"/>
    <n v="171.14999999999998"/>
    <x v="258"/>
    <x v="0"/>
    <x v="258"/>
  </r>
  <r>
    <n v="2963"/>
    <x v="20"/>
    <n v="388"/>
    <n v="5"/>
    <n v="34.229999999999997"/>
    <n v="34.229999999999997"/>
    <n v="0"/>
    <n v="0"/>
    <n v="0"/>
    <n v="171.15"/>
    <x v="16"/>
    <s v="E-commerce"/>
    <s v="Website Banner"/>
    <n v="171.14999999999998"/>
    <x v="258"/>
    <x v="0"/>
    <x v="258"/>
  </r>
  <r>
    <n v="402"/>
    <x v="636"/>
    <n v="298"/>
    <n v="5"/>
    <n v="33.94"/>
    <n v="33.94"/>
    <n v="0"/>
    <n v="0"/>
    <n v="0"/>
    <n v="169.7"/>
    <x v="50"/>
    <s v="App Mobile"/>
    <s v="App Mobile"/>
    <n v="169.7"/>
    <x v="260"/>
    <x v="1"/>
    <x v="260"/>
  </r>
  <r>
    <n v="1977"/>
    <x v="626"/>
    <n v="330"/>
    <n v="5"/>
    <n v="33.94"/>
    <n v="33.94"/>
    <n v="0"/>
    <n v="0"/>
    <n v="0"/>
    <n v="169.7"/>
    <x v="44"/>
    <s v="E-commerce"/>
    <s v="Website Banner"/>
    <n v="169.7"/>
    <x v="298"/>
    <x v="3"/>
    <x v="298"/>
  </r>
  <r>
    <n v="3348"/>
    <x v="391"/>
    <n v="330"/>
    <n v="5"/>
    <n v="33.94"/>
    <n v="33.94"/>
    <n v="0"/>
    <n v="0"/>
    <n v="0"/>
    <n v="169.7"/>
    <x v="36"/>
    <s v="App Mobile"/>
    <s v="App Mobile"/>
    <n v="169.7"/>
    <x v="298"/>
    <x v="3"/>
    <x v="298"/>
  </r>
  <r>
    <n v="37"/>
    <x v="896"/>
    <n v="139"/>
    <n v="5"/>
    <n v="33.590000000000003"/>
    <n v="33.590000000000003"/>
    <n v="0"/>
    <n v="0"/>
    <n v="0"/>
    <n v="167.95"/>
    <x v="7"/>
    <s v="App Mobile"/>
    <s v="App Mobile"/>
    <n v="167.95000000000002"/>
    <x v="261"/>
    <x v="4"/>
    <x v="261"/>
  </r>
  <r>
    <n v="1626"/>
    <x v="215"/>
    <n v="409"/>
    <n v="5"/>
    <n v="47.84"/>
    <n v="33.49"/>
    <n v="14.35"/>
    <n v="0.3"/>
    <n v="1"/>
    <n v="167.44"/>
    <x v="42"/>
    <s v="App Mobile"/>
    <s v="App Mobile"/>
    <n v="167.45000000000002"/>
    <x v="371"/>
    <x v="1"/>
    <x v="371"/>
  </r>
  <r>
    <n v="2085"/>
    <x v="760"/>
    <n v="338"/>
    <n v="5"/>
    <n v="33.39"/>
    <n v="33.39"/>
    <n v="0"/>
    <n v="0"/>
    <n v="0"/>
    <n v="166.95"/>
    <x v="25"/>
    <s v="E-commerce"/>
    <s v="Website Banner"/>
    <n v="166.95"/>
    <x v="262"/>
    <x v="3"/>
    <x v="262"/>
  </r>
  <r>
    <n v="2295"/>
    <x v="253"/>
    <n v="338"/>
    <n v="5"/>
    <n v="33.39"/>
    <n v="33.39"/>
    <n v="0"/>
    <n v="0"/>
    <n v="0"/>
    <n v="166.95"/>
    <x v="11"/>
    <s v="App Mobile"/>
    <s v="App Mobile"/>
    <n v="166.95"/>
    <x v="262"/>
    <x v="3"/>
    <x v="262"/>
  </r>
  <r>
    <n v="446"/>
    <x v="603"/>
    <n v="169"/>
    <n v="5"/>
    <n v="32.94"/>
    <n v="32.94"/>
    <n v="0"/>
    <n v="0"/>
    <n v="0"/>
    <n v="164.7"/>
    <x v="10"/>
    <s v="App Mobile"/>
    <s v="App Mobile"/>
    <n v="164.7"/>
    <x v="263"/>
    <x v="3"/>
    <x v="263"/>
  </r>
  <r>
    <n v="1535"/>
    <x v="840"/>
    <n v="199"/>
    <n v="5"/>
    <n v="36.479999999999997"/>
    <n v="32.83"/>
    <n v="3.65"/>
    <n v="0.1"/>
    <n v="1"/>
    <n v="164.16"/>
    <x v="32"/>
    <s v="E-commerce"/>
    <s v="Website Banner"/>
    <n v="164.14999999999998"/>
    <x v="488"/>
    <x v="0"/>
    <x v="488"/>
  </r>
  <r>
    <n v="1738"/>
    <x v="364"/>
    <n v="497"/>
    <n v="5"/>
    <n v="36.049999999999997"/>
    <n v="32.44"/>
    <n v="3.6"/>
    <n v="0.1"/>
    <n v="1"/>
    <n v="162.22"/>
    <x v="37"/>
    <s v="E-commerce"/>
    <s v="Website Banner"/>
    <n v="162.19999999999999"/>
    <x v="407"/>
    <x v="0"/>
    <x v="407"/>
  </r>
  <r>
    <n v="1848"/>
    <x v="238"/>
    <n v="82"/>
    <n v="5"/>
    <n v="32.21"/>
    <n v="32.21"/>
    <n v="0"/>
    <n v="0"/>
    <n v="0"/>
    <n v="161.05000000000001"/>
    <x v="0"/>
    <s v="E-commerce"/>
    <s v="Website Banner"/>
    <n v="161.05000000000001"/>
    <x v="266"/>
    <x v="0"/>
    <x v="266"/>
  </r>
  <r>
    <n v="2826"/>
    <x v="144"/>
    <n v="259"/>
    <n v="5"/>
    <n v="35.729999999999997"/>
    <n v="32.159999999999997"/>
    <n v="3.57"/>
    <n v="0.1"/>
    <n v="1"/>
    <n v="160.78"/>
    <x v="37"/>
    <s v="E-commerce"/>
    <s v="Website Banner"/>
    <n v="160.79999999999998"/>
    <x v="410"/>
    <x v="2"/>
    <x v="410"/>
  </r>
  <r>
    <n v="815"/>
    <x v="874"/>
    <n v="84"/>
    <n v="5"/>
    <n v="31.84"/>
    <n v="31.84"/>
    <n v="0"/>
    <n v="0"/>
    <n v="0"/>
    <n v="159.19999999999999"/>
    <x v="21"/>
    <s v="App Mobile"/>
    <s v="App Mobile"/>
    <n v="159.19999999999999"/>
    <x v="270"/>
    <x v="1"/>
    <x v="270"/>
  </r>
  <r>
    <n v="891"/>
    <x v="259"/>
    <n v="418"/>
    <n v="5"/>
    <n v="31.84"/>
    <n v="31.84"/>
    <n v="0"/>
    <n v="0"/>
    <n v="0"/>
    <n v="159.19999999999999"/>
    <x v="15"/>
    <s v="E-commerce"/>
    <s v="Website Banner"/>
    <n v="159.19999999999999"/>
    <x v="269"/>
    <x v="1"/>
    <x v="269"/>
  </r>
  <r>
    <n v="97"/>
    <x v="637"/>
    <n v="90"/>
    <n v="5"/>
    <n v="31.67"/>
    <n v="31.67"/>
    <n v="0"/>
    <n v="0"/>
    <n v="0"/>
    <n v="158.35"/>
    <x v="48"/>
    <s v="E-commerce"/>
    <s v="Website Banner"/>
    <n v="158.35000000000002"/>
    <x v="271"/>
    <x v="1"/>
    <x v="271"/>
  </r>
  <r>
    <n v="3094"/>
    <x v="142"/>
    <n v="457"/>
    <n v="5"/>
    <n v="31.61"/>
    <n v="31.61"/>
    <n v="0"/>
    <n v="0"/>
    <n v="0"/>
    <n v="158.05000000000001"/>
    <x v="2"/>
    <s v="App Mobile"/>
    <s v="App Mobile"/>
    <n v="158.05000000000001"/>
    <x v="272"/>
    <x v="4"/>
    <x v="272"/>
  </r>
  <r>
    <n v="166"/>
    <x v="539"/>
    <n v="128"/>
    <n v="5"/>
    <n v="44.9"/>
    <n v="31.43"/>
    <n v="13.47"/>
    <n v="0.3"/>
    <n v="1"/>
    <n v="157.15"/>
    <x v="29"/>
    <s v="App Mobile"/>
    <s v="App Mobile"/>
    <n v="157.15"/>
    <x v="383"/>
    <x v="4"/>
    <x v="383"/>
  </r>
  <r>
    <n v="165"/>
    <x v="275"/>
    <n v="95"/>
    <n v="5"/>
    <n v="31.15"/>
    <n v="31.15"/>
    <n v="0"/>
    <n v="0"/>
    <n v="0"/>
    <n v="155.75"/>
    <x v="1"/>
    <s v="App Mobile"/>
    <s v="App Mobile"/>
    <n v="155.75"/>
    <x v="274"/>
    <x v="3"/>
    <x v="274"/>
  </r>
  <r>
    <n v="1662"/>
    <x v="280"/>
    <n v="95"/>
    <n v="5"/>
    <n v="31.15"/>
    <n v="31.15"/>
    <n v="0"/>
    <n v="0"/>
    <n v="0"/>
    <n v="155.75"/>
    <x v="5"/>
    <s v="E-commerce"/>
    <s v="Website Banner"/>
    <n v="155.75"/>
    <x v="274"/>
    <x v="3"/>
    <x v="274"/>
  </r>
  <r>
    <n v="1846"/>
    <x v="222"/>
    <n v="184"/>
    <n v="5"/>
    <n v="44.08"/>
    <n v="30.86"/>
    <n v="13.22"/>
    <n v="0.3"/>
    <n v="1"/>
    <n v="154.28"/>
    <x v="42"/>
    <s v="App Mobile"/>
    <s v="App Mobile"/>
    <n v="154.30000000000001"/>
    <x v="189"/>
    <x v="2"/>
    <x v="189"/>
  </r>
  <r>
    <n v="885"/>
    <x v="675"/>
    <n v="401"/>
    <n v="5"/>
    <n v="30.83"/>
    <n v="30.83"/>
    <n v="0"/>
    <n v="0"/>
    <n v="0"/>
    <n v="154.15"/>
    <x v="46"/>
    <s v="App Mobile"/>
    <s v="App Mobile"/>
    <n v="154.14999999999998"/>
    <x v="276"/>
    <x v="0"/>
    <x v="276"/>
  </r>
  <r>
    <n v="1587"/>
    <x v="893"/>
    <n v="401"/>
    <n v="5"/>
    <n v="30.83"/>
    <n v="30.83"/>
    <n v="0"/>
    <n v="0"/>
    <n v="0"/>
    <n v="154.15"/>
    <x v="27"/>
    <s v="E-commerce"/>
    <s v="Website Banner"/>
    <n v="154.14999999999998"/>
    <x v="276"/>
    <x v="0"/>
    <x v="276"/>
  </r>
  <r>
    <n v="1948"/>
    <x v="421"/>
    <n v="401"/>
    <n v="5"/>
    <n v="30.83"/>
    <n v="30.83"/>
    <n v="0"/>
    <n v="0"/>
    <n v="0"/>
    <n v="154.15"/>
    <x v="18"/>
    <s v="App Mobile"/>
    <s v="App Mobile"/>
    <n v="154.14999999999998"/>
    <x v="276"/>
    <x v="0"/>
    <x v="276"/>
  </r>
  <r>
    <n v="469"/>
    <x v="424"/>
    <n v="431"/>
    <n v="5"/>
    <n v="30.41"/>
    <n v="30.41"/>
    <n v="0"/>
    <n v="0"/>
    <n v="0"/>
    <n v="152.05000000000001"/>
    <x v="29"/>
    <s v="E-commerce"/>
    <s v="Website Banner"/>
    <n v="152.05000000000001"/>
    <x v="277"/>
    <x v="1"/>
    <x v="277"/>
  </r>
  <r>
    <n v="561"/>
    <x v="888"/>
    <n v="431"/>
    <n v="5"/>
    <n v="30.41"/>
    <n v="30.41"/>
    <n v="0"/>
    <n v="0"/>
    <n v="0"/>
    <n v="152.05000000000001"/>
    <x v="47"/>
    <s v="E-commerce"/>
    <s v="Website Banner"/>
    <n v="152.05000000000001"/>
    <x v="277"/>
    <x v="1"/>
    <x v="277"/>
  </r>
  <r>
    <n v="2204"/>
    <x v="176"/>
    <n v="431"/>
    <n v="5"/>
    <n v="30.41"/>
    <n v="30.41"/>
    <n v="0"/>
    <n v="0"/>
    <n v="0"/>
    <n v="152.05000000000001"/>
    <x v="16"/>
    <s v="App Mobile"/>
    <s v="App Mobile"/>
    <n v="152.05000000000001"/>
    <x v="277"/>
    <x v="1"/>
    <x v="277"/>
  </r>
  <r>
    <n v="3050"/>
    <x v="725"/>
    <n v="431"/>
    <n v="5"/>
    <n v="30.41"/>
    <n v="30.41"/>
    <n v="0"/>
    <n v="0"/>
    <n v="0"/>
    <n v="152.05000000000001"/>
    <x v="33"/>
    <s v="E-commerce"/>
    <s v="Website Banner"/>
    <n v="152.05000000000001"/>
    <x v="277"/>
    <x v="1"/>
    <x v="277"/>
  </r>
  <r>
    <n v="2127"/>
    <x v="527"/>
    <n v="339"/>
    <n v="5"/>
    <n v="30.35"/>
    <n v="30.35"/>
    <n v="0"/>
    <n v="0"/>
    <n v="0"/>
    <n v="151.75"/>
    <x v="13"/>
    <s v="App Mobile"/>
    <s v="App Mobile"/>
    <n v="151.75"/>
    <x v="416"/>
    <x v="4"/>
    <x v="416"/>
  </r>
  <r>
    <n v="3267"/>
    <x v="636"/>
    <n v="171"/>
    <n v="5"/>
    <n v="30.26"/>
    <n v="30.26"/>
    <n v="0"/>
    <n v="0"/>
    <n v="0"/>
    <n v="151.30000000000001"/>
    <x v="50"/>
    <s v="App Mobile"/>
    <s v="App Mobile"/>
    <n v="151.30000000000001"/>
    <x v="278"/>
    <x v="0"/>
    <x v="278"/>
  </r>
  <r>
    <n v="3092"/>
    <x v="882"/>
    <n v="329"/>
    <n v="5"/>
    <n v="43.09"/>
    <n v="30.16"/>
    <n v="12.93"/>
    <n v="0.3"/>
    <n v="1"/>
    <n v="150.82"/>
    <x v="12"/>
    <s v="App Mobile"/>
    <s v="App Mobile"/>
    <n v="150.80000000000001"/>
    <x v="390"/>
    <x v="3"/>
    <x v="390"/>
  </r>
  <r>
    <n v="2615"/>
    <x v="742"/>
    <n v="499"/>
    <n v="5"/>
    <n v="30.07"/>
    <n v="30.07"/>
    <n v="0"/>
    <n v="0"/>
    <n v="0"/>
    <n v="150.35"/>
    <x v="34"/>
    <s v="E-commerce"/>
    <s v="Website Banner"/>
    <n v="150.35"/>
    <x v="469"/>
    <x v="3"/>
    <x v="469"/>
  </r>
  <r>
    <n v="90"/>
    <x v="584"/>
    <n v="88"/>
    <n v="5"/>
    <n v="29.81"/>
    <n v="29.81"/>
    <n v="0"/>
    <n v="0"/>
    <n v="0"/>
    <n v="149.05000000000001"/>
    <x v="11"/>
    <s v="E-commerce"/>
    <s v="Website Banner"/>
    <n v="149.04999999999998"/>
    <x v="281"/>
    <x v="3"/>
    <x v="281"/>
  </r>
  <r>
    <n v="493"/>
    <x v="395"/>
    <n v="88"/>
    <n v="5"/>
    <n v="29.81"/>
    <n v="29.81"/>
    <n v="0"/>
    <n v="0"/>
    <n v="0"/>
    <n v="149.05000000000001"/>
    <x v="7"/>
    <s v="App Mobile"/>
    <s v="App Mobile"/>
    <n v="149.04999999999998"/>
    <x v="281"/>
    <x v="3"/>
    <x v="281"/>
  </r>
  <r>
    <n v="1868"/>
    <x v="893"/>
    <n v="88"/>
    <n v="5"/>
    <n v="29.81"/>
    <n v="29.81"/>
    <n v="0"/>
    <n v="0"/>
    <n v="0"/>
    <n v="149.05000000000001"/>
    <x v="27"/>
    <s v="E-commerce"/>
    <s v="Website Banner"/>
    <n v="149.04999999999998"/>
    <x v="281"/>
    <x v="3"/>
    <x v="281"/>
  </r>
  <r>
    <n v="754"/>
    <x v="655"/>
    <n v="81"/>
    <n v="5"/>
    <n v="29.63"/>
    <n v="29.63"/>
    <n v="0"/>
    <n v="0"/>
    <n v="0"/>
    <n v="148.15"/>
    <x v="18"/>
    <s v="App Mobile"/>
    <s v="App Mobile"/>
    <n v="148.15"/>
    <x v="283"/>
    <x v="3"/>
    <x v="283"/>
  </r>
  <r>
    <n v="2682"/>
    <x v="892"/>
    <n v="81"/>
    <n v="5"/>
    <n v="29.63"/>
    <n v="29.63"/>
    <n v="0"/>
    <n v="0"/>
    <n v="0"/>
    <n v="148.15"/>
    <x v="47"/>
    <s v="E-commerce"/>
    <s v="Website Banner"/>
    <n v="148.15"/>
    <x v="283"/>
    <x v="3"/>
    <x v="283"/>
  </r>
  <r>
    <n v="2476"/>
    <x v="790"/>
    <n v="362"/>
    <n v="5"/>
    <n v="32.64"/>
    <n v="29.38"/>
    <n v="3.26"/>
    <n v="0.1"/>
    <n v="1"/>
    <n v="146.88"/>
    <x v="30"/>
    <s v="E-commerce"/>
    <s v="Website Banner"/>
    <n v="146.9"/>
    <x v="415"/>
    <x v="3"/>
    <x v="415"/>
  </r>
  <r>
    <n v="975"/>
    <x v="880"/>
    <n v="246"/>
    <n v="5"/>
    <n v="28.98"/>
    <n v="28.98"/>
    <n v="0"/>
    <n v="0"/>
    <n v="0"/>
    <n v="144.9"/>
    <x v="34"/>
    <s v="App Mobile"/>
    <s v="App Mobile"/>
    <n v="144.9"/>
    <x v="284"/>
    <x v="0"/>
    <x v="284"/>
  </r>
  <r>
    <n v="1500"/>
    <x v="379"/>
    <n v="246"/>
    <n v="5"/>
    <n v="28.98"/>
    <n v="28.98"/>
    <n v="0"/>
    <n v="0"/>
    <n v="0"/>
    <n v="144.9"/>
    <x v="45"/>
    <s v="E-commerce"/>
    <s v="Website Banner"/>
    <n v="144.9"/>
    <x v="284"/>
    <x v="0"/>
    <x v="284"/>
  </r>
  <r>
    <n v="2501"/>
    <x v="133"/>
    <n v="462"/>
    <n v="5"/>
    <n v="28.58"/>
    <n v="28.58"/>
    <n v="0"/>
    <n v="0"/>
    <n v="0"/>
    <n v="142.9"/>
    <x v="14"/>
    <s v="E-commerce"/>
    <s v="Website Banner"/>
    <n v="142.89999999999998"/>
    <x v="470"/>
    <x v="3"/>
    <x v="470"/>
  </r>
  <r>
    <n v="354"/>
    <x v="132"/>
    <n v="176"/>
    <n v="5"/>
    <n v="27.94"/>
    <n v="27.94"/>
    <n v="0"/>
    <n v="0"/>
    <n v="0"/>
    <n v="139.69999999999999"/>
    <x v="48"/>
    <s v="App Mobile"/>
    <s v="App Mobile"/>
    <n v="139.70000000000002"/>
    <x v="294"/>
    <x v="0"/>
    <x v="294"/>
  </r>
  <r>
    <n v="1036"/>
    <x v="904"/>
    <n v="65"/>
    <n v="5"/>
    <n v="27.45"/>
    <n v="27.45"/>
    <n v="0"/>
    <n v="0"/>
    <n v="0"/>
    <n v="137.25"/>
    <x v="0"/>
    <s v="App Mobile"/>
    <s v="App Mobile"/>
    <n v="137.25"/>
    <x v="419"/>
    <x v="4"/>
    <x v="419"/>
  </r>
  <r>
    <n v="1303"/>
    <x v="438"/>
    <n v="65"/>
    <n v="5"/>
    <n v="27.45"/>
    <n v="27.45"/>
    <n v="0"/>
    <n v="0"/>
    <n v="0"/>
    <n v="137.25"/>
    <x v="13"/>
    <s v="E-commerce"/>
    <s v="Website Banner"/>
    <n v="137.25"/>
    <x v="419"/>
    <x v="4"/>
    <x v="419"/>
  </r>
  <r>
    <n v="1634"/>
    <x v="89"/>
    <n v="119"/>
    <n v="5"/>
    <n v="27.34"/>
    <n v="27.34"/>
    <n v="0"/>
    <n v="0"/>
    <n v="0"/>
    <n v="136.69999999999999"/>
    <x v="16"/>
    <s v="E-commerce"/>
    <s v="Website Banner"/>
    <n v="136.69999999999999"/>
    <x v="290"/>
    <x v="0"/>
    <x v="290"/>
  </r>
  <r>
    <n v="1524"/>
    <x v="257"/>
    <n v="451"/>
    <n v="5"/>
    <n v="37.799999999999997"/>
    <n v="26.46"/>
    <n v="11.34"/>
    <n v="0.3"/>
    <n v="1"/>
    <n v="132.30000000000001"/>
    <x v="47"/>
    <s v="App Mobile"/>
    <s v="App Mobile"/>
    <n v="132.30000000000001"/>
    <x v="291"/>
    <x v="4"/>
    <x v="291"/>
  </r>
  <r>
    <n v="1728"/>
    <x v="584"/>
    <n v="174"/>
    <n v="5"/>
    <n v="26.41"/>
    <n v="26.41"/>
    <n v="0"/>
    <n v="0"/>
    <n v="0"/>
    <n v="132.05000000000001"/>
    <x v="11"/>
    <s v="E-commerce"/>
    <s v="Website Banner"/>
    <n v="132.05000000000001"/>
    <x v="292"/>
    <x v="3"/>
    <x v="292"/>
  </r>
  <r>
    <n v="2936"/>
    <x v="795"/>
    <n v="208"/>
    <n v="5"/>
    <n v="37.450000000000003"/>
    <n v="26.22"/>
    <n v="11.24"/>
    <n v="0.3"/>
    <n v="1"/>
    <n v="131.08000000000001"/>
    <x v="42"/>
    <s v="App Mobile"/>
    <s v="App Mobile"/>
    <n v="131.1"/>
    <x v="244"/>
    <x v="4"/>
    <x v="244"/>
  </r>
  <r>
    <n v="3034"/>
    <x v="794"/>
    <n v="5"/>
    <n v="5"/>
    <n v="36.840000000000003"/>
    <n v="25.79"/>
    <n v="11.05"/>
    <n v="0.3"/>
    <n v="1"/>
    <n v="128.94"/>
    <x v="42"/>
    <s v="App Mobile"/>
    <s v="App Mobile"/>
    <n v="128.94999999999999"/>
    <x v="249"/>
    <x v="2"/>
    <x v="249"/>
  </r>
  <r>
    <n v="39"/>
    <x v="248"/>
    <n v="245"/>
    <n v="5"/>
    <n v="24.91"/>
    <n v="24.91"/>
    <n v="0"/>
    <n v="0"/>
    <n v="0"/>
    <n v="124.55"/>
    <x v="40"/>
    <s v="App Mobile"/>
    <s v="App Mobile"/>
    <n v="124.55"/>
    <x v="423"/>
    <x v="0"/>
    <x v="423"/>
  </r>
  <r>
    <n v="48"/>
    <x v="904"/>
    <n v="122"/>
    <n v="5"/>
    <n v="24.8"/>
    <n v="24.8"/>
    <n v="0"/>
    <n v="0"/>
    <n v="0"/>
    <n v="124"/>
    <x v="0"/>
    <s v="App Mobile"/>
    <s v="App Mobile"/>
    <n v="124"/>
    <x v="296"/>
    <x v="2"/>
    <x v="296"/>
  </r>
  <r>
    <n v="2070"/>
    <x v="444"/>
    <n v="23"/>
    <n v="5"/>
    <n v="27.5"/>
    <n v="24.75"/>
    <n v="2.75"/>
    <n v="0.1"/>
    <n v="1"/>
    <n v="123.75"/>
    <x v="37"/>
    <s v="E-commerce"/>
    <s v="Website Banner"/>
    <n v="123.75"/>
    <x v="289"/>
    <x v="0"/>
    <x v="289"/>
  </r>
  <r>
    <n v="91"/>
    <x v="283"/>
    <n v="405"/>
    <n v="5"/>
    <n v="34.71"/>
    <n v="24.3"/>
    <n v="10.41"/>
    <n v="0.3"/>
    <n v="1"/>
    <n v="121.48"/>
    <x v="29"/>
    <s v="App Mobile"/>
    <s v="App Mobile"/>
    <n v="121.5"/>
    <x v="411"/>
    <x v="0"/>
    <x v="411"/>
  </r>
  <r>
    <n v="570"/>
    <x v="857"/>
    <n v="319"/>
    <n v="5"/>
    <n v="24.05"/>
    <n v="24.05"/>
    <n v="0"/>
    <n v="0"/>
    <n v="0"/>
    <n v="120.25"/>
    <x v="49"/>
    <s v="E-commerce"/>
    <s v="Website Banner"/>
    <n v="120.25"/>
    <x v="297"/>
    <x v="0"/>
    <x v="297"/>
  </r>
  <r>
    <n v="2995"/>
    <x v="873"/>
    <n v="205"/>
    <n v="5"/>
    <n v="24.05"/>
    <n v="24.05"/>
    <n v="0"/>
    <n v="0"/>
    <n v="0"/>
    <n v="120.25"/>
    <x v="9"/>
    <s v="App Mobile"/>
    <s v="App Mobile"/>
    <n v="120.25"/>
    <x v="305"/>
    <x v="2"/>
    <x v="305"/>
  </r>
  <r>
    <n v="457"/>
    <x v="256"/>
    <n v="3"/>
    <n v="5"/>
    <n v="23.9"/>
    <n v="23.9"/>
    <n v="0"/>
    <n v="0"/>
    <n v="0"/>
    <n v="119.5"/>
    <x v="47"/>
    <s v="E-commerce"/>
    <s v="Website Banner"/>
    <n v="119.5"/>
    <x v="420"/>
    <x v="4"/>
    <x v="420"/>
  </r>
  <r>
    <n v="1748"/>
    <x v="430"/>
    <n v="3"/>
    <n v="5"/>
    <n v="23.9"/>
    <n v="23.9"/>
    <n v="0"/>
    <n v="0"/>
    <n v="0"/>
    <n v="119.5"/>
    <x v="11"/>
    <s v="E-commerce"/>
    <s v="Website Banner"/>
    <n v="119.5"/>
    <x v="420"/>
    <x v="4"/>
    <x v="420"/>
  </r>
  <r>
    <n v="2749"/>
    <x v="870"/>
    <n v="3"/>
    <n v="5"/>
    <n v="23.9"/>
    <n v="23.9"/>
    <n v="0"/>
    <n v="0"/>
    <n v="0"/>
    <n v="119.5"/>
    <x v="36"/>
    <s v="E-commerce"/>
    <s v="Website Banner"/>
    <n v="119.5"/>
    <x v="420"/>
    <x v="4"/>
    <x v="420"/>
  </r>
  <r>
    <n v="2910"/>
    <x v="879"/>
    <n v="430"/>
    <n v="5"/>
    <n v="33.979999999999997"/>
    <n v="23.79"/>
    <n v="10.19"/>
    <n v="0.3"/>
    <n v="1"/>
    <n v="118.93"/>
    <x v="42"/>
    <s v="App Mobile"/>
    <s v="App Mobile"/>
    <n v="118.94999999999999"/>
    <x v="490"/>
    <x v="3"/>
    <x v="490"/>
  </r>
  <r>
    <n v="704"/>
    <x v="723"/>
    <n v="235"/>
    <n v="5"/>
    <n v="23.68"/>
    <n v="23.68"/>
    <n v="0"/>
    <n v="0"/>
    <n v="0"/>
    <n v="118.4"/>
    <x v="5"/>
    <s v="E-commerce"/>
    <s v="Website Banner"/>
    <n v="118.4"/>
    <x v="421"/>
    <x v="3"/>
    <x v="421"/>
  </r>
  <r>
    <n v="2028"/>
    <x v="593"/>
    <n v="443"/>
    <n v="5"/>
    <n v="23.13"/>
    <n v="23.13"/>
    <n v="0"/>
    <n v="0"/>
    <n v="0"/>
    <n v="115.65"/>
    <x v="13"/>
    <s v="App Mobile"/>
    <s v="App Mobile"/>
    <n v="115.64999999999999"/>
    <x v="299"/>
    <x v="3"/>
    <x v="299"/>
  </r>
  <r>
    <n v="2031"/>
    <x v="864"/>
    <n v="164"/>
    <n v="5"/>
    <n v="22.96"/>
    <n v="22.96"/>
    <n v="0"/>
    <n v="0"/>
    <n v="0"/>
    <n v="114.8"/>
    <x v="34"/>
    <s v="E-commerce"/>
    <s v="Website Banner"/>
    <n v="114.80000000000001"/>
    <x v="300"/>
    <x v="0"/>
    <x v="300"/>
  </r>
  <r>
    <n v="1764"/>
    <x v="12"/>
    <n v="491"/>
    <n v="5"/>
    <n v="22.66"/>
    <n v="22.66"/>
    <n v="0"/>
    <n v="0"/>
    <n v="0"/>
    <n v="113.3"/>
    <x v="7"/>
    <s v="E-commerce"/>
    <s v="Website Banner"/>
    <n v="113.3"/>
    <x v="306"/>
    <x v="4"/>
    <x v="306"/>
  </r>
  <r>
    <n v="1938"/>
    <x v="273"/>
    <n v="401"/>
    <n v="5"/>
    <n v="30.83"/>
    <n v="21.58"/>
    <n v="9.25"/>
    <n v="0.3"/>
    <n v="1"/>
    <n v="107.9"/>
    <x v="29"/>
    <s v="App Mobile"/>
    <s v="App Mobile"/>
    <n v="107.89999999999999"/>
    <x v="276"/>
    <x v="0"/>
    <x v="276"/>
  </r>
  <r>
    <n v="1104"/>
    <x v="855"/>
    <n v="114"/>
    <n v="5"/>
    <n v="21.53"/>
    <n v="21.53"/>
    <n v="0"/>
    <n v="0"/>
    <n v="0"/>
    <n v="107.65"/>
    <x v="31"/>
    <s v="App Mobile"/>
    <s v="App Mobile"/>
    <n v="107.65"/>
    <x v="302"/>
    <x v="1"/>
    <x v="302"/>
  </r>
  <r>
    <n v="3296"/>
    <x v="772"/>
    <n v="114"/>
    <n v="5"/>
    <n v="21.53"/>
    <n v="21.53"/>
    <n v="0"/>
    <n v="0"/>
    <n v="0"/>
    <n v="107.65"/>
    <x v="38"/>
    <s v="E-commerce"/>
    <s v="Website Banner"/>
    <n v="107.65"/>
    <x v="302"/>
    <x v="1"/>
    <x v="302"/>
  </r>
  <r>
    <n v="2412"/>
    <x v="30"/>
    <n v="355"/>
    <n v="5"/>
    <n v="21.38"/>
    <n v="21.38"/>
    <n v="0"/>
    <n v="0"/>
    <n v="0"/>
    <n v="106.9"/>
    <x v="22"/>
    <s v="E-commerce"/>
    <s v="Website Banner"/>
    <n v="106.89999999999999"/>
    <x v="422"/>
    <x v="2"/>
    <x v="422"/>
  </r>
  <r>
    <n v="516"/>
    <x v="903"/>
    <n v="334"/>
    <n v="5"/>
    <n v="20.82"/>
    <n v="20.82"/>
    <n v="0"/>
    <n v="0"/>
    <n v="0"/>
    <n v="104.1"/>
    <x v="24"/>
    <s v="E-commerce"/>
    <s v="Website Banner"/>
    <n v="104.1"/>
    <x v="303"/>
    <x v="0"/>
    <x v="303"/>
  </r>
  <r>
    <n v="1240"/>
    <x v="900"/>
    <n v="334"/>
    <n v="5"/>
    <n v="20.82"/>
    <n v="20.82"/>
    <n v="0"/>
    <n v="0"/>
    <n v="0"/>
    <n v="104.1"/>
    <x v="50"/>
    <s v="E-commerce"/>
    <s v="Website Banner"/>
    <n v="104.1"/>
    <x v="303"/>
    <x v="0"/>
    <x v="303"/>
  </r>
  <r>
    <n v="2394"/>
    <x v="375"/>
    <n v="246"/>
    <n v="5"/>
    <n v="28.98"/>
    <n v="20.29"/>
    <n v="8.69"/>
    <n v="0.3"/>
    <n v="1"/>
    <n v="101.43"/>
    <x v="42"/>
    <s v="App Mobile"/>
    <s v="App Mobile"/>
    <n v="101.44999999999999"/>
    <x v="284"/>
    <x v="0"/>
    <x v="284"/>
  </r>
  <r>
    <n v="1631"/>
    <x v="745"/>
    <n v="195"/>
    <n v="5"/>
    <n v="16.690000000000001"/>
    <n v="16.690000000000001"/>
    <n v="0"/>
    <n v="0"/>
    <n v="0"/>
    <n v="83.45"/>
    <x v="15"/>
    <s v="App Mobile"/>
    <s v="App Mobile"/>
    <n v="83.45"/>
    <x v="424"/>
    <x v="4"/>
    <x v="424"/>
  </r>
  <r>
    <n v="685"/>
    <x v="782"/>
    <n v="346"/>
    <n v="5"/>
    <n v="15.31"/>
    <n v="15.31"/>
    <n v="0"/>
    <n v="0"/>
    <n v="0"/>
    <n v="76.55"/>
    <x v="41"/>
    <s v="E-commerce"/>
    <s v="Website Banner"/>
    <n v="76.55"/>
    <x v="494"/>
    <x v="2"/>
    <x v="49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5">
  <r>
    <n v="10"/>
    <x v="0"/>
    <n v="0"/>
    <n v="299.7"/>
    <x v="0"/>
    <x v="0"/>
    <x v="0"/>
    <x v="0"/>
    <n v="59.92"/>
    <n v="1"/>
    <x v="0"/>
    <d v="2025-02-28T00:00:00"/>
    <n v="82"/>
    <x v="0"/>
    <x v="0"/>
  </r>
  <r>
    <n v="100"/>
    <x v="1"/>
    <n v="0"/>
    <n v="681.05"/>
    <x v="1"/>
    <x v="1"/>
    <x v="1"/>
    <x v="1"/>
    <n v="261.39999999999998"/>
    <n v="1"/>
    <x v="1"/>
    <d v="2025-03-29T00:00:00"/>
    <n v="23"/>
    <x v="0"/>
    <x v="1"/>
  </r>
  <r>
    <n v="1000"/>
    <x v="0"/>
    <n v="0"/>
    <n v="324.5"/>
    <x v="2"/>
    <x v="2"/>
    <x v="1"/>
    <x v="2"/>
    <n v="91.5"/>
    <n v="1"/>
    <x v="2"/>
    <d v="2025-05-11T00:00:00"/>
    <n v="9"/>
    <x v="0"/>
    <x v="0"/>
  </r>
  <r>
    <n v="1001"/>
    <x v="0"/>
    <n v="0"/>
    <n v="287.85000000000002"/>
    <x v="3"/>
    <x v="3"/>
    <x v="1"/>
    <x v="3"/>
    <n v="192.32999999999998"/>
    <n v="1"/>
    <x v="3"/>
    <d v="2025-03-20T00:00:00"/>
    <n v="16"/>
    <x v="0"/>
    <x v="1"/>
  </r>
  <r>
    <n v="1003"/>
    <x v="1"/>
    <n v="0"/>
    <n v="430.64"/>
    <x v="4"/>
    <x v="4"/>
    <x v="2"/>
    <x v="4"/>
    <n v="218.44"/>
    <n v="1"/>
    <x v="3"/>
    <d v="2025-03-09T00:00:00"/>
    <n v="89"/>
    <x v="0"/>
    <x v="2"/>
  </r>
  <r>
    <n v="1004"/>
    <x v="1"/>
    <n v="0"/>
    <n v="104.73"/>
    <x v="5"/>
    <x v="5"/>
    <x v="1"/>
    <x v="5"/>
    <n v="53.48"/>
    <n v="1"/>
    <x v="2"/>
    <d v="2025-04-21T00:00:00"/>
    <n v="6"/>
    <x v="0"/>
    <x v="0"/>
  </r>
  <r>
    <n v="1006"/>
    <x v="0"/>
    <n v="0"/>
    <n v="249.21"/>
    <x v="6"/>
    <x v="6"/>
    <x v="3"/>
    <x v="1"/>
    <n v="53.7"/>
    <n v="1"/>
    <x v="1"/>
    <d v="2025-04-18T00:00:00"/>
    <n v="17"/>
    <x v="0"/>
    <x v="0"/>
  </r>
  <r>
    <n v="1007"/>
    <x v="1"/>
    <n v="0"/>
    <n v="437.52"/>
    <x v="7"/>
    <x v="7"/>
    <x v="4"/>
    <x v="0"/>
    <n v="174.27"/>
    <n v="1"/>
    <x v="1"/>
    <d v="2025-05-12T00:00:00"/>
    <n v="-26"/>
    <x v="1"/>
    <x v="2"/>
  </r>
  <r>
    <n v="1008"/>
    <x v="1"/>
    <n v="0"/>
    <n v="386.92"/>
    <x v="8"/>
    <x v="8"/>
    <x v="0"/>
    <x v="3"/>
    <n v="210.6"/>
    <n v="1"/>
    <x v="3"/>
    <d v="2025-03-11T00:00:00"/>
    <n v="74"/>
    <x v="0"/>
    <x v="3"/>
  </r>
  <r>
    <n v="1011"/>
    <x v="1"/>
    <n v="0"/>
    <n v="212.87"/>
    <x v="9"/>
    <x v="9"/>
    <x v="3"/>
    <x v="6"/>
    <n v="80.239999999999995"/>
    <n v="1"/>
    <x v="2"/>
    <d v="2025-03-26T00:00:00"/>
    <n v="22"/>
    <x v="0"/>
    <x v="0"/>
  </r>
  <r>
    <n v="1013"/>
    <x v="1"/>
    <n v="0"/>
    <n v="178.68"/>
    <x v="10"/>
    <x v="10"/>
    <x v="0"/>
    <x v="0"/>
    <n v="72.58"/>
    <n v="1"/>
    <x v="4"/>
    <d v="2025-06-02T00:00:00"/>
    <n v="-33"/>
    <x v="1"/>
    <x v="4"/>
  </r>
  <r>
    <n v="1014"/>
    <x v="0"/>
    <n v="0"/>
    <n v="175.37"/>
    <x v="11"/>
    <x v="11"/>
    <x v="1"/>
    <x v="4"/>
    <n v="68.47"/>
    <n v="1"/>
    <x v="4"/>
    <d v="2025-04-03T00:00:00"/>
    <n v="43"/>
    <x v="0"/>
    <x v="4"/>
  </r>
  <r>
    <n v="1015"/>
    <x v="1"/>
    <n v="0"/>
    <n v="355.88"/>
    <x v="12"/>
    <x v="12"/>
    <x v="3"/>
    <x v="2"/>
    <n v="203.64"/>
    <n v="1"/>
    <x v="0"/>
    <d v="2025-04-02T00:00:00"/>
    <n v="55"/>
    <x v="0"/>
    <x v="2"/>
  </r>
  <r>
    <n v="1016"/>
    <x v="0"/>
    <n v="0"/>
    <n v="288.61"/>
    <x v="13"/>
    <x v="13"/>
    <x v="4"/>
    <x v="2"/>
    <n v="99.52"/>
    <n v="1"/>
    <x v="0"/>
    <d v="2025-03-22T00:00:00"/>
    <n v="31"/>
    <x v="0"/>
    <x v="4"/>
  </r>
  <r>
    <n v="1017"/>
    <x v="1"/>
    <n v="0"/>
    <n v="274.38"/>
    <x v="14"/>
    <x v="14"/>
    <x v="5"/>
    <x v="6"/>
    <n v="144.09"/>
    <n v="1"/>
    <x v="4"/>
    <d v="2025-05-12T00:00:00"/>
    <n v="10"/>
    <x v="0"/>
    <x v="2"/>
  </r>
  <r>
    <n v="1018"/>
    <x v="0"/>
    <n v="0"/>
    <n v="272.08"/>
    <x v="11"/>
    <x v="15"/>
    <x v="4"/>
    <x v="4"/>
    <n v="87.68"/>
    <n v="1"/>
    <x v="2"/>
    <d v="2025-03-08T00:00:00"/>
    <n v="69"/>
    <x v="0"/>
    <x v="3"/>
  </r>
  <r>
    <n v="1019"/>
    <x v="0"/>
    <n v="1"/>
    <n v="363.76"/>
    <x v="15"/>
    <x v="16"/>
    <x v="1"/>
    <x v="2"/>
    <n v="69.28"/>
    <n v="1"/>
    <x v="0"/>
    <d v="2025-04-07T00:00:00"/>
    <n v="29"/>
    <x v="0"/>
    <x v="2"/>
  </r>
  <r>
    <n v="102"/>
    <x v="1"/>
    <n v="0"/>
    <n v="289.57"/>
    <x v="16"/>
    <x v="17"/>
    <x v="0"/>
    <x v="3"/>
    <n v="78.400000000000006"/>
    <n v="1"/>
    <x v="0"/>
    <d v="2025-05-05T00:00:00"/>
    <n v="40"/>
    <x v="0"/>
    <x v="3"/>
  </r>
  <r>
    <n v="1020"/>
    <x v="0"/>
    <n v="0"/>
    <n v="423.57"/>
    <x v="17"/>
    <x v="18"/>
    <x v="1"/>
    <x v="3"/>
    <n v="231.92"/>
    <n v="1"/>
    <x v="1"/>
    <d v="2025-04-26T00:00:00"/>
    <n v="21"/>
    <x v="0"/>
    <x v="3"/>
  </r>
  <r>
    <n v="1024"/>
    <x v="1"/>
    <n v="0"/>
    <n v="391.65"/>
    <x v="18"/>
    <x v="19"/>
    <x v="3"/>
    <x v="2"/>
    <n v="208.4"/>
    <n v="1"/>
    <x v="0"/>
    <d v="2025-04-02T00:00:00"/>
    <n v="13"/>
    <x v="0"/>
    <x v="3"/>
  </r>
  <r>
    <n v="1025"/>
    <x v="1"/>
    <n v="0"/>
    <n v="89.97"/>
    <x v="19"/>
    <x v="20"/>
    <x v="0"/>
    <x v="6"/>
    <n v="50.55"/>
    <n v="1"/>
    <x v="1"/>
    <d v="2025-02-20T00:00:00"/>
    <n v="98"/>
    <x v="2"/>
    <x v="0"/>
  </r>
  <r>
    <n v="1026"/>
    <x v="0"/>
    <n v="0"/>
    <n v="218.4"/>
    <x v="20"/>
    <x v="21"/>
    <x v="4"/>
    <x v="1"/>
    <n v="63.68"/>
    <n v="1"/>
    <x v="3"/>
    <d v="2025-03-23T00:00:00"/>
    <n v="57"/>
    <x v="0"/>
    <x v="4"/>
  </r>
  <r>
    <n v="1028"/>
    <x v="0"/>
    <n v="0"/>
    <n v="288.52"/>
    <x v="21"/>
    <x v="22"/>
    <x v="4"/>
    <x v="5"/>
    <n v="135.96"/>
    <n v="1"/>
    <x v="3"/>
    <d v="2025-03-15T00:00:00"/>
    <n v="71"/>
    <x v="0"/>
    <x v="0"/>
  </r>
  <r>
    <n v="1029"/>
    <x v="0"/>
    <n v="0"/>
    <n v="229.7"/>
    <x v="9"/>
    <x v="23"/>
    <x v="0"/>
    <x v="6"/>
    <n v="29.81"/>
    <n v="1"/>
    <x v="0"/>
    <d v="2025-02-22T00:00:00"/>
    <n v="54"/>
    <x v="0"/>
    <x v="1"/>
  </r>
  <r>
    <n v="103"/>
    <x v="0"/>
    <n v="0"/>
    <n v="452.53"/>
    <x v="22"/>
    <x v="24"/>
    <x v="1"/>
    <x v="4"/>
    <n v="48.34"/>
    <n v="1"/>
    <x v="0"/>
    <d v="2025-02-17T00:00:00"/>
    <n v="116"/>
    <x v="2"/>
    <x v="3"/>
  </r>
  <r>
    <n v="1030"/>
    <x v="1"/>
    <n v="0"/>
    <n v="261.25"/>
    <x v="23"/>
    <x v="25"/>
    <x v="5"/>
    <x v="1"/>
    <n v="137.25"/>
    <n v="1"/>
    <x v="3"/>
    <d v="2025-04-15T00:00:00"/>
    <n v="62"/>
    <x v="0"/>
    <x v="0"/>
  </r>
  <r>
    <n v="1031"/>
    <x v="1"/>
    <n v="0"/>
    <n v="281.67"/>
    <x v="24"/>
    <x v="26"/>
    <x v="2"/>
    <x v="5"/>
    <n v="102.36"/>
    <n v="1"/>
    <x v="1"/>
    <d v="2025-04-10T00:00:00"/>
    <n v="-4"/>
    <x v="1"/>
    <x v="4"/>
  </r>
  <r>
    <n v="1034"/>
    <x v="1"/>
    <n v="0"/>
    <n v="192.63"/>
    <x v="25"/>
    <x v="27"/>
    <x v="5"/>
    <x v="3"/>
    <n v="59.07"/>
    <n v="1"/>
    <x v="2"/>
    <d v="2025-04-24T00:00:00"/>
    <n v="37"/>
    <x v="0"/>
    <x v="2"/>
  </r>
  <r>
    <n v="1035"/>
    <x v="0"/>
    <n v="0"/>
    <n v="215.07"/>
    <x v="6"/>
    <x v="28"/>
    <x v="1"/>
    <x v="1"/>
    <n v="43.92"/>
    <n v="1"/>
    <x v="2"/>
    <d v="2025-04-21T00:00:00"/>
    <n v="14"/>
    <x v="0"/>
    <x v="0"/>
  </r>
  <r>
    <n v="1036"/>
    <x v="0"/>
    <n v="0"/>
    <n v="199.55"/>
    <x v="22"/>
    <x v="29"/>
    <x v="4"/>
    <x v="4"/>
    <n v="57.19"/>
    <n v="1"/>
    <x v="2"/>
    <d v="2025-05-10T00:00:00"/>
    <n v="34"/>
    <x v="0"/>
    <x v="3"/>
  </r>
  <r>
    <n v="1038"/>
    <x v="0"/>
    <n v="0"/>
    <n v="224.2"/>
    <x v="26"/>
    <x v="30"/>
    <x v="4"/>
    <x v="5"/>
    <n v="113.16"/>
    <n v="1"/>
    <x v="1"/>
    <d v="2025-04-18T00:00:00"/>
    <n v="16"/>
    <x v="0"/>
    <x v="1"/>
  </r>
  <r>
    <n v="1039"/>
    <x v="1"/>
    <n v="0"/>
    <n v="405.63"/>
    <x v="22"/>
    <x v="31"/>
    <x v="5"/>
    <x v="4"/>
    <n v="119.68"/>
    <n v="1"/>
    <x v="0"/>
    <d v="2025-02-24T00:00:00"/>
    <n v="109"/>
    <x v="2"/>
    <x v="1"/>
  </r>
  <r>
    <n v="104"/>
    <x v="1"/>
    <n v="0"/>
    <n v="555.25"/>
    <x v="27"/>
    <x v="32"/>
    <x v="3"/>
    <x v="5"/>
    <n v="107.22"/>
    <n v="1"/>
    <x v="0"/>
    <d v="2025-02-25T00:00:00"/>
    <n v="54"/>
    <x v="0"/>
    <x v="0"/>
  </r>
  <r>
    <n v="1040"/>
    <x v="1"/>
    <n v="1"/>
    <n v="277.8"/>
    <x v="11"/>
    <x v="33"/>
    <x v="0"/>
    <x v="4"/>
    <n v="94.82"/>
    <n v="1"/>
    <x v="3"/>
    <d v="2025-02-12T00:00:00"/>
    <n v="93"/>
    <x v="2"/>
    <x v="1"/>
  </r>
  <r>
    <n v="1042"/>
    <x v="1"/>
    <n v="1"/>
    <n v="45.5"/>
    <x v="28"/>
    <x v="34"/>
    <x v="1"/>
    <x v="2"/>
    <n v="22.13"/>
    <n v="1"/>
    <x v="0"/>
    <d v="2025-04-30T00:00:00"/>
    <n v="13"/>
    <x v="0"/>
    <x v="0"/>
  </r>
  <r>
    <n v="1044"/>
    <x v="1"/>
    <n v="0"/>
    <n v="428.76"/>
    <x v="10"/>
    <x v="35"/>
    <x v="1"/>
    <x v="0"/>
    <n v="217.12"/>
    <n v="1"/>
    <x v="1"/>
    <d v="2025-02-19T00:00:00"/>
    <n v="70"/>
    <x v="0"/>
    <x v="4"/>
  </r>
  <r>
    <n v="1045"/>
    <x v="0"/>
    <n v="0"/>
    <n v="288.98"/>
    <x v="29"/>
    <x v="36"/>
    <x v="1"/>
    <x v="0"/>
    <n v="51.63"/>
    <n v="1"/>
    <x v="3"/>
    <d v="2025-02-28T00:00:00"/>
    <n v="75"/>
    <x v="0"/>
    <x v="3"/>
  </r>
  <r>
    <n v="1047"/>
    <x v="0"/>
    <n v="0"/>
    <n v="441.52"/>
    <x v="9"/>
    <x v="9"/>
    <x v="3"/>
    <x v="6"/>
    <n v="135.52000000000001"/>
    <n v="1"/>
    <x v="2"/>
    <d v="2025-03-26T00:00:00"/>
    <n v="22"/>
    <x v="0"/>
    <x v="0"/>
  </r>
  <r>
    <n v="1049"/>
    <x v="1"/>
    <n v="0"/>
    <n v="291.23"/>
    <x v="30"/>
    <x v="37"/>
    <x v="4"/>
    <x v="3"/>
    <n v="89.18"/>
    <n v="1"/>
    <x v="4"/>
    <d v="2025-05-18T00:00:00"/>
    <n v="-29"/>
    <x v="1"/>
    <x v="0"/>
  </r>
  <r>
    <n v="1050"/>
    <x v="0"/>
    <n v="1"/>
    <n v="376.24"/>
    <x v="24"/>
    <x v="38"/>
    <x v="1"/>
    <x v="5"/>
    <n v="212.08"/>
    <n v="1"/>
    <x v="2"/>
    <d v="2025-02-08T00:00:00"/>
    <n v="57"/>
    <x v="0"/>
    <x v="4"/>
  </r>
  <r>
    <n v="1052"/>
    <x v="0"/>
    <n v="0"/>
    <n v="189.24"/>
    <x v="31"/>
    <x v="39"/>
    <x v="5"/>
    <x v="6"/>
    <n v="104.76"/>
    <n v="1"/>
    <x v="1"/>
    <d v="2025-04-06T00:00:00"/>
    <n v="18"/>
    <x v="0"/>
    <x v="3"/>
  </r>
  <r>
    <n v="1053"/>
    <x v="0"/>
    <n v="0"/>
    <n v="300.19"/>
    <x v="32"/>
    <x v="40"/>
    <x v="5"/>
    <x v="1"/>
    <n v="152.67000000000002"/>
    <n v="1"/>
    <x v="0"/>
    <d v="2025-04-20T00:00:00"/>
    <n v="-6"/>
    <x v="1"/>
    <x v="1"/>
  </r>
  <r>
    <n v="1054"/>
    <x v="1"/>
    <n v="0"/>
    <n v="238.03"/>
    <x v="33"/>
    <x v="41"/>
    <x v="1"/>
    <x v="1"/>
    <n v="52.18"/>
    <n v="1"/>
    <x v="0"/>
    <d v="2025-02-17T00:00:00"/>
    <n v="70"/>
    <x v="0"/>
    <x v="4"/>
  </r>
  <r>
    <n v="1055"/>
    <x v="1"/>
    <n v="0"/>
    <n v="297.77999999999997"/>
    <x v="0"/>
    <x v="42"/>
    <x v="1"/>
    <x v="0"/>
    <n v="181.07999999999998"/>
    <n v="1"/>
    <x v="3"/>
    <d v="2025-02-27T00:00:00"/>
    <n v="83"/>
    <x v="0"/>
    <x v="2"/>
  </r>
  <r>
    <n v="1058"/>
    <x v="0"/>
    <n v="0"/>
    <n v="339.2"/>
    <x v="34"/>
    <x v="43"/>
    <x v="4"/>
    <x v="1"/>
    <n v="162.12"/>
    <n v="1"/>
    <x v="4"/>
    <d v="2025-03-18T00:00:00"/>
    <n v="69"/>
    <x v="0"/>
    <x v="4"/>
  </r>
  <r>
    <n v="1059"/>
    <x v="1"/>
    <n v="1"/>
    <n v="291.47000000000003"/>
    <x v="35"/>
    <x v="44"/>
    <x v="0"/>
    <x v="5"/>
    <n v="77.2"/>
    <n v="1"/>
    <x v="3"/>
    <d v="2025-01-20T00:00:00"/>
    <n v="118"/>
    <x v="2"/>
    <x v="0"/>
  </r>
  <r>
    <n v="106"/>
    <x v="0"/>
    <n v="0"/>
    <n v="298.75"/>
    <x v="36"/>
    <x v="45"/>
    <x v="0"/>
    <x v="4"/>
    <n v="39.340000000000003"/>
    <n v="1"/>
    <x v="0"/>
    <d v="2025-03-31T00:00:00"/>
    <n v="25"/>
    <x v="0"/>
    <x v="2"/>
  </r>
  <r>
    <n v="1060"/>
    <x v="1"/>
    <n v="1"/>
    <n v="64.19"/>
    <x v="35"/>
    <x v="46"/>
    <x v="1"/>
    <x v="5"/>
    <n v="29.32"/>
    <n v="1"/>
    <x v="2"/>
    <d v="2025-02-18T00:00:00"/>
    <n v="89"/>
    <x v="0"/>
    <x v="0"/>
  </r>
  <r>
    <n v="1061"/>
    <x v="1"/>
    <n v="0"/>
    <n v="242.94"/>
    <x v="3"/>
    <x v="47"/>
    <x v="0"/>
    <x v="3"/>
    <n v="113.82"/>
    <n v="1"/>
    <x v="2"/>
    <d v="2025-04-14T00:00:00"/>
    <n v="-9"/>
    <x v="1"/>
    <x v="1"/>
  </r>
  <r>
    <n v="1062"/>
    <x v="1"/>
    <n v="0"/>
    <n v="268.2"/>
    <x v="6"/>
    <x v="48"/>
    <x v="4"/>
    <x v="1"/>
    <n v="149.94"/>
    <n v="1"/>
    <x v="3"/>
    <d v="2025-01-30T00:00:00"/>
    <n v="95"/>
    <x v="2"/>
    <x v="4"/>
  </r>
  <r>
    <n v="1064"/>
    <x v="0"/>
    <n v="0"/>
    <n v="286.5"/>
    <x v="37"/>
    <x v="49"/>
    <x v="4"/>
    <x v="4"/>
    <n v="110.69999999999999"/>
    <n v="1"/>
    <x v="2"/>
    <d v="2025-04-21T00:00:00"/>
    <n v="-3"/>
    <x v="1"/>
    <x v="0"/>
  </r>
  <r>
    <n v="1066"/>
    <x v="0"/>
    <n v="0"/>
    <n v="415.38"/>
    <x v="29"/>
    <x v="50"/>
    <x v="4"/>
    <x v="0"/>
    <n v="93.98"/>
    <n v="1"/>
    <x v="1"/>
    <d v="2025-03-18T00:00:00"/>
    <n v="57"/>
    <x v="0"/>
    <x v="0"/>
  </r>
  <r>
    <n v="1067"/>
    <x v="1"/>
    <n v="0"/>
    <n v="200.77"/>
    <x v="38"/>
    <x v="51"/>
    <x v="1"/>
    <x v="4"/>
    <n v="30.85"/>
    <n v="1"/>
    <x v="3"/>
    <d v="2025-04-28T00:00:00"/>
    <n v="32"/>
    <x v="0"/>
    <x v="3"/>
  </r>
  <r>
    <n v="1068"/>
    <x v="0"/>
    <n v="0"/>
    <n v="452.65"/>
    <x v="20"/>
    <x v="52"/>
    <x v="5"/>
    <x v="1"/>
    <n v="300.59999999999997"/>
    <n v="1"/>
    <x v="0"/>
    <d v="2025-03-20T00:00:00"/>
    <n v="60"/>
    <x v="0"/>
    <x v="2"/>
  </r>
  <r>
    <n v="1070"/>
    <x v="1"/>
    <n v="0"/>
    <n v="246.2"/>
    <x v="10"/>
    <x v="53"/>
    <x v="5"/>
    <x v="0"/>
    <n v="41.84"/>
    <n v="1"/>
    <x v="2"/>
    <d v="2025-03-13T00:00:00"/>
    <n v="48"/>
    <x v="0"/>
    <x v="2"/>
  </r>
  <r>
    <n v="1071"/>
    <x v="1"/>
    <n v="0"/>
    <n v="240.94"/>
    <x v="39"/>
    <x v="54"/>
    <x v="3"/>
    <x v="6"/>
    <n v="76.66"/>
    <n v="1"/>
    <x v="3"/>
    <d v="2025-04-04T00:00:00"/>
    <n v="62"/>
    <x v="0"/>
    <x v="0"/>
  </r>
  <r>
    <n v="1078"/>
    <x v="0"/>
    <n v="0"/>
    <n v="332.1"/>
    <x v="23"/>
    <x v="55"/>
    <x v="0"/>
    <x v="1"/>
    <n v="122.54"/>
    <n v="1"/>
    <x v="1"/>
    <d v="2025-03-18T00:00:00"/>
    <n v="90"/>
    <x v="0"/>
    <x v="4"/>
  </r>
  <r>
    <n v="1079"/>
    <x v="1"/>
    <n v="0"/>
    <n v="173.84"/>
    <x v="40"/>
    <x v="56"/>
    <x v="1"/>
    <x v="5"/>
    <n v="78.52"/>
    <n v="1"/>
    <x v="1"/>
    <d v="2025-03-02T00:00:00"/>
    <n v="105"/>
    <x v="2"/>
    <x v="4"/>
  </r>
  <r>
    <n v="108"/>
    <x v="0"/>
    <n v="0"/>
    <n v="646.1"/>
    <x v="20"/>
    <x v="57"/>
    <x v="1"/>
    <x v="1"/>
    <n v="276.35000000000002"/>
    <n v="1"/>
    <x v="1"/>
    <d v="2025-03-29T00:00:00"/>
    <n v="51"/>
    <x v="0"/>
    <x v="4"/>
  </r>
  <r>
    <n v="1082"/>
    <x v="1"/>
    <n v="0"/>
    <n v="298.60000000000002"/>
    <x v="41"/>
    <x v="58"/>
    <x v="2"/>
    <x v="0"/>
    <n v="77.900000000000006"/>
    <n v="1"/>
    <x v="1"/>
    <d v="2025-05-21T00:00:00"/>
    <n v="14"/>
    <x v="0"/>
    <x v="4"/>
  </r>
  <r>
    <n v="1083"/>
    <x v="0"/>
    <n v="0"/>
    <n v="313.89"/>
    <x v="42"/>
    <x v="50"/>
    <x v="4"/>
    <x v="6"/>
    <n v="27.34"/>
    <n v="1"/>
    <x v="1"/>
    <d v="2025-03-18T00:00:00"/>
    <n v="58"/>
    <x v="0"/>
    <x v="3"/>
  </r>
  <r>
    <n v="1084"/>
    <x v="0"/>
    <n v="0"/>
    <n v="495.83"/>
    <x v="33"/>
    <x v="59"/>
    <x v="3"/>
    <x v="1"/>
    <n v="300.68"/>
    <n v="1"/>
    <x v="4"/>
    <d v="2025-02-23T00:00:00"/>
    <n v="64"/>
    <x v="0"/>
    <x v="3"/>
  </r>
  <r>
    <n v="1085"/>
    <x v="0"/>
    <n v="0"/>
    <n v="200.04"/>
    <x v="29"/>
    <x v="60"/>
    <x v="1"/>
    <x v="0"/>
    <n v="101.36"/>
    <n v="1"/>
    <x v="0"/>
    <d v="2025-02-06T00:00:00"/>
    <n v="97"/>
    <x v="2"/>
    <x v="1"/>
  </r>
  <r>
    <n v="1086"/>
    <x v="0"/>
    <n v="0"/>
    <n v="224.18"/>
    <x v="9"/>
    <x v="61"/>
    <x v="0"/>
    <x v="6"/>
    <n v="118.26"/>
    <n v="1"/>
    <x v="3"/>
    <d v="2025-03-24T00:00:00"/>
    <n v="24"/>
    <x v="0"/>
    <x v="4"/>
  </r>
  <r>
    <n v="1087"/>
    <x v="1"/>
    <n v="0"/>
    <n v="364.9"/>
    <x v="8"/>
    <x v="62"/>
    <x v="0"/>
    <x v="3"/>
    <n v="217.74"/>
    <n v="1"/>
    <x v="1"/>
    <d v="2025-02-21T00:00:00"/>
    <n v="92"/>
    <x v="2"/>
    <x v="4"/>
  </r>
  <r>
    <n v="1088"/>
    <x v="1"/>
    <n v="0"/>
    <n v="340"/>
    <x v="43"/>
    <x v="63"/>
    <x v="1"/>
    <x v="5"/>
    <n v="123.2"/>
    <n v="1"/>
    <x v="1"/>
    <d v="2025-04-11T00:00:00"/>
    <n v="2"/>
    <x v="0"/>
    <x v="4"/>
  </r>
  <r>
    <n v="1093"/>
    <x v="1"/>
    <n v="0"/>
    <n v="107.55"/>
    <x v="21"/>
    <x v="64"/>
    <x v="0"/>
    <x v="5"/>
    <n v="56.69"/>
    <n v="1"/>
    <x v="2"/>
    <d v="2025-03-28T00:00:00"/>
    <n v="58"/>
    <x v="0"/>
    <x v="4"/>
  </r>
  <r>
    <n v="1095"/>
    <x v="0"/>
    <n v="0"/>
    <n v="261.45"/>
    <x v="23"/>
    <x v="65"/>
    <x v="0"/>
    <x v="1"/>
    <n v="112.05000000000001"/>
    <n v="1"/>
    <x v="3"/>
    <d v="2025-04-17T00:00:00"/>
    <n v="60"/>
    <x v="0"/>
    <x v="3"/>
  </r>
  <r>
    <n v="1096"/>
    <x v="0"/>
    <n v="0"/>
    <n v="218.98"/>
    <x v="3"/>
    <x v="66"/>
    <x v="0"/>
    <x v="3"/>
    <n v="114.22"/>
    <n v="1"/>
    <x v="1"/>
    <d v="2025-03-27T00:00:00"/>
    <n v="9"/>
    <x v="0"/>
    <x v="0"/>
  </r>
  <r>
    <n v="1097"/>
    <x v="1"/>
    <n v="0"/>
    <n v="228.41"/>
    <x v="40"/>
    <x v="67"/>
    <x v="1"/>
    <x v="5"/>
    <n v="127.64"/>
    <n v="1"/>
    <x v="4"/>
    <d v="2025-03-13T00:00:00"/>
    <n v="94"/>
    <x v="2"/>
    <x v="0"/>
  </r>
  <r>
    <n v="1098"/>
    <x v="1"/>
    <n v="0"/>
    <n v="354.25"/>
    <x v="12"/>
    <x v="68"/>
    <x v="4"/>
    <x v="2"/>
    <n v="50.85"/>
    <n v="1"/>
    <x v="3"/>
    <d v="2025-02-23T00:00:00"/>
    <n v="93"/>
    <x v="2"/>
    <x v="1"/>
  </r>
  <r>
    <n v="1099"/>
    <x v="0"/>
    <n v="1"/>
    <n v="230.63"/>
    <x v="15"/>
    <x v="69"/>
    <x v="1"/>
    <x v="2"/>
    <n v="123.47999999999999"/>
    <n v="1"/>
    <x v="1"/>
    <d v="2025-04-03T00:00:00"/>
    <n v="33"/>
    <x v="0"/>
    <x v="0"/>
  </r>
  <r>
    <n v="11"/>
    <x v="1"/>
    <n v="0"/>
    <n v="327.88"/>
    <x v="2"/>
    <x v="70"/>
    <x v="0"/>
    <x v="2"/>
    <n v="57.11"/>
    <n v="1"/>
    <x v="3"/>
    <d v="2025-04-12T00:00:00"/>
    <n v="38"/>
    <x v="0"/>
    <x v="0"/>
  </r>
  <r>
    <n v="1100"/>
    <x v="0"/>
    <n v="0"/>
    <n v="262.86"/>
    <x v="44"/>
    <x v="56"/>
    <x v="1"/>
    <x v="2"/>
    <n v="148.47999999999999"/>
    <n v="1"/>
    <x v="1"/>
    <d v="2025-03-02T00:00:00"/>
    <n v="107"/>
    <x v="2"/>
    <x v="3"/>
  </r>
  <r>
    <n v="1102"/>
    <x v="1"/>
    <n v="1"/>
    <n v="214.7"/>
    <x v="29"/>
    <x v="71"/>
    <x v="3"/>
    <x v="0"/>
    <n v="71.400000000000006"/>
    <n v="1"/>
    <x v="2"/>
    <d v="2025-03-11T00:00:00"/>
    <n v="64"/>
    <x v="0"/>
    <x v="2"/>
  </r>
  <r>
    <n v="1103"/>
    <x v="0"/>
    <n v="0"/>
    <n v="108.13"/>
    <x v="25"/>
    <x v="72"/>
    <x v="0"/>
    <x v="3"/>
    <n v="61.61"/>
    <n v="1"/>
    <x v="1"/>
    <d v="2025-04-09T00:00:00"/>
    <n v="52"/>
    <x v="0"/>
    <x v="3"/>
  </r>
  <r>
    <n v="1106"/>
    <x v="0"/>
    <n v="0"/>
    <n v="219.78"/>
    <x v="39"/>
    <x v="73"/>
    <x v="0"/>
    <x v="6"/>
    <n v="81.98"/>
    <n v="1"/>
    <x v="3"/>
    <d v="2025-04-28T00:00:00"/>
    <n v="38"/>
    <x v="0"/>
    <x v="4"/>
  </r>
  <r>
    <n v="1108"/>
    <x v="0"/>
    <n v="0"/>
    <n v="194.29"/>
    <x v="12"/>
    <x v="74"/>
    <x v="1"/>
    <x v="2"/>
    <n v="29.68"/>
    <n v="1"/>
    <x v="1"/>
    <d v="2025-04-11T00:00:00"/>
    <n v="46"/>
    <x v="0"/>
    <x v="2"/>
  </r>
  <r>
    <n v="1109"/>
    <x v="0"/>
    <n v="0"/>
    <n v="78.69"/>
    <x v="12"/>
    <x v="75"/>
    <x v="0"/>
    <x v="2"/>
    <n v="49.41"/>
    <n v="1"/>
    <x v="4"/>
    <d v="2025-03-31T00:00:00"/>
    <n v="57"/>
    <x v="0"/>
    <x v="3"/>
  </r>
  <r>
    <n v="1110"/>
    <x v="0"/>
    <n v="1"/>
    <n v="390.78"/>
    <x v="4"/>
    <x v="76"/>
    <x v="4"/>
    <x v="4"/>
    <n v="234.6"/>
    <n v="1"/>
    <x v="4"/>
    <d v="2025-04-29T00:00:00"/>
    <n v="38"/>
    <x v="0"/>
    <x v="4"/>
  </r>
  <r>
    <n v="1111"/>
    <x v="1"/>
    <n v="0"/>
    <n v="204.48"/>
    <x v="37"/>
    <x v="77"/>
    <x v="0"/>
    <x v="4"/>
    <n v="79.56"/>
    <n v="1"/>
    <x v="3"/>
    <d v="2025-05-09T00:00:00"/>
    <n v="-21"/>
    <x v="1"/>
    <x v="4"/>
  </r>
  <r>
    <n v="1112"/>
    <x v="1"/>
    <n v="0"/>
    <n v="229.4"/>
    <x v="36"/>
    <x v="78"/>
    <x v="0"/>
    <x v="4"/>
    <n v="52.58"/>
    <n v="1"/>
    <x v="4"/>
    <d v="2025-03-02T00:00:00"/>
    <n v="54"/>
    <x v="0"/>
    <x v="0"/>
  </r>
  <r>
    <n v="1113"/>
    <x v="1"/>
    <n v="0"/>
    <n v="304.05"/>
    <x v="30"/>
    <x v="79"/>
    <x v="1"/>
    <x v="3"/>
    <n v="126.06"/>
    <n v="1"/>
    <x v="0"/>
    <d v="2025-02-23T00:00:00"/>
    <n v="55"/>
    <x v="0"/>
    <x v="2"/>
  </r>
  <r>
    <n v="1115"/>
    <x v="0"/>
    <n v="0"/>
    <n v="501.76"/>
    <x v="30"/>
    <x v="80"/>
    <x v="5"/>
    <x v="3"/>
    <n v="130.56"/>
    <n v="1"/>
    <x v="3"/>
    <d v="2025-02-07T00:00:00"/>
    <n v="71"/>
    <x v="0"/>
    <x v="1"/>
  </r>
  <r>
    <n v="1116"/>
    <x v="0"/>
    <n v="0"/>
    <n v="318.58999999999997"/>
    <x v="0"/>
    <x v="44"/>
    <x v="0"/>
    <x v="0"/>
    <n v="14.64"/>
    <n v="1"/>
    <x v="3"/>
    <d v="2025-01-20T00:00:00"/>
    <n v="121"/>
    <x v="2"/>
    <x v="3"/>
  </r>
  <r>
    <n v="1117"/>
    <x v="0"/>
    <n v="0"/>
    <n v="190.25"/>
    <x v="40"/>
    <x v="81"/>
    <x v="4"/>
    <x v="5"/>
    <n v="63.79"/>
    <n v="1"/>
    <x v="0"/>
    <d v="2025-04-23T00:00:00"/>
    <n v="53"/>
    <x v="0"/>
    <x v="2"/>
  </r>
  <r>
    <n v="1119"/>
    <x v="0"/>
    <n v="0"/>
    <n v="147.22"/>
    <x v="20"/>
    <x v="82"/>
    <x v="4"/>
    <x v="1"/>
    <n v="83.12"/>
    <n v="1"/>
    <x v="3"/>
    <d v="2025-04-30T00:00:00"/>
    <n v="19"/>
    <x v="0"/>
    <x v="1"/>
  </r>
  <r>
    <n v="112"/>
    <x v="0"/>
    <n v="1"/>
    <n v="445.72"/>
    <x v="4"/>
    <x v="83"/>
    <x v="4"/>
    <x v="4"/>
    <n v="200.25"/>
    <n v="1"/>
    <x v="1"/>
    <d v="2025-03-10T00:00:00"/>
    <n v="88"/>
    <x v="0"/>
    <x v="4"/>
  </r>
  <r>
    <n v="1122"/>
    <x v="0"/>
    <n v="0"/>
    <n v="412.92"/>
    <x v="23"/>
    <x v="84"/>
    <x v="4"/>
    <x v="1"/>
    <n v="115.02"/>
    <n v="1"/>
    <x v="0"/>
    <d v="2025-02-13T00:00:00"/>
    <n v="123"/>
    <x v="2"/>
    <x v="0"/>
  </r>
  <r>
    <n v="1123"/>
    <x v="0"/>
    <n v="0"/>
    <n v="342.14"/>
    <x v="12"/>
    <x v="85"/>
    <x v="0"/>
    <x v="2"/>
    <n v="154.89000000000001"/>
    <n v="1"/>
    <x v="2"/>
    <d v="2025-03-03T00:00:00"/>
    <n v="85"/>
    <x v="0"/>
    <x v="3"/>
  </r>
  <r>
    <n v="1124"/>
    <x v="0"/>
    <n v="0"/>
    <n v="162.22999999999999"/>
    <x v="45"/>
    <x v="86"/>
    <x v="1"/>
    <x v="2"/>
    <n v="37.450000000000003"/>
    <n v="1"/>
    <x v="3"/>
    <d v="2025-03-19T00:00:00"/>
    <n v="41"/>
    <x v="0"/>
    <x v="0"/>
  </r>
  <r>
    <n v="1127"/>
    <x v="0"/>
    <n v="0"/>
    <n v="281.04000000000002"/>
    <x v="28"/>
    <x v="87"/>
    <x v="1"/>
    <x v="2"/>
    <n v="142.77000000000001"/>
    <n v="1"/>
    <x v="1"/>
    <d v="2025-03-09T00:00:00"/>
    <n v="65"/>
    <x v="0"/>
    <x v="3"/>
  </r>
  <r>
    <n v="1128"/>
    <x v="1"/>
    <n v="0"/>
    <n v="96.84"/>
    <x v="25"/>
    <x v="88"/>
    <x v="0"/>
    <x v="3"/>
    <n v="66.87"/>
    <n v="1"/>
    <x v="2"/>
    <d v="2025-02-09T00:00:00"/>
    <n v="111"/>
    <x v="2"/>
    <x v="0"/>
  </r>
  <r>
    <n v="1129"/>
    <x v="1"/>
    <n v="0"/>
    <n v="125.14"/>
    <x v="0"/>
    <x v="89"/>
    <x v="1"/>
    <x v="0"/>
    <n v="38.14"/>
    <n v="1"/>
    <x v="1"/>
    <d v="2025-03-16T00:00:00"/>
    <n v="66"/>
    <x v="0"/>
    <x v="2"/>
  </r>
  <r>
    <n v="113"/>
    <x v="1"/>
    <n v="0"/>
    <n v="448.08"/>
    <x v="21"/>
    <x v="80"/>
    <x v="5"/>
    <x v="5"/>
    <n v="121.78"/>
    <n v="1"/>
    <x v="3"/>
    <d v="2025-02-07T00:00:00"/>
    <n v="107"/>
    <x v="2"/>
    <x v="0"/>
  </r>
  <r>
    <n v="1130"/>
    <x v="0"/>
    <n v="0"/>
    <n v="579.95000000000005"/>
    <x v="34"/>
    <x v="63"/>
    <x v="1"/>
    <x v="1"/>
    <n v="246.8"/>
    <n v="1"/>
    <x v="1"/>
    <d v="2025-04-11T00:00:00"/>
    <n v="45"/>
    <x v="0"/>
    <x v="1"/>
  </r>
  <r>
    <n v="1132"/>
    <x v="1"/>
    <n v="0"/>
    <n v="267.61"/>
    <x v="2"/>
    <x v="90"/>
    <x v="0"/>
    <x v="2"/>
    <n v="147.36000000000001"/>
    <n v="1"/>
    <x v="4"/>
    <d v="2025-02-21T00:00:00"/>
    <n v="88"/>
    <x v="0"/>
    <x v="2"/>
  </r>
  <r>
    <n v="1133"/>
    <x v="0"/>
    <n v="0"/>
    <n v="210.9"/>
    <x v="36"/>
    <x v="91"/>
    <x v="4"/>
    <x v="4"/>
    <n v="28.42"/>
    <n v="1"/>
    <x v="1"/>
    <d v="2025-04-10T00:00:00"/>
    <n v="15"/>
    <x v="0"/>
    <x v="1"/>
  </r>
  <r>
    <n v="1134"/>
    <x v="1"/>
    <n v="0"/>
    <n v="324.16000000000003"/>
    <x v="46"/>
    <x v="92"/>
    <x v="4"/>
    <x v="0"/>
    <n v="124.92"/>
    <n v="1"/>
    <x v="1"/>
    <d v="2025-05-06T00:00:00"/>
    <n v="22"/>
    <x v="0"/>
    <x v="0"/>
  </r>
  <r>
    <n v="1135"/>
    <x v="1"/>
    <n v="0"/>
    <n v="202.84"/>
    <x v="2"/>
    <x v="93"/>
    <x v="0"/>
    <x v="2"/>
    <n v="62.17"/>
    <n v="1"/>
    <x v="4"/>
    <d v="2025-04-03T00:00:00"/>
    <n v="47"/>
    <x v="0"/>
    <x v="3"/>
  </r>
  <r>
    <n v="1136"/>
    <x v="1"/>
    <n v="0"/>
    <n v="111.97"/>
    <x v="16"/>
    <x v="31"/>
    <x v="5"/>
    <x v="3"/>
    <n v="64.5"/>
    <n v="1"/>
    <x v="0"/>
    <d v="2025-02-24T00:00:00"/>
    <n v="110"/>
    <x v="2"/>
    <x v="2"/>
  </r>
  <r>
    <n v="1137"/>
    <x v="0"/>
    <n v="0"/>
    <n v="380.37"/>
    <x v="17"/>
    <x v="94"/>
    <x v="1"/>
    <x v="3"/>
    <n v="114.42"/>
    <n v="1"/>
    <x v="3"/>
    <d v="2025-03-28T00:00:00"/>
    <n v="50"/>
    <x v="0"/>
    <x v="2"/>
  </r>
  <r>
    <n v="1138"/>
    <x v="0"/>
    <n v="0"/>
    <n v="375.32"/>
    <x v="5"/>
    <x v="79"/>
    <x v="1"/>
    <x v="5"/>
    <n v="130.52000000000001"/>
    <n v="1"/>
    <x v="0"/>
    <d v="2025-02-23T00:00:00"/>
    <n v="63"/>
    <x v="0"/>
    <x v="3"/>
  </r>
  <r>
    <n v="1139"/>
    <x v="1"/>
    <n v="0"/>
    <n v="422.16"/>
    <x v="7"/>
    <x v="45"/>
    <x v="0"/>
    <x v="0"/>
    <n v="213.84"/>
    <n v="1"/>
    <x v="0"/>
    <d v="2025-03-31T00:00:00"/>
    <n v="16"/>
    <x v="0"/>
    <x v="2"/>
  </r>
  <r>
    <n v="114"/>
    <x v="1"/>
    <n v="0"/>
    <n v="280.43"/>
    <x v="36"/>
    <x v="95"/>
    <x v="3"/>
    <x v="4"/>
    <n v="51.7"/>
    <n v="1"/>
    <x v="4"/>
    <d v="2025-04-04T00:00:00"/>
    <n v="21"/>
    <x v="0"/>
    <x v="2"/>
  </r>
  <r>
    <n v="1143"/>
    <x v="0"/>
    <n v="1"/>
    <n v="155.13"/>
    <x v="24"/>
    <x v="96"/>
    <x v="0"/>
    <x v="5"/>
    <n v="46.91"/>
    <n v="1"/>
    <x v="2"/>
    <d v="2025-03-16T00:00:00"/>
    <n v="21"/>
    <x v="0"/>
    <x v="0"/>
  </r>
  <r>
    <n v="1144"/>
    <x v="0"/>
    <n v="0"/>
    <n v="141.99"/>
    <x v="2"/>
    <x v="97"/>
    <x v="2"/>
    <x v="2"/>
    <n v="75.47"/>
    <n v="1"/>
    <x v="4"/>
    <d v="2025-03-08T00:00:00"/>
    <n v="73"/>
    <x v="0"/>
    <x v="4"/>
  </r>
  <r>
    <n v="1146"/>
    <x v="0"/>
    <n v="0"/>
    <n v="326.72000000000003"/>
    <x v="8"/>
    <x v="98"/>
    <x v="5"/>
    <x v="3"/>
    <n v="70.400000000000006"/>
    <n v="1"/>
    <x v="3"/>
    <d v="2025-04-05T00:00:00"/>
    <n v="49"/>
    <x v="0"/>
    <x v="1"/>
  </r>
  <r>
    <n v="1148"/>
    <x v="1"/>
    <n v="1"/>
    <n v="448.98"/>
    <x v="28"/>
    <x v="99"/>
    <x v="1"/>
    <x v="2"/>
    <n v="237.15"/>
    <n v="1"/>
    <x v="4"/>
    <d v="2025-04-30T00:00:00"/>
    <n v="13"/>
    <x v="0"/>
    <x v="0"/>
  </r>
  <r>
    <n v="1149"/>
    <x v="0"/>
    <n v="0"/>
    <n v="441.5"/>
    <x v="38"/>
    <x v="100"/>
    <x v="3"/>
    <x v="4"/>
    <n v="93.8"/>
    <n v="1"/>
    <x v="3"/>
    <d v="2025-01-25T00:00:00"/>
    <n v="125"/>
    <x v="2"/>
    <x v="1"/>
  </r>
  <r>
    <n v="115"/>
    <x v="1"/>
    <n v="0"/>
    <n v="169.37"/>
    <x v="26"/>
    <x v="101"/>
    <x v="5"/>
    <x v="5"/>
    <n v="35.69"/>
    <n v="1"/>
    <x v="1"/>
    <d v="2025-05-21T00:00:00"/>
    <n v="-17"/>
    <x v="1"/>
    <x v="1"/>
  </r>
  <r>
    <n v="1150"/>
    <x v="1"/>
    <n v="0"/>
    <n v="607.24"/>
    <x v="39"/>
    <x v="102"/>
    <x v="1"/>
    <x v="6"/>
    <n v="323.04000000000002"/>
    <n v="1"/>
    <x v="3"/>
    <d v="2025-01-30T00:00:00"/>
    <n v="126"/>
    <x v="2"/>
    <x v="2"/>
  </r>
  <r>
    <n v="1152"/>
    <x v="0"/>
    <n v="0"/>
    <n v="375.47"/>
    <x v="13"/>
    <x v="103"/>
    <x v="4"/>
    <x v="2"/>
    <n v="162.12"/>
    <n v="1"/>
    <x v="0"/>
    <d v="2025-05-11T00:00:00"/>
    <n v="-19"/>
    <x v="1"/>
    <x v="4"/>
  </r>
  <r>
    <n v="1153"/>
    <x v="1"/>
    <n v="1"/>
    <n v="149.91"/>
    <x v="17"/>
    <x v="104"/>
    <x v="4"/>
    <x v="3"/>
    <n v="75.22"/>
    <n v="1"/>
    <x v="0"/>
    <d v="2025-03-16T00:00:00"/>
    <n v="62"/>
    <x v="0"/>
    <x v="0"/>
  </r>
  <r>
    <n v="1154"/>
    <x v="0"/>
    <n v="0"/>
    <n v="323.44"/>
    <x v="6"/>
    <x v="86"/>
    <x v="1"/>
    <x v="1"/>
    <n v="181.08"/>
    <n v="1"/>
    <x v="3"/>
    <d v="2025-03-19T00:00:00"/>
    <n v="47"/>
    <x v="0"/>
    <x v="3"/>
  </r>
  <r>
    <n v="1155"/>
    <x v="0"/>
    <n v="0"/>
    <n v="414.54"/>
    <x v="47"/>
    <x v="105"/>
    <x v="0"/>
    <x v="4"/>
    <n v="106.7"/>
    <n v="1"/>
    <x v="4"/>
    <d v="2025-03-24T00:00:00"/>
    <n v="60"/>
    <x v="0"/>
    <x v="1"/>
  </r>
  <r>
    <n v="1156"/>
    <x v="1"/>
    <n v="0"/>
    <n v="434.04"/>
    <x v="0"/>
    <x v="106"/>
    <x v="1"/>
    <x v="0"/>
    <n v="239.12"/>
    <n v="1"/>
    <x v="1"/>
    <d v="2025-03-25T00:00:00"/>
    <n v="57"/>
    <x v="0"/>
    <x v="0"/>
  </r>
  <r>
    <n v="1158"/>
    <x v="0"/>
    <n v="0"/>
    <n v="232.32"/>
    <x v="45"/>
    <x v="107"/>
    <x v="0"/>
    <x v="2"/>
    <n v="153.91999999999999"/>
    <n v="1"/>
    <x v="3"/>
    <d v="2025-05-12T00:00:00"/>
    <n v="-13"/>
    <x v="1"/>
    <x v="1"/>
  </r>
  <r>
    <n v="116"/>
    <x v="1"/>
    <n v="0"/>
    <n v="195.35"/>
    <x v="3"/>
    <x v="108"/>
    <x v="0"/>
    <x v="3"/>
    <n v="54.83"/>
    <n v="1"/>
    <x v="2"/>
    <d v="2025-04-26T00:00:00"/>
    <n v="-21"/>
    <x v="1"/>
    <x v="0"/>
  </r>
  <r>
    <n v="1160"/>
    <x v="0"/>
    <n v="0"/>
    <n v="326.35000000000002"/>
    <x v="30"/>
    <x v="109"/>
    <x v="5"/>
    <x v="3"/>
    <n v="114"/>
    <n v="1"/>
    <x v="0"/>
    <d v="2025-03-23T00:00:00"/>
    <n v="27"/>
    <x v="0"/>
    <x v="0"/>
  </r>
  <r>
    <n v="1161"/>
    <x v="1"/>
    <n v="0"/>
    <n v="282.2"/>
    <x v="48"/>
    <x v="110"/>
    <x v="0"/>
    <x v="3"/>
    <n v="160.56"/>
    <n v="1"/>
    <x v="3"/>
    <d v="2025-02-27T00:00:00"/>
    <n v="58"/>
    <x v="0"/>
    <x v="0"/>
  </r>
  <r>
    <n v="1162"/>
    <x v="1"/>
    <n v="0"/>
    <n v="490.12"/>
    <x v="26"/>
    <x v="111"/>
    <x v="4"/>
    <x v="5"/>
    <n v="270.92"/>
    <n v="1"/>
    <x v="0"/>
    <d v="2025-02-26T00:00:00"/>
    <n v="67"/>
    <x v="0"/>
    <x v="1"/>
  </r>
  <r>
    <n v="1165"/>
    <x v="0"/>
    <n v="0"/>
    <n v="154.08000000000001"/>
    <x v="13"/>
    <x v="112"/>
    <x v="0"/>
    <x v="2"/>
    <n v="38.520000000000003"/>
    <n v="1"/>
    <x v="0"/>
    <d v="2025-04-18T00:00:00"/>
    <n v="4"/>
    <x v="0"/>
    <x v="1"/>
  </r>
  <r>
    <n v="1166"/>
    <x v="0"/>
    <n v="0"/>
    <n v="284.19"/>
    <x v="17"/>
    <x v="113"/>
    <x v="1"/>
    <x v="3"/>
    <n v="60.34"/>
    <n v="1"/>
    <x v="4"/>
    <d v="2025-01-27T00:00:00"/>
    <n v="110"/>
    <x v="2"/>
    <x v="1"/>
  </r>
  <r>
    <n v="1168"/>
    <x v="0"/>
    <n v="0"/>
    <n v="296.37"/>
    <x v="22"/>
    <x v="42"/>
    <x v="1"/>
    <x v="4"/>
    <n v="129.42000000000002"/>
    <n v="1"/>
    <x v="3"/>
    <d v="2025-02-27T00:00:00"/>
    <n v="106"/>
    <x v="2"/>
    <x v="0"/>
  </r>
  <r>
    <n v="1169"/>
    <x v="0"/>
    <n v="0"/>
    <n v="122.99"/>
    <x v="11"/>
    <x v="114"/>
    <x v="1"/>
    <x v="4"/>
    <n v="57.11"/>
    <n v="1"/>
    <x v="0"/>
    <d v="2025-01-22T00:00:00"/>
    <n v="114"/>
    <x v="2"/>
    <x v="0"/>
  </r>
  <r>
    <n v="1170"/>
    <x v="1"/>
    <n v="0"/>
    <n v="214.32"/>
    <x v="41"/>
    <x v="115"/>
    <x v="0"/>
    <x v="0"/>
    <n v="114.7"/>
    <n v="1"/>
    <x v="2"/>
    <d v="2025-05-22T00:00:00"/>
    <n v="13"/>
    <x v="0"/>
    <x v="0"/>
  </r>
  <r>
    <n v="1172"/>
    <x v="0"/>
    <n v="0"/>
    <n v="387.04"/>
    <x v="25"/>
    <x v="116"/>
    <x v="5"/>
    <x v="3"/>
    <n v="214.68"/>
    <n v="1"/>
    <x v="4"/>
    <d v="2025-04-28T00:00:00"/>
    <n v="33"/>
    <x v="0"/>
    <x v="2"/>
  </r>
  <r>
    <n v="1173"/>
    <x v="1"/>
    <n v="1"/>
    <n v="216.76"/>
    <x v="11"/>
    <x v="117"/>
    <x v="3"/>
    <x v="4"/>
    <n v="40.58"/>
    <n v="1"/>
    <x v="0"/>
    <d v="2025-03-19T00:00:00"/>
    <n v="58"/>
    <x v="0"/>
    <x v="3"/>
  </r>
  <r>
    <n v="1175"/>
    <x v="0"/>
    <n v="0"/>
    <n v="71.92"/>
    <x v="6"/>
    <x v="112"/>
    <x v="0"/>
    <x v="1"/>
    <n v="47.87"/>
    <n v="1"/>
    <x v="0"/>
    <d v="2025-04-18T00:00:00"/>
    <n v="17"/>
    <x v="0"/>
    <x v="1"/>
  </r>
  <r>
    <n v="1177"/>
    <x v="0"/>
    <n v="0"/>
    <n v="405.31"/>
    <x v="5"/>
    <x v="118"/>
    <x v="1"/>
    <x v="5"/>
    <n v="227.36"/>
    <n v="1"/>
    <x v="0"/>
    <d v="2025-01-13T00:00:00"/>
    <n v="104"/>
    <x v="2"/>
    <x v="0"/>
  </r>
  <r>
    <n v="1178"/>
    <x v="1"/>
    <n v="0"/>
    <n v="286.19"/>
    <x v="18"/>
    <x v="119"/>
    <x v="1"/>
    <x v="2"/>
    <n v="66.989999999999995"/>
    <n v="1"/>
    <x v="4"/>
    <d v="2025-04-02T00:00:00"/>
    <n v="13"/>
    <x v="0"/>
    <x v="2"/>
  </r>
  <r>
    <n v="1179"/>
    <x v="0"/>
    <n v="0"/>
    <n v="250.58"/>
    <x v="45"/>
    <x v="15"/>
    <x v="4"/>
    <x v="2"/>
    <n v="58.34"/>
    <n v="1"/>
    <x v="2"/>
    <d v="2025-03-08T00:00:00"/>
    <n v="52"/>
    <x v="0"/>
    <x v="2"/>
  </r>
  <r>
    <n v="118"/>
    <x v="0"/>
    <n v="0"/>
    <n v="788.58"/>
    <x v="35"/>
    <x v="120"/>
    <x v="4"/>
    <x v="5"/>
    <n v="260.68"/>
    <n v="1"/>
    <x v="1"/>
    <d v="2025-03-14T00:00:00"/>
    <n v="65"/>
    <x v="0"/>
    <x v="4"/>
  </r>
  <r>
    <n v="1180"/>
    <x v="0"/>
    <n v="0"/>
    <n v="273.14"/>
    <x v="34"/>
    <x v="121"/>
    <x v="3"/>
    <x v="1"/>
    <n v="153.63999999999999"/>
    <n v="1"/>
    <x v="2"/>
    <d v="2025-05-02T00:00:00"/>
    <n v="24"/>
    <x v="0"/>
    <x v="1"/>
  </r>
  <r>
    <n v="1182"/>
    <x v="0"/>
    <n v="0"/>
    <n v="189.9"/>
    <x v="23"/>
    <x v="122"/>
    <x v="5"/>
    <x v="1"/>
    <n v="73.98"/>
    <n v="1"/>
    <x v="3"/>
    <d v="2025-02-12T00:00:00"/>
    <n v="124"/>
    <x v="2"/>
    <x v="3"/>
  </r>
  <r>
    <n v="1183"/>
    <x v="1"/>
    <n v="0"/>
    <n v="464.44"/>
    <x v="37"/>
    <x v="123"/>
    <x v="4"/>
    <x v="4"/>
    <n v="261.04000000000002"/>
    <n v="1"/>
    <x v="4"/>
    <d v="2025-03-06T00:00:00"/>
    <n v="43"/>
    <x v="0"/>
    <x v="3"/>
  </r>
  <r>
    <n v="1184"/>
    <x v="1"/>
    <n v="0"/>
    <n v="126.28"/>
    <x v="36"/>
    <x v="124"/>
    <x v="4"/>
    <x v="4"/>
    <n v="51.38"/>
    <n v="1"/>
    <x v="0"/>
    <d v="2025-04-08T00:00:00"/>
    <n v="17"/>
    <x v="0"/>
    <x v="3"/>
  </r>
  <r>
    <n v="1185"/>
    <x v="0"/>
    <n v="0"/>
    <n v="207.36"/>
    <x v="6"/>
    <x v="98"/>
    <x v="5"/>
    <x v="1"/>
    <n v="130.52000000000001"/>
    <n v="1"/>
    <x v="3"/>
    <d v="2025-04-05T00:00:00"/>
    <n v="30"/>
    <x v="0"/>
    <x v="4"/>
  </r>
  <r>
    <n v="1186"/>
    <x v="0"/>
    <n v="0"/>
    <n v="521.99"/>
    <x v="9"/>
    <x v="125"/>
    <x v="3"/>
    <x v="6"/>
    <n v="166.24"/>
    <n v="1"/>
    <x v="0"/>
    <d v="2025-03-28T00:00:00"/>
    <n v="20"/>
    <x v="0"/>
    <x v="1"/>
  </r>
  <r>
    <n v="1187"/>
    <x v="0"/>
    <n v="0"/>
    <n v="161.41999999999999"/>
    <x v="32"/>
    <x v="126"/>
    <x v="0"/>
    <x v="1"/>
    <n v="110.02"/>
    <n v="1"/>
    <x v="0"/>
    <d v="2025-03-24T00:00:00"/>
    <n v="21"/>
    <x v="0"/>
    <x v="4"/>
  </r>
  <r>
    <n v="1189"/>
    <x v="0"/>
    <n v="0"/>
    <n v="443.88"/>
    <x v="31"/>
    <x v="127"/>
    <x v="1"/>
    <x v="6"/>
    <n v="177.63"/>
    <n v="1"/>
    <x v="1"/>
    <d v="2025-03-28T00:00:00"/>
    <n v="27"/>
    <x v="0"/>
    <x v="4"/>
  </r>
  <r>
    <n v="1192"/>
    <x v="1"/>
    <n v="0"/>
    <n v="302.23"/>
    <x v="14"/>
    <x v="128"/>
    <x v="2"/>
    <x v="6"/>
    <n v="43.43"/>
    <n v="1"/>
    <x v="1"/>
    <d v="2025-06-08T00:00:00"/>
    <n v="-17"/>
    <x v="1"/>
    <x v="1"/>
  </r>
  <r>
    <n v="1193"/>
    <x v="0"/>
    <n v="0"/>
    <n v="388.54"/>
    <x v="18"/>
    <x v="129"/>
    <x v="5"/>
    <x v="2"/>
    <n v="125.64000000000001"/>
    <n v="1"/>
    <x v="2"/>
    <d v="2025-03-27T00:00:00"/>
    <n v="19"/>
    <x v="0"/>
    <x v="0"/>
  </r>
  <r>
    <n v="1194"/>
    <x v="0"/>
    <n v="0"/>
    <n v="419.1"/>
    <x v="28"/>
    <x v="130"/>
    <x v="5"/>
    <x v="2"/>
    <n v="42.1"/>
    <n v="1"/>
    <x v="4"/>
    <d v="2025-02-04T00:00:00"/>
    <n v="98"/>
    <x v="2"/>
    <x v="0"/>
  </r>
  <r>
    <n v="1195"/>
    <x v="1"/>
    <n v="0"/>
    <n v="137.94"/>
    <x v="13"/>
    <x v="131"/>
    <x v="1"/>
    <x v="2"/>
    <n v="31.84"/>
    <n v="1"/>
    <x v="3"/>
    <d v="2025-03-24T00:00:00"/>
    <n v="29"/>
    <x v="0"/>
    <x v="4"/>
  </r>
  <r>
    <n v="1196"/>
    <x v="1"/>
    <n v="0"/>
    <n v="164.14"/>
    <x v="47"/>
    <x v="132"/>
    <x v="1"/>
    <x v="4"/>
    <n v="104.78"/>
    <n v="1"/>
    <x v="0"/>
    <d v="2025-02-12T00:00:00"/>
    <n v="100"/>
    <x v="2"/>
    <x v="0"/>
  </r>
  <r>
    <n v="1197"/>
    <x v="0"/>
    <n v="0"/>
    <n v="384.56"/>
    <x v="14"/>
    <x v="133"/>
    <x v="1"/>
    <x v="6"/>
    <n v="228.44"/>
    <n v="1"/>
    <x v="1"/>
    <d v="2025-03-26T00:00:00"/>
    <n v="57"/>
    <x v="0"/>
    <x v="0"/>
  </r>
  <r>
    <n v="1198"/>
    <x v="0"/>
    <n v="1"/>
    <n v="169.7"/>
    <x v="15"/>
    <x v="134"/>
    <x v="3"/>
    <x v="2"/>
    <n v="26.84"/>
    <n v="1"/>
    <x v="3"/>
    <d v="2025-03-29T00:00:00"/>
    <n v="38"/>
    <x v="0"/>
    <x v="2"/>
  </r>
  <r>
    <n v="1199"/>
    <x v="0"/>
    <n v="0"/>
    <n v="342.57"/>
    <x v="16"/>
    <x v="135"/>
    <x v="3"/>
    <x v="3"/>
    <n v="88.12"/>
    <n v="1"/>
    <x v="4"/>
    <d v="2025-04-25T00:00:00"/>
    <n v="50"/>
    <x v="0"/>
    <x v="4"/>
  </r>
  <r>
    <n v="120"/>
    <x v="0"/>
    <n v="1"/>
    <n v="431.8"/>
    <x v="4"/>
    <x v="136"/>
    <x v="1"/>
    <x v="4"/>
    <n v="117.46"/>
    <n v="1"/>
    <x v="0"/>
    <d v="2025-02-21T00:00:00"/>
    <n v="105"/>
    <x v="2"/>
    <x v="4"/>
  </r>
  <r>
    <n v="1200"/>
    <x v="1"/>
    <n v="1"/>
    <n v="206.5"/>
    <x v="11"/>
    <x v="137"/>
    <x v="4"/>
    <x v="4"/>
    <n v="60.68"/>
    <n v="1"/>
    <x v="4"/>
    <d v="2025-01-23T00:00:00"/>
    <n v="113"/>
    <x v="2"/>
    <x v="0"/>
  </r>
  <r>
    <n v="1201"/>
    <x v="1"/>
    <n v="0"/>
    <n v="252.86"/>
    <x v="9"/>
    <x v="138"/>
    <x v="2"/>
    <x v="6"/>
    <n v="87.68"/>
    <n v="1"/>
    <x v="1"/>
    <d v="2025-01-28T00:00:00"/>
    <n v="79"/>
    <x v="0"/>
    <x v="3"/>
  </r>
  <r>
    <n v="1205"/>
    <x v="0"/>
    <n v="0"/>
    <n v="311.61"/>
    <x v="46"/>
    <x v="139"/>
    <x v="1"/>
    <x v="0"/>
    <n v="99.96"/>
    <n v="1"/>
    <x v="2"/>
    <d v="2025-04-10T00:00:00"/>
    <n v="48"/>
    <x v="0"/>
    <x v="4"/>
  </r>
  <r>
    <n v="1206"/>
    <x v="0"/>
    <n v="0"/>
    <n v="310.54000000000002"/>
    <x v="30"/>
    <x v="140"/>
    <x v="3"/>
    <x v="3"/>
    <n v="158.49"/>
    <n v="1"/>
    <x v="3"/>
    <d v="2025-02-06T00:00:00"/>
    <n v="72"/>
    <x v="0"/>
    <x v="1"/>
  </r>
  <r>
    <n v="1207"/>
    <x v="1"/>
    <n v="0"/>
    <n v="278.18"/>
    <x v="3"/>
    <x v="141"/>
    <x v="3"/>
    <x v="3"/>
    <n v="57.48"/>
    <n v="1"/>
    <x v="1"/>
    <d v="2025-03-11T00:00:00"/>
    <n v="25"/>
    <x v="0"/>
    <x v="4"/>
  </r>
  <r>
    <n v="1208"/>
    <x v="0"/>
    <n v="1"/>
    <n v="454.1"/>
    <x v="4"/>
    <x v="142"/>
    <x v="0"/>
    <x v="4"/>
    <n v="117.44999999999999"/>
    <n v="1"/>
    <x v="3"/>
    <d v="2025-04-09T00:00:00"/>
    <n v="58"/>
    <x v="0"/>
    <x v="4"/>
  </r>
  <r>
    <n v="1209"/>
    <x v="0"/>
    <n v="0"/>
    <n v="208.57"/>
    <x v="27"/>
    <x v="143"/>
    <x v="1"/>
    <x v="5"/>
    <n v="51.4"/>
    <n v="1"/>
    <x v="2"/>
    <d v="2025-04-14T00:00:00"/>
    <n v="6"/>
    <x v="0"/>
    <x v="1"/>
  </r>
  <r>
    <n v="121"/>
    <x v="1"/>
    <n v="0"/>
    <n v="566.29"/>
    <x v="36"/>
    <x v="66"/>
    <x v="0"/>
    <x v="4"/>
    <n v="45.15"/>
    <n v="1"/>
    <x v="1"/>
    <d v="2025-03-27T00:00:00"/>
    <n v="29"/>
    <x v="0"/>
    <x v="3"/>
  </r>
  <r>
    <n v="1210"/>
    <x v="1"/>
    <n v="0"/>
    <n v="543.20000000000005"/>
    <x v="44"/>
    <x v="129"/>
    <x v="5"/>
    <x v="2"/>
    <n v="323.04000000000002"/>
    <n v="1"/>
    <x v="2"/>
    <d v="2025-03-27T00:00:00"/>
    <n v="82"/>
    <x v="0"/>
    <x v="2"/>
  </r>
  <r>
    <n v="1211"/>
    <x v="1"/>
    <n v="0"/>
    <n v="317.66000000000003"/>
    <x v="47"/>
    <x v="144"/>
    <x v="4"/>
    <x v="4"/>
    <n v="74.34"/>
    <n v="1"/>
    <x v="0"/>
    <d v="2025-01-26T00:00:00"/>
    <n v="117"/>
    <x v="2"/>
    <x v="0"/>
  </r>
  <r>
    <n v="1213"/>
    <x v="0"/>
    <n v="0"/>
    <n v="365.27"/>
    <x v="11"/>
    <x v="145"/>
    <x v="1"/>
    <x v="4"/>
    <n v="67.37"/>
    <n v="1"/>
    <x v="3"/>
    <d v="2025-02-19T00:00:00"/>
    <n v="86"/>
    <x v="0"/>
    <x v="0"/>
  </r>
  <r>
    <n v="1214"/>
    <x v="0"/>
    <n v="1"/>
    <n v="301.3"/>
    <x v="4"/>
    <x v="146"/>
    <x v="1"/>
    <x v="4"/>
    <n v="93.8"/>
    <n v="1"/>
    <x v="3"/>
    <d v="2025-02-15T00:00:00"/>
    <n v="111"/>
    <x v="2"/>
    <x v="0"/>
  </r>
  <r>
    <n v="1215"/>
    <x v="1"/>
    <n v="0"/>
    <n v="562.51"/>
    <x v="13"/>
    <x v="147"/>
    <x v="0"/>
    <x v="2"/>
    <n v="249.36"/>
    <n v="1"/>
    <x v="1"/>
    <d v="2025-04-11T00:00:00"/>
    <n v="11"/>
    <x v="0"/>
    <x v="0"/>
  </r>
  <r>
    <n v="1216"/>
    <x v="1"/>
    <n v="0"/>
    <n v="105.22"/>
    <x v="5"/>
    <x v="148"/>
    <x v="3"/>
    <x v="5"/>
    <n v="31.84"/>
    <n v="1"/>
    <x v="0"/>
    <d v="2025-03-18T00:00:00"/>
    <n v="40"/>
    <x v="0"/>
    <x v="4"/>
  </r>
  <r>
    <n v="1218"/>
    <x v="1"/>
    <n v="0"/>
    <n v="293.92"/>
    <x v="49"/>
    <x v="149"/>
    <x v="1"/>
    <x v="0"/>
    <n v="169.32"/>
    <n v="1"/>
    <x v="2"/>
    <d v="2025-02-10T00:00:00"/>
    <n v="72"/>
    <x v="0"/>
    <x v="3"/>
  </r>
  <r>
    <n v="1219"/>
    <x v="0"/>
    <n v="0"/>
    <n v="274.11"/>
    <x v="29"/>
    <x v="150"/>
    <x v="4"/>
    <x v="0"/>
    <n v="90.3"/>
    <n v="1"/>
    <x v="3"/>
    <d v="2025-02-11T00:00:00"/>
    <n v="92"/>
    <x v="2"/>
    <x v="3"/>
  </r>
  <r>
    <n v="1220"/>
    <x v="0"/>
    <n v="0"/>
    <n v="299.77"/>
    <x v="0"/>
    <x v="151"/>
    <x v="0"/>
    <x v="0"/>
    <n v="69.42"/>
    <n v="1"/>
    <x v="1"/>
    <d v="2025-06-06T00:00:00"/>
    <n v="-16"/>
    <x v="1"/>
    <x v="3"/>
  </r>
  <r>
    <n v="1223"/>
    <x v="1"/>
    <n v="1"/>
    <n v="70.56"/>
    <x v="17"/>
    <x v="152"/>
    <x v="4"/>
    <x v="3"/>
    <n v="35.97"/>
    <n v="1"/>
    <x v="1"/>
    <d v="2025-03-15T00:00:00"/>
    <n v="63"/>
    <x v="0"/>
    <x v="3"/>
  </r>
  <r>
    <n v="1224"/>
    <x v="0"/>
    <n v="0"/>
    <n v="172.89"/>
    <x v="30"/>
    <x v="153"/>
    <x v="1"/>
    <x v="3"/>
    <n v="53.35"/>
    <n v="1"/>
    <x v="3"/>
    <d v="2025-03-27T00:00:00"/>
    <n v="23"/>
    <x v="0"/>
    <x v="1"/>
  </r>
  <r>
    <n v="1225"/>
    <x v="1"/>
    <n v="0"/>
    <n v="232.25"/>
    <x v="5"/>
    <x v="154"/>
    <x v="1"/>
    <x v="5"/>
    <n v="36.47"/>
    <n v="1"/>
    <x v="4"/>
    <d v="2025-05-03T00:00:00"/>
    <n v="-6"/>
    <x v="1"/>
    <x v="2"/>
  </r>
  <r>
    <n v="1226"/>
    <x v="1"/>
    <n v="1"/>
    <n v="164.4"/>
    <x v="35"/>
    <x v="155"/>
    <x v="0"/>
    <x v="5"/>
    <n v="93.12"/>
    <n v="1"/>
    <x v="3"/>
    <d v="2025-03-12T00:00:00"/>
    <n v="67"/>
    <x v="0"/>
    <x v="0"/>
  </r>
  <r>
    <n v="1227"/>
    <x v="1"/>
    <n v="0"/>
    <n v="241.04"/>
    <x v="43"/>
    <x v="156"/>
    <x v="2"/>
    <x v="5"/>
    <n v="50.68"/>
    <n v="1"/>
    <x v="4"/>
    <d v="2025-03-28T00:00:00"/>
    <n v="16"/>
    <x v="0"/>
    <x v="1"/>
  </r>
  <r>
    <n v="1229"/>
    <x v="1"/>
    <n v="0"/>
    <n v="343.99"/>
    <x v="19"/>
    <x v="157"/>
    <x v="4"/>
    <x v="6"/>
    <n v="156.24"/>
    <n v="1"/>
    <x v="4"/>
    <d v="2025-04-08T00:00:00"/>
    <n v="51"/>
    <x v="0"/>
    <x v="4"/>
  </r>
  <r>
    <n v="123"/>
    <x v="1"/>
    <n v="0"/>
    <n v="410.04"/>
    <x v="0"/>
    <x v="158"/>
    <x v="4"/>
    <x v="0"/>
    <n v="83.12"/>
    <n v="1"/>
    <x v="1"/>
    <d v="2025-04-19T00:00:00"/>
    <n v="32"/>
    <x v="0"/>
    <x v="1"/>
  </r>
  <r>
    <n v="1230"/>
    <x v="0"/>
    <n v="0"/>
    <n v="220.21"/>
    <x v="20"/>
    <x v="159"/>
    <x v="2"/>
    <x v="1"/>
    <n v="55.03"/>
    <n v="1"/>
    <x v="3"/>
    <d v="2025-02-19T00:00:00"/>
    <n v="89"/>
    <x v="0"/>
    <x v="4"/>
  </r>
  <r>
    <n v="1231"/>
    <x v="1"/>
    <n v="0"/>
    <n v="535.45000000000005"/>
    <x v="26"/>
    <x v="144"/>
    <x v="4"/>
    <x v="5"/>
    <n v="318.95"/>
    <n v="1"/>
    <x v="0"/>
    <d v="2025-01-26T00:00:00"/>
    <n v="98"/>
    <x v="2"/>
    <x v="2"/>
  </r>
  <r>
    <n v="1234"/>
    <x v="1"/>
    <n v="0"/>
    <n v="338.34"/>
    <x v="49"/>
    <x v="160"/>
    <x v="3"/>
    <x v="0"/>
    <n v="140.69999999999999"/>
    <n v="1"/>
    <x v="2"/>
    <d v="2025-03-21T00:00:00"/>
    <n v="33"/>
    <x v="0"/>
    <x v="4"/>
  </r>
  <r>
    <n v="1236"/>
    <x v="0"/>
    <n v="0"/>
    <n v="428.95"/>
    <x v="39"/>
    <x v="123"/>
    <x v="4"/>
    <x v="6"/>
    <n v="172.05"/>
    <n v="1"/>
    <x v="4"/>
    <d v="2025-03-06T00:00:00"/>
    <n v="91"/>
    <x v="2"/>
    <x v="3"/>
  </r>
  <r>
    <n v="1237"/>
    <x v="0"/>
    <n v="0"/>
    <n v="400.86"/>
    <x v="33"/>
    <x v="161"/>
    <x v="1"/>
    <x v="1"/>
    <n v="191.46"/>
    <n v="1"/>
    <x v="1"/>
    <d v="2025-02-09T00:00:00"/>
    <n v="78"/>
    <x v="0"/>
    <x v="0"/>
  </r>
  <r>
    <n v="1239"/>
    <x v="0"/>
    <n v="0"/>
    <n v="385.12"/>
    <x v="46"/>
    <x v="162"/>
    <x v="0"/>
    <x v="0"/>
    <n v="119.8"/>
    <n v="1"/>
    <x v="3"/>
    <d v="2025-04-01T00:00:00"/>
    <n v="57"/>
    <x v="0"/>
    <x v="2"/>
  </r>
  <r>
    <n v="124"/>
    <x v="0"/>
    <n v="0"/>
    <n v="245.7"/>
    <x v="30"/>
    <x v="163"/>
    <x v="3"/>
    <x v="3"/>
    <n v="38.06"/>
    <n v="1"/>
    <x v="2"/>
    <d v="2025-03-17T00:00:00"/>
    <n v="33"/>
    <x v="0"/>
    <x v="1"/>
  </r>
  <r>
    <n v="1243"/>
    <x v="0"/>
    <n v="0"/>
    <n v="138.93"/>
    <x v="20"/>
    <x v="164"/>
    <x v="0"/>
    <x v="1"/>
    <n v="95.01"/>
    <n v="1"/>
    <x v="4"/>
    <d v="2025-04-11T00:00:00"/>
    <n v="38"/>
    <x v="0"/>
    <x v="4"/>
  </r>
  <r>
    <n v="1244"/>
    <x v="0"/>
    <n v="0"/>
    <n v="426.38"/>
    <x v="25"/>
    <x v="130"/>
    <x v="5"/>
    <x v="3"/>
    <n v="100.08"/>
    <n v="1"/>
    <x v="4"/>
    <d v="2025-02-04T00:00:00"/>
    <n v="116"/>
    <x v="2"/>
    <x v="0"/>
  </r>
  <r>
    <n v="1245"/>
    <x v="0"/>
    <n v="0"/>
    <n v="261.02"/>
    <x v="17"/>
    <x v="165"/>
    <x v="1"/>
    <x v="3"/>
    <n v="62.27"/>
    <n v="1"/>
    <x v="2"/>
    <d v="2025-02-19T00:00:00"/>
    <n v="87"/>
    <x v="0"/>
    <x v="1"/>
  </r>
  <r>
    <n v="1247"/>
    <x v="0"/>
    <n v="0"/>
    <n v="540.15"/>
    <x v="1"/>
    <x v="39"/>
    <x v="5"/>
    <x v="1"/>
    <n v="300.59999999999997"/>
    <n v="1"/>
    <x v="1"/>
    <d v="2025-04-06T00:00:00"/>
    <n v="15"/>
    <x v="0"/>
    <x v="2"/>
  </r>
  <r>
    <n v="1248"/>
    <x v="1"/>
    <n v="0"/>
    <n v="190.53"/>
    <x v="43"/>
    <x v="166"/>
    <x v="4"/>
    <x v="5"/>
    <n v="52.65"/>
    <n v="1"/>
    <x v="2"/>
    <d v="2025-02-28T00:00:00"/>
    <n v="44"/>
    <x v="0"/>
    <x v="3"/>
  </r>
  <r>
    <n v="1249"/>
    <x v="0"/>
    <n v="0"/>
    <n v="139.01"/>
    <x v="22"/>
    <x v="167"/>
    <x v="3"/>
    <x v="4"/>
    <n v="31.61"/>
    <n v="1"/>
    <x v="3"/>
    <d v="2025-06-09T00:00:00"/>
    <n v="4"/>
    <x v="0"/>
    <x v="0"/>
  </r>
  <r>
    <n v="125"/>
    <x v="1"/>
    <n v="0"/>
    <n v="391.31"/>
    <x v="15"/>
    <x v="168"/>
    <x v="1"/>
    <x v="2"/>
    <n v="47.73"/>
    <n v="1"/>
    <x v="0"/>
    <d v="2025-04-13T00:00:00"/>
    <n v="23"/>
    <x v="0"/>
    <x v="2"/>
  </r>
  <r>
    <n v="1251"/>
    <x v="1"/>
    <n v="0"/>
    <n v="202.77"/>
    <x v="10"/>
    <x v="169"/>
    <x v="4"/>
    <x v="0"/>
    <n v="50.72"/>
    <n v="1"/>
    <x v="2"/>
    <d v="2025-03-05T00:00:00"/>
    <n v="56"/>
    <x v="0"/>
    <x v="0"/>
  </r>
  <r>
    <n v="1252"/>
    <x v="0"/>
    <n v="0"/>
    <n v="429.24"/>
    <x v="45"/>
    <x v="170"/>
    <x v="5"/>
    <x v="2"/>
    <n v="127.44"/>
    <n v="1"/>
    <x v="4"/>
    <d v="2025-03-24T00:00:00"/>
    <n v="36"/>
    <x v="0"/>
    <x v="3"/>
  </r>
  <r>
    <n v="1253"/>
    <x v="0"/>
    <n v="0"/>
    <n v="289.93"/>
    <x v="31"/>
    <x v="171"/>
    <x v="3"/>
    <x v="6"/>
    <n v="26.41"/>
    <n v="1"/>
    <x v="2"/>
    <d v="2025-04-18T00:00:00"/>
    <n v="6"/>
    <x v="0"/>
    <x v="1"/>
  </r>
  <r>
    <n v="1254"/>
    <x v="1"/>
    <n v="0"/>
    <n v="492.02"/>
    <x v="34"/>
    <x v="172"/>
    <x v="0"/>
    <x v="1"/>
    <n v="131.52000000000001"/>
    <n v="1"/>
    <x v="0"/>
    <d v="2025-02-17T00:00:00"/>
    <n v="98"/>
    <x v="2"/>
    <x v="3"/>
  </r>
  <r>
    <n v="1255"/>
    <x v="1"/>
    <n v="0"/>
    <n v="104.81"/>
    <x v="7"/>
    <x v="173"/>
    <x v="1"/>
    <x v="0"/>
    <n v="80.760000000000005"/>
    <n v="1"/>
    <x v="2"/>
    <d v="2025-04-14T00:00:00"/>
    <n v="2"/>
    <x v="0"/>
    <x v="2"/>
  </r>
  <r>
    <n v="1256"/>
    <x v="1"/>
    <n v="0"/>
    <n v="211.32"/>
    <x v="7"/>
    <x v="72"/>
    <x v="0"/>
    <x v="0"/>
    <n v="53.27"/>
    <n v="1"/>
    <x v="1"/>
    <d v="2025-04-09T00:00:00"/>
    <n v="7"/>
    <x v="0"/>
    <x v="3"/>
  </r>
  <r>
    <n v="1257"/>
    <x v="0"/>
    <n v="0"/>
    <n v="420.75"/>
    <x v="12"/>
    <x v="174"/>
    <x v="0"/>
    <x v="2"/>
    <n v="78.400000000000006"/>
    <n v="1"/>
    <x v="4"/>
    <d v="2025-03-18T00:00:00"/>
    <n v="70"/>
    <x v="0"/>
    <x v="3"/>
  </r>
  <r>
    <n v="1258"/>
    <x v="1"/>
    <n v="0"/>
    <n v="436.16"/>
    <x v="14"/>
    <x v="175"/>
    <x v="3"/>
    <x v="6"/>
    <n v="265.52"/>
    <n v="1"/>
    <x v="3"/>
    <d v="2025-04-26T00:00:00"/>
    <n v="26"/>
    <x v="0"/>
    <x v="1"/>
  </r>
  <r>
    <n v="1259"/>
    <x v="0"/>
    <n v="0"/>
    <n v="296.24"/>
    <x v="18"/>
    <x v="176"/>
    <x v="3"/>
    <x v="2"/>
    <n v="95.18"/>
    <n v="1"/>
    <x v="2"/>
    <d v="2025-03-25T00:00:00"/>
    <n v="21"/>
    <x v="0"/>
    <x v="3"/>
  </r>
  <r>
    <n v="126"/>
    <x v="0"/>
    <n v="0"/>
    <n v="484.47"/>
    <x v="42"/>
    <x v="177"/>
    <x v="1"/>
    <x v="6"/>
    <n v="72.680000000000007"/>
    <n v="1"/>
    <x v="0"/>
    <d v="2025-03-03T00:00:00"/>
    <n v="73"/>
    <x v="0"/>
    <x v="3"/>
  </r>
  <r>
    <n v="1262"/>
    <x v="0"/>
    <n v="0"/>
    <n v="345.74"/>
    <x v="33"/>
    <x v="178"/>
    <x v="4"/>
    <x v="1"/>
    <n v="179.7"/>
    <n v="1"/>
    <x v="3"/>
    <d v="2025-01-31T00:00:00"/>
    <n v="87"/>
    <x v="0"/>
    <x v="2"/>
  </r>
  <r>
    <n v="1263"/>
    <x v="1"/>
    <n v="0"/>
    <n v="230.86"/>
    <x v="13"/>
    <x v="179"/>
    <x v="4"/>
    <x v="2"/>
    <n v="94.94"/>
    <n v="1"/>
    <x v="3"/>
    <d v="2025-06-02T00:00:00"/>
    <n v="-41"/>
    <x v="1"/>
    <x v="1"/>
  </r>
  <r>
    <n v="1265"/>
    <x v="0"/>
    <n v="0"/>
    <n v="447.76"/>
    <x v="0"/>
    <x v="180"/>
    <x v="5"/>
    <x v="0"/>
    <n v="127.36"/>
    <n v="1"/>
    <x v="0"/>
    <d v="2025-02-27T00:00:00"/>
    <n v="83"/>
    <x v="0"/>
    <x v="4"/>
  </r>
  <r>
    <n v="1268"/>
    <x v="0"/>
    <n v="0"/>
    <n v="313.3"/>
    <x v="35"/>
    <x v="181"/>
    <x v="5"/>
    <x v="5"/>
    <n v="102.8"/>
    <n v="1"/>
    <x v="2"/>
    <d v="2025-05-01T00:00:00"/>
    <n v="17"/>
    <x v="0"/>
    <x v="1"/>
  </r>
  <r>
    <n v="1269"/>
    <x v="1"/>
    <n v="0"/>
    <n v="159.58000000000001"/>
    <x v="16"/>
    <x v="182"/>
    <x v="5"/>
    <x v="3"/>
    <n v="49.84"/>
    <n v="1"/>
    <x v="1"/>
    <d v="2025-02-15T00:00:00"/>
    <n v="119"/>
    <x v="2"/>
    <x v="4"/>
  </r>
  <r>
    <n v="127"/>
    <x v="1"/>
    <n v="0"/>
    <n v="566.98"/>
    <x v="43"/>
    <x v="114"/>
    <x v="1"/>
    <x v="5"/>
    <n v="58.67"/>
    <n v="1"/>
    <x v="0"/>
    <d v="2025-01-22T00:00:00"/>
    <n v="81"/>
    <x v="0"/>
    <x v="1"/>
  </r>
  <r>
    <n v="1270"/>
    <x v="1"/>
    <n v="0"/>
    <n v="295.25"/>
    <x v="31"/>
    <x v="183"/>
    <x v="0"/>
    <x v="6"/>
    <n v="187.6"/>
    <n v="1"/>
    <x v="1"/>
    <d v="2025-04-18T00:00:00"/>
    <n v="6"/>
    <x v="0"/>
    <x v="4"/>
  </r>
  <r>
    <n v="1271"/>
    <x v="0"/>
    <n v="0"/>
    <n v="314.70999999999998"/>
    <x v="26"/>
    <x v="184"/>
    <x v="3"/>
    <x v="5"/>
    <n v="136.26"/>
    <n v="1"/>
    <x v="0"/>
    <d v="2025-03-11T00:00:00"/>
    <n v="54"/>
    <x v="0"/>
    <x v="3"/>
  </r>
  <r>
    <n v="1272"/>
    <x v="1"/>
    <n v="0"/>
    <n v="188.26"/>
    <x v="18"/>
    <x v="185"/>
    <x v="4"/>
    <x v="2"/>
    <n v="66.680000000000007"/>
    <n v="1"/>
    <x v="2"/>
    <d v="2025-04-21T00:00:00"/>
    <n v="-6"/>
    <x v="1"/>
    <x v="4"/>
  </r>
  <r>
    <n v="1273"/>
    <x v="1"/>
    <n v="0"/>
    <n v="286.62"/>
    <x v="8"/>
    <x v="174"/>
    <x v="0"/>
    <x v="3"/>
    <n v="78.180000000000007"/>
    <n v="1"/>
    <x v="4"/>
    <d v="2025-03-18T00:00:00"/>
    <n v="67"/>
    <x v="0"/>
    <x v="3"/>
  </r>
  <r>
    <n v="1275"/>
    <x v="1"/>
    <n v="0"/>
    <n v="323.54000000000002"/>
    <x v="50"/>
    <x v="186"/>
    <x v="4"/>
    <x v="4"/>
    <n v="103.94"/>
    <n v="1"/>
    <x v="0"/>
    <d v="2025-03-20T00:00:00"/>
    <n v="15"/>
    <x v="0"/>
    <x v="3"/>
  </r>
  <r>
    <n v="1276"/>
    <x v="1"/>
    <n v="0"/>
    <n v="309.58"/>
    <x v="39"/>
    <x v="187"/>
    <x v="1"/>
    <x v="6"/>
    <n v="106.7"/>
    <n v="1"/>
    <x v="4"/>
    <d v="2025-04-10T00:00:00"/>
    <n v="56"/>
    <x v="0"/>
    <x v="1"/>
  </r>
  <r>
    <n v="1277"/>
    <x v="1"/>
    <n v="0"/>
    <n v="440.86"/>
    <x v="39"/>
    <x v="188"/>
    <x v="4"/>
    <x v="6"/>
    <n v="189.66"/>
    <n v="1"/>
    <x v="4"/>
    <d v="2025-02-26T00:00:00"/>
    <n v="99"/>
    <x v="2"/>
    <x v="2"/>
  </r>
  <r>
    <n v="128"/>
    <x v="0"/>
    <n v="0"/>
    <n v="282.19"/>
    <x v="30"/>
    <x v="189"/>
    <x v="1"/>
    <x v="3"/>
    <n v="52.83"/>
    <n v="1"/>
    <x v="0"/>
    <d v="2025-03-24T00:00:00"/>
    <n v="26"/>
    <x v="0"/>
    <x v="1"/>
  </r>
  <r>
    <n v="1280"/>
    <x v="1"/>
    <n v="0"/>
    <n v="168.2"/>
    <x v="49"/>
    <x v="190"/>
    <x v="0"/>
    <x v="0"/>
    <n v="90.84"/>
    <n v="1"/>
    <x v="4"/>
    <d v="2025-05-23T00:00:00"/>
    <n v="-30"/>
    <x v="1"/>
    <x v="3"/>
  </r>
  <r>
    <n v="1281"/>
    <x v="1"/>
    <n v="0"/>
    <n v="140.28"/>
    <x v="24"/>
    <x v="191"/>
    <x v="3"/>
    <x v="5"/>
    <n v="61.6"/>
    <n v="1"/>
    <x v="4"/>
    <d v="2025-01-29T00:00:00"/>
    <n v="67"/>
    <x v="0"/>
    <x v="4"/>
  </r>
  <r>
    <n v="1285"/>
    <x v="1"/>
    <n v="0"/>
    <n v="395.24"/>
    <x v="25"/>
    <x v="192"/>
    <x v="1"/>
    <x v="3"/>
    <n v="166.56"/>
    <n v="1"/>
    <x v="0"/>
    <d v="2025-05-27T00:00:00"/>
    <n v="4"/>
    <x v="0"/>
    <x v="3"/>
  </r>
  <r>
    <n v="1286"/>
    <x v="0"/>
    <n v="1"/>
    <n v="213.94"/>
    <x v="4"/>
    <x v="62"/>
    <x v="0"/>
    <x v="4"/>
    <n v="53.16"/>
    <n v="1"/>
    <x v="1"/>
    <d v="2025-02-21T00:00:00"/>
    <n v="105"/>
    <x v="2"/>
    <x v="2"/>
  </r>
  <r>
    <n v="129"/>
    <x v="1"/>
    <n v="0"/>
    <n v="442.47"/>
    <x v="34"/>
    <x v="69"/>
    <x v="1"/>
    <x v="1"/>
    <n v="93.8"/>
    <n v="1"/>
    <x v="1"/>
    <d v="2025-04-03T00:00:00"/>
    <n v="53"/>
    <x v="0"/>
    <x v="1"/>
  </r>
  <r>
    <n v="1290"/>
    <x v="0"/>
    <n v="0"/>
    <n v="152.54"/>
    <x v="13"/>
    <x v="163"/>
    <x v="3"/>
    <x v="2"/>
    <n v="35.200000000000003"/>
    <n v="1"/>
    <x v="2"/>
    <d v="2025-03-17T00:00:00"/>
    <n v="36"/>
    <x v="0"/>
    <x v="1"/>
  </r>
  <r>
    <n v="1291"/>
    <x v="0"/>
    <n v="0"/>
    <n v="101.64"/>
    <x v="20"/>
    <x v="193"/>
    <x v="2"/>
    <x v="1"/>
    <n v="50.88"/>
    <n v="1"/>
    <x v="1"/>
    <d v="2025-04-06T00:00:00"/>
    <n v="43"/>
    <x v="0"/>
    <x v="0"/>
  </r>
  <r>
    <n v="1292"/>
    <x v="0"/>
    <n v="0"/>
    <n v="390.07"/>
    <x v="1"/>
    <x v="54"/>
    <x v="3"/>
    <x v="1"/>
    <n v="110.52000000000001"/>
    <n v="1"/>
    <x v="3"/>
    <d v="2025-04-04T00:00:00"/>
    <n v="17"/>
    <x v="0"/>
    <x v="2"/>
  </r>
  <r>
    <n v="1294"/>
    <x v="0"/>
    <n v="0"/>
    <n v="249.28"/>
    <x v="13"/>
    <x v="194"/>
    <x v="4"/>
    <x v="2"/>
    <n v="63.68"/>
    <n v="1"/>
    <x v="4"/>
    <d v="2025-02-22T00:00:00"/>
    <n v="59"/>
    <x v="0"/>
    <x v="4"/>
  </r>
  <r>
    <n v="1295"/>
    <x v="0"/>
    <n v="0"/>
    <n v="275.39"/>
    <x v="17"/>
    <x v="87"/>
    <x v="1"/>
    <x v="3"/>
    <n v="123.34"/>
    <n v="1"/>
    <x v="1"/>
    <d v="2025-03-09T00:00:00"/>
    <n v="69"/>
    <x v="0"/>
    <x v="2"/>
  </r>
  <r>
    <n v="1296"/>
    <x v="1"/>
    <n v="1"/>
    <n v="108.54"/>
    <x v="35"/>
    <x v="19"/>
    <x v="3"/>
    <x v="5"/>
    <n v="45.68"/>
    <n v="1"/>
    <x v="0"/>
    <d v="2025-04-02T00:00:00"/>
    <n v="46"/>
    <x v="0"/>
    <x v="3"/>
  </r>
  <r>
    <n v="1297"/>
    <x v="1"/>
    <n v="0"/>
    <n v="167.61"/>
    <x v="45"/>
    <x v="195"/>
    <x v="1"/>
    <x v="2"/>
    <n v="43.06"/>
    <n v="1"/>
    <x v="1"/>
    <d v="2025-03-08T00:00:00"/>
    <n v="52"/>
    <x v="0"/>
    <x v="0"/>
  </r>
  <r>
    <n v="1298"/>
    <x v="0"/>
    <n v="0"/>
    <n v="115.34"/>
    <x v="11"/>
    <x v="196"/>
    <x v="1"/>
    <x v="4"/>
    <n v="29.82"/>
    <n v="1"/>
    <x v="4"/>
    <d v="2025-04-17T00:00:00"/>
    <n v="29"/>
    <x v="0"/>
    <x v="2"/>
  </r>
  <r>
    <n v="13"/>
    <x v="1"/>
    <n v="0"/>
    <n v="696.62"/>
    <x v="7"/>
    <x v="162"/>
    <x v="0"/>
    <x v="0"/>
    <n v="120.66"/>
    <n v="1"/>
    <x v="3"/>
    <d v="2025-04-01T00:00:00"/>
    <n v="15"/>
    <x v="0"/>
    <x v="3"/>
  </r>
  <r>
    <n v="130"/>
    <x v="1"/>
    <n v="0"/>
    <n v="553.91999999999996"/>
    <x v="3"/>
    <x v="197"/>
    <x v="2"/>
    <x v="3"/>
    <n v="159.14999999999998"/>
    <n v="1"/>
    <x v="0"/>
    <d v="2025-04-04T00:00:00"/>
    <n v="1"/>
    <x v="0"/>
    <x v="0"/>
  </r>
  <r>
    <n v="1300"/>
    <x v="0"/>
    <n v="0"/>
    <n v="303"/>
    <x v="18"/>
    <x v="198"/>
    <x v="1"/>
    <x v="2"/>
    <n v="198.9"/>
    <n v="1"/>
    <x v="2"/>
    <d v="2025-02-13T00:00:00"/>
    <n v="61"/>
    <x v="0"/>
    <x v="1"/>
  </r>
  <r>
    <n v="1303"/>
    <x v="0"/>
    <n v="0"/>
    <n v="287.88"/>
    <x v="0"/>
    <x v="199"/>
    <x v="1"/>
    <x v="0"/>
    <n v="173.08"/>
    <n v="1"/>
    <x v="2"/>
    <d v="2025-03-03T00:00:00"/>
    <n v="79"/>
    <x v="0"/>
    <x v="2"/>
  </r>
  <r>
    <n v="1304"/>
    <x v="1"/>
    <n v="0"/>
    <n v="88.35"/>
    <x v="32"/>
    <x v="200"/>
    <x v="1"/>
    <x v="1"/>
    <n v="59.07"/>
    <n v="1"/>
    <x v="2"/>
    <d v="2025-01-29T00:00:00"/>
    <n v="75"/>
    <x v="0"/>
    <x v="2"/>
  </r>
  <r>
    <n v="1306"/>
    <x v="0"/>
    <n v="0"/>
    <n v="334.56"/>
    <x v="40"/>
    <x v="201"/>
    <x v="0"/>
    <x v="5"/>
    <n v="181.56"/>
    <n v="1"/>
    <x v="1"/>
    <d v="2025-02-22T00:00:00"/>
    <n v="113"/>
    <x v="2"/>
    <x v="3"/>
  </r>
  <r>
    <n v="1308"/>
    <x v="0"/>
    <n v="0"/>
    <n v="254.26"/>
    <x v="29"/>
    <x v="80"/>
    <x v="5"/>
    <x v="0"/>
    <n v="49.6"/>
    <n v="1"/>
    <x v="3"/>
    <d v="2025-02-07T00:00:00"/>
    <n v="96"/>
    <x v="2"/>
    <x v="2"/>
  </r>
  <r>
    <n v="1309"/>
    <x v="1"/>
    <n v="0"/>
    <n v="299.49"/>
    <x v="30"/>
    <x v="127"/>
    <x v="1"/>
    <x v="3"/>
    <n v="161.19"/>
    <n v="1"/>
    <x v="1"/>
    <d v="2025-03-28T00:00:00"/>
    <n v="22"/>
    <x v="0"/>
    <x v="0"/>
  </r>
  <r>
    <n v="131"/>
    <x v="0"/>
    <n v="0"/>
    <n v="625.66"/>
    <x v="13"/>
    <x v="130"/>
    <x v="5"/>
    <x v="2"/>
    <n v="93.78"/>
    <n v="1"/>
    <x v="4"/>
    <d v="2025-02-04T00:00:00"/>
    <n v="77"/>
    <x v="0"/>
    <x v="2"/>
  </r>
  <r>
    <n v="1310"/>
    <x v="0"/>
    <n v="0"/>
    <n v="504.88"/>
    <x v="14"/>
    <x v="202"/>
    <x v="2"/>
    <x v="6"/>
    <n v="318.8"/>
    <n v="1"/>
    <x v="1"/>
    <d v="2025-03-14T00:00:00"/>
    <n v="69"/>
    <x v="0"/>
    <x v="2"/>
  </r>
  <r>
    <n v="1311"/>
    <x v="0"/>
    <n v="0"/>
    <n v="268.73"/>
    <x v="25"/>
    <x v="79"/>
    <x v="1"/>
    <x v="3"/>
    <n v="28.73"/>
    <n v="1"/>
    <x v="0"/>
    <d v="2025-02-23T00:00:00"/>
    <n v="97"/>
    <x v="2"/>
    <x v="2"/>
  </r>
  <r>
    <n v="1312"/>
    <x v="1"/>
    <n v="0"/>
    <n v="429.04"/>
    <x v="33"/>
    <x v="203"/>
    <x v="3"/>
    <x v="1"/>
    <n v="219.64"/>
    <n v="1"/>
    <x v="0"/>
    <d v="2025-03-03T00:00:00"/>
    <n v="56"/>
    <x v="0"/>
    <x v="0"/>
  </r>
  <r>
    <n v="1313"/>
    <x v="1"/>
    <n v="0"/>
    <n v="190.84"/>
    <x v="8"/>
    <x v="168"/>
    <x v="1"/>
    <x v="3"/>
    <n v="115.96"/>
    <n v="1"/>
    <x v="0"/>
    <d v="2025-04-13T00:00:00"/>
    <n v="41"/>
    <x v="0"/>
    <x v="3"/>
  </r>
  <r>
    <n v="1314"/>
    <x v="1"/>
    <n v="0"/>
    <n v="234.64"/>
    <x v="24"/>
    <x v="204"/>
    <x v="2"/>
    <x v="5"/>
    <n v="151.24"/>
    <n v="1"/>
    <x v="0"/>
    <d v="2025-03-18T00:00:00"/>
    <n v="19"/>
    <x v="0"/>
    <x v="3"/>
  </r>
  <r>
    <n v="1315"/>
    <x v="1"/>
    <n v="0"/>
    <n v="409.24"/>
    <x v="48"/>
    <x v="205"/>
    <x v="5"/>
    <x v="3"/>
    <n v="224.8"/>
    <n v="1"/>
    <x v="4"/>
    <d v="2025-04-03T00:00:00"/>
    <n v="23"/>
    <x v="0"/>
    <x v="4"/>
  </r>
  <r>
    <n v="1316"/>
    <x v="1"/>
    <n v="1"/>
    <n v="134.97999999999999"/>
    <x v="42"/>
    <x v="206"/>
    <x v="5"/>
    <x v="6"/>
    <n v="27.88"/>
    <n v="1"/>
    <x v="2"/>
    <d v="2025-02-20T00:00:00"/>
    <n v="84"/>
    <x v="0"/>
    <x v="3"/>
  </r>
  <r>
    <n v="1317"/>
    <x v="0"/>
    <n v="0"/>
    <n v="288.56"/>
    <x v="41"/>
    <x v="207"/>
    <x v="0"/>
    <x v="0"/>
    <n v="109.48"/>
    <n v="1"/>
    <x v="4"/>
    <d v="2025-02-10T00:00:00"/>
    <n v="114"/>
    <x v="2"/>
    <x v="0"/>
  </r>
  <r>
    <n v="1318"/>
    <x v="0"/>
    <n v="0"/>
    <n v="323.18"/>
    <x v="35"/>
    <x v="208"/>
    <x v="4"/>
    <x v="5"/>
    <n v="114.7"/>
    <n v="1"/>
    <x v="1"/>
    <d v="2025-03-29T00:00:00"/>
    <n v="50"/>
    <x v="0"/>
    <x v="0"/>
  </r>
  <r>
    <n v="132"/>
    <x v="1"/>
    <n v="0"/>
    <n v="395.09"/>
    <x v="27"/>
    <x v="200"/>
    <x v="1"/>
    <x v="5"/>
    <n v="42.5"/>
    <n v="1"/>
    <x v="2"/>
    <d v="2025-01-29T00:00:00"/>
    <n v="81"/>
    <x v="0"/>
    <x v="4"/>
  </r>
  <r>
    <n v="1320"/>
    <x v="0"/>
    <n v="0"/>
    <n v="91.9"/>
    <x v="9"/>
    <x v="209"/>
    <x v="3"/>
    <x v="6"/>
    <n v="33.94"/>
    <n v="1"/>
    <x v="4"/>
    <d v="2025-02-16T00:00:00"/>
    <n v="60"/>
    <x v="0"/>
    <x v="4"/>
  </r>
  <r>
    <n v="1321"/>
    <x v="0"/>
    <n v="0"/>
    <n v="455.53"/>
    <x v="16"/>
    <x v="210"/>
    <x v="4"/>
    <x v="3"/>
    <n v="180.48"/>
    <n v="1"/>
    <x v="0"/>
    <d v="2025-04-10T00:00:00"/>
    <n v="65"/>
    <x v="0"/>
    <x v="4"/>
  </r>
  <r>
    <n v="1322"/>
    <x v="0"/>
    <n v="0"/>
    <n v="269.83999999999997"/>
    <x v="12"/>
    <x v="211"/>
    <x v="4"/>
    <x v="2"/>
    <n v="116.18"/>
    <n v="1"/>
    <x v="4"/>
    <d v="2025-03-11T00:00:00"/>
    <n v="77"/>
    <x v="0"/>
    <x v="2"/>
  </r>
  <r>
    <n v="1326"/>
    <x v="0"/>
    <n v="0"/>
    <n v="310.98"/>
    <x v="35"/>
    <x v="212"/>
    <x v="4"/>
    <x v="5"/>
    <n v="113.38"/>
    <n v="1"/>
    <x v="0"/>
    <d v="2025-03-29T00:00:00"/>
    <n v="50"/>
    <x v="0"/>
    <x v="4"/>
  </r>
  <r>
    <n v="1327"/>
    <x v="0"/>
    <n v="0"/>
    <n v="113.56"/>
    <x v="30"/>
    <x v="213"/>
    <x v="2"/>
    <x v="3"/>
    <n v="35.200000000000003"/>
    <n v="1"/>
    <x v="2"/>
    <d v="2025-03-28T00:00:00"/>
    <n v="22"/>
    <x v="0"/>
    <x v="1"/>
  </r>
  <r>
    <n v="1328"/>
    <x v="0"/>
    <n v="0"/>
    <n v="143.15"/>
    <x v="23"/>
    <x v="47"/>
    <x v="0"/>
    <x v="1"/>
    <n v="47.47"/>
    <n v="1"/>
    <x v="2"/>
    <d v="2025-04-14T00:00:00"/>
    <n v="63"/>
    <x v="0"/>
    <x v="1"/>
  </r>
  <r>
    <n v="1329"/>
    <x v="1"/>
    <n v="0"/>
    <n v="94.92"/>
    <x v="5"/>
    <x v="214"/>
    <x v="3"/>
    <x v="5"/>
    <n v="60.34"/>
    <n v="1"/>
    <x v="4"/>
    <d v="2025-04-02T00:00:00"/>
    <n v="25"/>
    <x v="0"/>
    <x v="1"/>
  </r>
  <r>
    <n v="133"/>
    <x v="1"/>
    <n v="0"/>
    <n v="450.74"/>
    <x v="16"/>
    <x v="215"/>
    <x v="3"/>
    <x v="3"/>
    <n v="92.14"/>
    <n v="1"/>
    <x v="4"/>
    <d v="2025-04-13T00:00:00"/>
    <n v="62"/>
    <x v="0"/>
    <x v="3"/>
  </r>
  <r>
    <n v="1330"/>
    <x v="1"/>
    <n v="0"/>
    <n v="343.78"/>
    <x v="50"/>
    <x v="188"/>
    <x v="4"/>
    <x v="4"/>
    <n v="105.47999999999999"/>
    <n v="1"/>
    <x v="4"/>
    <d v="2025-02-26T00:00:00"/>
    <n v="37"/>
    <x v="0"/>
    <x v="1"/>
  </r>
  <r>
    <n v="1331"/>
    <x v="1"/>
    <n v="0"/>
    <n v="257.02999999999997"/>
    <x v="48"/>
    <x v="216"/>
    <x v="0"/>
    <x v="3"/>
    <n v="52.08"/>
    <n v="1"/>
    <x v="3"/>
    <d v="2025-03-19T00:00:00"/>
    <n v="38"/>
    <x v="0"/>
    <x v="4"/>
  </r>
  <r>
    <n v="1332"/>
    <x v="0"/>
    <n v="0"/>
    <n v="161.81"/>
    <x v="28"/>
    <x v="217"/>
    <x v="4"/>
    <x v="2"/>
    <n v="38.409999999999997"/>
    <n v="1"/>
    <x v="2"/>
    <d v="2025-03-03T00:00:00"/>
    <n v="71"/>
    <x v="0"/>
    <x v="1"/>
  </r>
  <r>
    <n v="1333"/>
    <x v="1"/>
    <n v="1"/>
    <n v="115.4"/>
    <x v="29"/>
    <x v="218"/>
    <x v="5"/>
    <x v="0"/>
    <n v="43.06"/>
    <n v="1"/>
    <x v="0"/>
    <d v="2025-02-03T00:00:00"/>
    <n v="100"/>
    <x v="2"/>
    <x v="1"/>
  </r>
  <r>
    <n v="1335"/>
    <x v="1"/>
    <n v="0"/>
    <n v="258.45999999999998"/>
    <x v="31"/>
    <x v="136"/>
    <x v="1"/>
    <x v="6"/>
    <n v="106.7"/>
    <n v="1"/>
    <x v="0"/>
    <d v="2025-02-21T00:00:00"/>
    <n v="62"/>
    <x v="0"/>
    <x v="1"/>
  </r>
  <r>
    <n v="1336"/>
    <x v="0"/>
    <n v="0"/>
    <n v="184.47"/>
    <x v="50"/>
    <x v="219"/>
    <x v="3"/>
    <x v="4"/>
    <n v="54.83"/>
    <n v="1"/>
    <x v="0"/>
    <d v="2025-01-22T00:00:00"/>
    <n v="72"/>
    <x v="0"/>
    <x v="0"/>
  </r>
  <r>
    <n v="1337"/>
    <x v="1"/>
    <n v="1"/>
    <n v="352.02"/>
    <x v="35"/>
    <x v="220"/>
    <x v="4"/>
    <x v="5"/>
    <n v="187.64"/>
    <n v="1"/>
    <x v="0"/>
    <d v="2025-03-02T00:00:00"/>
    <n v="77"/>
    <x v="0"/>
    <x v="0"/>
  </r>
  <r>
    <n v="1339"/>
    <x v="1"/>
    <n v="0"/>
    <n v="121.01"/>
    <x v="49"/>
    <x v="221"/>
    <x v="5"/>
    <x v="0"/>
    <n v="60.68"/>
    <n v="1"/>
    <x v="4"/>
    <d v="2025-03-03T00:00:00"/>
    <n v="51"/>
    <x v="0"/>
    <x v="2"/>
  </r>
  <r>
    <n v="1342"/>
    <x v="0"/>
    <n v="0"/>
    <n v="469.26"/>
    <x v="47"/>
    <x v="222"/>
    <x v="3"/>
    <x v="4"/>
    <n v="154.74"/>
    <n v="1"/>
    <x v="1"/>
    <d v="2025-02-27T00:00:00"/>
    <n v="85"/>
    <x v="0"/>
    <x v="1"/>
  </r>
  <r>
    <n v="1343"/>
    <x v="0"/>
    <n v="0"/>
    <n v="352.5"/>
    <x v="46"/>
    <x v="181"/>
    <x v="5"/>
    <x v="0"/>
    <n v="96.6"/>
    <n v="1"/>
    <x v="2"/>
    <d v="2025-05-01T00:00:00"/>
    <n v="27"/>
    <x v="0"/>
    <x v="1"/>
  </r>
  <r>
    <n v="1344"/>
    <x v="1"/>
    <n v="0"/>
    <n v="179.43"/>
    <x v="1"/>
    <x v="28"/>
    <x v="1"/>
    <x v="1"/>
    <n v="64.44"/>
    <n v="1"/>
    <x v="2"/>
    <d v="2025-04-21T00:00:00"/>
    <n v="0"/>
    <x v="0"/>
    <x v="0"/>
  </r>
  <r>
    <n v="1348"/>
    <x v="0"/>
    <n v="0"/>
    <n v="451.03"/>
    <x v="2"/>
    <x v="223"/>
    <x v="0"/>
    <x v="2"/>
    <n v="116.68"/>
    <n v="1"/>
    <x v="4"/>
    <d v="2025-02-08T00:00:00"/>
    <n v="101"/>
    <x v="2"/>
    <x v="2"/>
  </r>
  <r>
    <n v="1349"/>
    <x v="0"/>
    <n v="0"/>
    <n v="173.5"/>
    <x v="12"/>
    <x v="224"/>
    <x v="5"/>
    <x v="2"/>
    <n v="57.46"/>
    <n v="1"/>
    <x v="1"/>
    <d v="2025-03-02T00:00:00"/>
    <n v="86"/>
    <x v="0"/>
    <x v="2"/>
  </r>
  <r>
    <n v="135"/>
    <x v="0"/>
    <n v="0"/>
    <n v="702.11"/>
    <x v="42"/>
    <x v="225"/>
    <x v="0"/>
    <x v="6"/>
    <n v="152.67000000000002"/>
    <n v="1"/>
    <x v="2"/>
    <d v="2025-02-17T00:00:00"/>
    <n v="87"/>
    <x v="0"/>
    <x v="1"/>
  </r>
  <r>
    <n v="1352"/>
    <x v="1"/>
    <n v="0"/>
    <n v="419.08"/>
    <x v="14"/>
    <x v="226"/>
    <x v="4"/>
    <x v="6"/>
    <n v="223.64"/>
    <n v="1"/>
    <x v="4"/>
    <d v="2025-04-25T00:00:00"/>
    <n v="27"/>
    <x v="0"/>
    <x v="1"/>
  </r>
  <r>
    <n v="136"/>
    <x v="0"/>
    <n v="0"/>
    <n v="357.39"/>
    <x v="16"/>
    <x v="227"/>
    <x v="3"/>
    <x v="3"/>
    <n v="164.73"/>
    <n v="1"/>
    <x v="2"/>
    <d v="2025-04-29T00:00:00"/>
    <n v="46"/>
    <x v="0"/>
    <x v="0"/>
  </r>
  <r>
    <n v="138"/>
    <x v="0"/>
    <n v="0"/>
    <n v="406.4"/>
    <x v="16"/>
    <x v="228"/>
    <x v="1"/>
    <x v="3"/>
    <n v="37.11"/>
    <n v="1"/>
    <x v="2"/>
    <d v="2025-05-04T00:00:00"/>
    <n v="41"/>
    <x v="0"/>
    <x v="2"/>
  </r>
  <r>
    <n v="139"/>
    <x v="1"/>
    <n v="0"/>
    <n v="631.08000000000004"/>
    <x v="0"/>
    <x v="223"/>
    <x v="0"/>
    <x v="0"/>
    <n v="38.14"/>
    <n v="1"/>
    <x v="4"/>
    <d v="2025-02-08T00:00:00"/>
    <n v="102"/>
    <x v="2"/>
    <x v="2"/>
  </r>
  <r>
    <n v="141"/>
    <x v="0"/>
    <n v="0"/>
    <n v="617.09"/>
    <x v="40"/>
    <x v="229"/>
    <x v="2"/>
    <x v="5"/>
    <n v="47.44"/>
    <n v="1"/>
    <x v="3"/>
    <d v="2025-02-19T00:00:00"/>
    <n v="116"/>
    <x v="2"/>
    <x v="4"/>
  </r>
  <r>
    <n v="142"/>
    <x v="0"/>
    <n v="0"/>
    <n v="410.77"/>
    <x v="21"/>
    <x v="12"/>
    <x v="3"/>
    <x v="5"/>
    <n v="135.96"/>
    <n v="1"/>
    <x v="0"/>
    <d v="2025-04-02T00:00:00"/>
    <n v="53"/>
    <x v="0"/>
    <x v="0"/>
  </r>
  <r>
    <n v="143"/>
    <x v="0"/>
    <n v="0"/>
    <n v="324.41000000000003"/>
    <x v="23"/>
    <x v="230"/>
    <x v="2"/>
    <x v="1"/>
    <n v="44.12"/>
    <n v="1"/>
    <x v="1"/>
    <d v="2025-04-02T00:00:00"/>
    <n v="75"/>
    <x v="0"/>
    <x v="4"/>
  </r>
  <r>
    <n v="144"/>
    <x v="1"/>
    <n v="0"/>
    <n v="296.58999999999997"/>
    <x v="27"/>
    <x v="231"/>
    <x v="1"/>
    <x v="5"/>
    <n v="54.2"/>
    <n v="1"/>
    <x v="0"/>
    <d v="2025-03-24T00:00:00"/>
    <n v="27"/>
    <x v="0"/>
    <x v="1"/>
  </r>
  <r>
    <n v="145"/>
    <x v="0"/>
    <n v="0"/>
    <n v="391.58"/>
    <x v="2"/>
    <x v="232"/>
    <x v="0"/>
    <x v="2"/>
    <n v="74.900000000000006"/>
    <n v="1"/>
    <x v="2"/>
    <d v="2025-01-21T00:00:00"/>
    <n v="119"/>
    <x v="2"/>
    <x v="0"/>
  </r>
  <r>
    <n v="146"/>
    <x v="0"/>
    <n v="0"/>
    <n v="310.87"/>
    <x v="18"/>
    <x v="233"/>
    <x v="1"/>
    <x v="2"/>
    <n v="114.22"/>
    <n v="1"/>
    <x v="2"/>
    <d v="2025-03-07T00:00:00"/>
    <n v="39"/>
    <x v="0"/>
    <x v="0"/>
  </r>
  <r>
    <n v="147"/>
    <x v="0"/>
    <n v="0"/>
    <n v="336.73"/>
    <x v="17"/>
    <x v="234"/>
    <x v="0"/>
    <x v="3"/>
    <n v="72.94"/>
    <n v="1"/>
    <x v="2"/>
    <d v="2025-03-28T00:00:00"/>
    <n v="50"/>
    <x v="0"/>
    <x v="2"/>
  </r>
  <r>
    <n v="15"/>
    <x v="0"/>
    <n v="0"/>
    <n v="421.64"/>
    <x v="2"/>
    <x v="235"/>
    <x v="4"/>
    <x v="2"/>
    <n v="37.06"/>
    <n v="1"/>
    <x v="0"/>
    <d v="2025-02-26T00:00:00"/>
    <n v="83"/>
    <x v="0"/>
    <x v="1"/>
  </r>
  <r>
    <n v="151"/>
    <x v="0"/>
    <n v="0"/>
    <n v="396.18"/>
    <x v="32"/>
    <x v="236"/>
    <x v="0"/>
    <x v="1"/>
    <n v="42.72"/>
    <n v="1"/>
    <x v="1"/>
    <d v="2025-03-05T00:00:00"/>
    <n v="40"/>
    <x v="0"/>
    <x v="4"/>
  </r>
  <r>
    <n v="152"/>
    <x v="1"/>
    <n v="0"/>
    <n v="422.84"/>
    <x v="3"/>
    <x v="88"/>
    <x v="0"/>
    <x v="3"/>
    <n v="47.8"/>
    <n v="1"/>
    <x v="2"/>
    <d v="2025-02-09T00:00:00"/>
    <n v="55"/>
    <x v="0"/>
    <x v="0"/>
  </r>
  <r>
    <n v="154"/>
    <x v="0"/>
    <n v="0"/>
    <n v="448.34"/>
    <x v="13"/>
    <x v="237"/>
    <x v="0"/>
    <x v="2"/>
    <n v="39.78"/>
    <n v="1"/>
    <x v="4"/>
    <d v="2025-03-11T00:00:00"/>
    <n v="42"/>
    <x v="0"/>
    <x v="4"/>
  </r>
  <r>
    <n v="155"/>
    <x v="0"/>
    <n v="1"/>
    <n v="336.34"/>
    <x v="24"/>
    <x v="238"/>
    <x v="1"/>
    <x v="5"/>
    <n v="85.66"/>
    <n v="1"/>
    <x v="2"/>
    <d v="2025-03-27T00:00:00"/>
    <n v="10"/>
    <x v="0"/>
    <x v="3"/>
  </r>
  <r>
    <n v="156"/>
    <x v="0"/>
    <n v="0"/>
    <n v="364.16"/>
    <x v="8"/>
    <x v="239"/>
    <x v="4"/>
    <x v="3"/>
    <n v="101.44"/>
    <n v="1"/>
    <x v="1"/>
    <d v="2025-03-06T00:00:00"/>
    <n v="79"/>
    <x v="0"/>
    <x v="0"/>
  </r>
  <r>
    <n v="158"/>
    <x v="0"/>
    <n v="0"/>
    <n v="393.98"/>
    <x v="43"/>
    <x v="240"/>
    <x v="1"/>
    <x v="5"/>
    <n v="103.52"/>
    <n v="1"/>
    <x v="3"/>
    <d v="2025-02-23T00:00:00"/>
    <n v="49"/>
    <x v="0"/>
    <x v="1"/>
  </r>
  <r>
    <n v="160"/>
    <x v="1"/>
    <n v="0"/>
    <n v="663.69"/>
    <x v="36"/>
    <x v="241"/>
    <x v="0"/>
    <x v="4"/>
    <n v="50.04"/>
    <n v="1"/>
    <x v="0"/>
    <d v="2025-04-24T00:00:00"/>
    <n v="1"/>
    <x v="0"/>
    <x v="0"/>
  </r>
  <r>
    <n v="161"/>
    <x v="1"/>
    <n v="0"/>
    <n v="608.66999999999996"/>
    <x v="48"/>
    <x v="242"/>
    <x v="1"/>
    <x v="3"/>
    <n v="179.08"/>
    <n v="1"/>
    <x v="4"/>
    <d v="2025-03-30T00:00:00"/>
    <n v="27"/>
    <x v="0"/>
    <x v="3"/>
  </r>
  <r>
    <n v="163"/>
    <x v="1"/>
    <n v="0"/>
    <n v="622.17999999999995"/>
    <x v="2"/>
    <x v="243"/>
    <x v="0"/>
    <x v="2"/>
    <n v="158.82"/>
    <n v="1"/>
    <x v="0"/>
    <d v="2025-04-13T00:00:00"/>
    <n v="37"/>
    <x v="0"/>
    <x v="1"/>
  </r>
  <r>
    <n v="164"/>
    <x v="1"/>
    <n v="0"/>
    <n v="604.53"/>
    <x v="9"/>
    <x v="244"/>
    <x v="1"/>
    <x v="6"/>
    <n v="195.78000000000003"/>
    <n v="1"/>
    <x v="4"/>
    <d v="2025-04-22T00:00:00"/>
    <n v="-5"/>
    <x v="1"/>
    <x v="3"/>
  </r>
  <r>
    <n v="165"/>
    <x v="0"/>
    <n v="0"/>
    <n v="308.72000000000003"/>
    <x v="46"/>
    <x v="245"/>
    <x v="5"/>
    <x v="0"/>
    <n v="110.08"/>
    <n v="1"/>
    <x v="1"/>
    <d v="2025-03-09T00:00:00"/>
    <n v="80"/>
    <x v="0"/>
    <x v="1"/>
  </r>
  <r>
    <n v="166"/>
    <x v="0"/>
    <n v="0"/>
    <n v="517.88"/>
    <x v="39"/>
    <x v="246"/>
    <x v="1"/>
    <x v="6"/>
    <n v="186.08"/>
    <n v="1"/>
    <x v="2"/>
    <d v="2025-02-05T00:00:00"/>
    <n v="120"/>
    <x v="2"/>
    <x v="2"/>
  </r>
  <r>
    <n v="167"/>
    <x v="0"/>
    <n v="0"/>
    <n v="632.5"/>
    <x v="35"/>
    <x v="188"/>
    <x v="4"/>
    <x v="5"/>
    <n v="77.36"/>
    <n v="1"/>
    <x v="4"/>
    <d v="2025-02-26T00:00:00"/>
    <n v="81"/>
    <x v="0"/>
    <x v="4"/>
  </r>
  <r>
    <n v="168"/>
    <x v="1"/>
    <n v="0"/>
    <n v="482.74"/>
    <x v="50"/>
    <x v="26"/>
    <x v="2"/>
    <x v="4"/>
    <n v="61.61"/>
    <n v="1"/>
    <x v="1"/>
    <d v="2025-04-10T00:00:00"/>
    <n v="-6"/>
    <x v="1"/>
    <x v="3"/>
  </r>
  <r>
    <n v="17"/>
    <x v="0"/>
    <n v="0"/>
    <n v="515.1"/>
    <x v="45"/>
    <x v="238"/>
    <x v="1"/>
    <x v="2"/>
    <n v="50.76"/>
    <n v="1"/>
    <x v="2"/>
    <d v="2025-03-27T00:00:00"/>
    <n v="33"/>
    <x v="0"/>
    <x v="1"/>
  </r>
  <r>
    <n v="171"/>
    <x v="0"/>
    <n v="0"/>
    <n v="564.16999999999996"/>
    <x v="18"/>
    <x v="247"/>
    <x v="5"/>
    <x v="2"/>
    <n v="150.34"/>
    <n v="1"/>
    <x v="3"/>
    <d v="2025-05-21T00:00:00"/>
    <n v="-36"/>
    <x v="1"/>
    <x v="3"/>
  </r>
  <r>
    <n v="172"/>
    <x v="1"/>
    <n v="1"/>
    <n v="178.2"/>
    <x v="28"/>
    <x v="248"/>
    <x v="3"/>
    <x v="2"/>
    <n v="16.190000000000001"/>
    <n v="1"/>
    <x v="4"/>
    <d v="2025-01-26T00:00:00"/>
    <n v="107"/>
    <x v="2"/>
    <x v="1"/>
  </r>
  <r>
    <n v="173"/>
    <x v="0"/>
    <n v="0"/>
    <n v="535.45000000000005"/>
    <x v="42"/>
    <x v="249"/>
    <x v="0"/>
    <x v="6"/>
    <n v="200.96999999999997"/>
    <n v="1"/>
    <x v="2"/>
    <d v="2025-04-09T00:00:00"/>
    <n v="36"/>
    <x v="0"/>
    <x v="2"/>
  </r>
  <r>
    <n v="175"/>
    <x v="1"/>
    <n v="0"/>
    <n v="339.82"/>
    <x v="37"/>
    <x v="36"/>
    <x v="1"/>
    <x v="4"/>
    <n v="163.4"/>
    <n v="1"/>
    <x v="3"/>
    <d v="2025-02-28T00:00:00"/>
    <n v="49"/>
    <x v="0"/>
    <x v="0"/>
  </r>
  <r>
    <n v="179"/>
    <x v="1"/>
    <n v="0"/>
    <n v="525.72"/>
    <x v="19"/>
    <x v="250"/>
    <x v="5"/>
    <x v="6"/>
    <n v="70.819999999999993"/>
    <n v="1"/>
    <x v="3"/>
    <d v="2025-03-08T00:00:00"/>
    <n v="82"/>
    <x v="0"/>
    <x v="2"/>
  </r>
  <r>
    <n v="180"/>
    <x v="1"/>
    <n v="0"/>
    <n v="190.08"/>
    <x v="22"/>
    <x v="160"/>
    <x v="3"/>
    <x v="4"/>
    <n v="66.680000000000007"/>
    <n v="1"/>
    <x v="2"/>
    <d v="2025-03-21T00:00:00"/>
    <n v="84"/>
    <x v="0"/>
    <x v="4"/>
  </r>
  <r>
    <n v="181"/>
    <x v="1"/>
    <n v="0"/>
    <n v="659.3"/>
    <x v="15"/>
    <x v="251"/>
    <x v="4"/>
    <x v="2"/>
    <n v="149.62"/>
    <n v="1"/>
    <x v="4"/>
    <d v="2025-03-02T00:00:00"/>
    <n v="65"/>
    <x v="0"/>
    <x v="2"/>
  </r>
  <r>
    <n v="183"/>
    <x v="0"/>
    <n v="0"/>
    <n v="161.43"/>
    <x v="11"/>
    <x v="252"/>
    <x v="5"/>
    <x v="4"/>
    <n v="66.33"/>
    <n v="1"/>
    <x v="3"/>
    <d v="2025-04-08T00:00:00"/>
    <n v="38"/>
    <x v="0"/>
    <x v="3"/>
  </r>
  <r>
    <n v="184"/>
    <x v="0"/>
    <n v="0"/>
    <n v="403.3"/>
    <x v="37"/>
    <x v="253"/>
    <x v="3"/>
    <x v="4"/>
    <n v="86.8"/>
    <n v="1"/>
    <x v="1"/>
    <d v="2025-03-03T00:00:00"/>
    <n v="46"/>
    <x v="0"/>
    <x v="0"/>
  </r>
  <r>
    <n v="188"/>
    <x v="0"/>
    <n v="0"/>
    <n v="530.73"/>
    <x v="3"/>
    <x v="253"/>
    <x v="3"/>
    <x v="3"/>
    <n v="99.52"/>
    <n v="1"/>
    <x v="1"/>
    <d v="2025-03-03T00:00:00"/>
    <n v="33"/>
    <x v="0"/>
    <x v="4"/>
  </r>
  <r>
    <n v="189"/>
    <x v="0"/>
    <n v="0"/>
    <n v="371.17"/>
    <x v="36"/>
    <x v="254"/>
    <x v="5"/>
    <x v="4"/>
    <n v="115.56"/>
    <n v="1"/>
    <x v="0"/>
    <d v="2025-04-06T00:00:00"/>
    <n v="19"/>
    <x v="0"/>
    <x v="1"/>
  </r>
  <r>
    <n v="190"/>
    <x v="1"/>
    <n v="0"/>
    <n v="291.5"/>
    <x v="44"/>
    <x v="255"/>
    <x v="5"/>
    <x v="2"/>
    <n v="59.38"/>
    <n v="1"/>
    <x v="1"/>
    <d v="2025-02-14T00:00:00"/>
    <n v="123"/>
    <x v="2"/>
    <x v="1"/>
  </r>
  <r>
    <n v="191"/>
    <x v="1"/>
    <n v="0"/>
    <n v="381.4"/>
    <x v="47"/>
    <x v="256"/>
    <x v="5"/>
    <x v="4"/>
    <n v="74.260000000000005"/>
    <n v="1"/>
    <x v="1"/>
    <d v="2025-03-19T00:00:00"/>
    <n v="65"/>
    <x v="0"/>
    <x v="3"/>
  </r>
  <r>
    <n v="193"/>
    <x v="0"/>
    <n v="0"/>
    <n v="433.24"/>
    <x v="35"/>
    <x v="120"/>
    <x v="4"/>
    <x v="5"/>
    <n v="54.28"/>
    <n v="1"/>
    <x v="1"/>
    <d v="2025-03-14T00:00:00"/>
    <n v="65"/>
    <x v="0"/>
    <x v="4"/>
  </r>
  <r>
    <n v="195"/>
    <x v="1"/>
    <n v="0"/>
    <n v="699.78"/>
    <x v="2"/>
    <x v="102"/>
    <x v="1"/>
    <x v="2"/>
    <n v="174.32999999999998"/>
    <n v="1"/>
    <x v="3"/>
    <d v="2025-01-30T00:00:00"/>
    <n v="110"/>
    <x v="2"/>
    <x v="0"/>
  </r>
  <r>
    <n v="198"/>
    <x v="1"/>
    <n v="0"/>
    <n v="458.63"/>
    <x v="49"/>
    <x v="257"/>
    <x v="1"/>
    <x v="0"/>
    <n v="179.7"/>
    <n v="1"/>
    <x v="0"/>
    <d v="2025-03-13T00:00:00"/>
    <n v="41"/>
    <x v="0"/>
    <x v="0"/>
  </r>
  <r>
    <n v="199"/>
    <x v="1"/>
    <n v="1"/>
    <n v="155.22999999999999"/>
    <x v="20"/>
    <x v="258"/>
    <x v="5"/>
    <x v="1"/>
    <n v="38.54"/>
    <n v="1"/>
    <x v="3"/>
    <d v="2025-01-11T00:00:00"/>
    <n v="128"/>
    <x v="2"/>
    <x v="4"/>
  </r>
  <r>
    <n v="2"/>
    <x v="0"/>
    <n v="0"/>
    <n v="357.54"/>
    <x v="11"/>
    <x v="259"/>
    <x v="1"/>
    <x v="4"/>
    <n v="39.18"/>
    <n v="1"/>
    <x v="2"/>
    <d v="2025-04-06T00:00:00"/>
    <n v="40"/>
    <x v="0"/>
    <x v="3"/>
  </r>
  <r>
    <n v="20"/>
    <x v="0"/>
    <n v="0"/>
    <n v="665.8"/>
    <x v="50"/>
    <x v="147"/>
    <x v="0"/>
    <x v="4"/>
    <n v="105.60000000000001"/>
    <n v="1"/>
    <x v="1"/>
    <d v="2025-04-11T00:00:00"/>
    <n v="-7"/>
    <x v="1"/>
    <x v="1"/>
  </r>
  <r>
    <n v="200"/>
    <x v="1"/>
    <n v="0"/>
    <n v="317.70999999999998"/>
    <x v="3"/>
    <x v="260"/>
    <x v="1"/>
    <x v="3"/>
    <n v="40.770000000000003"/>
    <n v="1"/>
    <x v="2"/>
    <d v="2025-03-05T00:00:00"/>
    <n v="31"/>
    <x v="0"/>
    <x v="4"/>
  </r>
  <r>
    <n v="201"/>
    <x v="1"/>
    <n v="0"/>
    <n v="492.32"/>
    <x v="12"/>
    <x v="261"/>
    <x v="4"/>
    <x v="2"/>
    <n v="187.44"/>
    <n v="1"/>
    <x v="2"/>
    <d v="2025-01-19T00:00:00"/>
    <n v="128"/>
    <x v="2"/>
    <x v="3"/>
  </r>
  <r>
    <n v="202"/>
    <x v="1"/>
    <n v="0"/>
    <n v="516.82000000000005"/>
    <x v="46"/>
    <x v="262"/>
    <x v="0"/>
    <x v="0"/>
    <n v="120.66"/>
    <n v="1"/>
    <x v="3"/>
    <d v="2025-03-11T00:00:00"/>
    <n v="78"/>
    <x v="0"/>
    <x v="3"/>
  </r>
  <r>
    <n v="204"/>
    <x v="0"/>
    <n v="0"/>
    <n v="206.76"/>
    <x v="39"/>
    <x v="43"/>
    <x v="4"/>
    <x v="6"/>
    <n v="64.44"/>
    <n v="1"/>
    <x v="4"/>
    <d v="2025-03-18T00:00:00"/>
    <n v="79"/>
    <x v="0"/>
    <x v="0"/>
  </r>
  <r>
    <n v="207"/>
    <x v="0"/>
    <n v="0"/>
    <n v="438.51"/>
    <x v="42"/>
    <x v="263"/>
    <x v="3"/>
    <x v="6"/>
    <n v="62.92"/>
    <n v="1"/>
    <x v="3"/>
    <d v="2025-04-13T00:00:00"/>
    <n v="32"/>
    <x v="0"/>
    <x v="4"/>
  </r>
  <r>
    <n v="209"/>
    <x v="1"/>
    <n v="0"/>
    <n v="343.05"/>
    <x v="25"/>
    <x v="264"/>
    <x v="1"/>
    <x v="3"/>
    <n v="68.47"/>
    <n v="1"/>
    <x v="3"/>
    <d v="2025-03-10T00:00:00"/>
    <n v="82"/>
    <x v="0"/>
    <x v="4"/>
  </r>
  <r>
    <n v="21"/>
    <x v="0"/>
    <n v="0"/>
    <n v="538.23"/>
    <x v="16"/>
    <x v="265"/>
    <x v="3"/>
    <x v="3"/>
    <n v="130.29"/>
    <n v="1"/>
    <x v="2"/>
    <d v="2025-04-14T00:00:00"/>
    <n v="61"/>
    <x v="0"/>
    <x v="1"/>
  </r>
  <r>
    <n v="210"/>
    <x v="0"/>
    <n v="0"/>
    <n v="598.88"/>
    <x v="14"/>
    <x v="206"/>
    <x v="5"/>
    <x v="6"/>
    <n v="222.51"/>
    <n v="1"/>
    <x v="2"/>
    <d v="2025-02-20T00:00:00"/>
    <n v="91"/>
    <x v="2"/>
    <x v="4"/>
  </r>
  <r>
    <n v="211"/>
    <x v="0"/>
    <n v="1"/>
    <n v="490.53"/>
    <x v="15"/>
    <x v="266"/>
    <x v="2"/>
    <x v="2"/>
    <n v="97.22999999999999"/>
    <n v="1"/>
    <x v="3"/>
    <d v="2025-04-26T00:00:00"/>
    <n v="10"/>
    <x v="0"/>
    <x v="1"/>
  </r>
  <r>
    <n v="212"/>
    <x v="1"/>
    <n v="0"/>
    <n v="300.97000000000003"/>
    <x v="6"/>
    <x v="257"/>
    <x v="1"/>
    <x v="1"/>
    <n v="53.93"/>
    <n v="1"/>
    <x v="0"/>
    <d v="2025-03-13T00:00:00"/>
    <n v="53"/>
    <x v="0"/>
    <x v="2"/>
  </r>
  <r>
    <n v="214"/>
    <x v="1"/>
    <n v="0"/>
    <n v="583.41999999999996"/>
    <x v="33"/>
    <x v="267"/>
    <x v="5"/>
    <x v="1"/>
    <n v="167.73"/>
    <n v="1"/>
    <x v="0"/>
    <d v="2025-02-06T00:00:00"/>
    <n v="81"/>
    <x v="0"/>
    <x v="1"/>
  </r>
  <r>
    <n v="215"/>
    <x v="0"/>
    <n v="1"/>
    <n v="399.74"/>
    <x v="24"/>
    <x v="268"/>
    <x v="4"/>
    <x v="5"/>
    <n v="35.28"/>
    <n v="1"/>
    <x v="1"/>
    <d v="2025-04-04T00:00:00"/>
    <n v="2"/>
    <x v="0"/>
    <x v="3"/>
  </r>
  <r>
    <n v="216"/>
    <x v="0"/>
    <n v="0"/>
    <n v="238.58"/>
    <x v="14"/>
    <x v="269"/>
    <x v="4"/>
    <x v="6"/>
    <n v="24.8"/>
    <n v="1"/>
    <x v="4"/>
    <d v="2025-04-16T00:00:00"/>
    <n v="36"/>
    <x v="0"/>
    <x v="2"/>
  </r>
  <r>
    <n v="217"/>
    <x v="0"/>
    <n v="0"/>
    <n v="410.95"/>
    <x v="41"/>
    <x v="270"/>
    <x v="3"/>
    <x v="0"/>
    <n v="106.54"/>
    <n v="1"/>
    <x v="0"/>
    <d v="2025-02-17T00:00:00"/>
    <n v="107"/>
    <x v="2"/>
    <x v="3"/>
  </r>
  <r>
    <n v="220"/>
    <x v="0"/>
    <n v="0"/>
    <n v="525.54999999999995"/>
    <x v="37"/>
    <x v="271"/>
    <x v="4"/>
    <x v="4"/>
    <n v="55.04"/>
    <n v="1"/>
    <x v="2"/>
    <d v="2025-02-11T00:00:00"/>
    <n v="66"/>
    <x v="0"/>
    <x v="1"/>
  </r>
  <r>
    <n v="221"/>
    <x v="0"/>
    <n v="0"/>
    <n v="466.16"/>
    <x v="11"/>
    <x v="272"/>
    <x v="1"/>
    <x v="4"/>
    <n v="97.46"/>
    <n v="1"/>
    <x v="1"/>
    <d v="2025-04-06T00:00:00"/>
    <n v="40"/>
    <x v="0"/>
    <x v="2"/>
  </r>
  <r>
    <n v="222"/>
    <x v="1"/>
    <n v="0"/>
    <n v="349.66"/>
    <x v="0"/>
    <x v="273"/>
    <x v="4"/>
    <x v="0"/>
    <n v="73.38"/>
    <n v="1"/>
    <x v="2"/>
    <d v="2025-02-05T00:00:00"/>
    <n v="105"/>
    <x v="2"/>
    <x v="0"/>
  </r>
  <r>
    <n v="224"/>
    <x v="1"/>
    <n v="0"/>
    <n v="607.94000000000005"/>
    <x v="36"/>
    <x v="274"/>
    <x v="3"/>
    <x v="4"/>
    <n v="46.52"/>
    <n v="1"/>
    <x v="1"/>
    <d v="2025-04-06T00:00:00"/>
    <n v="19"/>
    <x v="0"/>
    <x v="2"/>
  </r>
  <r>
    <n v="225"/>
    <x v="1"/>
    <n v="0"/>
    <n v="540.02"/>
    <x v="2"/>
    <x v="275"/>
    <x v="4"/>
    <x v="2"/>
    <n v="156.24"/>
    <n v="1"/>
    <x v="3"/>
    <d v="2025-05-02T00:00:00"/>
    <n v="18"/>
    <x v="0"/>
    <x v="4"/>
  </r>
  <r>
    <n v="226"/>
    <x v="1"/>
    <n v="0"/>
    <n v="401.31"/>
    <x v="49"/>
    <x v="25"/>
    <x v="5"/>
    <x v="0"/>
    <n v="61.22"/>
    <n v="1"/>
    <x v="3"/>
    <d v="2025-04-15T00:00:00"/>
    <n v="8"/>
    <x v="0"/>
    <x v="4"/>
  </r>
  <r>
    <n v="229"/>
    <x v="0"/>
    <n v="0"/>
    <n v="543.16999999999996"/>
    <x v="23"/>
    <x v="276"/>
    <x v="5"/>
    <x v="1"/>
    <n v="212.57999999999998"/>
    <n v="1"/>
    <x v="0"/>
    <d v="2025-02-25T00:00:00"/>
    <n v="111"/>
    <x v="2"/>
    <x v="4"/>
  </r>
  <r>
    <n v="23"/>
    <x v="1"/>
    <n v="0"/>
    <n v="457.32"/>
    <x v="33"/>
    <x v="277"/>
    <x v="2"/>
    <x v="1"/>
    <n v="55.24"/>
    <n v="1"/>
    <x v="1"/>
    <d v="2025-04-24T00:00:00"/>
    <n v="4"/>
    <x v="0"/>
    <x v="1"/>
  </r>
  <r>
    <n v="230"/>
    <x v="1"/>
    <n v="0"/>
    <n v="404.19"/>
    <x v="1"/>
    <x v="278"/>
    <x v="3"/>
    <x v="1"/>
    <n v="63.03"/>
    <n v="1"/>
    <x v="0"/>
    <d v="2025-04-18T00:00:00"/>
    <n v="3"/>
    <x v="0"/>
    <x v="2"/>
  </r>
  <r>
    <n v="231"/>
    <x v="0"/>
    <n v="0"/>
    <n v="385.35"/>
    <x v="31"/>
    <x v="279"/>
    <x v="0"/>
    <x v="6"/>
    <n v="58.25"/>
    <n v="1"/>
    <x v="4"/>
    <d v="2025-02-08T00:00:00"/>
    <n v="75"/>
    <x v="0"/>
    <x v="4"/>
  </r>
  <r>
    <n v="232"/>
    <x v="1"/>
    <n v="0"/>
    <n v="561.54999999999995"/>
    <x v="38"/>
    <x v="207"/>
    <x v="0"/>
    <x v="4"/>
    <n v="103.05000000000001"/>
    <n v="1"/>
    <x v="4"/>
    <d v="2025-02-10T00:00:00"/>
    <n v="109"/>
    <x v="2"/>
    <x v="1"/>
  </r>
  <r>
    <n v="233"/>
    <x v="0"/>
    <n v="0"/>
    <n v="374.24"/>
    <x v="33"/>
    <x v="280"/>
    <x v="0"/>
    <x v="1"/>
    <n v="74.239999999999995"/>
    <n v="1"/>
    <x v="2"/>
    <d v="2025-05-06T00:00:00"/>
    <n v="-8"/>
    <x v="1"/>
    <x v="2"/>
  </r>
  <r>
    <n v="234"/>
    <x v="1"/>
    <n v="0"/>
    <n v="533.21"/>
    <x v="2"/>
    <x v="281"/>
    <x v="1"/>
    <x v="2"/>
    <n v="232.77"/>
    <n v="1"/>
    <x v="3"/>
    <d v="2025-03-14T00:00:00"/>
    <n v="67"/>
    <x v="0"/>
    <x v="3"/>
  </r>
  <r>
    <n v="235"/>
    <x v="0"/>
    <n v="0"/>
    <n v="266.42"/>
    <x v="41"/>
    <x v="282"/>
    <x v="1"/>
    <x v="0"/>
    <n v="48.86"/>
    <n v="1"/>
    <x v="0"/>
    <d v="2025-04-13T00:00:00"/>
    <n v="52"/>
    <x v="0"/>
    <x v="4"/>
  </r>
  <r>
    <n v="237"/>
    <x v="0"/>
    <n v="0"/>
    <n v="465.41"/>
    <x v="11"/>
    <x v="283"/>
    <x v="0"/>
    <x v="4"/>
    <n v="13.51"/>
    <n v="1"/>
    <x v="1"/>
    <d v="2025-03-07T00:00:00"/>
    <n v="70"/>
    <x v="0"/>
    <x v="1"/>
  </r>
  <r>
    <n v="238"/>
    <x v="0"/>
    <n v="0"/>
    <n v="378.22"/>
    <x v="20"/>
    <x v="79"/>
    <x v="1"/>
    <x v="1"/>
    <n v="120.24"/>
    <n v="1"/>
    <x v="0"/>
    <d v="2025-02-23T00:00:00"/>
    <n v="85"/>
    <x v="0"/>
    <x v="2"/>
  </r>
  <r>
    <n v="239"/>
    <x v="0"/>
    <n v="0"/>
    <n v="710.55"/>
    <x v="27"/>
    <x v="284"/>
    <x v="0"/>
    <x v="5"/>
    <n v="226.8"/>
    <n v="1"/>
    <x v="2"/>
    <d v="2025-02-24T00:00:00"/>
    <n v="55"/>
    <x v="0"/>
    <x v="3"/>
  </r>
  <r>
    <n v="24"/>
    <x v="1"/>
    <n v="1"/>
    <n v="173.28"/>
    <x v="28"/>
    <x v="285"/>
    <x v="3"/>
    <x v="2"/>
    <n v="33.229999999999997"/>
    <n v="1"/>
    <x v="1"/>
    <d v="2025-04-10T00:00:00"/>
    <n v="33"/>
    <x v="0"/>
    <x v="1"/>
  </r>
  <r>
    <n v="240"/>
    <x v="1"/>
    <n v="0"/>
    <n v="757.22"/>
    <x v="25"/>
    <x v="286"/>
    <x v="1"/>
    <x v="3"/>
    <n v="197.82"/>
    <n v="1"/>
    <x v="3"/>
    <d v="2025-02-27T00:00:00"/>
    <n v="93"/>
    <x v="2"/>
    <x v="2"/>
  </r>
  <r>
    <n v="241"/>
    <x v="1"/>
    <n v="0"/>
    <n v="411.47"/>
    <x v="4"/>
    <x v="287"/>
    <x v="3"/>
    <x v="4"/>
    <n v="45.42"/>
    <n v="1"/>
    <x v="2"/>
    <d v="2025-04-14T00:00:00"/>
    <n v="53"/>
    <x v="0"/>
    <x v="3"/>
  </r>
  <r>
    <n v="242"/>
    <x v="1"/>
    <n v="0"/>
    <n v="593.44000000000005"/>
    <x v="47"/>
    <x v="228"/>
    <x v="1"/>
    <x v="4"/>
    <n v="193.32"/>
    <n v="1"/>
    <x v="2"/>
    <d v="2025-05-04T00:00:00"/>
    <n v="19"/>
    <x v="0"/>
    <x v="0"/>
  </r>
  <r>
    <n v="245"/>
    <x v="0"/>
    <n v="0"/>
    <n v="221.6"/>
    <x v="19"/>
    <x v="288"/>
    <x v="1"/>
    <x v="6"/>
    <n v="44.12"/>
    <n v="1"/>
    <x v="2"/>
    <d v="2025-04-16T00:00:00"/>
    <n v="43"/>
    <x v="0"/>
    <x v="4"/>
  </r>
  <r>
    <n v="247"/>
    <x v="1"/>
    <n v="0"/>
    <n v="288.20999999999998"/>
    <x v="50"/>
    <x v="289"/>
    <x v="1"/>
    <x v="4"/>
    <n v="60.34"/>
    <n v="1"/>
    <x v="0"/>
    <d v="2025-01-23T00:00:00"/>
    <n v="71"/>
    <x v="0"/>
    <x v="1"/>
  </r>
  <r>
    <n v="248"/>
    <x v="1"/>
    <n v="0"/>
    <n v="478.04"/>
    <x v="49"/>
    <x v="163"/>
    <x v="3"/>
    <x v="0"/>
    <n v="78.06"/>
    <n v="1"/>
    <x v="2"/>
    <d v="2025-03-17T00:00:00"/>
    <n v="37"/>
    <x v="0"/>
    <x v="0"/>
  </r>
  <r>
    <n v="250"/>
    <x v="1"/>
    <n v="0"/>
    <n v="581.85"/>
    <x v="23"/>
    <x v="290"/>
    <x v="5"/>
    <x v="1"/>
    <n v="52.65"/>
    <n v="1"/>
    <x v="4"/>
    <d v="2025-04-03T00:00:00"/>
    <n v="74"/>
    <x v="0"/>
    <x v="3"/>
  </r>
  <r>
    <n v="251"/>
    <x v="0"/>
    <n v="1"/>
    <n v="318.33999999999997"/>
    <x v="24"/>
    <x v="291"/>
    <x v="1"/>
    <x v="5"/>
    <n v="107.82"/>
    <n v="1"/>
    <x v="4"/>
    <d v="2025-05-08T00:00:00"/>
    <n v="-32"/>
    <x v="1"/>
    <x v="2"/>
  </r>
  <r>
    <n v="252"/>
    <x v="1"/>
    <n v="0"/>
    <n v="336.11"/>
    <x v="37"/>
    <x v="292"/>
    <x v="1"/>
    <x v="4"/>
    <n v="47.66"/>
    <n v="1"/>
    <x v="0"/>
    <d v="2025-05-20T00:00:00"/>
    <n v="-32"/>
    <x v="1"/>
    <x v="3"/>
  </r>
  <r>
    <n v="253"/>
    <x v="1"/>
    <n v="0"/>
    <n v="422.76"/>
    <x v="5"/>
    <x v="293"/>
    <x v="0"/>
    <x v="5"/>
    <n v="28.98"/>
    <n v="1"/>
    <x v="3"/>
    <d v="2025-03-27T00:00:00"/>
    <n v="31"/>
    <x v="0"/>
    <x v="3"/>
  </r>
  <r>
    <n v="255"/>
    <x v="0"/>
    <n v="0"/>
    <n v="187.46"/>
    <x v="10"/>
    <x v="294"/>
    <x v="5"/>
    <x v="0"/>
    <n v="59.38"/>
    <n v="1"/>
    <x v="2"/>
    <d v="2025-01-29T00:00:00"/>
    <n v="91"/>
    <x v="2"/>
    <x v="1"/>
  </r>
  <r>
    <n v="256"/>
    <x v="0"/>
    <n v="0"/>
    <n v="432.34"/>
    <x v="0"/>
    <x v="295"/>
    <x v="2"/>
    <x v="0"/>
    <n v="147.63"/>
    <n v="1"/>
    <x v="2"/>
    <d v="2025-03-03T00:00:00"/>
    <n v="79"/>
    <x v="0"/>
    <x v="4"/>
  </r>
  <r>
    <n v="258"/>
    <x v="0"/>
    <n v="0"/>
    <n v="439.49"/>
    <x v="19"/>
    <x v="296"/>
    <x v="0"/>
    <x v="6"/>
    <n v="75.47"/>
    <n v="1"/>
    <x v="4"/>
    <d v="2025-04-04T00:00:00"/>
    <n v="55"/>
    <x v="0"/>
    <x v="4"/>
  </r>
  <r>
    <n v="259"/>
    <x v="1"/>
    <n v="1"/>
    <n v="296.87"/>
    <x v="20"/>
    <x v="297"/>
    <x v="1"/>
    <x v="1"/>
    <n v="42.24"/>
    <n v="1"/>
    <x v="0"/>
    <d v="2025-03-22T00:00:00"/>
    <n v="58"/>
    <x v="0"/>
    <x v="1"/>
  </r>
  <r>
    <n v="260"/>
    <x v="0"/>
    <n v="0"/>
    <n v="528.34"/>
    <x v="29"/>
    <x v="259"/>
    <x v="1"/>
    <x v="0"/>
    <n v="64.819999999999993"/>
    <n v="1"/>
    <x v="2"/>
    <d v="2025-04-06T00:00:00"/>
    <n v="38"/>
    <x v="0"/>
    <x v="4"/>
  </r>
  <r>
    <n v="262"/>
    <x v="1"/>
    <n v="0"/>
    <n v="480.78"/>
    <x v="45"/>
    <x v="214"/>
    <x v="3"/>
    <x v="2"/>
    <n v="117.34"/>
    <n v="1"/>
    <x v="4"/>
    <d v="2025-04-02T00:00:00"/>
    <n v="27"/>
    <x v="0"/>
    <x v="1"/>
  </r>
  <r>
    <n v="264"/>
    <x v="1"/>
    <n v="0"/>
    <n v="253.51"/>
    <x v="25"/>
    <x v="127"/>
    <x v="1"/>
    <x v="3"/>
    <n v="58.09"/>
    <n v="1"/>
    <x v="1"/>
    <d v="2025-03-28T00:00:00"/>
    <n v="64"/>
    <x v="0"/>
    <x v="2"/>
  </r>
  <r>
    <n v="265"/>
    <x v="1"/>
    <n v="0"/>
    <n v="307.83"/>
    <x v="34"/>
    <x v="144"/>
    <x v="4"/>
    <x v="1"/>
    <n v="55.39"/>
    <n v="1"/>
    <x v="0"/>
    <d v="2025-01-26T00:00:00"/>
    <n v="120"/>
    <x v="2"/>
    <x v="3"/>
  </r>
  <r>
    <n v="269"/>
    <x v="1"/>
    <n v="0"/>
    <n v="503.93"/>
    <x v="8"/>
    <x v="298"/>
    <x v="1"/>
    <x v="3"/>
    <n v="23.13"/>
    <n v="1"/>
    <x v="4"/>
    <d v="2025-05-03T00:00:00"/>
    <n v="21"/>
    <x v="0"/>
    <x v="1"/>
  </r>
  <r>
    <n v="272"/>
    <x v="1"/>
    <n v="0"/>
    <n v="487.95"/>
    <x v="6"/>
    <x v="299"/>
    <x v="4"/>
    <x v="1"/>
    <n v="51.17"/>
    <n v="1"/>
    <x v="4"/>
    <d v="2025-04-01T00:00:00"/>
    <n v="34"/>
    <x v="0"/>
    <x v="0"/>
  </r>
  <r>
    <n v="273"/>
    <x v="1"/>
    <n v="0"/>
    <n v="489.56"/>
    <x v="23"/>
    <x v="300"/>
    <x v="2"/>
    <x v="1"/>
    <n v="57"/>
    <n v="1"/>
    <x v="4"/>
    <d v="2025-03-10T00:00:00"/>
    <n v="98"/>
    <x v="2"/>
    <x v="0"/>
  </r>
  <r>
    <n v="274"/>
    <x v="0"/>
    <n v="0"/>
    <n v="157.15"/>
    <x v="30"/>
    <x v="3"/>
    <x v="1"/>
    <x v="3"/>
    <n v="45.8"/>
    <n v="1"/>
    <x v="3"/>
    <d v="2025-03-20T00:00:00"/>
    <n v="30"/>
    <x v="0"/>
    <x v="4"/>
  </r>
  <r>
    <n v="275"/>
    <x v="1"/>
    <n v="0"/>
    <n v="391.32"/>
    <x v="37"/>
    <x v="74"/>
    <x v="1"/>
    <x v="4"/>
    <n v="61.7"/>
    <n v="1"/>
    <x v="1"/>
    <d v="2025-04-11T00:00:00"/>
    <n v="7"/>
    <x v="0"/>
    <x v="3"/>
  </r>
  <r>
    <n v="276"/>
    <x v="1"/>
    <n v="0"/>
    <n v="395.94"/>
    <x v="41"/>
    <x v="233"/>
    <x v="1"/>
    <x v="0"/>
    <n v="71.86"/>
    <n v="1"/>
    <x v="2"/>
    <d v="2025-03-07T00:00:00"/>
    <n v="89"/>
    <x v="0"/>
    <x v="1"/>
  </r>
  <r>
    <n v="277"/>
    <x v="0"/>
    <n v="0"/>
    <n v="534.45000000000005"/>
    <x v="34"/>
    <x v="301"/>
    <x v="2"/>
    <x v="1"/>
    <n v="59.56"/>
    <n v="1"/>
    <x v="4"/>
    <d v="2025-04-05T00:00:00"/>
    <n v="51"/>
    <x v="0"/>
    <x v="4"/>
  </r>
  <r>
    <n v="278"/>
    <x v="1"/>
    <n v="0"/>
    <n v="295.83"/>
    <x v="22"/>
    <x v="302"/>
    <x v="4"/>
    <x v="4"/>
    <n v="47.59"/>
    <n v="1"/>
    <x v="2"/>
    <d v="2025-02-19T00:00:00"/>
    <n v="114"/>
    <x v="2"/>
    <x v="3"/>
  </r>
  <r>
    <n v="279"/>
    <x v="0"/>
    <n v="0"/>
    <n v="330.38"/>
    <x v="23"/>
    <x v="303"/>
    <x v="2"/>
    <x v="1"/>
    <n v="76.819999999999993"/>
    <n v="1"/>
    <x v="1"/>
    <d v="2025-03-24T00:00:00"/>
    <n v="84"/>
    <x v="0"/>
    <x v="1"/>
  </r>
  <r>
    <n v="281"/>
    <x v="1"/>
    <n v="1"/>
    <n v="375.37"/>
    <x v="17"/>
    <x v="209"/>
    <x v="3"/>
    <x v="3"/>
    <n v="40.46"/>
    <n v="1"/>
    <x v="4"/>
    <d v="2025-02-16T00:00:00"/>
    <n v="90"/>
    <x v="0"/>
    <x v="0"/>
  </r>
  <r>
    <n v="282"/>
    <x v="1"/>
    <n v="0"/>
    <n v="391.74"/>
    <x v="34"/>
    <x v="304"/>
    <x v="1"/>
    <x v="1"/>
    <n v="105.82"/>
    <n v="1"/>
    <x v="3"/>
    <d v="2025-02-19T00:00:00"/>
    <n v="96"/>
    <x v="2"/>
    <x v="4"/>
  </r>
  <r>
    <n v="284"/>
    <x v="1"/>
    <n v="0"/>
    <n v="362.54"/>
    <x v="45"/>
    <x v="305"/>
    <x v="2"/>
    <x v="2"/>
    <n v="49.84"/>
    <n v="1"/>
    <x v="4"/>
    <d v="2025-01-07T00:00:00"/>
    <n v="112"/>
    <x v="2"/>
    <x v="4"/>
  </r>
  <r>
    <n v="285"/>
    <x v="1"/>
    <n v="0"/>
    <n v="448.77"/>
    <x v="19"/>
    <x v="306"/>
    <x v="0"/>
    <x v="6"/>
    <n v="106.5"/>
    <n v="1"/>
    <x v="2"/>
    <d v="2025-03-08T00:00:00"/>
    <n v="82"/>
    <x v="0"/>
    <x v="1"/>
  </r>
  <r>
    <n v="286"/>
    <x v="1"/>
    <n v="1"/>
    <n v="348.33"/>
    <x v="35"/>
    <x v="307"/>
    <x v="0"/>
    <x v="5"/>
    <n v="38.51"/>
    <n v="1"/>
    <x v="1"/>
    <d v="2025-04-11T00:00:00"/>
    <n v="37"/>
    <x v="0"/>
    <x v="4"/>
  </r>
  <r>
    <n v="287"/>
    <x v="0"/>
    <n v="0"/>
    <n v="578.5"/>
    <x v="42"/>
    <x v="308"/>
    <x v="4"/>
    <x v="6"/>
    <n v="275.3"/>
    <n v="1"/>
    <x v="4"/>
    <d v="2025-03-27T00:00:00"/>
    <n v="49"/>
    <x v="0"/>
    <x v="4"/>
  </r>
  <r>
    <n v="288"/>
    <x v="1"/>
    <n v="0"/>
    <n v="732.73"/>
    <x v="3"/>
    <x v="285"/>
    <x v="3"/>
    <x v="3"/>
    <n v="171.93"/>
    <n v="1"/>
    <x v="1"/>
    <d v="2025-04-10T00:00:00"/>
    <n v="-5"/>
    <x v="1"/>
    <x v="0"/>
  </r>
  <r>
    <n v="289"/>
    <x v="1"/>
    <n v="1"/>
    <n v="268.8"/>
    <x v="35"/>
    <x v="21"/>
    <x v="4"/>
    <x v="5"/>
    <n v="90"/>
    <n v="1"/>
    <x v="3"/>
    <d v="2025-03-23T00:00:00"/>
    <n v="56"/>
    <x v="0"/>
    <x v="3"/>
  </r>
  <r>
    <n v="29"/>
    <x v="1"/>
    <n v="0"/>
    <n v="445.12"/>
    <x v="36"/>
    <x v="309"/>
    <x v="0"/>
    <x v="4"/>
    <n v="94.54"/>
    <n v="1"/>
    <x v="2"/>
    <d v="2025-02-02T00:00:00"/>
    <n v="82"/>
    <x v="0"/>
    <x v="1"/>
  </r>
  <r>
    <n v="291"/>
    <x v="0"/>
    <n v="0"/>
    <n v="696.69"/>
    <x v="10"/>
    <x v="310"/>
    <x v="1"/>
    <x v="0"/>
    <n v="93.04"/>
    <n v="1"/>
    <x v="1"/>
    <d v="2025-04-03T00:00:00"/>
    <n v="27"/>
    <x v="0"/>
    <x v="2"/>
  </r>
  <r>
    <n v="292"/>
    <x v="1"/>
    <n v="0"/>
    <n v="317.3"/>
    <x v="10"/>
    <x v="172"/>
    <x v="0"/>
    <x v="0"/>
    <n v="119.84"/>
    <n v="1"/>
    <x v="0"/>
    <d v="2025-02-17T00:00:00"/>
    <n v="72"/>
    <x v="0"/>
    <x v="0"/>
  </r>
  <r>
    <n v="293"/>
    <x v="0"/>
    <n v="0"/>
    <n v="391.81"/>
    <x v="3"/>
    <x v="32"/>
    <x v="3"/>
    <x v="3"/>
    <n v="52.58"/>
    <n v="1"/>
    <x v="0"/>
    <d v="2025-02-25T00:00:00"/>
    <n v="39"/>
    <x v="0"/>
    <x v="0"/>
  </r>
  <r>
    <n v="294"/>
    <x v="0"/>
    <n v="0"/>
    <n v="290.39"/>
    <x v="44"/>
    <x v="311"/>
    <x v="1"/>
    <x v="2"/>
    <n v="57.51"/>
    <n v="1"/>
    <x v="0"/>
    <d v="2025-05-17T00:00:00"/>
    <n v="31"/>
    <x v="0"/>
    <x v="0"/>
  </r>
  <r>
    <n v="295"/>
    <x v="1"/>
    <n v="1"/>
    <n v="408.14"/>
    <x v="28"/>
    <x v="312"/>
    <x v="3"/>
    <x v="2"/>
    <n v="117.16"/>
    <n v="1"/>
    <x v="1"/>
    <d v="2025-03-21T00:00:00"/>
    <n v="53"/>
    <x v="0"/>
    <x v="2"/>
  </r>
  <r>
    <n v="297"/>
    <x v="1"/>
    <n v="1"/>
    <n v="275.27"/>
    <x v="17"/>
    <x v="313"/>
    <x v="4"/>
    <x v="3"/>
    <n v="40.840000000000003"/>
    <n v="1"/>
    <x v="0"/>
    <d v="2025-04-08T00:00:00"/>
    <n v="39"/>
    <x v="0"/>
    <x v="2"/>
  </r>
  <r>
    <n v="298"/>
    <x v="0"/>
    <n v="0"/>
    <n v="376.14"/>
    <x v="35"/>
    <x v="314"/>
    <x v="0"/>
    <x v="5"/>
    <n v="53.61"/>
    <n v="1"/>
    <x v="3"/>
    <d v="2025-04-19T00:00:00"/>
    <n v="29"/>
    <x v="0"/>
    <x v="0"/>
  </r>
  <r>
    <n v="299"/>
    <x v="1"/>
    <n v="1"/>
    <n v="489.11"/>
    <x v="28"/>
    <x v="131"/>
    <x v="1"/>
    <x v="2"/>
    <n v="93.9"/>
    <n v="1"/>
    <x v="3"/>
    <d v="2025-03-24T00:00:00"/>
    <n v="50"/>
    <x v="0"/>
    <x v="3"/>
  </r>
  <r>
    <n v="3"/>
    <x v="1"/>
    <n v="0"/>
    <n v="337.56"/>
    <x v="13"/>
    <x v="315"/>
    <x v="1"/>
    <x v="2"/>
    <n v="73.8"/>
    <n v="1"/>
    <x v="4"/>
    <d v="2025-02-26T00:00:00"/>
    <n v="55"/>
    <x v="0"/>
    <x v="0"/>
  </r>
  <r>
    <n v="301"/>
    <x v="1"/>
    <n v="1"/>
    <n v="241.1"/>
    <x v="17"/>
    <x v="316"/>
    <x v="5"/>
    <x v="3"/>
    <n v="85.24"/>
    <n v="1"/>
    <x v="3"/>
    <d v="2025-02-09T00:00:00"/>
    <n v="97"/>
    <x v="2"/>
    <x v="0"/>
  </r>
  <r>
    <n v="303"/>
    <x v="1"/>
    <n v="0"/>
    <n v="635.02"/>
    <x v="15"/>
    <x v="317"/>
    <x v="5"/>
    <x v="2"/>
    <n v="83.76"/>
    <n v="1"/>
    <x v="2"/>
    <d v="2025-04-07T00:00:00"/>
    <n v="29"/>
    <x v="0"/>
    <x v="0"/>
  </r>
  <r>
    <n v="305"/>
    <x v="0"/>
    <n v="0"/>
    <n v="541.03"/>
    <x v="33"/>
    <x v="318"/>
    <x v="1"/>
    <x v="1"/>
    <n v="182.37"/>
    <n v="1"/>
    <x v="3"/>
    <d v="2025-03-29T00:00:00"/>
    <n v="30"/>
    <x v="0"/>
    <x v="2"/>
  </r>
  <r>
    <n v="306"/>
    <x v="0"/>
    <n v="0"/>
    <n v="257.31"/>
    <x v="48"/>
    <x v="271"/>
    <x v="4"/>
    <x v="3"/>
    <n v="68.03"/>
    <n v="1"/>
    <x v="2"/>
    <d v="2025-02-11T00:00:00"/>
    <n v="74"/>
    <x v="0"/>
    <x v="0"/>
  </r>
  <r>
    <n v="307"/>
    <x v="0"/>
    <n v="0"/>
    <n v="332"/>
    <x v="0"/>
    <x v="319"/>
    <x v="5"/>
    <x v="0"/>
    <n v="50.52"/>
    <n v="1"/>
    <x v="3"/>
    <d v="2025-04-19T00:00:00"/>
    <n v="32"/>
    <x v="0"/>
    <x v="0"/>
  </r>
  <r>
    <n v="309"/>
    <x v="1"/>
    <n v="0"/>
    <n v="414.75"/>
    <x v="21"/>
    <x v="126"/>
    <x v="0"/>
    <x v="5"/>
    <n v="142.41"/>
    <n v="1"/>
    <x v="0"/>
    <d v="2025-03-24T00:00:00"/>
    <n v="62"/>
    <x v="0"/>
    <x v="1"/>
  </r>
  <r>
    <n v="31"/>
    <x v="1"/>
    <n v="0"/>
    <n v="292.77999999999997"/>
    <x v="2"/>
    <x v="204"/>
    <x v="2"/>
    <x v="2"/>
    <n v="69.819999999999993"/>
    <n v="1"/>
    <x v="0"/>
    <d v="2025-03-18T00:00:00"/>
    <n v="63"/>
    <x v="0"/>
    <x v="2"/>
  </r>
  <r>
    <n v="310"/>
    <x v="0"/>
    <n v="0"/>
    <n v="503.83"/>
    <x v="37"/>
    <x v="320"/>
    <x v="1"/>
    <x v="4"/>
    <n v="107.19"/>
    <n v="1"/>
    <x v="0"/>
    <d v="2025-04-03T00:00:00"/>
    <n v="15"/>
    <x v="0"/>
    <x v="2"/>
  </r>
  <r>
    <n v="312"/>
    <x v="0"/>
    <n v="0"/>
    <n v="509.07"/>
    <x v="25"/>
    <x v="321"/>
    <x v="3"/>
    <x v="3"/>
    <n v="177.99"/>
    <n v="1"/>
    <x v="2"/>
    <d v="2025-02-20T00:00:00"/>
    <n v="100"/>
    <x v="2"/>
    <x v="4"/>
  </r>
  <r>
    <n v="313"/>
    <x v="1"/>
    <n v="0"/>
    <n v="712.86"/>
    <x v="4"/>
    <x v="67"/>
    <x v="1"/>
    <x v="4"/>
    <n v="267.95999999999998"/>
    <n v="1"/>
    <x v="4"/>
    <d v="2025-03-13T00:00:00"/>
    <n v="85"/>
    <x v="0"/>
    <x v="2"/>
  </r>
  <r>
    <n v="314"/>
    <x v="0"/>
    <n v="0"/>
    <n v="446.09"/>
    <x v="35"/>
    <x v="322"/>
    <x v="3"/>
    <x v="5"/>
    <n v="161.52000000000001"/>
    <n v="1"/>
    <x v="4"/>
    <d v="2025-02-03T00:00:00"/>
    <n v="104"/>
    <x v="2"/>
    <x v="2"/>
  </r>
  <r>
    <n v="318"/>
    <x v="0"/>
    <n v="0"/>
    <n v="376.3"/>
    <x v="9"/>
    <x v="323"/>
    <x v="1"/>
    <x v="6"/>
    <n v="44.06"/>
    <n v="1"/>
    <x v="4"/>
    <d v="2025-02-07T00:00:00"/>
    <n v="69"/>
    <x v="0"/>
    <x v="4"/>
  </r>
  <r>
    <n v="319"/>
    <x v="1"/>
    <n v="0"/>
    <n v="431.38"/>
    <x v="25"/>
    <x v="324"/>
    <x v="5"/>
    <x v="3"/>
    <n v="28.98"/>
    <n v="1"/>
    <x v="0"/>
    <d v="2025-04-02T00:00:00"/>
    <n v="59"/>
    <x v="0"/>
    <x v="3"/>
  </r>
  <r>
    <n v="32"/>
    <x v="1"/>
    <n v="0"/>
    <n v="540.69000000000005"/>
    <x v="1"/>
    <x v="325"/>
    <x v="4"/>
    <x v="1"/>
    <n v="141.72"/>
    <n v="1"/>
    <x v="0"/>
    <d v="2025-01-27T00:00:00"/>
    <n v="84"/>
    <x v="0"/>
    <x v="4"/>
  </r>
  <r>
    <n v="321"/>
    <x v="1"/>
    <n v="0"/>
    <n v="465.62"/>
    <x v="25"/>
    <x v="326"/>
    <x v="5"/>
    <x v="3"/>
    <n v="75.449999999999989"/>
    <n v="1"/>
    <x v="2"/>
    <d v="2025-04-12T00:00:00"/>
    <n v="49"/>
    <x v="0"/>
    <x v="1"/>
  </r>
  <r>
    <n v="323"/>
    <x v="0"/>
    <n v="0"/>
    <n v="265.56"/>
    <x v="39"/>
    <x v="327"/>
    <x v="1"/>
    <x v="6"/>
    <n v="58.26"/>
    <n v="1"/>
    <x v="0"/>
    <d v="2025-02-01T00:00:00"/>
    <n v="124"/>
    <x v="2"/>
    <x v="0"/>
  </r>
  <r>
    <n v="326"/>
    <x v="0"/>
    <n v="0"/>
    <n v="666.64"/>
    <x v="30"/>
    <x v="96"/>
    <x v="0"/>
    <x v="3"/>
    <n v="97.28"/>
    <n v="1"/>
    <x v="2"/>
    <d v="2025-03-16T00:00:00"/>
    <n v="34"/>
    <x v="0"/>
    <x v="0"/>
  </r>
  <r>
    <n v="328"/>
    <x v="0"/>
    <n v="0"/>
    <n v="218.19"/>
    <x v="28"/>
    <x v="328"/>
    <x v="0"/>
    <x v="2"/>
    <n v="30.41"/>
    <n v="1"/>
    <x v="2"/>
    <d v="2025-02-15T00:00:00"/>
    <n v="87"/>
    <x v="0"/>
    <x v="4"/>
  </r>
  <r>
    <n v="329"/>
    <x v="0"/>
    <n v="0"/>
    <n v="605.24"/>
    <x v="50"/>
    <x v="142"/>
    <x v="0"/>
    <x v="4"/>
    <n v="105.3"/>
    <n v="1"/>
    <x v="3"/>
    <d v="2025-04-09T00:00:00"/>
    <n v="-5"/>
    <x v="1"/>
    <x v="3"/>
  </r>
  <r>
    <n v="33"/>
    <x v="0"/>
    <n v="0"/>
    <n v="227.32"/>
    <x v="49"/>
    <x v="329"/>
    <x v="1"/>
    <x v="0"/>
    <n v="69.540000000000006"/>
    <n v="1"/>
    <x v="3"/>
    <d v="2025-02-21T00:00:00"/>
    <n v="61"/>
    <x v="0"/>
    <x v="2"/>
  </r>
  <r>
    <n v="330"/>
    <x v="0"/>
    <n v="0"/>
    <n v="558.38"/>
    <x v="31"/>
    <x v="330"/>
    <x v="3"/>
    <x v="6"/>
    <n v="90.3"/>
    <n v="1"/>
    <x v="4"/>
    <d v="2025-02-22T00:00:00"/>
    <n v="61"/>
    <x v="0"/>
    <x v="3"/>
  </r>
  <r>
    <n v="331"/>
    <x v="1"/>
    <n v="0"/>
    <n v="263.87"/>
    <x v="39"/>
    <x v="48"/>
    <x v="4"/>
    <x v="6"/>
    <n v="78.52"/>
    <n v="1"/>
    <x v="3"/>
    <d v="2025-01-30T00:00:00"/>
    <n v="126"/>
    <x v="2"/>
    <x v="4"/>
  </r>
  <r>
    <n v="332"/>
    <x v="1"/>
    <n v="0"/>
    <n v="380.25"/>
    <x v="8"/>
    <x v="331"/>
    <x v="0"/>
    <x v="3"/>
    <n v="44.45"/>
    <n v="1"/>
    <x v="3"/>
    <d v="2025-03-12T00:00:00"/>
    <n v="73"/>
    <x v="0"/>
    <x v="3"/>
  </r>
  <r>
    <n v="333"/>
    <x v="0"/>
    <n v="0"/>
    <n v="427.6"/>
    <x v="14"/>
    <x v="332"/>
    <x v="4"/>
    <x v="6"/>
    <n v="109.82"/>
    <n v="1"/>
    <x v="1"/>
    <d v="2025-02-17T00:00:00"/>
    <n v="94"/>
    <x v="2"/>
    <x v="0"/>
  </r>
  <r>
    <n v="334"/>
    <x v="1"/>
    <n v="0"/>
    <n v="496.23"/>
    <x v="19"/>
    <x v="261"/>
    <x v="4"/>
    <x v="6"/>
    <n v="139.22999999999999"/>
    <n v="1"/>
    <x v="2"/>
    <d v="2025-01-19T00:00:00"/>
    <n v="130"/>
    <x v="2"/>
    <x v="1"/>
  </r>
  <r>
    <n v="335"/>
    <x v="1"/>
    <n v="0"/>
    <n v="747.5"/>
    <x v="18"/>
    <x v="333"/>
    <x v="2"/>
    <x v="2"/>
    <n v="93.8"/>
    <n v="1"/>
    <x v="1"/>
    <d v="2025-05-14T00:00:00"/>
    <n v="-29"/>
    <x v="1"/>
    <x v="4"/>
  </r>
  <r>
    <n v="336"/>
    <x v="0"/>
    <n v="0"/>
    <n v="536.47"/>
    <x v="44"/>
    <x v="334"/>
    <x v="0"/>
    <x v="2"/>
    <n v="81.790000000000006"/>
    <n v="1"/>
    <x v="4"/>
    <d v="2025-04-26T00:00:00"/>
    <n v="52"/>
    <x v="0"/>
    <x v="4"/>
  </r>
  <r>
    <n v="337"/>
    <x v="1"/>
    <n v="0"/>
    <n v="467.38"/>
    <x v="8"/>
    <x v="335"/>
    <x v="0"/>
    <x v="3"/>
    <n v="72.099999999999994"/>
    <n v="1"/>
    <x v="4"/>
    <d v="2025-04-01T00:00:00"/>
    <n v="53"/>
    <x v="0"/>
    <x v="3"/>
  </r>
  <r>
    <n v="338"/>
    <x v="0"/>
    <n v="0"/>
    <n v="410.86"/>
    <x v="1"/>
    <x v="49"/>
    <x v="4"/>
    <x v="1"/>
    <n v="75.17"/>
    <n v="1"/>
    <x v="2"/>
    <d v="2025-04-21T00:00:00"/>
    <n v="0"/>
    <x v="0"/>
    <x v="3"/>
  </r>
  <r>
    <n v="341"/>
    <x v="1"/>
    <n v="1"/>
    <n v="449.94"/>
    <x v="28"/>
    <x v="130"/>
    <x v="5"/>
    <x v="2"/>
    <n v="66.510000000000005"/>
    <n v="1"/>
    <x v="4"/>
    <d v="2025-02-04T00:00:00"/>
    <n v="98"/>
    <x v="2"/>
    <x v="4"/>
  </r>
  <r>
    <n v="343"/>
    <x v="1"/>
    <n v="0"/>
    <n v="587.46"/>
    <x v="44"/>
    <x v="336"/>
    <x v="0"/>
    <x v="2"/>
    <n v="187.56"/>
    <n v="1"/>
    <x v="2"/>
    <d v="2025-04-12T00:00:00"/>
    <n v="66"/>
    <x v="0"/>
    <x v="3"/>
  </r>
  <r>
    <n v="344"/>
    <x v="1"/>
    <n v="0"/>
    <n v="291.52"/>
    <x v="16"/>
    <x v="337"/>
    <x v="5"/>
    <x v="3"/>
    <n v="50.55"/>
    <n v="1"/>
    <x v="2"/>
    <d v="2025-02-11T00:00:00"/>
    <n v="123"/>
    <x v="2"/>
    <x v="0"/>
  </r>
  <r>
    <n v="345"/>
    <x v="0"/>
    <n v="0"/>
    <n v="648.04"/>
    <x v="32"/>
    <x v="258"/>
    <x v="5"/>
    <x v="1"/>
    <n v="157.80000000000001"/>
    <n v="1"/>
    <x v="3"/>
    <d v="2025-01-11T00:00:00"/>
    <n v="93"/>
    <x v="2"/>
    <x v="1"/>
  </r>
  <r>
    <n v="346"/>
    <x v="1"/>
    <n v="0"/>
    <n v="318.61"/>
    <x v="34"/>
    <x v="90"/>
    <x v="0"/>
    <x v="1"/>
    <n v="50.55"/>
    <n v="1"/>
    <x v="4"/>
    <d v="2025-02-21T00:00:00"/>
    <n v="94"/>
    <x v="2"/>
    <x v="0"/>
  </r>
  <r>
    <n v="347"/>
    <x v="0"/>
    <n v="0"/>
    <n v="402.53"/>
    <x v="35"/>
    <x v="158"/>
    <x v="4"/>
    <x v="5"/>
    <n v="137.19"/>
    <n v="1"/>
    <x v="1"/>
    <d v="2025-04-19T00:00:00"/>
    <n v="29"/>
    <x v="0"/>
    <x v="0"/>
  </r>
  <r>
    <n v="348"/>
    <x v="0"/>
    <n v="0"/>
    <n v="654.98"/>
    <x v="38"/>
    <x v="204"/>
    <x v="2"/>
    <x v="4"/>
    <n v="103.52"/>
    <n v="1"/>
    <x v="0"/>
    <d v="2025-03-18T00:00:00"/>
    <n v="73"/>
    <x v="0"/>
    <x v="1"/>
  </r>
  <r>
    <n v="349"/>
    <x v="1"/>
    <n v="0"/>
    <n v="523.42999999999995"/>
    <x v="40"/>
    <x v="338"/>
    <x v="2"/>
    <x v="5"/>
    <n v="40.99"/>
    <n v="1"/>
    <x v="2"/>
    <d v="2025-02-24T00:00:00"/>
    <n v="111"/>
    <x v="2"/>
    <x v="4"/>
  </r>
  <r>
    <n v="35"/>
    <x v="0"/>
    <n v="0"/>
    <n v="433.96"/>
    <x v="5"/>
    <x v="226"/>
    <x v="4"/>
    <x v="5"/>
    <n v="95.82"/>
    <n v="1"/>
    <x v="4"/>
    <d v="2025-04-25T00:00:00"/>
    <n v="2"/>
    <x v="0"/>
    <x v="4"/>
  </r>
  <r>
    <n v="350"/>
    <x v="0"/>
    <n v="0"/>
    <n v="529.4"/>
    <x v="30"/>
    <x v="339"/>
    <x v="0"/>
    <x v="3"/>
    <n v="98.32"/>
    <n v="1"/>
    <x v="3"/>
    <d v="2025-03-27T00:00:00"/>
    <n v="23"/>
    <x v="0"/>
    <x v="0"/>
  </r>
  <r>
    <n v="351"/>
    <x v="0"/>
    <n v="0"/>
    <n v="494.28"/>
    <x v="12"/>
    <x v="340"/>
    <x v="1"/>
    <x v="2"/>
    <n v="100.08"/>
    <n v="1"/>
    <x v="2"/>
    <d v="2025-04-18T00:00:00"/>
    <n v="39"/>
    <x v="0"/>
    <x v="0"/>
  </r>
  <r>
    <n v="352"/>
    <x v="0"/>
    <n v="0"/>
    <n v="698.65"/>
    <x v="26"/>
    <x v="90"/>
    <x v="0"/>
    <x v="5"/>
    <n v="313.15000000000003"/>
    <n v="1"/>
    <x v="4"/>
    <d v="2025-02-21T00:00:00"/>
    <n v="72"/>
    <x v="0"/>
    <x v="1"/>
  </r>
  <r>
    <n v="354"/>
    <x v="1"/>
    <n v="0"/>
    <n v="342.09"/>
    <x v="50"/>
    <x v="341"/>
    <x v="1"/>
    <x v="4"/>
    <n v="121.04"/>
    <n v="1"/>
    <x v="4"/>
    <d v="2025-04-22T00:00:00"/>
    <n v="-18"/>
    <x v="1"/>
    <x v="3"/>
  </r>
  <r>
    <n v="356"/>
    <x v="1"/>
    <n v="1"/>
    <n v="344.13"/>
    <x v="28"/>
    <x v="342"/>
    <x v="1"/>
    <x v="2"/>
    <n v="41.69"/>
    <n v="1"/>
    <x v="4"/>
    <d v="2025-03-09T00:00:00"/>
    <n v="65"/>
    <x v="0"/>
    <x v="4"/>
  </r>
  <r>
    <n v="357"/>
    <x v="0"/>
    <n v="0"/>
    <n v="548.55999999999995"/>
    <x v="48"/>
    <x v="343"/>
    <x v="4"/>
    <x v="3"/>
    <n v="235.44"/>
    <n v="1"/>
    <x v="4"/>
    <d v="2025-02-10T00:00:00"/>
    <n v="75"/>
    <x v="0"/>
    <x v="2"/>
  </r>
  <r>
    <n v="358"/>
    <x v="1"/>
    <n v="0"/>
    <n v="603.85"/>
    <x v="24"/>
    <x v="344"/>
    <x v="1"/>
    <x v="5"/>
    <n v="118.42"/>
    <n v="1"/>
    <x v="2"/>
    <d v="2025-05-09T00:00:00"/>
    <n v="-33"/>
    <x v="1"/>
    <x v="4"/>
  </r>
  <r>
    <n v="359"/>
    <x v="1"/>
    <n v="0"/>
    <n v="590.5"/>
    <x v="37"/>
    <x v="157"/>
    <x v="4"/>
    <x v="4"/>
    <n v="30.83"/>
    <n v="1"/>
    <x v="4"/>
    <d v="2025-04-08T00:00:00"/>
    <n v="10"/>
    <x v="0"/>
    <x v="3"/>
  </r>
  <r>
    <n v="36"/>
    <x v="0"/>
    <n v="0"/>
    <n v="380.74"/>
    <x v="46"/>
    <x v="22"/>
    <x v="4"/>
    <x v="0"/>
    <n v="52.28"/>
    <n v="1"/>
    <x v="3"/>
    <d v="2025-03-15T00:00:00"/>
    <n v="74"/>
    <x v="0"/>
    <x v="1"/>
  </r>
  <r>
    <n v="360"/>
    <x v="1"/>
    <n v="0"/>
    <n v="568.53"/>
    <x v="31"/>
    <x v="345"/>
    <x v="3"/>
    <x v="6"/>
    <n v="63.68"/>
    <n v="1"/>
    <x v="3"/>
    <d v="2025-04-29T00:00:00"/>
    <n v="-5"/>
    <x v="1"/>
    <x v="4"/>
  </r>
  <r>
    <n v="361"/>
    <x v="0"/>
    <n v="0"/>
    <n v="684.03"/>
    <x v="6"/>
    <x v="346"/>
    <x v="5"/>
    <x v="1"/>
    <n v="158.47999999999999"/>
    <n v="1"/>
    <x v="1"/>
    <d v="2025-04-30T00:00:00"/>
    <n v="5"/>
    <x v="0"/>
    <x v="4"/>
  </r>
  <r>
    <n v="362"/>
    <x v="1"/>
    <n v="0"/>
    <n v="514.28"/>
    <x v="21"/>
    <x v="229"/>
    <x v="2"/>
    <x v="5"/>
    <n v="181.56"/>
    <n v="1"/>
    <x v="3"/>
    <d v="2025-02-19T00:00:00"/>
    <n v="95"/>
    <x v="2"/>
    <x v="3"/>
  </r>
  <r>
    <n v="369"/>
    <x v="0"/>
    <n v="0"/>
    <n v="257.37"/>
    <x v="45"/>
    <x v="347"/>
    <x v="4"/>
    <x v="2"/>
    <n v="34.229999999999997"/>
    <n v="1"/>
    <x v="4"/>
    <d v="2025-03-04T00:00:00"/>
    <n v="56"/>
    <x v="0"/>
    <x v="3"/>
  </r>
  <r>
    <n v="37"/>
    <x v="1"/>
    <n v="0"/>
    <n v="715.38"/>
    <x v="13"/>
    <x v="312"/>
    <x v="3"/>
    <x v="2"/>
    <n v="246.68"/>
    <n v="1"/>
    <x v="1"/>
    <d v="2025-03-21T00:00:00"/>
    <n v="32"/>
    <x v="0"/>
    <x v="2"/>
  </r>
  <r>
    <n v="370"/>
    <x v="1"/>
    <n v="0"/>
    <n v="186.88"/>
    <x v="1"/>
    <x v="348"/>
    <x v="0"/>
    <x v="1"/>
    <n v="66.63"/>
    <n v="1"/>
    <x v="3"/>
    <d v="2025-03-12T00:00:00"/>
    <n v="40"/>
    <x v="0"/>
    <x v="1"/>
  </r>
  <r>
    <n v="371"/>
    <x v="0"/>
    <n v="0"/>
    <n v="459.42"/>
    <x v="27"/>
    <x v="349"/>
    <x v="4"/>
    <x v="5"/>
    <n v="78.44"/>
    <n v="1"/>
    <x v="0"/>
    <d v="2025-04-05T00:00:00"/>
    <n v="15"/>
    <x v="0"/>
    <x v="2"/>
  </r>
  <r>
    <n v="375"/>
    <x v="0"/>
    <n v="0"/>
    <n v="420.74"/>
    <x v="32"/>
    <x v="239"/>
    <x v="4"/>
    <x v="1"/>
    <n v="159.14999999999998"/>
    <n v="1"/>
    <x v="1"/>
    <d v="2025-03-06T00:00:00"/>
    <n v="39"/>
    <x v="0"/>
    <x v="0"/>
  </r>
  <r>
    <n v="376"/>
    <x v="1"/>
    <n v="1"/>
    <n v="195.76"/>
    <x v="20"/>
    <x v="149"/>
    <x v="1"/>
    <x v="1"/>
    <n v="15.07"/>
    <n v="1"/>
    <x v="2"/>
    <d v="2025-02-10T00:00:00"/>
    <n v="98"/>
    <x v="2"/>
    <x v="4"/>
  </r>
  <r>
    <n v="377"/>
    <x v="0"/>
    <n v="0"/>
    <n v="346.01"/>
    <x v="29"/>
    <x v="350"/>
    <x v="1"/>
    <x v="0"/>
    <n v="32.21"/>
    <n v="1"/>
    <x v="1"/>
    <d v="2025-05-10T00:00:00"/>
    <n v="4"/>
    <x v="0"/>
    <x v="3"/>
  </r>
  <r>
    <n v="378"/>
    <x v="1"/>
    <n v="0"/>
    <n v="354.21"/>
    <x v="9"/>
    <x v="220"/>
    <x v="4"/>
    <x v="6"/>
    <n v="38.9"/>
    <n v="1"/>
    <x v="0"/>
    <d v="2025-03-02T00:00:00"/>
    <n v="46"/>
    <x v="0"/>
    <x v="4"/>
  </r>
  <r>
    <n v="38"/>
    <x v="0"/>
    <n v="0"/>
    <n v="440.7"/>
    <x v="34"/>
    <x v="351"/>
    <x v="0"/>
    <x v="1"/>
    <n v="134.58000000000001"/>
    <n v="1"/>
    <x v="0"/>
    <d v="2025-04-26T00:00:00"/>
    <n v="30"/>
    <x v="0"/>
    <x v="3"/>
  </r>
  <r>
    <n v="382"/>
    <x v="0"/>
    <n v="0"/>
    <n v="692.47"/>
    <x v="48"/>
    <x v="163"/>
    <x v="3"/>
    <x v="3"/>
    <n v="176.82"/>
    <n v="1"/>
    <x v="2"/>
    <d v="2025-03-17T00:00:00"/>
    <n v="40"/>
    <x v="0"/>
    <x v="1"/>
  </r>
  <r>
    <n v="383"/>
    <x v="1"/>
    <n v="0"/>
    <n v="504.66"/>
    <x v="18"/>
    <x v="352"/>
    <x v="0"/>
    <x v="2"/>
    <n v="59.07"/>
    <n v="1"/>
    <x v="2"/>
    <d v="2025-05-09T00:00:00"/>
    <n v="-24"/>
    <x v="1"/>
    <x v="2"/>
  </r>
  <r>
    <n v="384"/>
    <x v="0"/>
    <n v="0"/>
    <n v="453.66"/>
    <x v="5"/>
    <x v="353"/>
    <x v="5"/>
    <x v="5"/>
    <n v="45.27"/>
    <n v="1"/>
    <x v="1"/>
    <d v="2025-04-11T00:00:00"/>
    <n v="16"/>
    <x v="0"/>
    <x v="3"/>
  </r>
  <r>
    <n v="386"/>
    <x v="1"/>
    <n v="0"/>
    <n v="323.99"/>
    <x v="1"/>
    <x v="354"/>
    <x v="4"/>
    <x v="1"/>
    <n v="41.56"/>
    <n v="1"/>
    <x v="1"/>
    <d v="2025-03-25T00:00:00"/>
    <n v="27"/>
    <x v="0"/>
    <x v="1"/>
  </r>
  <r>
    <n v="387"/>
    <x v="0"/>
    <n v="0"/>
    <n v="362.98"/>
    <x v="27"/>
    <x v="284"/>
    <x v="0"/>
    <x v="5"/>
    <n v="81.88"/>
    <n v="1"/>
    <x v="2"/>
    <d v="2025-02-24T00:00:00"/>
    <n v="55"/>
    <x v="0"/>
    <x v="1"/>
  </r>
  <r>
    <n v="389"/>
    <x v="0"/>
    <n v="0"/>
    <n v="265.11"/>
    <x v="37"/>
    <x v="355"/>
    <x v="1"/>
    <x v="4"/>
    <n v="49.76"/>
    <n v="1"/>
    <x v="4"/>
    <d v="2025-04-23T00:00:00"/>
    <n v="-5"/>
    <x v="1"/>
    <x v="4"/>
  </r>
  <r>
    <n v="39"/>
    <x v="0"/>
    <n v="0"/>
    <n v="628.12"/>
    <x v="29"/>
    <x v="356"/>
    <x v="2"/>
    <x v="0"/>
    <n v="40.119999999999997"/>
    <n v="1"/>
    <x v="3"/>
    <d v="2025-04-14T00:00:00"/>
    <n v="30"/>
    <x v="0"/>
    <x v="0"/>
  </r>
  <r>
    <n v="390"/>
    <x v="1"/>
    <n v="0"/>
    <n v="630.23"/>
    <x v="2"/>
    <x v="68"/>
    <x v="4"/>
    <x v="2"/>
    <n v="135.80000000000001"/>
    <n v="1"/>
    <x v="3"/>
    <d v="2025-02-23T00:00:00"/>
    <n v="86"/>
    <x v="0"/>
    <x v="1"/>
  </r>
  <r>
    <n v="391"/>
    <x v="0"/>
    <n v="0"/>
    <n v="718.22"/>
    <x v="10"/>
    <x v="68"/>
    <x v="4"/>
    <x v="0"/>
    <n v="211.38"/>
    <n v="1"/>
    <x v="3"/>
    <d v="2025-02-23T00:00:00"/>
    <n v="66"/>
    <x v="0"/>
    <x v="0"/>
  </r>
  <r>
    <n v="392"/>
    <x v="0"/>
    <n v="0"/>
    <n v="202.88"/>
    <x v="0"/>
    <x v="357"/>
    <x v="5"/>
    <x v="0"/>
    <n v="46.9"/>
    <n v="1"/>
    <x v="1"/>
    <d v="2025-04-19T00:00:00"/>
    <n v="32"/>
    <x v="0"/>
    <x v="4"/>
  </r>
  <r>
    <n v="394"/>
    <x v="0"/>
    <n v="0"/>
    <n v="456.05"/>
    <x v="40"/>
    <x v="358"/>
    <x v="5"/>
    <x v="5"/>
    <n v="63.22"/>
    <n v="1"/>
    <x v="2"/>
    <d v="2025-02-17T00:00:00"/>
    <n v="118"/>
    <x v="2"/>
    <x v="2"/>
  </r>
  <r>
    <n v="396"/>
    <x v="0"/>
    <n v="0"/>
    <n v="567.23"/>
    <x v="46"/>
    <x v="359"/>
    <x v="4"/>
    <x v="0"/>
    <n v="110.02"/>
    <n v="1"/>
    <x v="2"/>
    <d v="2025-02-06T00:00:00"/>
    <n v="111"/>
    <x v="2"/>
    <x v="4"/>
  </r>
  <r>
    <n v="397"/>
    <x v="0"/>
    <n v="0"/>
    <n v="458.22"/>
    <x v="45"/>
    <x v="360"/>
    <x v="0"/>
    <x v="2"/>
    <n v="50.55"/>
    <n v="1"/>
    <x v="3"/>
    <d v="2025-04-17T00:00:00"/>
    <n v="12"/>
    <x v="0"/>
    <x v="0"/>
  </r>
  <r>
    <n v="399"/>
    <x v="1"/>
    <n v="0"/>
    <n v="392.48"/>
    <x v="3"/>
    <x v="97"/>
    <x v="2"/>
    <x v="3"/>
    <n v="105.2"/>
    <n v="1"/>
    <x v="4"/>
    <d v="2025-03-08T00:00:00"/>
    <n v="28"/>
    <x v="0"/>
    <x v="1"/>
  </r>
  <r>
    <n v="40"/>
    <x v="1"/>
    <n v="1"/>
    <n v="233.35"/>
    <x v="28"/>
    <x v="361"/>
    <x v="4"/>
    <x v="2"/>
    <n v="36.979999999999997"/>
    <n v="1"/>
    <x v="2"/>
    <d v="2025-02-15T00:00:00"/>
    <n v="87"/>
    <x v="0"/>
    <x v="1"/>
  </r>
  <r>
    <n v="400"/>
    <x v="1"/>
    <n v="0"/>
    <n v="487.91"/>
    <x v="1"/>
    <x v="362"/>
    <x v="5"/>
    <x v="1"/>
    <n v="99.52"/>
    <n v="1"/>
    <x v="2"/>
    <d v="2025-03-24T00:00:00"/>
    <n v="28"/>
    <x v="0"/>
    <x v="4"/>
  </r>
  <r>
    <n v="401"/>
    <x v="0"/>
    <n v="0"/>
    <n v="523.89"/>
    <x v="18"/>
    <x v="363"/>
    <x v="0"/>
    <x v="2"/>
    <n v="222.84"/>
    <n v="1"/>
    <x v="2"/>
    <d v="2025-02-08T00:00:00"/>
    <n v="66"/>
    <x v="0"/>
    <x v="4"/>
  </r>
  <r>
    <n v="402"/>
    <x v="0"/>
    <n v="0"/>
    <n v="394.47"/>
    <x v="28"/>
    <x v="364"/>
    <x v="0"/>
    <x v="2"/>
    <n v="58.11"/>
    <n v="1"/>
    <x v="3"/>
    <d v="2025-03-24T00:00:00"/>
    <n v="50"/>
    <x v="0"/>
    <x v="4"/>
  </r>
  <r>
    <n v="403"/>
    <x v="1"/>
    <n v="0"/>
    <n v="336.24"/>
    <x v="5"/>
    <x v="177"/>
    <x v="1"/>
    <x v="5"/>
    <n v="44.06"/>
    <n v="1"/>
    <x v="0"/>
    <d v="2025-03-03T00:00:00"/>
    <n v="55"/>
    <x v="0"/>
    <x v="4"/>
  </r>
  <r>
    <n v="404"/>
    <x v="0"/>
    <n v="0"/>
    <n v="225.88"/>
    <x v="34"/>
    <x v="258"/>
    <x v="5"/>
    <x v="1"/>
    <n v="60.31"/>
    <n v="1"/>
    <x v="3"/>
    <d v="2025-01-11T00:00:00"/>
    <n v="135"/>
    <x v="2"/>
    <x v="0"/>
  </r>
  <r>
    <n v="405"/>
    <x v="0"/>
    <n v="0"/>
    <n v="455.67"/>
    <x v="2"/>
    <x v="365"/>
    <x v="4"/>
    <x v="2"/>
    <n v="100.68"/>
    <n v="1"/>
    <x v="3"/>
    <d v="2025-03-16T00:00:00"/>
    <n v="65"/>
    <x v="0"/>
    <x v="0"/>
  </r>
  <r>
    <n v="406"/>
    <x v="0"/>
    <n v="0"/>
    <n v="566.89"/>
    <x v="29"/>
    <x v="366"/>
    <x v="2"/>
    <x v="0"/>
    <n v="63.68"/>
    <n v="1"/>
    <x v="2"/>
    <d v="2025-03-12T00:00:00"/>
    <n v="63"/>
    <x v="0"/>
    <x v="4"/>
  </r>
  <r>
    <n v="407"/>
    <x v="1"/>
    <n v="0"/>
    <n v="560"/>
    <x v="1"/>
    <x v="367"/>
    <x v="1"/>
    <x v="1"/>
    <n v="114.62"/>
    <n v="1"/>
    <x v="1"/>
    <d v="2025-06-11T00:00:00"/>
    <n v="-51"/>
    <x v="1"/>
    <x v="0"/>
  </r>
  <r>
    <n v="408"/>
    <x v="0"/>
    <n v="0"/>
    <n v="448.55"/>
    <x v="3"/>
    <x v="368"/>
    <x v="5"/>
    <x v="3"/>
    <n v="79.38"/>
    <n v="1"/>
    <x v="2"/>
    <d v="2025-05-16T00:00:00"/>
    <n v="-41"/>
    <x v="1"/>
    <x v="3"/>
  </r>
  <r>
    <n v="41"/>
    <x v="0"/>
    <n v="0"/>
    <n v="481.09"/>
    <x v="32"/>
    <x v="256"/>
    <x v="5"/>
    <x v="1"/>
    <n v="54.83"/>
    <n v="1"/>
    <x v="1"/>
    <d v="2025-03-19T00:00:00"/>
    <n v="26"/>
    <x v="0"/>
    <x v="0"/>
  </r>
  <r>
    <n v="410"/>
    <x v="0"/>
    <n v="0"/>
    <n v="816.6"/>
    <x v="47"/>
    <x v="369"/>
    <x v="3"/>
    <x v="4"/>
    <n v="295.35000000000002"/>
    <n v="1"/>
    <x v="2"/>
    <d v="2025-03-28T00:00:00"/>
    <n v="56"/>
    <x v="0"/>
    <x v="2"/>
  </r>
  <r>
    <n v="411"/>
    <x v="1"/>
    <n v="1"/>
    <n v="393.19"/>
    <x v="28"/>
    <x v="370"/>
    <x v="1"/>
    <x v="2"/>
    <n v="73.92"/>
    <n v="1"/>
    <x v="4"/>
    <d v="2025-04-12T00:00:00"/>
    <n v="31"/>
    <x v="0"/>
    <x v="1"/>
  </r>
  <r>
    <n v="413"/>
    <x v="0"/>
    <n v="0"/>
    <n v="669.28"/>
    <x v="44"/>
    <x v="371"/>
    <x v="1"/>
    <x v="2"/>
    <n v="259.36"/>
    <n v="1"/>
    <x v="4"/>
    <d v="2025-05-21T00:00:00"/>
    <n v="27"/>
    <x v="0"/>
    <x v="2"/>
  </r>
  <r>
    <n v="414"/>
    <x v="1"/>
    <n v="0"/>
    <n v="492.17"/>
    <x v="16"/>
    <x v="372"/>
    <x v="1"/>
    <x v="3"/>
    <n v="95.32"/>
    <n v="1"/>
    <x v="0"/>
    <d v="2025-03-26T00:00:00"/>
    <n v="80"/>
    <x v="0"/>
    <x v="3"/>
  </r>
  <r>
    <n v="416"/>
    <x v="1"/>
    <n v="0"/>
    <n v="357.92"/>
    <x v="24"/>
    <x v="373"/>
    <x v="4"/>
    <x v="5"/>
    <n v="115.02"/>
    <n v="1"/>
    <x v="1"/>
    <d v="2025-02-16T00:00:00"/>
    <n v="49"/>
    <x v="0"/>
    <x v="0"/>
  </r>
  <r>
    <n v="418"/>
    <x v="1"/>
    <n v="0"/>
    <n v="211.8"/>
    <x v="15"/>
    <x v="374"/>
    <x v="1"/>
    <x v="2"/>
    <n v="62.17"/>
    <n v="1"/>
    <x v="4"/>
    <d v="2025-04-22T00:00:00"/>
    <n v="14"/>
    <x v="0"/>
    <x v="3"/>
  </r>
  <r>
    <n v="419"/>
    <x v="0"/>
    <n v="0"/>
    <n v="673.59"/>
    <x v="14"/>
    <x v="375"/>
    <x v="5"/>
    <x v="6"/>
    <n v="169.24"/>
    <n v="1"/>
    <x v="3"/>
    <d v="2025-03-03T00:00:00"/>
    <n v="80"/>
    <x v="0"/>
    <x v="3"/>
  </r>
  <r>
    <n v="42"/>
    <x v="1"/>
    <n v="0"/>
    <n v="186.91"/>
    <x v="25"/>
    <x v="376"/>
    <x v="1"/>
    <x v="3"/>
    <n v="67.73"/>
    <n v="1"/>
    <x v="4"/>
    <d v="2025-03-20T00:00:00"/>
    <n v="72"/>
    <x v="0"/>
    <x v="1"/>
  </r>
  <r>
    <n v="420"/>
    <x v="1"/>
    <n v="0"/>
    <n v="503.76"/>
    <x v="23"/>
    <x v="377"/>
    <x v="0"/>
    <x v="1"/>
    <n v="74.260000000000005"/>
    <n v="1"/>
    <x v="4"/>
    <d v="2025-03-08T00:00:00"/>
    <n v="100"/>
    <x v="2"/>
    <x v="3"/>
  </r>
  <r>
    <n v="421"/>
    <x v="0"/>
    <n v="0"/>
    <n v="310.51"/>
    <x v="20"/>
    <x v="378"/>
    <x v="0"/>
    <x v="1"/>
    <n v="42.24"/>
    <n v="1"/>
    <x v="0"/>
    <d v="2025-02-26T00:00:00"/>
    <n v="82"/>
    <x v="0"/>
    <x v="2"/>
  </r>
  <r>
    <n v="423"/>
    <x v="1"/>
    <n v="1"/>
    <n v="238.34"/>
    <x v="28"/>
    <x v="379"/>
    <x v="2"/>
    <x v="2"/>
    <n v="45.68"/>
    <n v="1"/>
    <x v="2"/>
    <d v="2025-04-24T00:00:00"/>
    <n v="19"/>
    <x v="0"/>
    <x v="3"/>
  </r>
  <r>
    <n v="424"/>
    <x v="1"/>
    <n v="0"/>
    <n v="397.38"/>
    <x v="14"/>
    <x v="230"/>
    <x v="2"/>
    <x v="6"/>
    <n v="69.819999999999993"/>
    <n v="1"/>
    <x v="1"/>
    <d v="2025-04-02T00:00:00"/>
    <n v="50"/>
    <x v="0"/>
    <x v="2"/>
  </r>
  <r>
    <n v="425"/>
    <x v="0"/>
    <n v="0"/>
    <n v="341.94"/>
    <x v="7"/>
    <x v="380"/>
    <x v="0"/>
    <x v="0"/>
    <n v="117.53999999999999"/>
    <n v="1"/>
    <x v="2"/>
    <d v="2025-04-15T00:00:00"/>
    <n v="1"/>
    <x v="0"/>
    <x v="3"/>
  </r>
  <r>
    <n v="426"/>
    <x v="0"/>
    <n v="0"/>
    <n v="605.80999999999995"/>
    <x v="40"/>
    <x v="381"/>
    <x v="3"/>
    <x v="5"/>
    <n v="217.74"/>
    <n v="1"/>
    <x v="3"/>
    <d v="2025-06-03T00:00:00"/>
    <n v="12"/>
    <x v="0"/>
    <x v="4"/>
  </r>
  <r>
    <n v="427"/>
    <x v="1"/>
    <n v="0"/>
    <n v="525.37"/>
    <x v="44"/>
    <x v="314"/>
    <x v="0"/>
    <x v="2"/>
    <n v="41.51"/>
    <n v="1"/>
    <x v="3"/>
    <d v="2025-04-19T00:00:00"/>
    <n v="59"/>
    <x v="0"/>
    <x v="3"/>
  </r>
  <r>
    <n v="428"/>
    <x v="1"/>
    <n v="1"/>
    <n v="70.69"/>
    <x v="29"/>
    <x v="308"/>
    <x v="4"/>
    <x v="0"/>
    <n v="37.06"/>
    <n v="1"/>
    <x v="4"/>
    <d v="2025-03-27T00:00:00"/>
    <n v="48"/>
    <x v="0"/>
    <x v="1"/>
  </r>
  <r>
    <n v="429"/>
    <x v="1"/>
    <n v="0"/>
    <n v="554.35"/>
    <x v="16"/>
    <x v="382"/>
    <x v="0"/>
    <x v="3"/>
    <n v="51"/>
    <n v="1"/>
    <x v="2"/>
    <d v="2025-04-10T00:00:00"/>
    <n v="65"/>
    <x v="0"/>
    <x v="2"/>
  </r>
  <r>
    <n v="43"/>
    <x v="1"/>
    <n v="0"/>
    <n v="478.95"/>
    <x v="18"/>
    <x v="210"/>
    <x v="4"/>
    <x v="2"/>
    <n v="61.6"/>
    <n v="1"/>
    <x v="0"/>
    <d v="2025-04-10T00:00:00"/>
    <n v="5"/>
    <x v="0"/>
    <x v="4"/>
  </r>
  <r>
    <n v="430"/>
    <x v="0"/>
    <n v="0"/>
    <n v="346.27"/>
    <x v="37"/>
    <x v="383"/>
    <x v="4"/>
    <x v="4"/>
    <n v="55.91"/>
    <n v="1"/>
    <x v="0"/>
    <d v="2025-05-05T00:00:00"/>
    <n v="-17"/>
    <x v="1"/>
    <x v="1"/>
  </r>
  <r>
    <n v="432"/>
    <x v="0"/>
    <n v="0"/>
    <n v="432.21"/>
    <x v="27"/>
    <x v="384"/>
    <x v="1"/>
    <x v="5"/>
    <n v="44.08"/>
    <n v="1"/>
    <x v="2"/>
    <d v="2025-01-22T00:00:00"/>
    <n v="88"/>
    <x v="0"/>
    <x v="2"/>
  </r>
  <r>
    <n v="433"/>
    <x v="1"/>
    <n v="0"/>
    <n v="647.79999999999995"/>
    <x v="38"/>
    <x v="33"/>
    <x v="0"/>
    <x v="4"/>
    <n v="45.75"/>
    <n v="1"/>
    <x v="3"/>
    <d v="2025-02-12T00:00:00"/>
    <n v="107"/>
    <x v="2"/>
    <x v="0"/>
  </r>
  <r>
    <n v="435"/>
    <x v="1"/>
    <n v="0"/>
    <n v="300.68"/>
    <x v="5"/>
    <x v="14"/>
    <x v="5"/>
    <x v="5"/>
    <n v="59.32"/>
    <n v="1"/>
    <x v="4"/>
    <d v="2025-05-12T00:00:00"/>
    <n v="-15"/>
    <x v="1"/>
    <x v="4"/>
  </r>
  <r>
    <n v="436"/>
    <x v="1"/>
    <n v="0"/>
    <n v="345.59"/>
    <x v="33"/>
    <x v="385"/>
    <x v="0"/>
    <x v="1"/>
    <n v="62.8"/>
    <n v="1"/>
    <x v="0"/>
    <d v="2025-05-09T00:00:00"/>
    <n v="-11"/>
    <x v="1"/>
    <x v="0"/>
  </r>
  <r>
    <n v="44"/>
    <x v="0"/>
    <n v="0"/>
    <n v="373.27"/>
    <x v="29"/>
    <x v="386"/>
    <x v="0"/>
    <x v="0"/>
    <n v="40.75"/>
    <n v="1"/>
    <x v="4"/>
    <d v="2025-01-18T00:00:00"/>
    <n v="116"/>
    <x v="2"/>
    <x v="0"/>
  </r>
  <r>
    <n v="440"/>
    <x v="1"/>
    <n v="1"/>
    <n v="358.65"/>
    <x v="42"/>
    <x v="387"/>
    <x v="2"/>
    <x v="6"/>
    <n v="52.27"/>
    <n v="1"/>
    <x v="2"/>
    <d v="2025-04-05T00:00:00"/>
    <n v="40"/>
    <x v="0"/>
    <x v="1"/>
  </r>
  <r>
    <n v="441"/>
    <x v="0"/>
    <n v="0"/>
    <n v="239.84"/>
    <x v="33"/>
    <x v="388"/>
    <x v="1"/>
    <x v="1"/>
    <n v="40.25"/>
    <n v="1"/>
    <x v="4"/>
    <d v="2025-04-10T00:00:00"/>
    <n v="18"/>
    <x v="0"/>
    <x v="4"/>
  </r>
  <r>
    <n v="442"/>
    <x v="0"/>
    <n v="1"/>
    <n v="339.49"/>
    <x v="4"/>
    <x v="389"/>
    <x v="1"/>
    <x v="4"/>
    <n v="27.37"/>
    <n v="1"/>
    <x v="1"/>
    <d v="2025-03-29T00:00:00"/>
    <n v="69"/>
    <x v="0"/>
    <x v="4"/>
  </r>
  <r>
    <n v="444"/>
    <x v="0"/>
    <n v="0"/>
    <n v="487.51"/>
    <x v="20"/>
    <x v="390"/>
    <x v="5"/>
    <x v="1"/>
    <n v="115.96"/>
    <n v="1"/>
    <x v="1"/>
    <d v="2025-03-28T00:00:00"/>
    <n v="52"/>
    <x v="0"/>
    <x v="3"/>
  </r>
  <r>
    <n v="445"/>
    <x v="0"/>
    <n v="1"/>
    <n v="195.86"/>
    <x v="15"/>
    <x v="303"/>
    <x v="2"/>
    <x v="2"/>
    <n v="25.15"/>
    <n v="1"/>
    <x v="1"/>
    <d v="2025-03-24T00:00:00"/>
    <n v="43"/>
    <x v="0"/>
    <x v="3"/>
  </r>
  <r>
    <n v="447"/>
    <x v="1"/>
    <n v="0"/>
    <n v="433.9"/>
    <x v="30"/>
    <x v="4"/>
    <x v="2"/>
    <x v="3"/>
    <n v="38.06"/>
    <n v="1"/>
    <x v="3"/>
    <d v="2025-03-09T00:00:00"/>
    <n v="41"/>
    <x v="0"/>
    <x v="1"/>
  </r>
  <r>
    <n v="448"/>
    <x v="1"/>
    <n v="0"/>
    <n v="319.3"/>
    <x v="45"/>
    <x v="391"/>
    <x v="5"/>
    <x v="2"/>
    <n v="42.66"/>
    <n v="1"/>
    <x v="0"/>
    <d v="2025-05-19T00:00:00"/>
    <n v="-20"/>
    <x v="1"/>
    <x v="1"/>
  </r>
  <r>
    <n v="449"/>
    <x v="0"/>
    <n v="0"/>
    <n v="274.72000000000003"/>
    <x v="47"/>
    <x v="125"/>
    <x v="3"/>
    <x v="4"/>
    <n v="42.14"/>
    <n v="1"/>
    <x v="0"/>
    <d v="2025-03-28T00:00:00"/>
    <n v="56"/>
    <x v="0"/>
    <x v="3"/>
  </r>
  <r>
    <n v="450"/>
    <x v="1"/>
    <n v="0"/>
    <n v="540.03"/>
    <x v="10"/>
    <x v="44"/>
    <x v="0"/>
    <x v="0"/>
    <n v="66.52"/>
    <n v="1"/>
    <x v="3"/>
    <d v="2025-01-20T00:00:00"/>
    <n v="100"/>
    <x v="2"/>
    <x v="0"/>
  </r>
  <r>
    <n v="451"/>
    <x v="0"/>
    <n v="0"/>
    <n v="485.52"/>
    <x v="18"/>
    <x v="392"/>
    <x v="4"/>
    <x v="2"/>
    <n v="47.47"/>
    <n v="1"/>
    <x v="0"/>
    <d v="2025-03-29T00:00:00"/>
    <n v="17"/>
    <x v="0"/>
    <x v="1"/>
  </r>
  <r>
    <n v="452"/>
    <x v="1"/>
    <n v="0"/>
    <n v="341.2"/>
    <x v="36"/>
    <x v="393"/>
    <x v="3"/>
    <x v="4"/>
    <n v="87.28"/>
    <n v="1"/>
    <x v="3"/>
    <d v="2025-03-24T00:00:00"/>
    <n v="32"/>
    <x v="0"/>
    <x v="3"/>
  </r>
  <r>
    <n v="458"/>
    <x v="1"/>
    <n v="0"/>
    <n v="670.95"/>
    <x v="2"/>
    <x v="14"/>
    <x v="5"/>
    <x v="2"/>
    <n v="173.6"/>
    <n v="1"/>
    <x v="4"/>
    <d v="2025-05-12T00:00:00"/>
    <n v="8"/>
    <x v="0"/>
    <x v="0"/>
  </r>
  <r>
    <n v="46"/>
    <x v="1"/>
    <n v="0"/>
    <n v="133.43"/>
    <x v="16"/>
    <x v="234"/>
    <x v="0"/>
    <x v="3"/>
    <n v="44.77"/>
    <n v="1"/>
    <x v="2"/>
    <d v="2025-03-28T00:00:00"/>
    <n v="78"/>
    <x v="0"/>
    <x v="3"/>
  </r>
  <r>
    <n v="461"/>
    <x v="0"/>
    <n v="0"/>
    <n v="439.03"/>
    <x v="12"/>
    <x v="225"/>
    <x v="0"/>
    <x v="2"/>
    <n v="51.8"/>
    <n v="1"/>
    <x v="2"/>
    <d v="2025-02-17T00:00:00"/>
    <n v="99"/>
    <x v="2"/>
    <x v="1"/>
  </r>
  <r>
    <n v="463"/>
    <x v="1"/>
    <n v="0"/>
    <n v="418.95"/>
    <x v="22"/>
    <x v="149"/>
    <x v="1"/>
    <x v="4"/>
    <n v="82.52"/>
    <n v="1"/>
    <x v="2"/>
    <d v="2025-02-10T00:00:00"/>
    <n v="123"/>
    <x v="2"/>
    <x v="1"/>
  </r>
  <r>
    <n v="465"/>
    <x v="0"/>
    <n v="0"/>
    <n v="572.22"/>
    <x v="16"/>
    <x v="217"/>
    <x v="4"/>
    <x v="3"/>
    <n v="87.28"/>
    <n v="1"/>
    <x v="2"/>
    <d v="2025-03-03T00:00:00"/>
    <n v="103"/>
    <x v="2"/>
    <x v="3"/>
  </r>
  <r>
    <n v="466"/>
    <x v="0"/>
    <n v="0"/>
    <n v="573.78"/>
    <x v="9"/>
    <x v="394"/>
    <x v="5"/>
    <x v="6"/>
    <n v="64.11"/>
    <n v="1"/>
    <x v="1"/>
    <d v="2025-04-01T00:00:00"/>
    <n v="16"/>
    <x v="0"/>
    <x v="1"/>
  </r>
  <r>
    <n v="467"/>
    <x v="1"/>
    <n v="0"/>
    <n v="425.23"/>
    <x v="27"/>
    <x v="102"/>
    <x v="1"/>
    <x v="5"/>
    <n v="31.15"/>
    <n v="1"/>
    <x v="3"/>
    <d v="2025-01-30T00:00:00"/>
    <n v="80"/>
    <x v="0"/>
    <x v="1"/>
  </r>
  <r>
    <n v="468"/>
    <x v="1"/>
    <n v="0"/>
    <n v="334.88"/>
    <x v="6"/>
    <x v="395"/>
    <x v="0"/>
    <x v="1"/>
    <n v="40.99"/>
    <n v="1"/>
    <x v="4"/>
    <d v="2025-03-01T00:00:00"/>
    <n v="65"/>
    <x v="0"/>
    <x v="4"/>
  </r>
  <r>
    <n v="469"/>
    <x v="0"/>
    <n v="0"/>
    <n v="316.23"/>
    <x v="21"/>
    <x v="396"/>
    <x v="1"/>
    <x v="5"/>
    <n v="39.090000000000003"/>
    <n v="1"/>
    <x v="0"/>
    <d v="2025-02-13T00:00:00"/>
    <n v="101"/>
    <x v="2"/>
    <x v="3"/>
  </r>
  <r>
    <n v="470"/>
    <x v="1"/>
    <n v="0"/>
    <n v="526.46"/>
    <x v="10"/>
    <x v="112"/>
    <x v="0"/>
    <x v="0"/>
    <n v="80.5"/>
    <n v="1"/>
    <x v="0"/>
    <d v="2025-04-18T00:00:00"/>
    <n v="12"/>
    <x v="0"/>
    <x v="4"/>
  </r>
  <r>
    <n v="473"/>
    <x v="0"/>
    <n v="0"/>
    <n v="270.72000000000003"/>
    <x v="10"/>
    <x v="397"/>
    <x v="3"/>
    <x v="0"/>
    <n v="71.150000000000006"/>
    <n v="1"/>
    <x v="0"/>
    <d v="2025-01-29T00:00:00"/>
    <n v="91"/>
    <x v="2"/>
    <x v="1"/>
  </r>
  <r>
    <n v="474"/>
    <x v="1"/>
    <n v="0"/>
    <n v="549.22"/>
    <x v="32"/>
    <x v="21"/>
    <x v="4"/>
    <x v="1"/>
    <n v="208.4"/>
    <n v="1"/>
    <x v="3"/>
    <d v="2025-03-23T00:00:00"/>
    <n v="22"/>
    <x v="0"/>
    <x v="3"/>
  </r>
  <r>
    <n v="475"/>
    <x v="1"/>
    <n v="0"/>
    <n v="513.94000000000005"/>
    <x v="33"/>
    <x v="398"/>
    <x v="1"/>
    <x v="1"/>
    <n v="178.74"/>
    <n v="1"/>
    <x v="2"/>
    <d v="2025-04-21T00:00:00"/>
    <n v="7"/>
    <x v="0"/>
    <x v="4"/>
  </r>
  <r>
    <n v="476"/>
    <x v="1"/>
    <n v="1"/>
    <n v="302.38"/>
    <x v="17"/>
    <x v="399"/>
    <x v="0"/>
    <x v="3"/>
    <n v="57.38"/>
    <n v="1"/>
    <x v="4"/>
    <d v="2025-04-18T00:00:00"/>
    <n v="29"/>
    <x v="0"/>
    <x v="4"/>
  </r>
  <r>
    <n v="478"/>
    <x v="1"/>
    <n v="0"/>
    <n v="162.44"/>
    <x v="32"/>
    <x v="386"/>
    <x v="0"/>
    <x v="1"/>
    <n v="78.52"/>
    <n v="1"/>
    <x v="4"/>
    <d v="2025-01-18T00:00:00"/>
    <n v="86"/>
    <x v="0"/>
    <x v="4"/>
  </r>
  <r>
    <n v="479"/>
    <x v="0"/>
    <n v="0"/>
    <n v="413.62"/>
    <x v="2"/>
    <x v="400"/>
    <x v="1"/>
    <x v="2"/>
    <n v="104.2"/>
    <n v="1"/>
    <x v="4"/>
    <d v="2025-02-13T00:00:00"/>
    <n v="96"/>
    <x v="2"/>
    <x v="3"/>
  </r>
  <r>
    <n v="480"/>
    <x v="0"/>
    <n v="0"/>
    <n v="821.72"/>
    <x v="31"/>
    <x v="401"/>
    <x v="5"/>
    <x v="6"/>
    <n v="190.92"/>
    <n v="1"/>
    <x v="2"/>
    <d v="2025-04-07T00:00:00"/>
    <n v="17"/>
    <x v="0"/>
    <x v="2"/>
  </r>
  <r>
    <n v="482"/>
    <x v="1"/>
    <n v="0"/>
    <n v="306.89999999999998"/>
    <x v="8"/>
    <x v="402"/>
    <x v="5"/>
    <x v="3"/>
    <n v="70.56"/>
    <n v="1"/>
    <x v="0"/>
    <d v="2025-05-25T00:00:00"/>
    <n v="-1"/>
    <x v="1"/>
    <x v="3"/>
  </r>
  <r>
    <n v="483"/>
    <x v="0"/>
    <n v="1"/>
    <n v="358.54"/>
    <x v="4"/>
    <x v="115"/>
    <x v="0"/>
    <x v="4"/>
    <n v="46.9"/>
    <n v="1"/>
    <x v="2"/>
    <d v="2025-05-22T00:00:00"/>
    <n v="15"/>
    <x v="0"/>
    <x v="0"/>
  </r>
  <r>
    <n v="484"/>
    <x v="1"/>
    <n v="0"/>
    <n v="209.26"/>
    <x v="48"/>
    <x v="403"/>
    <x v="1"/>
    <x v="3"/>
    <n v="43.92"/>
    <n v="1"/>
    <x v="4"/>
    <d v="2025-03-19T00:00:00"/>
    <n v="38"/>
    <x v="0"/>
    <x v="0"/>
  </r>
  <r>
    <n v="485"/>
    <x v="0"/>
    <n v="0"/>
    <n v="225.79"/>
    <x v="22"/>
    <x v="34"/>
    <x v="1"/>
    <x v="4"/>
    <n v="33.39"/>
    <n v="1"/>
    <x v="0"/>
    <d v="2025-04-30T00:00:00"/>
    <n v="44"/>
    <x v="0"/>
    <x v="1"/>
  </r>
  <r>
    <n v="486"/>
    <x v="1"/>
    <n v="0"/>
    <n v="291.32"/>
    <x v="30"/>
    <x v="404"/>
    <x v="3"/>
    <x v="3"/>
    <n v="60.89"/>
    <n v="1"/>
    <x v="1"/>
    <d v="2025-03-27T00:00:00"/>
    <n v="23"/>
    <x v="0"/>
    <x v="0"/>
  </r>
  <r>
    <n v="488"/>
    <x v="0"/>
    <n v="0"/>
    <n v="479.79"/>
    <x v="42"/>
    <x v="300"/>
    <x v="2"/>
    <x v="6"/>
    <n v="106.68"/>
    <n v="1"/>
    <x v="4"/>
    <d v="2025-03-10T00:00:00"/>
    <n v="66"/>
    <x v="0"/>
    <x v="2"/>
  </r>
  <r>
    <n v="489"/>
    <x v="0"/>
    <n v="0"/>
    <n v="378.07"/>
    <x v="22"/>
    <x v="405"/>
    <x v="5"/>
    <x v="4"/>
    <n v="47.91"/>
    <n v="1"/>
    <x v="3"/>
    <d v="2025-03-13T00:00:00"/>
    <n v="92"/>
    <x v="2"/>
    <x v="4"/>
  </r>
  <r>
    <n v="490"/>
    <x v="1"/>
    <n v="0"/>
    <n v="454.26"/>
    <x v="8"/>
    <x v="338"/>
    <x v="2"/>
    <x v="3"/>
    <n v="31.48"/>
    <n v="1"/>
    <x v="2"/>
    <d v="2025-02-24T00:00:00"/>
    <n v="89"/>
    <x v="0"/>
    <x v="4"/>
  </r>
  <r>
    <n v="491"/>
    <x v="0"/>
    <n v="0"/>
    <n v="560.98"/>
    <x v="47"/>
    <x v="276"/>
    <x v="5"/>
    <x v="4"/>
    <n v="64.14"/>
    <n v="1"/>
    <x v="0"/>
    <d v="2025-02-25T00:00:00"/>
    <n v="87"/>
    <x v="0"/>
    <x v="2"/>
  </r>
  <r>
    <n v="495"/>
    <x v="0"/>
    <n v="0"/>
    <n v="780.29"/>
    <x v="45"/>
    <x v="176"/>
    <x v="3"/>
    <x v="2"/>
    <n v="217.74"/>
    <n v="1"/>
    <x v="2"/>
    <d v="2025-03-25T00:00:00"/>
    <n v="35"/>
    <x v="0"/>
    <x v="4"/>
  </r>
  <r>
    <n v="497"/>
    <x v="1"/>
    <n v="1"/>
    <n v="322.48"/>
    <x v="28"/>
    <x v="406"/>
    <x v="2"/>
    <x v="2"/>
    <n v="31.34"/>
    <n v="1"/>
    <x v="0"/>
    <d v="2025-04-12T00:00:00"/>
    <n v="31"/>
    <x v="0"/>
    <x v="3"/>
  </r>
  <r>
    <n v="498"/>
    <x v="0"/>
    <n v="0"/>
    <n v="509.91"/>
    <x v="21"/>
    <x v="407"/>
    <x v="3"/>
    <x v="5"/>
    <n v="88.64"/>
    <n v="1"/>
    <x v="1"/>
    <d v="2025-03-07T00:00:00"/>
    <n v="79"/>
    <x v="0"/>
    <x v="0"/>
  </r>
  <r>
    <n v="500"/>
    <x v="0"/>
    <n v="0"/>
    <n v="680.33"/>
    <x v="48"/>
    <x v="165"/>
    <x v="1"/>
    <x v="3"/>
    <n v="155.10000000000002"/>
    <n v="1"/>
    <x v="2"/>
    <d v="2025-02-19T00:00:00"/>
    <n v="66"/>
    <x v="0"/>
    <x v="2"/>
  </r>
  <r>
    <n v="503"/>
    <x v="0"/>
    <n v="0"/>
    <n v="297.86"/>
    <x v="14"/>
    <x v="408"/>
    <x v="0"/>
    <x v="6"/>
    <n v="30.26"/>
    <n v="1"/>
    <x v="4"/>
    <d v="2025-04-20T00:00:00"/>
    <n v="32"/>
    <x v="0"/>
    <x v="3"/>
  </r>
  <r>
    <n v="504"/>
    <x v="1"/>
    <n v="0"/>
    <n v="458.7"/>
    <x v="41"/>
    <x v="409"/>
    <x v="1"/>
    <x v="0"/>
    <n v="56.7"/>
    <n v="1"/>
    <x v="2"/>
    <d v="2025-05-13T00:00:00"/>
    <n v="22"/>
    <x v="0"/>
    <x v="3"/>
  </r>
  <r>
    <n v="505"/>
    <x v="1"/>
    <n v="0"/>
    <n v="492.34"/>
    <x v="47"/>
    <x v="155"/>
    <x v="0"/>
    <x v="4"/>
    <n v="116.5"/>
    <n v="1"/>
    <x v="3"/>
    <d v="2025-03-12T00:00:00"/>
    <n v="72"/>
    <x v="0"/>
    <x v="4"/>
  </r>
  <r>
    <n v="506"/>
    <x v="0"/>
    <n v="0"/>
    <n v="570.95000000000005"/>
    <x v="49"/>
    <x v="106"/>
    <x v="1"/>
    <x v="0"/>
    <n v="84.28"/>
    <n v="1"/>
    <x v="1"/>
    <d v="2025-03-25T00:00:00"/>
    <n v="29"/>
    <x v="0"/>
    <x v="3"/>
  </r>
  <r>
    <n v="509"/>
    <x v="0"/>
    <n v="0"/>
    <n v="253.64"/>
    <x v="42"/>
    <x v="250"/>
    <x v="5"/>
    <x v="6"/>
    <n v="60.89"/>
    <n v="1"/>
    <x v="3"/>
    <d v="2025-03-08T00:00:00"/>
    <n v="68"/>
    <x v="0"/>
    <x v="0"/>
  </r>
  <r>
    <n v="510"/>
    <x v="0"/>
    <n v="0"/>
    <n v="227.01"/>
    <x v="10"/>
    <x v="89"/>
    <x v="1"/>
    <x v="0"/>
    <n v="60.83"/>
    <n v="1"/>
    <x v="1"/>
    <d v="2025-03-16T00:00:00"/>
    <n v="45"/>
    <x v="0"/>
    <x v="4"/>
  </r>
  <r>
    <n v="511"/>
    <x v="0"/>
    <n v="0"/>
    <n v="515.44000000000005"/>
    <x v="50"/>
    <x v="410"/>
    <x v="3"/>
    <x v="4"/>
    <n v="117.60000000000001"/>
    <n v="1"/>
    <x v="3"/>
    <d v="2025-01-20T00:00:00"/>
    <n v="74"/>
    <x v="0"/>
    <x v="3"/>
  </r>
  <r>
    <n v="512"/>
    <x v="1"/>
    <n v="0"/>
    <n v="412.13"/>
    <x v="24"/>
    <x v="300"/>
    <x v="2"/>
    <x v="5"/>
    <n v="107.48"/>
    <n v="1"/>
    <x v="4"/>
    <d v="2025-03-10T00:00:00"/>
    <n v="27"/>
    <x v="0"/>
    <x v="2"/>
  </r>
  <r>
    <n v="513"/>
    <x v="0"/>
    <n v="0"/>
    <n v="441.25"/>
    <x v="16"/>
    <x v="64"/>
    <x v="0"/>
    <x v="3"/>
    <n v="119.84"/>
    <n v="1"/>
    <x v="2"/>
    <d v="2025-03-28T00:00:00"/>
    <n v="78"/>
    <x v="0"/>
    <x v="0"/>
  </r>
  <r>
    <n v="514"/>
    <x v="1"/>
    <n v="0"/>
    <n v="599.54"/>
    <x v="44"/>
    <x v="363"/>
    <x v="0"/>
    <x v="2"/>
    <n v="91.46"/>
    <n v="1"/>
    <x v="2"/>
    <d v="2025-02-08T00:00:00"/>
    <n v="129"/>
    <x v="2"/>
    <x v="0"/>
  </r>
  <r>
    <n v="515"/>
    <x v="0"/>
    <n v="0"/>
    <n v="627.9"/>
    <x v="2"/>
    <x v="411"/>
    <x v="1"/>
    <x v="2"/>
    <n v="157.94999999999999"/>
    <n v="1"/>
    <x v="1"/>
    <d v="2025-04-19T00:00:00"/>
    <n v="31"/>
    <x v="0"/>
    <x v="3"/>
  </r>
  <r>
    <n v="516"/>
    <x v="0"/>
    <n v="0"/>
    <n v="390.32"/>
    <x v="26"/>
    <x v="412"/>
    <x v="5"/>
    <x v="5"/>
    <n v="105.88"/>
    <n v="1"/>
    <x v="3"/>
    <d v="2025-03-30T00:00:00"/>
    <n v="35"/>
    <x v="0"/>
    <x v="1"/>
  </r>
  <r>
    <n v="517"/>
    <x v="0"/>
    <n v="0"/>
    <n v="254.46"/>
    <x v="39"/>
    <x v="413"/>
    <x v="4"/>
    <x v="6"/>
    <n v="74.34"/>
    <n v="1"/>
    <x v="4"/>
    <d v="2025-04-23T00:00:00"/>
    <n v="43"/>
    <x v="0"/>
    <x v="0"/>
  </r>
  <r>
    <n v="518"/>
    <x v="0"/>
    <n v="0"/>
    <n v="544.28"/>
    <x v="26"/>
    <x v="401"/>
    <x v="5"/>
    <x v="5"/>
    <n v="186.08"/>
    <n v="1"/>
    <x v="2"/>
    <d v="2025-04-07T00:00:00"/>
    <n v="27"/>
    <x v="0"/>
    <x v="2"/>
  </r>
  <r>
    <n v="52"/>
    <x v="0"/>
    <n v="0"/>
    <n v="646.63"/>
    <x v="0"/>
    <x v="414"/>
    <x v="1"/>
    <x v="0"/>
    <n v="60.68"/>
    <n v="1"/>
    <x v="4"/>
    <d v="2025-05-21T00:00:00"/>
    <n v="0"/>
    <x v="0"/>
    <x v="2"/>
  </r>
  <r>
    <n v="521"/>
    <x v="1"/>
    <n v="0"/>
    <n v="538"/>
    <x v="26"/>
    <x v="415"/>
    <x v="0"/>
    <x v="5"/>
    <n v="109.74"/>
    <n v="1"/>
    <x v="1"/>
    <d v="2025-03-21T00:00:00"/>
    <n v="44"/>
    <x v="0"/>
    <x v="4"/>
  </r>
  <r>
    <n v="524"/>
    <x v="1"/>
    <n v="1"/>
    <n v="284.64999999999998"/>
    <x v="42"/>
    <x v="87"/>
    <x v="1"/>
    <x v="6"/>
    <n v="75.48"/>
    <n v="1"/>
    <x v="1"/>
    <d v="2025-03-09T00:00:00"/>
    <n v="67"/>
    <x v="0"/>
    <x v="1"/>
  </r>
  <r>
    <n v="525"/>
    <x v="1"/>
    <n v="0"/>
    <n v="380.43"/>
    <x v="0"/>
    <x v="400"/>
    <x v="1"/>
    <x v="0"/>
    <n v="40.92"/>
    <n v="1"/>
    <x v="4"/>
    <d v="2025-02-13T00:00:00"/>
    <n v="97"/>
    <x v="2"/>
    <x v="0"/>
  </r>
  <r>
    <n v="527"/>
    <x v="0"/>
    <n v="0"/>
    <n v="420.5"/>
    <x v="46"/>
    <x v="132"/>
    <x v="1"/>
    <x v="0"/>
    <n v="54.87"/>
    <n v="1"/>
    <x v="0"/>
    <d v="2025-02-12T00:00:00"/>
    <n v="105"/>
    <x v="2"/>
    <x v="4"/>
  </r>
  <r>
    <n v="528"/>
    <x v="1"/>
    <n v="1"/>
    <n v="333.83"/>
    <x v="17"/>
    <x v="416"/>
    <x v="4"/>
    <x v="3"/>
    <n v="93.78"/>
    <n v="1"/>
    <x v="1"/>
    <d v="2025-05-03T00:00:00"/>
    <n v="14"/>
    <x v="0"/>
    <x v="2"/>
  </r>
  <r>
    <n v="529"/>
    <x v="1"/>
    <n v="0"/>
    <n v="341.18"/>
    <x v="32"/>
    <x v="271"/>
    <x v="4"/>
    <x v="1"/>
    <n v="120.72"/>
    <n v="1"/>
    <x v="2"/>
    <d v="2025-02-11T00:00:00"/>
    <n v="62"/>
    <x v="0"/>
    <x v="2"/>
  </r>
  <r>
    <n v="53"/>
    <x v="0"/>
    <n v="0"/>
    <n v="324.33"/>
    <x v="32"/>
    <x v="417"/>
    <x v="3"/>
    <x v="1"/>
    <n v="40.36"/>
    <n v="1"/>
    <x v="0"/>
    <d v="2025-04-10T00:00:00"/>
    <n v="4"/>
    <x v="0"/>
    <x v="2"/>
  </r>
  <r>
    <n v="530"/>
    <x v="1"/>
    <n v="0"/>
    <n v="547.16"/>
    <x v="30"/>
    <x v="248"/>
    <x v="3"/>
    <x v="3"/>
    <n v="123.4"/>
    <n v="1"/>
    <x v="4"/>
    <d v="2025-01-26T00:00:00"/>
    <n v="83"/>
    <x v="0"/>
    <x v="1"/>
  </r>
  <r>
    <n v="531"/>
    <x v="1"/>
    <n v="0"/>
    <n v="417.74"/>
    <x v="38"/>
    <x v="418"/>
    <x v="1"/>
    <x v="4"/>
    <n v="55.27"/>
    <n v="1"/>
    <x v="2"/>
    <d v="2025-03-04T00:00:00"/>
    <n v="87"/>
    <x v="0"/>
    <x v="4"/>
  </r>
  <r>
    <n v="534"/>
    <x v="1"/>
    <n v="0"/>
    <n v="385.1"/>
    <x v="13"/>
    <x v="419"/>
    <x v="1"/>
    <x v="2"/>
    <n v="64.099999999999994"/>
    <n v="1"/>
    <x v="0"/>
    <d v="2025-03-15T00:00:00"/>
    <n v="38"/>
    <x v="0"/>
    <x v="0"/>
  </r>
  <r>
    <n v="535"/>
    <x v="1"/>
    <n v="0"/>
    <n v="568.88"/>
    <x v="25"/>
    <x v="420"/>
    <x v="1"/>
    <x v="3"/>
    <n v="45.19"/>
    <n v="1"/>
    <x v="3"/>
    <d v="2025-05-27T00:00:00"/>
    <n v="4"/>
    <x v="0"/>
    <x v="1"/>
  </r>
  <r>
    <n v="536"/>
    <x v="1"/>
    <n v="0"/>
    <n v="390.51"/>
    <x v="39"/>
    <x v="421"/>
    <x v="1"/>
    <x v="6"/>
    <n v="87.84"/>
    <n v="1"/>
    <x v="3"/>
    <d v="2025-04-07T00:00:00"/>
    <n v="59"/>
    <x v="0"/>
    <x v="0"/>
  </r>
  <r>
    <n v="537"/>
    <x v="0"/>
    <n v="0"/>
    <n v="254.97"/>
    <x v="10"/>
    <x v="422"/>
    <x v="0"/>
    <x v="0"/>
    <n v="46.72"/>
    <n v="1"/>
    <x v="0"/>
    <d v="2025-03-18T00:00:00"/>
    <n v="43"/>
    <x v="0"/>
    <x v="4"/>
  </r>
  <r>
    <n v="538"/>
    <x v="1"/>
    <n v="0"/>
    <n v="502.9"/>
    <x v="39"/>
    <x v="423"/>
    <x v="2"/>
    <x v="6"/>
    <n v="88.54"/>
    <n v="1"/>
    <x v="3"/>
    <d v="2025-02-09T00:00:00"/>
    <n v="116"/>
    <x v="2"/>
    <x v="1"/>
  </r>
  <r>
    <n v="539"/>
    <x v="0"/>
    <n v="0"/>
    <n v="506.48"/>
    <x v="48"/>
    <x v="424"/>
    <x v="5"/>
    <x v="3"/>
    <n v="56.58"/>
    <n v="1"/>
    <x v="1"/>
    <d v="2025-02-25T00:00:00"/>
    <n v="60"/>
    <x v="0"/>
    <x v="1"/>
  </r>
  <r>
    <n v="54"/>
    <x v="1"/>
    <n v="0"/>
    <n v="416.34"/>
    <x v="46"/>
    <x v="425"/>
    <x v="5"/>
    <x v="0"/>
    <n v="64.5"/>
    <n v="1"/>
    <x v="3"/>
    <d v="2025-02-03T00:00:00"/>
    <n v="114"/>
    <x v="2"/>
    <x v="2"/>
  </r>
  <r>
    <n v="541"/>
    <x v="1"/>
    <n v="0"/>
    <n v="505.76"/>
    <x v="5"/>
    <x v="426"/>
    <x v="0"/>
    <x v="5"/>
    <n v="107.34"/>
    <n v="1"/>
    <x v="3"/>
    <d v="2025-05-13T00:00:00"/>
    <n v="-16"/>
    <x v="1"/>
    <x v="2"/>
  </r>
  <r>
    <n v="542"/>
    <x v="0"/>
    <n v="0"/>
    <n v="382.14"/>
    <x v="8"/>
    <x v="427"/>
    <x v="2"/>
    <x v="3"/>
    <n v="51.17"/>
    <n v="1"/>
    <x v="4"/>
    <d v="2025-02-21T00:00:00"/>
    <n v="92"/>
    <x v="2"/>
    <x v="0"/>
  </r>
  <r>
    <n v="543"/>
    <x v="0"/>
    <n v="0"/>
    <n v="403.83"/>
    <x v="48"/>
    <x v="26"/>
    <x v="2"/>
    <x v="3"/>
    <n v="52.1"/>
    <n v="1"/>
    <x v="1"/>
    <d v="2025-04-10T00:00:00"/>
    <n v="16"/>
    <x v="0"/>
    <x v="3"/>
  </r>
  <r>
    <n v="545"/>
    <x v="0"/>
    <n v="0"/>
    <n v="391.91"/>
    <x v="3"/>
    <x v="163"/>
    <x v="3"/>
    <x v="3"/>
    <n v="51.8"/>
    <n v="1"/>
    <x v="2"/>
    <d v="2025-03-17T00:00:00"/>
    <n v="19"/>
    <x v="0"/>
    <x v="1"/>
  </r>
  <r>
    <n v="546"/>
    <x v="0"/>
    <n v="0"/>
    <n v="184.6"/>
    <x v="33"/>
    <x v="428"/>
    <x v="4"/>
    <x v="1"/>
    <n v="52.28"/>
    <n v="1"/>
    <x v="1"/>
    <d v="2025-02-19T00:00:00"/>
    <n v="68"/>
    <x v="0"/>
    <x v="1"/>
  </r>
  <r>
    <n v="548"/>
    <x v="1"/>
    <n v="0"/>
    <n v="635.79999999999995"/>
    <x v="36"/>
    <x v="429"/>
    <x v="3"/>
    <x v="4"/>
    <n v="168.60000000000002"/>
    <n v="1"/>
    <x v="2"/>
    <d v="2025-04-25T00:00:00"/>
    <n v="0"/>
    <x v="0"/>
    <x v="4"/>
  </r>
  <r>
    <n v="55"/>
    <x v="0"/>
    <n v="0"/>
    <n v="355.12"/>
    <x v="9"/>
    <x v="399"/>
    <x v="0"/>
    <x v="6"/>
    <n v="53.74"/>
    <n v="1"/>
    <x v="4"/>
    <d v="2025-04-18T00:00:00"/>
    <n v="-1"/>
    <x v="1"/>
    <x v="1"/>
  </r>
  <r>
    <n v="550"/>
    <x v="0"/>
    <n v="0"/>
    <n v="335.22"/>
    <x v="11"/>
    <x v="21"/>
    <x v="4"/>
    <x v="4"/>
    <n v="33.590000000000003"/>
    <n v="1"/>
    <x v="3"/>
    <d v="2025-03-23T00:00:00"/>
    <n v="54"/>
    <x v="0"/>
    <x v="0"/>
  </r>
  <r>
    <n v="551"/>
    <x v="0"/>
    <n v="0"/>
    <n v="274.52999999999997"/>
    <x v="25"/>
    <x v="248"/>
    <x v="3"/>
    <x v="3"/>
    <n v="51"/>
    <n v="1"/>
    <x v="4"/>
    <d v="2025-01-26T00:00:00"/>
    <n v="125"/>
    <x v="2"/>
    <x v="2"/>
  </r>
  <r>
    <n v="552"/>
    <x v="1"/>
    <n v="1"/>
    <n v="377.54"/>
    <x v="42"/>
    <x v="430"/>
    <x v="4"/>
    <x v="6"/>
    <n v="71.52"/>
    <n v="1"/>
    <x v="3"/>
    <d v="2025-02-13T00:00:00"/>
    <n v="91"/>
    <x v="2"/>
    <x v="4"/>
  </r>
  <r>
    <n v="553"/>
    <x v="1"/>
    <n v="1"/>
    <n v="276.39"/>
    <x v="35"/>
    <x v="431"/>
    <x v="4"/>
    <x v="5"/>
    <n v="71.7"/>
    <n v="1"/>
    <x v="3"/>
    <d v="2025-05-05T00:00:00"/>
    <n v="13"/>
    <x v="0"/>
    <x v="0"/>
  </r>
  <r>
    <n v="554"/>
    <x v="0"/>
    <n v="0"/>
    <n v="322.94"/>
    <x v="22"/>
    <x v="229"/>
    <x v="2"/>
    <x v="4"/>
    <n v="45.42"/>
    <n v="1"/>
    <x v="3"/>
    <d v="2025-02-19T00:00:00"/>
    <n v="114"/>
    <x v="2"/>
    <x v="3"/>
  </r>
  <r>
    <n v="555"/>
    <x v="1"/>
    <n v="0"/>
    <n v="376.87"/>
    <x v="21"/>
    <x v="392"/>
    <x v="4"/>
    <x v="5"/>
    <n v="32.409999999999997"/>
    <n v="1"/>
    <x v="0"/>
    <d v="2025-03-29T00:00:00"/>
    <n v="57"/>
    <x v="0"/>
    <x v="4"/>
  </r>
  <r>
    <n v="556"/>
    <x v="0"/>
    <n v="0"/>
    <n v="553.83000000000004"/>
    <x v="10"/>
    <x v="432"/>
    <x v="0"/>
    <x v="0"/>
    <n v="148.02000000000001"/>
    <n v="1"/>
    <x v="0"/>
    <d v="2025-04-17T00:00:00"/>
    <n v="13"/>
    <x v="0"/>
    <x v="4"/>
  </r>
  <r>
    <n v="557"/>
    <x v="1"/>
    <n v="0"/>
    <n v="423.11"/>
    <x v="36"/>
    <x v="433"/>
    <x v="5"/>
    <x v="4"/>
    <n v="59.78"/>
    <n v="1"/>
    <x v="4"/>
    <d v="2025-04-22T00:00:00"/>
    <n v="3"/>
    <x v="0"/>
    <x v="0"/>
  </r>
  <r>
    <n v="558"/>
    <x v="1"/>
    <n v="1"/>
    <n v="191.33"/>
    <x v="17"/>
    <x v="413"/>
    <x v="4"/>
    <x v="3"/>
    <n v="40.78"/>
    <n v="1"/>
    <x v="4"/>
    <d v="2025-04-23T00:00:00"/>
    <n v="24"/>
    <x v="0"/>
    <x v="0"/>
  </r>
  <r>
    <n v="559"/>
    <x v="0"/>
    <n v="1"/>
    <n v="393"/>
    <x v="24"/>
    <x v="253"/>
    <x v="3"/>
    <x v="5"/>
    <n v="35.01"/>
    <n v="1"/>
    <x v="1"/>
    <d v="2025-03-03T00:00:00"/>
    <n v="34"/>
    <x v="0"/>
    <x v="4"/>
  </r>
  <r>
    <n v="56"/>
    <x v="1"/>
    <n v="0"/>
    <n v="337.98"/>
    <x v="19"/>
    <x v="434"/>
    <x v="1"/>
    <x v="6"/>
    <n v="36.840000000000003"/>
    <n v="1"/>
    <x v="4"/>
    <d v="2025-03-27T00:00:00"/>
    <n v="63"/>
    <x v="0"/>
    <x v="2"/>
  </r>
  <r>
    <n v="561"/>
    <x v="0"/>
    <n v="1"/>
    <n v="416.29"/>
    <x v="4"/>
    <x v="435"/>
    <x v="2"/>
    <x v="4"/>
    <n v="45.31"/>
    <n v="1"/>
    <x v="3"/>
    <d v="2025-04-15T00:00:00"/>
    <n v="52"/>
    <x v="0"/>
    <x v="0"/>
  </r>
  <r>
    <n v="562"/>
    <x v="1"/>
    <n v="0"/>
    <n v="552.4"/>
    <x v="37"/>
    <x v="348"/>
    <x v="0"/>
    <x v="4"/>
    <n v="82.52"/>
    <n v="1"/>
    <x v="3"/>
    <d v="2025-03-12T00:00:00"/>
    <n v="37"/>
    <x v="0"/>
    <x v="1"/>
  </r>
  <r>
    <n v="564"/>
    <x v="0"/>
    <n v="0"/>
    <n v="351.54"/>
    <x v="46"/>
    <x v="399"/>
    <x v="0"/>
    <x v="0"/>
    <n v="57.11"/>
    <n v="1"/>
    <x v="4"/>
    <d v="2025-04-18T00:00:00"/>
    <n v="40"/>
    <x v="0"/>
    <x v="0"/>
  </r>
  <r>
    <n v="565"/>
    <x v="0"/>
    <n v="0"/>
    <n v="448.32"/>
    <x v="26"/>
    <x v="432"/>
    <x v="0"/>
    <x v="5"/>
    <n v="114.18"/>
    <n v="1"/>
    <x v="0"/>
    <d v="2025-04-17T00:00:00"/>
    <n v="17"/>
    <x v="0"/>
    <x v="1"/>
  </r>
  <r>
    <n v="566"/>
    <x v="0"/>
    <n v="0"/>
    <n v="382.77"/>
    <x v="1"/>
    <x v="436"/>
    <x v="1"/>
    <x v="1"/>
    <n v="107.22"/>
    <n v="1"/>
    <x v="2"/>
    <d v="2025-03-26T00:00:00"/>
    <n v="26"/>
    <x v="0"/>
    <x v="0"/>
  </r>
  <r>
    <n v="567"/>
    <x v="0"/>
    <n v="0"/>
    <n v="511.12"/>
    <x v="17"/>
    <x v="437"/>
    <x v="5"/>
    <x v="3"/>
    <n v="42.47"/>
    <n v="1"/>
    <x v="4"/>
    <d v="2025-04-11T00:00:00"/>
    <n v="36"/>
    <x v="0"/>
    <x v="4"/>
  </r>
  <r>
    <n v="571"/>
    <x v="1"/>
    <n v="0"/>
    <n v="859.38"/>
    <x v="47"/>
    <x v="376"/>
    <x v="1"/>
    <x v="4"/>
    <n v="301.88"/>
    <n v="1"/>
    <x v="4"/>
    <d v="2025-03-20T00:00:00"/>
    <n v="64"/>
    <x v="0"/>
    <x v="4"/>
  </r>
  <r>
    <n v="572"/>
    <x v="1"/>
    <n v="0"/>
    <n v="709.31"/>
    <x v="13"/>
    <x v="438"/>
    <x v="0"/>
    <x v="2"/>
    <n v="291.2"/>
    <n v="1"/>
    <x v="3"/>
    <d v="2025-05-22T00:00:00"/>
    <n v="-30"/>
    <x v="1"/>
    <x v="3"/>
  </r>
  <r>
    <n v="575"/>
    <x v="1"/>
    <n v="0"/>
    <n v="400.38"/>
    <x v="5"/>
    <x v="175"/>
    <x v="3"/>
    <x v="5"/>
    <n v="77.48"/>
    <n v="1"/>
    <x v="3"/>
    <d v="2025-04-26T00:00:00"/>
    <n v="1"/>
    <x v="0"/>
    <x v="3"/>
  </r>
  <r>
    <n v="576"/>
    <x v="0"/>
    <n v="0"/>
    <n v="537.95000000000005"/>
    <x v="22"/>
    <x v="439"/>
    <x v="0"/>
    <x v="4"/>
    <n v="245.37"/>
    <n v="1"/>
    <x v="3"/>
    <d v="2025-04-20T00:00:00"/>
    <n v="54"/>
    <x v="0"/>
    <x v="4"/>
  </r>
  <r>
    <n v="577"/>
    <x v="0"/>
    <n v="0"/>
    <n v="161.54"/>
    <x v="12"/>
    <x v="79"/>
    <x v="1"/>
    <x v="2"/>
    <n v="55.25"/>
    <n v="1"/>
    <x v="0"/>
    <d v="2025-02-23T00:00:00"/>
    <n v="93"/>
    <x v="2"/>
    <x v="4"/>
  </r>
  <r>
    <n v="578"/>
    <x v="1"/>
    <n v="0"/>
    <n v="357.46"/>
    <x v="36"/>
    <x v="440"/>
    <x v="4"/>
    <x v="4"/>
    <n v="55.06"/>
    <n v="1"/>
    <x v="0"/>
    <d v="2025-05-25T00:00:00"/>
    <n v="-30"/>
    <x v="1"/>
    <x v="4"/>
  </r>
  <r>
    <n v="580"/>
    <x v="1"/>
    <n v="0"/>
    <n v="422.78"/>
    <x v="25"/>
    <x v="441"/>
    <x v="2"/>
    <x v="3"/>
    <n v="124.54"/>
    <n v="1"/>
    <x v="0"/>
    <d v="2025-03-07T00:00:00"/>
    <n v="85"/>
    <x v="0"/>
    <x v="1"/>
  </r>
  <r>
    <n v="581"/>
    <x v="0"/>
    <n v="0"/>
    <n v="516.66"/>
    <x v="25"/>
    <x v="442"/>
    <x v="1"/>
    <x v="3"/>
    <n v="69.819999999999993"/>
    <n v="1"/>
    <x v="1"/>
    <d v="2025-05-05T00:00:00"/>
    <n v="26"/>
    <x v="0"/>
    <x v="2"/>
  </r>
  <r>
    <n v="582"/>
    <x v="0"/>
    <n v="0"/>
    <n v="308.11"/>
    <x v="41"/>
    <x v="443"/>
    <x v="4"/>
    <x v="0"/>
    <n v="112.12"/>
    <n v="1"/>
    <x v="2"/>
    <d v="2025-02-20T00:00:00"/>
    <n v="104"/>
    <x v="2"/>
    <x v="3"/>
  </r>
  <r>
    <n v="588"/>
    <x v="1"/>
    <n v="1"/>
    <n v="178.9"/>
    <x v="29"/>
    <x v="166"/>
    <x v="4"/>
    <x v="0"/>
    <n v="17.47"/>
    <n v="1"/>
    <x v="2"/>
    <d v="2025-02-28T00:00:00"/>
    <n v="75"/>
    <x v="0"/>
    <x v="3"/>
  </r>
  <r>
    <n v="589"/>
    <x v="1"/>
    <n v="0"/>
    <n v="372.08"/>
    <x v="44"/>
    <x v="132"/>
    <x v="1"/>
    <x v="2"/>
    <n v="33.950000000000003"/>
    <n v="1"/>
    <x v="0"/>
    <d v="2025-02-12T00:00:00"/>
    <n v="125"/>
    <x v="2"/>
    <x v="1"/>
  </r>
  <r>
    <n v="59"/>
    <x v="0"/>
    <n v="0"/>
    <n v="435.92"/>
    <x v="29"/>
    <x v="428"/>
    <x v="4"/>
    <x v="0"/>
    <n v="163.58000000000001"/>
    <n v="1"/>
    <x v="1"/>
    <d v="2025-02-19T00:00:00"/>
    <n v="84"/>
    <x v="0"/>
    <x v="4"/>
  </r>
  <r>
    <n v="590"/>
    <x v="0"/>
    <n v="0"/>
    <n v="324.12"/>
    <x v="43"/>
    <x v="327"/>
    <x v="1"/>
    <x v="5"/>
    <n v="52.08"/>
    <n v="1"/>
    <x v="0"/>
    <d v="2025-02-01T00:00:00"/>
    <n v="71"/>
    <x v="0"/>
    <x v="3"/>
  </r>
  <r>
    <n v="591"/>
    <x v="0"/>
    <n v="0"/>
    <n v="616.58000000000004"/>
    <x v="47"/>
    <x v="413"/>
    <x v="4"/>
    <x v="4"/>
    <n v="92.18"/>
    <n v="1"/>
    <x v="4"/>
    <d v="2025-04-23T00:00:00"/>
    <n v="30"/>
    <x v="0"/>
    <x v="2"/>
  </r>
  <r>
    <n v="592"/>
    <x v="0"/>
    <n v="0"/>
    <n v="134.93"/>
    <x v="17"/>
    <x v="444"/>
    <x v="5"/>
    <x v="3"/>
    <n v="55.06"/>
    <n v="1"/>
    <x v="1"/>
    <d v="2025-05-03T00:00:00"/>
    <n v="14"/>
    <x v="0"/>
    <x v="4"/>
  </r>
  <r>
    <n v="593"/>
    <x v="1"/>
    <n v="0"/>
    <n v="303.48"/>
    <x v="23"/>
    <x v="445"/>
    <x v="2"/>
    <x v="1"/>
    <n v="50.52"/>
    <n v="1"/>
    <x v="2"/>
    <d v="2025-03-15T00:00:00"/>
    <n v="93"/>
    <x v="2"/>
    <x v="0"/>
  </r>
  <r>
    <n v="594"/>
    <x v="1"/>
    <n v="0"/>
    <n v="493.31"/>
    <x v="38"/>
    <x v="371"/>
    <x v="1"/>
    <x v="4"/>
    <n v="58.11"/>
    <n v="1"/>
    <x v="4"/>
    <d v="2025-05-21T00:00:00"/>
    <n v="9"/>
    <x v="0"/>
    <x v="0"/>
  </r>
  <r>
    <n v="597"/>
    <x v="1"/>
    <n v="0"/>
    <n v="760.4"/>
    <x v="37"/>
    <x v="446"/>
    <x v="0"/>
    <x v="4"/>
    <n v="206.8"/>
    <n v="1"/>
    <x v="1"/>
    <d v="2025-02-26T00:00:00"/>
    <n v="51"/>
    <x v="0"/>
    <x v="2"/>
  </r>
  <r>
    <n v="6"/>
    <x v="0"/>
    <n v="0"/>
    <n v="416.43"/>
    <x v="16"/>
    <x v="447"/>
    <x v="2"/>
    <x v="3"/>
    <n v="135.52000000000001"/>
    <n v="1"/>
    <x v="1"/>
    <d v="2025-03-19T00:00:00"/>
    <n v="87"/>
    <x v="0"/>
    <x v="0"/>
  </r>
  <r>
    <n v="601"/>
    <x v="0"/>
    <n v="0"/>
    <n v="542.91999999999996"/>
    <x v="25"/>
    <x v="448"/>
    <x v="0"/>
    <x v="3"/>
    <n v="57.8"/>
    <n v="1"/>
    <x v="1"/>
    <d v="2025-02-04T00:00:00"/>
    <n v="116"/>
    <x v="2"/>
    <x v="0"/>
  </r>
  <r>
    <n v="602"/>
    <x v="0"/>
    <n v="0"/>
    <n v="447.92"/>
    <x v="33"/>
    <x v="449"/>
    <x v="4"/>
    <x v="1"/>
    <n v="92.72"/>
    <n v="1"/>
    <x v="4"/>
    <d v="2025-03-27T00:00:00"/>
    <n v="32"/>
    <x v="0"/>
    <x v="0"/>
  </r>
  <r>
    <n v="603"/>
    <x v="1"/>
    <n v="0"/>
    <n v="367.01"/>
    <x v="25"/>
    <x v="450"/>
    <x v="0"/>
    <x v="3"/>
    <n v="37.94"/>
    <n v="1"/>
    <x v="1"/>
    <d v="2025-03-22T00:00:00"/>
    <n v="70"/>
    <x v="0"/>
    <x v="2"/>
  </r>
  <r>
    <n v="604"/>
    <x v="0"/>
    <n v="0"/>
    <n v="499.56"/>
    <x v="34"/>
    <x v="54"/>
    <x v="3"/>
    <x v="1"/>
    <n v="52.94"/>
    <n v="1"/>
    <x v="3"/>
    <d v="2025-04-04T00:00:00"/>
    <n v="52"/>
    <x v="0"/>
    <x v="1"/>
  </r>
  <r>
    <n v="605"/>
    <x v="1"/>
    <n v="0"/>
    <n v="411.94"/>
    <x v="41"/>
    <x v="451"/>
    <x v="4"/>
    <x v="0"/>
    <n v="53.32"/>
    <n v="1"/>
    <x v="4"/>
    <d v="2025-02-15T00:00:00"/>
    <n v="109"/>
    <x v="2"/>
    <x v="3"/>
  </r>
  <r>
    <n v="607"/>
    <x v="1"/>
    <n v="0"/>
    <n v="395.28"/>
    <x v="10"/>
    <x v="452"/>
    <x v="0"/>
    <x v="0"/>
    <n v="60.12"/>
    <n v="1"/>
    <x v="0"/>
    <d v="2025-03-18T00:00:00"/>
    <n v="43"/>
    <x v="0"/>
    <x v="2"/>
  </r>
  <r>
    <n v="609"/>
    <x v="1"/>
    <n v="0"/>
    <n v="340.38"/>
    <x v="14"/>
    <x v="93"/>
    <x v="0"/>
    <x v="6"/>
    <n v="38.14"/>
    <n v="1"/>
    <x v="4"/>
    <d v="2025-04-03T00:00:00"/>
    <n v="49"/>
    <x v="0"/>
    <x v="2"/>
  </r>
  <r>
    <n v="61"/>
    <x v="1"/>
    <n v="0"/>
    <n v="370.24"/>
    <x v="34"/>
    <x v="453"/>
    <x v="1"/>
    <x v="1"/>
    <n v="92.08"/>
    <n v="1"/>
    <x v="3"/>
    <d v="2025-01-28T00:00:00"/>
    <n v="118"/>
    <x v="2"/>
    <x v="2"/>
  </r>
  <r>
    <n v="610"/>
    <x v="0"/>
    <n v="0"/>
    <n v="435.62"/>
    <x v="38"/>
    <x v="454"/>
    <x v="5"/>
    <x v="4"/>
    <n v="99.62"/>
    <n v="1"/>
    <x v="4"/>
    <d v="2025-04-21T00:00:00"/>
    <n v="39"/>
    <x v="0"/>
    <x v="4"/>
  </r>
  <r>
    <n v="612"/>
    <x v="1"/>
    <n v="0"/>
    <n v="588.12"/>
    <x v="21"/>
    <x v="455"/>
    <x v="1"/>
    <x v="5"/>
    <n v="101.7"/>
    <n v="1"/>
    <x v="1"/>
    <d v="2025-04-06T00:00:00"/>
    <n v="49"/>
    <x v="0"/>
    <x v="1"/>
  </r>
  <r>
    <n v="613"/>
    <x v="0"/>
    <n v="0"/>
    <n v="562.46"/>
    <x v="40"/>
    <x v="456"/>
    <x v="0"/>
    <x v="5"/>
    <n v="48.64"/>
    <n v="1"/>
    <x v="3"/>
    <d v="2025-04-13T00:00:00"/>
    <n v="63"/>
    <x v="0"/>
    <x v="0"/>
  </r>
  <r>
    <n v="614"/>
    <x v="1"/>
    <n v="0"/>
    <n v="498.27"/>
    <x v="19"/>
    <x v="457"/>
    <x v="5"/>
    <x v="6"/>
    <n v="45.27"/>
    <n v="1"/>
    <x v="2"/>
    <d v="2025-04-15T00:00:00"/>
    <n v="44"/>
    <x v="0"/>
    <x v="3"/>
  </r>
  <r>
    <n v="615"/>
    <x v="1"/>
    <n v="1"/>
    <n v="207.29"/>
    <x v="11"/>
    <x v="458"/>
    <x v="0"/>
    <x v="4"/>
    <n v="26.46"/>
    <n v="1"/>
    <x v="0"/>
    <d v="2025-02-09T00:00:00"/>
    <n v="96"/>
    <x v="2"/>
    <x v="0"/>
  </r>
  <r>
    <n v="616"/>
    <x v="0"/>
    <n v="0"/>
    <n v="243.91"/>
    <x v="49"/>
    <x v="459"/>
    <x v="3"/>
    <x v="0"/>
    <n v="42.47"/>
    <n v="1"/>
    <x v="1"/>
    <d v="2025-03-27T00:00:00"/>
    <n v="27"/>
    <x v="0"/>
    <x v="4"/>
  </r>
  <r>
    <n v="617"/>
    <x v="0"/>
    <n v="0"/>
    <n v="566.22"/>
    <x v="35"/>
    <x v="460"/>
    <x v="3"/>
    <x v="5"/>
    <n v="75.17"/>
    <n v="1"/>
    <x v="0"/>
    <d v="2025-03-30T00:00:00"/>
    <n v="49"/>
    <x v="0"/>
    <x v="3"/>
  </r>
  <r>
    <n v="618"/>
    <x v="1"/>
    <n v="0"/>
    <n v="227.85"/>
    <x v="30"/>
    <x v="461"/>
    <x v="2"/>
    <x v="3"/>
    <n v="40.92"/>
    <n v="1"/>
    <x v="2"/>
    <d v="2025-05-12T00:00:00"/>
    <n v="-23"/>
    <x v="1"/>
    <x v="0"/>
  </r>
  <r>
    <n v="619"/>
    <x v="1"/>
    <n v="1"/>
    <n v="232.25"/>
    <x v="42"/>
    <x v="462"/>
    <x v="0"/>
    <x v="6"/>
    <n v="32.82"/>
    <n v="1"/>
    <x v="3"/>
    <d v="2025-04-28T00:00:00"/>
    <n v="17"/>
    <x v="0"/>
    <x v="2"/>
  </r>
  <r>
    <n v="620"/>
    <x v="0"/>
    <n v="0"/>
    <n v="426.3"/>
    <x v="2"/>
    <x v="463"/>
    <x v="3"/>
    <x v="2"/>
    <n v="56.7"/>
    <n v="1"/>
    <x v="4"/>
    <d v="2025-05-09T00:00:00"/>
    <n v="11"/>
    <x v="0"/>
    <x v="3"/>
  </r>
  <r>
    <n v="621"/>
    <x v="1"/>
    <n v="1"/>
    <n v="263.25"/>
    <x v="42"/>
    <x v="464"/>
    <x v="5"/>
    <x v="6"/>
    <n v="82.14"/>
    <n v="1"/>
    <x v="1"/>
    <d v="2025-04-09T00:00:00"/>
    <n v="36"/>
    <x v="0"/>
    <x v="1"/>
  </r>
  <r>
    <n v="622"/>
    <x v="0"/>
    <n v="0"/>
    <n v="194.57"/>
    <x v="48"/>
    <x v="210"/>
    <x v="4"/>
    <x v="3"/>
    <n v="51"/>
    <n v="1"/>
    <x v="0"/>
    <d v="2025-04-10T00:00:00"/>
    <n v="16"/>
    <x v="0"/>
    <x v="0"/>
  </r>
  <r>
    <n v="623"/>
    <x v="0"/>
    <n v="0"/>
    <n v="284.26"/>
    <x v="32"/>
    <x v="220"/>
    <x v="4"/>
    <x v="1"/>
    <n v="50.52"/>
    <n v="1"/>
    <x v="0"/>
    <d v="2025-03-02T00:00:00"/>
    <n v="43"/>
    <x v="0"/>
    <x v="0"/>
  </r>
  <r>
    <n v="624"/>
    <x v="1"/>
    <n v="1"/>
    <n v="383.49"/>
    <x v="28"/>
    <x v="434"/>
    <x v="1"/>
    <x v="2"/>
    <n v="97.350000000000009"/>
    <n v="1"/>
    <x v="4"/>
    <d v="2025-03-27T00:00:00"/>
    <n v="47"/>
    <x v="0"/>
    <x v="0"/>
  </r>
  <r>
    <n v="626"/>
    <x v="1"/>
    <n v="0"/>
    <n v="147.29"/>
    <x v="31"/>
    <x v="465"/>
    <x v="1"/>
    <x v="6"/>
    <n v="61.95"/>
    <n v="1"/>
    <x v="2"/>
    <d v="2025-04-16T00:00:00"/>
    <n v="8"/>
    <x v="0"/>
    <x v="0"/>
  </r>
  <r>
    <n v="627"/>
    <x v="1"/>
    <n v="0"/>
    <n v="467.58"/>
    <x v="47"/>
    <x v="13"/>
    <x v="4"/>
    <x v="4"/>
    <n v="128.16"/>
    <n v="1"/>
    <x v="0"/>
    <d v="2025-03-22T00:00:00"/>
    <n v="62"/>
    <x v="0"/>
    <x v="3"/>
  </r>
  <r>
    <n v="629"/>
    <x v="1"/>
    <n v="0"/>
    <n v="400.35"/>
    <x v="34"/>
    <x v="466"/>
    <x v="5"/>
    <x v="1"/>
    <n v="57.35"/>
    <n v="1"/>
    <x v="1"/>
    <d v="2025-03-27T00:00:00"/>
    <n v="60"/>
    <x v="0"/>
    <x v="0"/>
  </r>
  <r>
    <n v="63"/>
    <x v="1"/>
    <n v="0"/>
    <n v="431.64"/>
    <x v="26"/>
    <x v="73"/>
    <x v="0"/>
    <x v="5"/>
    <n v="59.62"/>
    <n v="1"/>
    <x v="3"/>
    <d v="2025-04-28T00:00:00"/>
    <n v="6"/>
    <x v="0"/>
    <x v="1"/>
  </r>
  <r>
    <n v="630"/>
    <x v="0"/>
    <n v="0"/>
    <n v="466.2"/>
    <x v="19"/>
    <x v="18"/>
    <x v="1"/>
    <x v="6"/>
    <n v="192.12"/>
    <n v="1"/>
    <x v="1"/>
    <d v="2025-04-26T00:00:00"/>
    <n v="33"/>
    <x v="0"/>
    <x v="2"/>
  </r>
  <r>
    <n v="632"/>
    <x v="1"/>
    <n v="1"/>
    <n v="240.4"/>
    <x v="11"/>
    <x v="87"/>
    <x v="1"/>
    <x v="4"/>
    <n v="72.94"/>
    <n v="1"/>
    <x v="1"/>
    <d v="2025-03-09T00:00:00"/>
    <n v="68"/>
    <x v="0"/>
    <x v="3"/>
  </r>
  <r>
    <n v="635"/>
    <x v="1"/>
    <n v="0"/>
    <n v="347.37"/>
    <x v="7"/>
    <x v="52"/>
    <x v="5"/>
    <x v="0"/>
    <n v="56.91"/>
    <n v="1"/>
    <x v="0"/>
    <d v="2025-03-20T00:00:00"/>
    <n v="27"/>
    <x v="0"/>
    <x v="1"/>
  </r>
  <r>
    <n v="637"/>
    <x v="1"/>
    <n v="0"/>
    <n v="298.98"/>
    <x v="37"/>
    <x v="224"/>
    <x v="5"/>
    <x v="4"/>
    <n v="123.4"/>
    <n v="1"/>
    <x v="1"/>
    <d v="2025-03-02T00:00:00"/>
    <n v="47"/>
    <x v="0"/>
    <x v="1"/>
  </r>
  <r>
    <n v="639"/>
    <x v="0"/>
    <n v="0"/>
    <n v="499.62"/>
    <x v="13"/>
    <x v="144"/>
    <x v="4"/>
    <x v="2"/>
    <n v="43.04"/>
    <n v="1"/>
    <x v="0"/>
    <d v="2025-01-26T00:00:00"/>
    <n v="86"/>
    <x v="0"/>
    <x v="3"/>
  </r>
  <r>
    <n v="64"/>
    <x v="1"/>
    <n v="0"/>
    <n v="426.45"/>
    <x v="0"/>
    <x v="409"/>
    <x v="1"/>
    <x v="0"/>
    <n v="109.8"/>
    <n v="1"/>
    <x v="2"/>
    <d v="2025-05-13T00:00:00"/>
    <n v="8"/>
    <x v="0"/>
    <x v="0"/>
  </r>
  <r>
    <n v="640"/>
    <x v="1"/>
    <n v="0"/>
    <n v="521.41"/>
    <x v="37"/>
    <x v="467"/>
    <x v="4"/>
    <x v="4"/>
    <n v="208.44"/>
    <n v="1"/>
    <x v="4"/>
    <d v="2025-05-16T00:00:00"/>
    <n v="-28"/>
    <x v="1"/>
    <x v="0"/>
  </r>
  <r>
    <n v="642"/>
    <x v="0"/>
    <n v="0"/>
    <n v="504.5"/>
    <x v="20"/>
    <x v="221"/>
    <x v="5"/>
    <x v="1"/>
    <n v="134.69999999999999"/>
    <n v="1"/>
    <x v="4"/>
    <d v="2025-03-03T00:00:00"/>
    <n v="77"/>
    <x v="0"/>
    <x v="0"/>
  </r>
  <r>
    <n v="643"/>
    <x v="0"/>
    <n v="0"/>
    <n v="506.83"/>
    <x v="31"/>
    <x v="468"/>
    <x v="1"/>
    <x v="6"/>
    <n v="48.03"/>
    <n v="1"/>
    <x v="2"/>
    <d v="2025-03-25T00:00:00"/>
    <n v="30"/>
    <x v="0"/>
    <x v="2"/>
  </r>
  <r>
    <n v="644"/>
    <x v="0"/>
    <n v="0"/>
    <n v="231.66"/>
    <x v="50"/>
    <x v="469"/>
    <x v="4"/>
    <x v="4"/>
    <n v="75.400000000000006"/>
    <n v="1"/>
    <x v="4"/>
    <d v="2025-03-03T00:00:00"/>
    <n v="32"/>
    <x v="0"/>
    <x v="3"/>
  </r>
  <r>
    <n v="645"/>
    <x v="0"/>
    <n v="0"/>
    <n v="640.26"/>
    <x v="32"/>
    <x v="204"/>
    <x v="2"/>
    <x v="1"/>
    <n v="189.69"/>
    <n v="1"/>
    <x v="0"/>
    <d v="2025-03-18T00:00:00"/>
    <n v="27"/>
    <x v="0"/>
    <x v="2"/>
  </r>
  <r>
    <n v="646"/>
    <x v="0"/>
    <n v="0"/>
    <n v="151.74"/>
    <x v="29"/>
    <x v="317"/>
    <x v="5"/>
    <x v="0"/>
    <n v="56.2"/>
    <n v="1"/>
    <x v="2"/>
    <d v="2025-04-07T00:00:00"/>
    <n v="37"/>
    <x v="0"/>
    <x v="4"/>
  </r>
  <r>
    <n v="647"/>
    <x v="0"/>
    <n v="0"/>
    <n v="379.16"/>
    <x v="10"/>
    <x v="470"/>
    <x v="4"/>
    <x v="0"/>
    <n v="58.26"/>
    <n v="1"/>
    <x v="1"/>
    <d v="2025-04-02T00:00:00"/>
    <n v="28"/>
    <x v="0"/>
    <x v="0"/>
  </r>
  <r>
    <n v="65"/>
    <x v="0"/>
    <n v="0"/>
    <n v="326.98"/>
    <x v="39"/>
    <x v="471"/>
    <x v="0"/>
    <x v="6"/>
    <n v="58.94"/>
    <n v="1"/>
    <x v="2"/>
    <d v="2025-01-23T00:00:00"/>
    <n v="133"/>
    <x v="2"/>
    <x v="1"/>
  </r>
  <r>
    <n v="651"/>
    <x v="0"/>
    <n v="0"/>
    <n v="501.78"/>
    <x v="7"/>
    <x v="348"/>
    <x v="0"/>
    <x v="0"/>
    <n v="51.38"/>
    <n v="1"/>
    <x v="3"/>
    <d v="2025-03-12T00:00:00"/>
    <n v="35"/>
    <x v="0"/>
    <x v="3"/>
  </r>
  <r>
    <n v="653"/>
    <x v="0"/>
    <n v="0"/>
    <n v="644.05999999999995"/>
    <x v="0"/>
    <x v="471"/>
    <x v="0"/>
    <x v="0"/>
    <n v="54.91"/>
    <n v="1"/>
    <x v="2"/>
    <d v="2025-01-23T00:00:00"/>
    <n v="118"/>
    <x v="2"/>
    <x v="0"/>
  </r>
  <r>
    <n v="654"/>
    <x v="1"/>
    <n v="0"/>
    <n v="328.98"/>
    <x v="3"/>
    <x v="295"/>
    <x v="2"/>
    <x v="3"/>
    <n v="41.7"/>
    <n v="1"/>
    <x v="2"/>
    <d v="2025-03-03T00:00:00"/>
    <n v="33"/>
    <x v="0"/>
    <x v="4"/>
  </r>
  <r>
    <n v="655"/>
    <x v="0"/>
    <n v="0"/>
    <n v="511.39"/>
    <x v="31"/>
    <x v="472"/>
    <x v="1"/>
    <x v="6"/>
    <n v="170.68"/>
    <n v="1"/>
    <x v="3"/>
    <d v="2025-04-05T00:00:00"/>
    <n v="19"/>
    <x v="0"/>
    <x v="4"/>
  </r>
  <r>
    <n v="658"/>
    <x v="1"/>
    <n v="0"/>
    <n v="374.25"/>
    <x v="23"/>
    <x v="473"/>
    <x v="2"/>
    <x v="1"/>
    <n v="81.8"/>
    <n v="1"/>
    <x v="1"/>
    <d v="2025-04-26T00:00:00"/>
    <n v="51"/>
    <x v="0"/>
    <x v="3"/>
  </r>
  <r>
    <n v="659"/>
    <x v="1"/>
    <n v="0"/>
    <n v="610.09"/>
    <x v="9"/>
    <x v="474"/>
    <x v="1"/>
    <x v="6"/>
    <n v="138.21"/>
    <n v="1"/>
    <x v="0"/>
    <d v="2025-03-24T00:00:00"/>
    <n v="24"/>
    <x v="0"/>
    <x v="3"/>
  </r>
  <r>
    <n v="660"/>
    <x v="1"/>
    <n v="0"/>
    <n v="368.79"/>
    <x v="16"/>
    <x v="464"/>
    <x v="5"/>
    <x v="3"/>
    <n v="74.81"/>
    <n v="1"/>
    <x v="1"/>
    <d v="2025-04-09T00:00:00"/>
    <n v="66"/>
    <x v="0"/>
    <x v="2"/>
  </r>
  <r>
    <n v="663"/>
    <x v="0"/>
    <n v="0"/>
    <n v="440.02"/>
    <x v="41"/>
    <x v="156"/>
    <x v="2"/>
    <x v="0"/>
    <n v="101.78"/>
    <n v="1"/>
    <x v="4"/>
    <d v="2025-03-28T00:00:00"/>
    <n v="68"/>
    <x v="0"/>
    <x v="1"/>
  </r>
  <r>
    <n v="664"/>
    <x v="1"/>
    <n v="0"/>
    <n v="353.01"/>
    <x v="16"/>
    <x v="41"/>
    <x v="1"/>
    <x v="3"/>
    <n v="122.97"/>
    <n v="1"/>
    <x v="0"/>
    <d v="2025-02-17T00:00:00"/>
    <n v="117"/>
    <x v="2"/>
    <x v="4"/>
  </r>
  <r>
    <n v="665"/>
    <x v="0"/>
    <n v="0"/>
    <n v="440.01"/>
    <x v="43"/>
    <x v="59"/>
    <x v="3"/>
    <x v="5"/>
    <n v="209.56"/>
    <n v="1"/>
    <x v="4"/>
    <d v="2025-02-23T00:00:00"/>
    <n v="49"/>
    <x v="0"/>
    <x v="0"/>
  </r>
  <r>
    <n v="666"/>
    <x v="0"/>
    <n v="0"/>
    <n v="236.19"/>
    <x v="8"/>
    <x v="475"/>
    <x v="5"/>
    <x v="3"/>
    <n v="53.19"/>
    <n v="1"/>
    <x v="4"/>
    <d v="2025-05-04T00:00:00"/>
    <n v="20"/>
    <x v="0"/>
    <x v="2"/>
  </r>
  <r>
    <n v="667"/>
    <x v="1"/>
    <n v="0"/>
    <n v="288.19"/>
    <x v="18"/>
    <x v="403"/>
    <x v="1"/>
    <x v="2"/>
    <n v="116.68"/>
    <n v="1"/>
    <x v="4"/>
    <d v="2025-03-19T00:00:00"/>
    <n v="27"/>
    <x v="0"/>
    <x v="2"/>
  </r>
  <r>
    <n v="668"/>
    <x v="0"/>
    <n v="0"/>
    <n v="321.60000000000002"/>
    <x v="27"/>
    <x v="283"/>
    <x v="0"/>
    <x v="5"/>
    <n v="238.32"/>
    <n v="1"/>
    <x v="1"/>
    <d v="2025-03-07T00:00:00"/>
    <n v="44"/>
    <x v="0"/>
    <x v="4"/>
  </r>
  <r>
    <n v="67"/>
    <x v="1"/>
    <n v="0"/>
    <n v="414.7"/>
    <x v="50"/>
    <x v="476"/>
    <x v="5"/>
    <x v="4"/>
    <n v="76.28"/>
    <n v="1"/>
    <x v="0"/>
    <d v="2025-03-09T00:00:00"/>
    <n v="26"/>
    <x v="0"/>
    <x v="2"/>
  </r>
  <r>
    <n v="670"/>
    <x v="1"/>
    <n v="0"/>
    <n v="173.7"/>
    <x v="12"/>
    <x v="397"/>
    <x v="3"/>
    <x v="2"/>
    <n v="69.48"/>
    <n v="1"/>
    <x v="0"/>
    <d v="2025-01-29T00:00:00"/>
    <n v="118"/>
    <x v="2"/>
    <x v="0"/>
  </r>
  <r>
    <n v="672"/>
    <x v="1"/>
    <n v="0"/>
    <n v="337.28"/>
    <x v="36"/>
    <x v="477"/>
    <x v="1"/>
    <x v="4"/>
    <n v="146.64000000000001"/>
    <n v="1"/>
    <x v="4"/>
    <d v="2025-04-14T00:00:00"/>
    <n v="11"/>
    <x v="0"/>
    <x v="4"/>
  </r>
  <r>
    <n v="675"/>
    <x v="0"/>
    <n v="0"/>
    <n v="102.61"/>
    <x v="47"/>
    <x v="478"/>
    <x v="5"/>
    <x v="4"/>
    <n v="53.73"/>
    <n v="1"/>
    <x v="3"/>
    <d v="2025-02-01T00:00:00"/>
    <n v="111"/>
    <x v="2"/>
    <x v="0"/>
  </r>
  <r>
    <n v="676"/>
    <x v="1"/>
    <n v="0"/>
    <n v="583.9"/>
    <x v="2"/>
    <x v="185"/>
    <x v="4"/>
    <x v="2"/>
    <n v="309.75"/>
    <n v="1"/>
    <x v="2"/>
    <d v="2025-04-21T00:00:00"/>
    <n v="29"/>
    <x v="0"/>
    <x v="0"/>
  </r>
  <r>
    <n v="677"/>
    <x v="0"/>
    <n v="0"/>
    <n v="112.89"/>
    <x v="16"/>
    <x v="479"/>
    <x v="0"/>
    <x v="3"/>
    <n v="39.090000000000003"/>
    <n v="1"/>
    <x v="1"/>
    <d v="2025-04-21T00:00:00"/>
    <n v="54"/>
    <x v="0"/>
    <x v="3"/>
  </r>
  <r>
    <n v="678"/>
    <x v="0"/>
    <n v="0"/>
    <n v="562.41999999999996"/>
    <x v="26"/>
    <x v="224"/>
    <x v="5"/>
    <x v="5"/>
    <n v="256.32"/>
    <n v="1"/>
    <x v="1"/>
    <d v="2025-03-02T00:00:00"/>
    <n v="63"/>
    <x v="0"/>
    <x v="3"/>
  </r>
  <r>
    <n v="68"/>
    <x v="0"/>
    <n v="0"/>
    <n v="740.54"/>
    <x v="47"/>
    <x v="480"/>
    <x v="0"/>
    <x v="4"/>
    <n v="192.24"/>
    <n v="1"/>
    <x v="4"/>
    <d v="2025-04-29T00:00:00"/>
    <n v="24"/>
    <x v="0"/>
    <x v="3"/>
  </r>
  <r>
    <n v="686"/>
    <x v="0"/>
    <n v="0"/>
    <n v="207.3"/>
    <x v="38"/>
    <x v="481"/>
    <x v="4"/>
    <x v="4"/>
    <n v="129.68"/>
    <n v="1"/>
    <x v="2"/>
    <d v="2025-03-24T00:00:00"/>
    <n v="67"/>
    <x v="0"/>
    <x v="2"/>
  </r>
  <r>
    <n v="689"/>
    <x v="1"/>
    <n v="0"/>
    <n v="405.34"/>
    <x v="18"/>
    <x v="482"/>
    <x v="2"/>
    <x v="2"/>
    <n v="148.44"/>
    <n v="1"/>
    <x v="1"/>
    <d v="2025-03-28T00:00:00"/>
    <n v="18"/>
    <x v="0"/>
    <x v="2"/>
  </r>
  <r>
    <n v="691"/>
    <x v="1"/>
    <n v="0"/>
    <n v="475.07"/>
    <x v="44"/>
    <x v="235"/>
    <x v="4"/>
    <x v="2"/>
    <n v="199.92"/>
    <n v="1"/>
    <x v="0"/>
    <d v="2025-02-26T00:00:00"/>
    <n v="111"/>
    <x v="2"/>
    <x v="4"/>
  </r>
  <r>
    <n v="694"/>
    <x v="1"/>
    <n v="0"/>
    <n v="183.33"/>
    <x v="39"/>
    <x v="263"/>
    <x v="3"/>
    <x v="6"/>
    <n v="50.91"/>
    <n v="1"/>
    <x v="3"/>
    <d v="2025-04-13T00:00:00"/>
    <n v="53"/>
    <x v="0"/>
    <x v="2"/>
  </r>
  <r>
    <n v="695"/>
    <x v="1"/>
    <n v="0"/>
    <n v="437.62"/>
    <x v="31"/>
    <x v="483"/>
    <x v="2"/>
    <x v="6"/>
    <n v="154.72"/>
    <n v="1"/>
    <x v="1"/>
    <d v="2025-03-03T00:00:00"/>
    <n v="52"/>
    <x v="0"/>
    <x v="4"/>
  </r>
  <r>
    <n v="698"/>
    <x v="0"/>
    <n v="0"/>
    <n v="260.26"/>
    <x v="11"/>
    <x v="361"/>
    <x v="4"/>
    <x v="4"/>
    <n v="68.78"/>
    <n v="1"/>
    <x v="2"/>
    <d v="2025-02-15T00:00:00"/>
    <n v="90"/>
    <x v="0"/>
    <x v="0"/>
  </r>
  <r>
    <n v="700"/>
    <x v="0"/>
    <n v="0"/>
    <n v="249.32"/>
    <x v="34"/>
    <x v="484"/>
    <x v="5"/>
    <x v="1"/>
    <n v="62.3"/>
    <n v="1"/>
    <x v="1"/>
    <d v="2025-01-27T00:00:00"/>
    <n v="119"/>
    <x v="2"/>
    <x v="1"/>
  </r>
  <r>
    <n v="701"/>
    <x v="1"/>
    <n v="0"/>
    <n v="340.18"/>
    <x v="22"/>
    <x v="485"/>
    <x v="3"/>
    <x v="4"/>
    <n v="127.97999999999999"/>
    <n v="1"/>
    <x v="4"/>
    <d v="2025-03-12T00:00:00"/>
    <n v="93"/>
    <x v="2"/>
    <x v="1"/>
  </r>
  <r>
    <n v="702"/>
    <x v="1"/>
    <n v="0"/>
    <n v="333.21"/>
    <x v="19"/>
    <x v="107"/>
    <x v="0"/>
    <x v="6"/>
    <n v="185.25"/>
    <n v="1"/>
    <x v="3"/>
    <d v="2025-05-12T00:00:00"/>
    <n v="17"/>
    <x v="0"/>
    <x v="2"/>
  </r>
  <r>
    <n v="703"/>
    <x v="0"/>
    <n v="0"/>
    <n v="472.8"/>
    <x v="6"/>
    <x v="81"/>
    <x v="4"/>
    <x v="1"/>
    <n v="171"/>
    <n v="1"/>
    <x v="0"/>
    <d v="2025-04-23T00:00:00"/>
    <n v="12"/>
    <x v="0"/>
    <x v="0"/>
  </r>
  <r>
    <n v="704"/>
    <x v="0"/>
    <n v="0"/>
    <n v="328.55"/>
    <x v="35"/>
    <x v="486"/>
    <x v="0"/>
    <x v="5"/>
    <n v="92.2"/>
    <n v="1"/>
    <x v="2"/>
    <d v="2025-02-15T00:00:00"/>
    <n v="92"/>
    <x v="2"/>
    <x v="0"/>
  </r>
  <r>
    <n v="705"/>
    <x v="0"/>
    <n v="0"/>
    <n v="190.64"/>
    <x v="37"/>
    <x v="421"/>
    <x v="1"/>
    <x v="4"/>
    <n v="36.65"/>
    <n v="1"/>
    <x v="3"/>
    <d v="2025-04-07T00:00:00"/>
    <n v="11"/>
    <x v="0"/>
    <x v="3"/>
  </r>
  <r>
    <n v="706"/>
    <x v="1"/>
    <n v="0"/>
    <n v="118.14"/>
    <x v="6"/>
    <x v="35"/>
    <x v="1"/>
    <x v="1"/>
    <n v="39.78"/>
    <n v="1"/>
    <x v="1"/>
    <d v="2025-02-19T00:00:00"/>
    <n v="75"/>
    <x v="0"/>
    <x v="1"/>
  </r>
  <r>
    <n v="707"/>
    <x v="0"/>
    <n v="0"/>
    <n v="89.46"/>
    <x v="47"/>
    <x v="487"/>
    <x v="0"/>
    <x v="4"/>
    <n v="55.01"/>
    <n v="1"/>
    <x v="2"/>
    <d v="2025-01-16T00:00:00"/>
    <n v="127"/>
    <x v="2"/>
    <x v="4"/>
  </r>
  <r>
    <n v="708"/>
    <x v="1"/>
    <n v="0"/>
    <n v="231.49"/>
    <x v="7"/>
    <x v="488"/>
    <x v="2"/>
    <x v="0"/>
    <n v="54.91"/>
    <n v="1"/>
    <x v="3"/>
    <d v="2025-02-19T00:00:00"/>
    <n v="56"/>
    <x v="0"/>
    <x v="0"/>
  </r>
  <r>
    <n v="709"/>
    <x v="1"/>
    <n v="0"/>
    <n v="284.08"/>
    <x v="33"/>
    <x v="489"/>
    <x v="4"/>
    <x v="1"/>
    <n v="50.72"/>
    <n v="1"/>
    <x v="3"/>
    <d v="2025-05-15T00:00:00"/>
    <n v="-17"/>
    <x v="1"/>
    <x v="0"/>
  </r>
  <r>
    <n v="710"/>
    <x v="0"/>
    <n v="0"/>
    <n v="440.06"/>
    <x v="44"/>
    <x v="490"/>
    <x v="2"/>
    <x v="2"/>
    <n v="126.06"/>
    <n v="1"/>
    <x v="3"/>
    <d v="2025-05-07T00:00:00"/>
    <n v="41"/>
    <x v="0"/>
    <x v="2"/>
  </r>
  <r>
    <n v="711"/>
    <x v="1"/>
    <n v="0"/>
    <n v="226.56"/>
    <x v="8"/>
    <x v="491"/>
    <x v="3"/>
    <x v="3"/>
    <n v="113.68"/>
    <n v="1"/>
    <x v="0"/>
    <d v="2025-02-17T00:00:00"/>
    <n v="96"/>
    <x v="2"/>
    <x v="0"/>
  </r>
  <r>
    <n v="713"/>
    <x v="1"/>
    <n v="0"/>
    <n v="548.6"/>
    <x v="15"/>
    <x v="162"/>
    <x v="0"/>
    <x v="2"/>
    <n v="313.8"/>
    <n v="1"/>
    <x v="3"/>
    <d v="2025-04-01T00:00:00"/>
    <n v="35"/>
    <x v="0"/>
    <x v="0"/>
  </r>
  <r>
    <n v="714"/>
    <x v="1"/>
    <n v="0"/>
    <n v="181.1"/>
    <x v="37"/>
    <x v="107"/>
    <x v="0"/>
    <x v="4"/>
    <n v="92.82"/>
    <n v="1"/>
    <x v="3"/>
    <d v="2025-05-12T00:00:00"/>
    <n v="-24"/>
    <x v="1"/>
    <x v="1"/>
  </r>
  <r>
    <n v="715"/>
    <x v="0"/>
    <n v="0"/>
    <n v="512.83000000000004"/>
    <x v="40"/>
    <x v="111"/>
    <x v="4"/>
    <x v="5"/>
    <n v="216.18"/>
    <n v="1"/>
    <x v="0"/>
    <d v="2025-02-26T00:00:00"/>
    <n v="109"/>
    <x v="2"/>
    <x v="3"/>
  </r>
  <r>
    <n v="716"/>
    <x v="0"/>
    <n v="0"/>
    <n v="483.65"/>
    <x v="30"/>
    <x v="492"/>
    <x v="4"/>
    <x v="3"/>
    <n v="261.39999999999998"/>
    <n v="1"/>
    <x v="4"/>
    <d v="2025-03-18T00:00:00"/>
    <n v="32"/>
    <x v="0"/>
    <x v="1"/>
  </r>
  <r>
    <n v="718"/>
    <x v="1"/>
    <n v="1"/>
    <n v="180.9"/>
    <x v="17"/>
    <x v="493"/>
    <x v="4"/>
    <x v="3"/>
    <n v="75.819999999999993"/>
    <n v="1"/>
    <x v="4"/>
    <d v="2025-03-14T00:00:00"/>
    <n v="64"/>
    <x v="0"/>
    <x v="0"/>
  </r>
  <r>
    <n v="719"/>
    <x v="0"/>
    <n v="0"/>
    <n v="381.98"/>
    <x v="13"/>
    <x v="494"/>
    <x v="4"/>
    <x v="2"/>
    <n v="95.18"/>
    <n v="1"/>
    <x v="2"/>
    <d v="2025-05-14T00:00:00"/>
    <n v="-22"/>
    <x v="1"/>
    <x v="3"/>
  </r>
  <r>
    <n v="72"/>
    <x v="0"/>
    <n v="0"/>
    <n v="622.14"/>
    <x v="20"/>
    <x v="495"/>
    <x v="0"/>
    <x v="1"/>
    <n v="46.99"/>
    <n v="1"/>
    <x v="2"/>
    <d v="2025-02-05T00:00:00"/>
    <n v="103"/>
    <x v="2"/>
    <x v="0"/>
  </r>
  <r>
    <n v="722"/>
    <x v="1"/>
    <n v="0"/>
    <n v="238.35"/>
    <x v="26"/>
    <x v="40"/>
    <x v="5"/>
    <x v="5"/>
    <n v="36.99"/>
    <n v="1"/>
    <x v="0"/>
    <d v="2025-04-20T00:00:00"/>
    <n v="14"/>
    <x v="0"/>
    <x v="3"/>
  </r>
  <r>
    <n v="724"/>
    <x v="0"/>
    <n v="0"/>
    <n v="183.62"/>
    <x v="38"/>
    <x v="496"/>
    <x v="0"/>
    <x v="4"/>
    <n v="107.07"/>
    <n v="1"/>
    <x v="1"/>
    <d v="2025-04-23T00:00:00"/>
    <n v="37"/>
    <x v="0"/>
    <x v="1"/>
  </r>
  <r>
    <n v="725"/>
    <x v="1"/>
    <n v="0"/>
    <n v="401.53"/>
    <x v="40"/>
    <x v="354"/>
    <x v="4"/>
    <x v="5"/>
    <n v="67.180000000000007"/>
    <n v="1"/>
    <x v="1"/>
    <d v="2025-03-25T00:00:00"/>
    <n v="82"/>
    <x v="0"/>
    <x v="2"/>
  </r>
  <r>
    <n v="727"/>
    <x v="0"/>
    <n v="0"/>
    <n v="330.45"/>
    <x v="13"/>
    <x v="497"/>
    <x v="5"/>
    <x v="2"/>
    <n v="226.35000000000002"/>
    <n v="1"/>
    <x v="3"/>
    <d v="2025-04-19T00:00:00"/>
    <n v="3"/>
    <x v="0"/>
    <x v="3"/>
  </r>
  <r>
    <n v="728"/>
    <x v="1"/>
    <n v="1"/>
    <n v="309.68"/>
    <x v="35"/>
    <x v="498"/>
    <x v="5"/>
    <x v="5"/>
    <n v="98.49"/>
    <n v="1"/>
    <x v="1"/>
    <d v="2025-05-26T00:00:00"/>
    <n v="-8"/>
    <x v="1"/>
    <x v="4"/>
  </r>
  <r>
    <n v="729"/>
    <x v="0"/>
    <n v="0"/>
    <n v="350.42"/>
    <x v="5"/>
    <x v="21"/>
    <x v="4"/>
    <x v="5"/>
    <n v="44.32"/>
    <n v="1"/>
    <x v="3"/>
    <d v="2025-03-23T00:00:00"/>
    <n v="35"/>
    <x v="0"/>
    <x v="0"/>
  </r>
  <r>
    <n v="73"/>
    <x v="0"/>
    <n v="0"/>
    <n v="453.55"/>
    <x v="20"/>
    <x v="59"/>
    <x v="3"/>
    <x v="1"/>
    <n v="36.880000000000003"/>
    <n v="1"/>
    <x v="4"/>
    <d v="2025-02-23T00:00:00"/>
    <n v="85"/>
    <x v="0"/>
    <x v="0"/>
  </r>
  <r>
    <n v="730"/>
    <x v="0"/>
    <n v="0"/>
    <n v="191.32"/>
    <x v="20"/>
    <x v="7"/>
    <x v="4"/>
    <x v="1"/>
    <n v="111.82"/>
    <n v="1"/>
    <x v="1"/>
    <d v="2025-05-12T00:00:00"/>
    <n v="7"/>
    <x v="0"/>
    <x v="1"/>
  </r>
  <r>
    <n v="736"/>
    <x v="0"/>
    <n v="0"/>
    <n v="572.20000000000005"/>
    <x v="32"/>
    <x v="94"/>
    <x v="1"/>
    <x v="1"/>
    <n v="311.60000000000002"/>
    <n v="1"/>
    <x v="3"/>
    <d v="2025-03-28T00:00:00"/>
    <n v="17"/>
    <x v="0"/>
    <x v="4"/>
  </r>
  <r>
    <n v="737"/>
    <x v="0"/>
    <n v="0"/>
    <n v="410.06"/>
    <x v="13"/>
    <x v="499"/>
    <x v="3"/>
    <x v="2"/>
    <n v="189.76"/>
    <n v="1"/>
    <x v="2"/>
    <d v="2025-03-03T00:00:00"/>
    <n v="50"/>
    <x v="0"/>
    <x v="4"/>
  </r>
  <r>
    <n v="739"/>
    <x v="1"/>
    <n v="0"/>
    <n v="350.65"/>
    <x v="6"/>
    <x v="417"/>
    <x v="3"/>
    <x v="1"/>
    <n v="103.6"/>
    <n v="1"/>
    <x v="0"/>
    <d v="2025-04-10T00:00:00"/>
    <n v="25"/>
    <x v="0"/>
    <x v="1"/>
  </r>
  <r>
    <n v="740"/>
    <x v="0"/>
    <n v="0"/>
    <n v="415.23"/>
    <x v="45"/>
    <x v="500"/>
    <x v="5"/>
    <x v="2"/>
    <n v="148.47999999999999"/>
    <n v="1"/>
    <x v="3"/>
    <d v="2025-01-23T00:00:00"/>
    <n v="96"/>
    <x v="2"/>
    <x v="2"/>
  </r>
  <r>
    <n v="742"/>
    <x v="1"/>
    <n v="0"/>
    <n v="227.27"/>
    <x v="27"/>
    <x v="501"/>
    <x v="4"/>
    <x v="5"/>
    <n v="108.03"/>
    <n v="1"/>
    <x v="3"/>
    <d v="2025-03-19T00:00:00"/>
    <n v="32"/>
    <x v="0"/>
    <x v="1"/>
  </r>
  <r>
    <n v="744"/>
    <x v="1"/>
    <n v="0"/>
    <n v="202.93"/>
    <x v="4"/>
    <x v="304"/>
    <x v="1"/>
    <x v="4"/>
    <n v="51.17"/>
    <n v="1"/>
    <x v="3"/>
    <d v="2025-02-19T00:00:00"/>
    <n v="107"/>
    <x v="2"/>
    <x v="0"/>
  </r>
  <r>
    <n v="745"/>
    <x v="0"/>
    <n v="0"/>
    <n v="120.29"/>
    <x v="33"/>
    <x v="308"/>
    <x v="4"/>
    <x v="1"/>
    <n v="39.03"/>
    <n v="1"/>
    <x v="4"/>
    <d v="2025-03-27T00:00:00"/>
    <n v="32"/>
    <x v="0"/>
    <x v="0"/>
  </r>
  <r>
    <n v="746"/>
    <x v="0"/>
    <n v="0"/>
    <n v="302.39999999999998"/>
    <x v="11"/>
    <x v="502"/>
    <x v="3"/>
    <x v="4"/>
    <n v="86.68"/>
    <n v="1"/>
    <x v="4"/>
    <d v="2025-02-12T00:00:00"/>
    <n v="93"/>
    <x v="2"/>
    <x v="0"/>
  </r>
  <r>
    <n v="747"/>
    <x v="1"/>
    <n v="0"/>
    <n v="250.93"/>
    <x v="1"/>
    <x v="244"/>
    <x v="1"/>
    <x v="1"/>
    <n v="76.150000000000006"/>
    <n v="1"/>
    <x v="4"/>
    <d v="2025-04-22T00:00:00"/>
    <n v="-1"/>
    <x v="1"/>
    <x v="4"/>
  </r>
  <r>
    <n v="749"/>
    <x v="0"/>
    <n v="0"/>
    <n v="240.91"/>
    <x v="48"/>
    <x v="196"/>
    <x v="1"/>
    <x v="3"/>
    <n v="53.35"/>
    <n v="1"/>
    <x v="4"/>
    <d v="2025-04-17T00:00:00"/>
    <n v="9"/>
    <x v="0"/>
    <x v="1"/>
  </r>
  <r>
    <n v="75"/>
    <x v="1"/>
    <n v="0"/>
    <n v="526.82000000000005"/>
    <x v="14"/>
    <x v="503"/>
    <x v="4"/>
    <x v="6"/>
    <n v="45.27"/>
    <n v="1"/>
    <x v="3"/>
    <d v="2025-04-02T00:00:00"/>
    <n v="50"/>
    <x v="0"/>
    <x v="3"/>
  </r>
  <r>
    <n v="750"/>
    <x v="0"/>
    <n v="0"/>
    <n v="230.45"/>
    <x v="7"/>
    <x v="504"/>
    <x v="2"/>
    <x v="0"/>
    <n v="40.770000000000003"/>
    <n v="1"/>
    <x v="3"/>
    <d v="2025-04-06T00:00:00"/>
    <n v="10"/>
    <x v="0"/>
    <x v="4"/>
  </r>
  <r>
    <n v="751"/>
    <x v="0"/>
    <n v="0"/>
    <n v="342.96"/>
    <x v="23"/>
    <x v="505"/>
    <x v="0"/>
    <x v="1"/>
    <n v="87.68"/>
    <n v="1"/>
    <x v="3"/>
    <d v="2025-01-22T00:00:00"/>
    <n v="145"/>
    <x v="2"/>
    <x v="3"/>
  </r>
  <r>
    <n v="753"/>
    <x v="1"/>
    <n v="0"/>
    <n v="368.2"/>
    <x v="3"/>
    <x v="254"/>
    <x v="5"/>
    <x v="3"/>
    <n v="116.52"/>
    <n v="1"/>
    <x v="0"/>
    <d v="2025-04-06T00:00:00"/>
    <n v="-1"/>
    <x v="1"/>
    <x v="0"/>
  </r>
  <r>
    <n v="755"/>
    <x v="1"/>
    <n v="0"/>
    <n v="298.02"/>
    <x v="16"/>
    <x v="506"/>
    <x v="5"/>
    <x v="3"/>
    <n v="60.7"/>
    <n v="1"/>
    <x v="2"/>
    <d v="2025-04-01T00:00:00"/>
    <n v="74"/>
    <x v="0"/>
    <x v="0"/>
  </r>
  <r>
    <n v="756"/>
    <x v="0"/>
    <n v="0"/>
    <n v="481.76"/>
    <x v="22"/>
    <x v="280"/>
    <x v="0"/>
    <x v="4"/>
    <n v="326.8"/>
    <n v="1"/>
    <x v="2"/>
    <d v="2025-05-06T00:00:00"/>
    <n v="38"/>
    <x v="0"/>
    <x v="0"/>
  </r>
  <r>
    <n v="757"/>
    <x v="0"/>
    <n v="0"/>
    <n v="309.83"/>
    <x v="48"/>
    <x v="9"/>
    <x v="3"/>
    <x v="3"/>
    <n v="89.429999999999993"/>
    <n v="1"/>
    <x v="2"/>
    <d v="2025-03-26T00:00:00"/>
    <n v="31"/>
    <x v="0"/>
    <x v="1"/>
  </r>
  <r>
    <n v="760"/>
    <x v="0"/>
    <n v="0"/>
    <n v="248.96"/>
    <x v="50"/>
    <x v="507"/>
    <x v="4"/>
    <x v="4"/>
    <n v="99.68"/>
    <n v="1"/>
    <x v="3"/>
    <d v="2025-01-31T00:00:00"/>
    <n v="63"/>
    <x v="0"/>
    <x v="4"/>
  </r>
  <r>
    <n v="761"/>
    <x v="0"/>
    <n v="0"/>
    <n v="232.67"/>
    <x v="25"/>
    <x v="388"/>
    <x v="1"/>
    <x v="3"/>
    <n v="59.77"/>
    <n v="1"/>
    <x v="4"/>
    <d v="2025-04-10T00:00:00"/>
    <n v="51"/>
    <x v="0"/>
    <x v="3"/>
  </r>
  <r>
    <n v="762"/>
    <x v="0"/>
    <n v="0"/>
    <n v="222.42"/>
    <x v="22"/>
    <x v="24"/>
    <x v="1"/>
    <x v="4"/>
    <n v="51.27"/>
    <n v="1"/>
    <x v="0"/>
    <d v="2025-02-17T00:00:00"/>
    <n v="116"/>
    <x v="2"/>
    <x v="3"/>
  </r>
  <r>
    <n v="763"/>
    <x v="0"/>
    <n v="0"/>
    <n v="301.16000000000003"/>
    <x v="1"/>
    <x v="508"/>
    <x v="2"/>
    <x v="1"/>
    <n v="52.08"/>
    <n v="1"/>
    <x v="4"/>
    <d v="2025-05-09T00:00:00"/>
    <n v="-18"/>
    <x v="1"/>
    <x v="4"/>
  </r>
  <r>
    <n v="765"/>
    <x v="0"/>
    <n v="0"/>
    <n v="536.98"/>
    <x v="27"/>
    <x v="509"/>
    <x v="3"/>
    <x v="5"/>
    <n v="268.27999999999997"/>
    <n v="1"/>
    <x v="2"/>
    <d v="2025-03-03T00:00:00"/>
    <n v="48"/>
    <x v="0"/>
    <x v="3"/>
  </r>
  <r>
    <n v="766"/>
    <x v="1"/>
    <n v="0"/>
    <n v="399.31"/>
    <x v="23"/>
    <x v="356"/>
    <x v="2"/>
    <x v="1"/>
    <n v="38.81"/>
    <n v="1"/>
    <x v="3"/>
    <d v="2025-04-14T00:00:00"/>
    <n v="63"/>
    <x v="0"/>
    <x v="4"/>
  </r>
  <r>
    <n v="767"/>
    <x v="1"/>
    <n v="0"/>
    <n v="423.12"/>
    <x v="30"/>
    <x v="510"/>
    <x v="3"/>
    <x v="3"/>
    <n v="122.52"/>
    <n v="1"/>
    <x v="3"/>
    <d v="2025-03-26T00:00:00"/>
    <n v="24"/>
    <x v="0"/>
    <x v="0"/>
  </r>
  <r>
    <n v="768"/>
    <x v="0"/>
    <n v="0"/>
    <n v="220.42"/>
    <x v="46"/>
    <x v="255"/>
    <x v="5"/>
    <x v="0"/>
    <n v="118.64"/>
    <n v="1"/>
    <x v="1"/>
    <d v="2025-02-14T00:00:00"/>
    <n v="103"/>
    <x v="2"/>
    <x v="4"/>
  </r>
  <r>
    <n v="769"/>
    <x v="0"/>
    <n v="0"/>
    <n v="490.92"/>
    <x v="6"/>
    <x v="511"/>
    <x v="4"/>
    <x v="1"/>
    <n v="231.92"/>
    <n v="1"/>
    <x v="2"/>
    <d v="2025-03-19T00:00:00"/>
    <n v="47"/>
    <x v="0"/>
    <x v="3"/>
  </r>
  <r>
    <n v="770"/>
    <x v="0"/>
    <n v="0"/>
    <n v="430.6"/>
    <x v="33"/>
    <x v="512"/>
    <x v="2"/>
    <x v="1"/>
    <n v="217"/>
    <n v="1"/>
    <x v="1"/>
    <d v="2025-03-22T00:00:00"/>
    <n v="37"/>
    <x v="0"/>
    <x v="0"/>
  </r>
  <r>
    <n v="772"/>
    <x v="0"/>
    <n v="0"/>
    <n v="334.34"/>
    <x v="33"/>
    <x v="513"/>
    <x v="1"/>
    <x v="1"/>
    <n v="129.68"/>
    <n v="1"/>
    <x v="0"/>
    <d v="2025-04-18T00:00:00"/>
    <n v="10"/>
    <x v="0"/>
    <x v="2"/>
  </r>
  <r>
    <n v="774"/>
    <x v="1"/>
    <n v="0"/>
    <n v="335.05"/>
    <x v="14"/>
    <x v="202"/>
    <x v="2"/>
    <x v="6"/>
    <n v="172.05"/>
    <n v="1"/>
    <x v="1"/>
    <d v="2025-03-14T00:00:00"/>
    <n v="69"/>
    <x v="0"/>
    <x v="3"/>
  </r>
  <r>
    <n v="776"/>
    <x v="0"/>
    <n v="0"/>
    <n v="294.06"/>
    <x v="35"/>
    <x v="514"/>
    <x v="5"/>
    <x v="5"/>
    <n v="47.66"/>
    <n v="1"/>
    <x v="3"/>
    <d v="2025-03-29T00:00:00"/>
    <n v="50"/>
    <x v="0"/>
    <x v="3"/>
  </r>
  <r>
    <n v="777"/>
    <x v="0"/>
    <n v="0"/>
    <n v="310.70999999999998"/>
    <x v="46"/>
    <x v="267"/>
    <x v="5"/>
    <x v="0"/>
    <n v="49.81"/>
    <n v="1"/>
    <x v="0"/>
    <d v="2025-02-06T00:00:00"/>
    <n v="111"/>
    <x v="2"/>
    <x v="4"/>
  </r>
  <r>
    <n v="778"/>
    <x v="0"/>
    <n v="0"/>
    <n v="96.18"/>
    <x v="43"/>
    <x v="515"/>
    <x v="1"/>
    <x v="5"/>
    <n v="53.46"/>
    <n v="1"/>
    <x v="2"/>
    <d v="2025-03-09T00:00:00"/>
    <n v="35"/>
    <x v="0"/>
    <x v="2"/>
  </r>
  <r>
    <n v="779"/>
    <x v="1"/>
    <n v="0"/>
    <n v="194.09"/>
    <x v="9"/>
    <x v="516"/>
    <x v="5"/>
    <x v="6"/>
    <n v="61.67"/>
    <n v="1"/>
    <x v="3"/>
    <d v="2025-04-29T00:00:00"/>
    <n v="-12"/>
    <x v="1"/>
    <x v="2"/>
  </r>
  <r>
    <n v="78"/>
    <x v="0"/>
    <n v="0"/>
    <n v="683.47"/>
    <x v="35"/>
    <x v="517"/>
    <x v="1"/>
    <x v="5"/>
    <n v="57.17"/>
    <n v="1"/>
    <x v="2"/>
    <d v="2025-04-27T00:00:00"/>
    <n v="21"/>
    <x v="0"/>
    <x v="4"/>
  </r>
  <r>
    <n v="780"/>
    <x v="1"/>
    <n v="0"/>
    <n v="242.5"/>
    <x v="43"/>
    <x v="194"/>
    <x v="4"/>
    <x v="5"/>
    <n v="132.76"/>
    <n v="1"/>
    <x v="4"/>
    <d v="2025-02-22T00:00:00"/>
    <n v="50"/>
    <x v="0"/>
    <x v="1"/>
  </r>
  <r>
    <n v="781"/>
    <x v="1"/>
    <n v="0"/>
    <n v="232.42"/>
    <x v="49"/>
    <x v="518"/>
    <x v="4"/>
    <x v="0"/>
    <n v="123.2"/>
    <n v="1"/>
    <x v="0"/>
    <d v="2025-03-26T00:00:00"/>
    <n v="28"/>
    <x v="0"/>
    <x v="4"/>
  </r>
  <r>
    <n v="782"/>
    <x v="1"/>
    <n v="0"/>
    <n v="400.44"/>
    <x v="43"/>
    <x v="519"/>
    <x v="1"/>
    <x v="5"/>
    <n v="224.43"/>
    <n v="1"/>
    <x v="0"/>
    <d v="2025-02-14T00:00:00"/>
    <n v="58"/>
    <x v="0"/>
    <x v="2"/>
  </r>
  <r>
    <n v="785"/>
    <x v="1"/>
    <n v="0"/>
    <n v="200.97"/>
    <x v="25"/>
    <x v="72"/>
    <x v="0"/>
    <x v="3"/>
    <n v="52.82"/>
    <n v="1"/>
    <x v="1"/>
    <d v="2025-04-09T00:00:00"/>
    <n v="52"/>
    <x v="0"/>
    <x v="1"/>
  </r>
  <r>
    <n v="787"/>
    <x v="0"/>
    <n v="0"/>
    <n v="282.36"/>
    <x v="44"/>
    <x v="520"/>
    <x v="0"/>
    <x v="2"/>
    <n v="104.56"/>
    <n v="1"/>
    <x v="4"/>
    <d v="2025-04-12T00:00:00"/>
    <n v="66"/>
    <x v="0"/>
    <x v="3"/>
  </r>
  <r>
    <n v="790"/>
    <x v="0"/>
    <n v="0"/>
    <n v="639.14"/>
    <x v="30"/>
    <x v="435"/>
    <x v="2"/>
    <x v="3"/>
    <n v="261.04000000000002"/>
    <n v="1"/>
    <x v="3"/>
    <d v="2025-04-15T00:00:00"/>
    <n v="4"/>
    <x v="0"/>
    <x v="3"/>
  </r>
  <r>
    <n v="794"/>
    <x v="1"/>
    <n v="0"/>
    <n v="230.88"/>
    <x v="8"/>
    <x v="218"/>
    <x v="5"/>
    <x v="3"/>
    <n v="138.32999999999998"/>
    <n v="1"/>
    <x v="0"/>
    <d v="2025-02-03T00:00:00"/>
    <n v="110"/>
    <x v="2"/>
    <x v="2"/>
  </r>
  <r>
    <n v="795"/>
    <x v="1"/>
    <n v="0"/>
    <n v="275.01"/>
    <x v="1"/>
    <x v="521"/>
    <x v="2"/>
    <x v="1"/>
    <n v="171.96"/>
    <n v="1"/>
    <x v="4"/>
    <d v="2025-03-23T00:00:00"/>
    <n v="29"/>
    <x v="0"/>
    <x v="1"/>
  </r>
  <r>
    <n v="796"/>
    <x v="1"/>
    <n v="0"/>
    <n v="186.54"/>
    <x v="26"/>
    <x v="410"/>
    <x v="3"/>
    <x v="5"/>
    <n v="104.56"/>
    <n v="1"/>
    <x v="3"/>
    <d v="2025-01-20T00:00:00"/>
    <n v="104"/>
    <x v="2"/>
    <x v="1"/>
  </r>
  <r>
    <n v="797"/>
    <x v="0"/>
    <n v="0"/>
    <n v="266.89999999999998"/>
    <x v="0"/>
    <x v="365"/>
    <x v="4"/>
    <x v="0"/>
    <n v="122.54"/>
    <n v="1"/>
    <x v="3"/>
    <d v="2025-03-16T00:00:00"/>
    <n v="66"/>
    <x v="0"/>
    <x v="4"/>
  </r>
  <r>
    <n v="798"/>
    <x v="0"/>
    <n v="0"/>
    <n v="341.26"/>
    <x v="50"/>
    <x v="522"/>
    <x v="3"/>
    <x v="4"/>
    <n v="153.66"/>
    <n v="1"/>
    <x v="1"/>
    <d v="2025-05-08T00:00:00"/>
    <n v="-34"/>
    <x v="1"/>
    <x v="0"/>
  </r>
  <r>
    <n v="799"/>
    <x v="1"/>
    <n v="0"/>
    <n v="251.92"/>
    <x v="7"/>
    <x v="422"/>
    <x v="0"/>
    <x v="0"/>
    <n v="104.56"/>
    <n v="1"/>
    <x v="0"/>
    <d v="2025-03-18T00:00:00"/>
    <n v="29"/>
    <x v="0"/>
    <x v="3"/>
  </r>
  <r>
    <n v="8"/>
    <x v="1"/>
    <n v="0"/>
    <n v="408.13"/>
    <x v="34"/>
    <x v="188"/>
    <x v="4"/>
    <x v="1"/>
    <n v="145.16"/>
    <n v="1"/>
    <x v="4"/>
    <d v="2025-02-26T00:00:00"/>
    <n v="89"/>
    <x v="0"/>
    <x v="4"/>
  </r>
  <r>
    <n v="80"/>
    <x v="0"/>
    <n v="0"/>
    <n v="369.31"/>
    <x v="21"/>
    <x v="523"/>
    <x v="0"/>
    <x v="5"/>
    <n v="50.68"/>
    <n v="1"/>
    <x v="3"/>
    <d v="2025-04-02T00:00:00"/>
    <n v="53"/>
    <x v="0"/>
    <x v="1"/>
  </r>
  <r>
    <n v="800"/>
    <x v="0"/>
    <n v="0"/>
    <n v="555.4"/>
    <x v="8"/>
    <x v="361"/>
    <x v="4"/>
    <x v="3"/>
    <n v="156.9"/>
    <n v="1"/>
    <x v="2"/>
    <d v="2025-02-15T00:00:00"/>
    <n v="98"/>
    <x v="2"/>
    <x v="0"/>
  </r>
  <r>
    <n v="801"/>
    <x v="0"/>
    <n v="0"/>
    <n v="476.87"/>
    <x v="50"/>
    <x v="83"/>
    <x v="4"/>
    <x v="4"/>
    <n v="152.67000000000002"/>
    <n v="1"/>
    <x v="1"/>
    <d v="2025-03-10T00:00:00"/>
    <n v="25"/>
    <x v="0"/>
    <x v="1"/>
  </r>
  <r>
    <n v="802"/>
    <x v="1"/>
    <n v="0"/>
    <n v="456.18"/>
    <x v="10"/>
    <x v="330"/>
    <x v="3"/>
    <x v="0"/>
    <n v="133.97999999999999"/>
    <n v="1"/>
    <x v="4"/>
    <d v="2025-02-22T00:00:00"/>
    <n v="67"/>
    <x v="0"/>
    <x v="2"/>
  </r>
  <r>
    <n v="808"/>
    <x v="0"/>
    <n v="0"/>
    <n v="168.3"/>
    <x v="5"/>
    <x v="524"/>
    <x v="0"/>
    <x v="5"/>
    <n v="78.84"/>
    <n v="1"/>
    <x v="3"/>
    <d v="2025-05-21T00:00:00"/>
    <n v="-24"/>
    <x v="1"/>
    <x v="4"/>
  </r>
  <r>
    <n v="81"/>
    <x v="1"/>
    <n v="1"/>
    <n v="449.17"/>
    <x v="35"/>
    <x v="525"/>
    <x v="1"/>
    <x v="5"/>
    <n v="95.04"/>
    <n v="1"/>
    <x v="4"/>
    <d v="2025-02-24T00:00:00"/>
    <n v="83"/>
    <x v="0"/>
    <x v="4"/>
  </r>
  <r>
    <n v="810"/>
    <x v="1"/>
    <n v="0"/>
    <n v="319.98"/>
    <x v="23"/>
    <x v="526"/>
    <x v="2"/>
    <x v="1"/>
    <n v="64.819999999999993"/>
    <n v="1"/>
    <x v="3"/>
    <d v="2025-01-27T00:00:00"/>
    <n v="140"/>
    <x v="2"/>
    <x v="4"/>
  </r>
  <r>
    <n v="811"/>
    <x v="1"/>
    <n v="0"/>
    <n v="427.27"/>
    <x v="5"/>
    <x v="527"/>
    <x v="3"/>
    <x v="5"/>
    <n v="243.32"/>
    <n v="1"/>
    <x v="0"/>
    <d v="2025-03-27T00:00:00"/>
    <n v="31"/>
    <x v="0"/>
    <x v="4"/>
  </r>
  <r>
    <n v="812"/>
    <x v="0"/>
    <n v="0"/>
    <n v="246.26"/>
    <x v="1"/>
    <x v="528"/>
    <x v="4"/>
    <x v="1"/>
    <n v="47.36"/>
    <n v="1"/>
    <x v="4"/>
    <d v="2025-05-13T00:00:00"/>
    <n v="-22"/>
    <x v="1"/>
    <x v="1"/>
  </r>
  <r>
    <n v="815"/>
    <x v="1"/>
    <n v="0"/>
    <n v="160.88999999999999"/>
    <x v="5"/>
    <x v="438"/>
    <x v="0"/>
    <x v="5"/>
    <n v="55.01"/>
    <n v="1"/>
    <x v="3"/>
    <d v="2025-05-22T00:00:00"/>
    <n v="-25"/>
    <x v="1"/>
    <x v="0"/>
  </r>
  <r>
    <n v="816"/>
    <x v="1"/>
    <n v="1"/>
    <n v="160.13999999999999"/>
    <x v="42"/>
    <x v="178"/>
    <x v="4"/>
    <x v="6"/>
    <n v="83.7"/>
    <n v="1"/>
    <x v="3"/>
    <d v="2025-01-31T00:00:00"/>
    <n v="104"/>
    <x v="2"/>
    <x v="0"/>
  </r>
  <r>
    <n v="817"/>
    <x v="0"/>
    <n v="1"/>
    <n v="67.02"/>
    <x v="15"/>
    <x v="337"/>
    <x v="5"/>
    <x v="2"/>
    <n v="39.04"/>
    <n v="1"/>
    <x v="2"/>
    <d v="2025-02-11T00:00:00"/>
    <n v="84"/>
    <x v="0"/>
    <x v="3"/>
  </r>
  <r>
    <n v="818"/>
    <x v="0"/>
    <n v="0"/>
    <n v="250.7"/>
    <x v="23"/>
    <x v="223"/>
    <x v="0"/>
    <x v="1"/>
    <n v="165.18"/>
    <n v="1"/>
    <x v="4"/>
    <d v="2025-02-08T00:00:00"/>
    <n v="128"/>
    <x v="2"/>
    <x v="4"/>
  </r>
  <r>
    <n v="819"/>
    <x v="0"/>
    <n v="0"/>
    <n v="143.36000000000001"/>
    <x v="48"/>
    <x v="461"/>
    <x v="2"/>
    <x v="3"/>
    <n v="42.76"/>
    <n v="1"/>
    <x v="2"/>
    <d v="2025-05-12T00:00:00"/>
    <n v="-16"/>
    <x v="1"/>
    <x v="2"/>
  </r>
  <r>
    <n v="82"/>
    <x v="0"/>
    <n v="0"/>
    <n v="753.88"/>
    <x v="32"/>
    <x v="80"/>
    <x v="5"/>
    <x v="1"/>
    <n v="194.88"/>
    <n v="1"/>
    <x v="3"/>
    <d v="2025-02-07T00:00:00"/>
    <n v="66"/>
    <x v="0"/>
    <x v="3"/>
  </r>
  <r>
    <n v="820"/>
    <x v="0"/>
    <n v="0"/>
    <n v="463.74"/>
    <x v="27"/>
    <x v="146"/>
    <x v="1"/>
    <x v="5"/>
    <n v="195.78000000000003"/>
    <n v="1"/>
    <x v="3"/>
    <d v="2025-02-15T00:00:00"/>
    <n v="64"/>
    <x v="0"/>
    <x v="4"/>
  </r>
  <r>
    <n v="821"/>
    <x v="1"/>
    <n v="1"/>
    <n v="262.23"/>
    <x v="29"/>
    <x v="293"/>
    <x v="0"/>
    <x v="0"/>
    <n v="53.78"/>
    <n v="1"/>
    <x v="3"/>
    <d v="2025-03-27T00:00:00"/>
    <n v="48"/>
    <x v="0"/>
    <x v="1"/>
  </r>
  <r>
    <n v="822"/>
    <x v="1"/>
    <n v="1"/>
    <n v="202.69"/>
    <x v="35"/>
    <x v="529"/>
    <x v="3"/>
    <x v="5"/>
    <n v="119.03999999999999"/>
    <n v="1"/>
    <x v="1"/>
    <d v="2025-04-30T00:00:00"/>
    <n v="18"/>
    <x v="0"/>
    <x v="4"/>
  </r>
  <r>
    <n v="823"/>
    <x v="1"/>
    <n v="0"/>
    <n v="480.96"/>
    <x v="31"/>
    <x v="530"/>
    <x v="5"/>
    <x v="6"/>
    <n v="179.31"/>
    <n v="1"/>
    <x v="3"/>
    <d v="2025-04-03T00:00:00"/>
    <n v="21"/>
    <x v="0"/>
    <x v="3"/>
  </r>
  <r>
    <n v="824"/>
    <x v="0"/>
    <n v="0"/>
    <n v="223.28"/>
    <x v="6"/>
    <x v="531"/>
    <x v="4"/>
    <x v="1"/>
    <n v="104.56"/>
    <n v="1"/>
    <x v="1"/>
    <d v="2025-04-17T00:00:00"/>
    <n v="18"/>
    <x v="0"/>
    <x v="1"/>
  </r>
  <r>
    <n v="825"/>
    <x v="1"/>
    <n v="1"/>
    <n v="295.16000000000003"/>
    <x v="28"/>
    <x v="532"/>
    <x v="2"/>
    <x v="2"/>
    <n v="87.92"/>
    <n v="1"/>
    <x v="4"/>
    <d v="2025-02-26T00:00:00"/>
    <n v="76"/>
    <x v="0"/>
    <x v="0"/>
  </r>
  <r>
    <n v="827"/>
    <x v="0"/>
    <n v="0"/>
    <n v="251.9"/>
    <x v="16"/>
    <x v="162"/>
    <x v="0"/>
    <x v="3"/>
    <n v="52.94"/>
    <n v="1"/>
    <x v="3"/>
    <d v="2025-04-01T00:00:00"/>
    <n v="74"/>
    <x v="0"/>
    <x v="1"/>
  </r>
  <r>
    <n v="830"/>
    <x v="1"/>
    <n v="0"/>
    <n v="226.8"/>
    <x v="16"/>
    <x v="447"/>
    <x v="2"/>
    <x v="3"/>
    <n v="116.43"/>
    <n v="1"/>
    <x v="1"/>
    <d v="2025-03-19T00:00:00"/>
    <n v="87"/>
    <x v="0"/>
    <x v="4"/>
  </r>
  <r>
    <n v="832"/>
    <x v="0"/>
    <n v="0"/>
    <n v="266.58"/>
    <x v="49"/>
    <x v="215"/>
    <x v="3"/>
    <x v="0"/>
    <n v="69.48"/>
    <n v="1"/>
    <x v="4"/>
    <d v="2025-04-13T00:00:00"/>
    <n v="10"/>
    <x v="0"/>
    <x v="0"/>
  </r>
  <r>
    <n v="833"/>
    <x v="0"/>
    <n v="0"/>
    <n v="217.91"/>
    <x v="45"/>
    <x v="399"/>
    <x v="0"/>
    <x v="2"/>
    <n v="58.34"/>
    <n v="1"/>
    <x v="4"/>
    <d v="2025-04-18T00:00:00"/>
    <n v="11"/>
    <x v="0"/>
    <x v="2"/>
  </r>
  <r>
    <n v="834"/>
    <x v="1"/>
    <n v="0"/>
    <n v="196.52"/>
    <x v="44"/>
    <x v="302"/>
    <x v="4"/>
    <x v="2"/>
    <n v="40.770000000000003"/>
    <n v="1"/>
    <x v="2"/>
    <d v="2025-02-19T00:00:00"/>
    <n v="118"/>
    <x v="2"/>
    <x v="4"/>
  </r>
  <r>
    <n v="837"/>
    <x v="0"/>
    <n v="0"/>
    <n v="570.97"/>
    <x v="6"/>
    <x v="279"/>
    <x v="0"/>
    <x v="1"/>
    <n v="256.32"/>
    <n v="1"/>
    <x v="4"/>
    <d v="2025-02-08T00:00:00"/>
    <n v="86"/>
    <x v="0"/>
    <x v="3"/>
  </r>
  <r>
    <n v="838"/>
    <x v="0"/>
    <n v="0"/>
    <n v="348.02"/>
    <x v="12"/>
    <x v="95"/>
    <x v="3"/>
    <x v="2"/>
    <n v="105.3"/>
    <n v="1"/>
    <x v="4"/>
    <d v="2025-04-04T00:00:00"/>
    <n v="53"/>
    <x v="0"/>
    <x v="3"/>
  </r>
  <r>
    <n v="839"/>
    <x v="1"/>
    <n v="0"/>
    <n v="182.98"/>
    <x v="25"/>
    <x v="533"/>
    <x v="4"/>
    <x v="3"/>
    <n v="37.06"/>
    <n v="1"/>
    <x v="1"/>
    <d v="2025-01-14T00:00:00"/>
    <n v="137"/>
    <x v="2"/>
    <x v="1"/>
  </r>
  <r>
    <n v="84"/>
    <x v="0"/>
    <n v="0"/>
    <n v="519.80999999999995"/>
    <x v="17"/>
    <x v="331"/>
    <x v="0"/>
    <x v="3"/>
    <n v="84.2"/>
    <n v="1"/>
    <x v="3"/>
    <d v="2025-03-12T00:00:00"/>
    <n v="66"/>
    <x v="0"/>
    <x v="0"/>
  </r>
  <r>
    <n v="842"/>
    <x v="1"/>
    <n v="0"/>
    <n v="181.08"/>
    <x v="1"/>
    <x v="534"/>
    <x v="3"/>
    <x v="1"/>
    <n v="31.86"/>
    <n v="1"/>
    <x v="0"/>
    <d v="2025-03-18T00:00:00"/>
    <n v="34"/>
    <x v="0"/>
    <x v="3"/>
  </r>
  <r>
    <n v="843"/>
    <x v="1"/>
    <n v="0"/>
    <n v="232.34"/>
    <x v="4"/>
    <x v="237"/>
    <x v="0"/>
    <x v="4"/>
    <n v="132.66"/>
    <n v="1"/>
    <x v="4"/>
    <d v="2025-03-11T00:00:00"/>
    <n v="87"/>
    <x v="0"/>
    <x v="3"/>
  </r>
  <r>
    <n v="844"/>
    <x v="0"/>
    <n v="0"/>
    <n v="233.87"/>
    <x v="21"/>
    <x v="499"/>
    <x v="3"/>
    <x v="5"/>
    <n v="130.52000000000001"/>
    <n v="1"/>
    <x v="2"/>
    <d v="2025-03-03T00:00:00"/>
    <n v="83"/>
    <x v="0"/>
    <x v="3"/>
  </r>
  <r>
    <n v="845"/>
    <x v="0"/>
    <n v="0"/>
    <n v="310.35000000000002"/>
    <x v="34"/>
    <x v="359"/>
    <x v="4"/>
    <x v="1"/>
    <n v="45.8"/>
    <n v="1"/>
    <x v="2"/>
    <d v="2025-02-06T00:00:00"/>
    <n v="109"/>
    <x v="2"/>
    <x v="4"/>
  </r>
  <r>
    <n v="846"/>
    <x v="1"/>
    <n v="0"/>
    <n v="425.02"/>
    <x v="9"/>
    <x v="535"/>
    <x v="0"/>
    <x v="6"/>
    <n v="162.12"/>
    <n v="1"/>
    <x v="0"/>
    <d v="2025-04-17T00:00:00"/>
    <n v="0"/>
    <x v="0"/>
    <x v="4"/>
  </r>
  <r>
    <n v="848"/>
    <x v="1"/>
    <n v="0"/>
    <n v="181.08"/>
    <x v="4"/>
    <x v="536"/>
    <x v="1"/>
    <x v="4"/>
    <n v="125.84"/>
    <n v="1"/>
    <x v="0"/>
    <d v="2025-04-20T00:00:00"/>
    <n v="47"/>
    <x v="0"/>
    <x v="4"/>
  </r>
  <r>
    <n v="849"/>
    <x v="0"/>
    <n v="1"/>
    <n v="167.31"/>
    <x v="4"/>
    <x v="537"/>
    <x v="5"/>
    <x v="4"/>
    <n v="81.34"/>
    <n v="1"/>
    <x v="0"/>
    <d v="2025-03-09T00:00:00"/>
    <n v="89"/>
    <x v="0"/>
    <x v="1"/>
  </r>
  <r>
    <n v="85"/>
    <x v="0"/>
    <n v="0"/>
    <n v="410.73"/>
    <x v="42"/>
    <x v="205"/>
    <x v="5"/>
    <x v="6"/>
    <n v="59.64"/>
    <n v="1"/>
    <x v="4"/>
    <d v="2025-04-03T00:00:00"/>
    <n v="42"/>
    <x v="0"/>
    <x v="2"/>
  </r>
  <r>
    <n v="850"/>
    <x v="0"/>
    <n v="0"/>
    <n v="472.29"/>
    <x v="30"/>
    <x v="538"/>
    <x v="4"/>
    <x v="3"/>
    <n v="98.24"/>
    <n v="1"/>
    <x v="2"/>
    <d v="2025-03-08T00:00:00"/>
    <n v="42"/>
    <x v="0"/>
    <x v="1"/>
  </r>
  <r>
    <n v="852"/>
    <x v="1"/>
    <n v="0"/>
    <n v="387.92"/>
    <x v="49"/>
    <x v="91"/>
    <x v="4"/>
    <x v="0"/>
    <n v="143.44"/>
    <n v="1"/>
    <x v="1"/>
    <d v="2025-04-10T00:00:00"/>
    <n v="13"/>
    <x v="0"/>
    <x v="1"/>
  </r>
  <r>
    <n v="853"/>
    <x v="1"/>
    <n v="0"/>
    <n v="150.6"/>
    <x v="33"/>
    <x v="212"/>
    <x v="4"/>
    <x v="1"/>
    <n v="46.36"/>
    <n v="1"/>
    <x v="0"/>
    <d v="2025-03-29T00:00:00"/>
    <n v="30"/>
    <x v="0"/>
    <x v="0"/>
  </r>
  <r>
    <n v="854"/>
    <x v="0"/>
    <n v="0"/>
    <n v="255.78"/>
    <x v="7"/>
    <x v="185"/>
    <x v="4"/>
    <x v="0"/>
    <n v="74.7"/>
    <n v="1"/>
    <x v="2"/>
    <d v="2025-04-21T00:00:00"/>
    <n v="-5"/>
    <x v="1"/>
    <x v="3"/>
  </r>
  <r>
    <n v="855"/>
    <x v="1"/>
    <n v="0"/>
    <n v="390.32"/>
    <x v="0"/>
    <x v="495"/>
    <x v="0"/>
    <x v="0"/>
    <n v="137.39999999999998"/>
    <n v="1"/>
    <x v="2"/>
    <d v="2025-02-05T00:00:00"/>
    <n v="105"/>
    <x v="2"/>
    <x v="4"/>
  </r>
  <r>
    <n v="856"/>
    <x v="0"/>
    <n v="0"/>
    <n v="206.9"/>
    <x v="9"/>
    <x v="46"/>
    <x v="1"/>
    <x v="6"/>
    <n v="58.34"/>
    <n v="1"/>
    <x v="2"/>
    <d v="2025-02-18T00:00:00"/>
    <n v="58"/>
    <x v="0"/>
    <x v="2"/>
  </r>
  <r>
    <n v="857"/>
    <x v="1"/>
    <n v="0"/>
    <n v="377.18"/>
    <x v="7"/>
    <x v="539"/>
    <x v="0"/>
    <x v="0"/>
    <n v="161.22"/>
    <n v="1"/>
    <x v="2"/>
    <d v="2025-01-07T00:00:00"/>
    <n v="99"/>
    <x v="2"/>
    <x v="1"/>
  </r>
  <r>
    <n v="858"/>
    <x v="0"/>
    <n v="0"/>
    <n v="142.03"/>
    <x v="29"/>
    <x v="447"/>
    <x v="2"/>
    <x v="0"/>
    <n v="39.340000000000003"/>
    <n v="1"/>
    <x v="1"/>
    <d v="2025-03-19T00:00:00"/>
    <n v="56"/>
    <x v="0"/>
    <x v="2"/>
  </r>
  <r>
    <n v="859"/>
    <x v="0"/>
    <n v="0"/>
    <n v="289.32"/>
    <x v="14"/>
    <x v="540"/>
    <x v="0"/>
    <x v="6"/>
    <n v="174.32999999999998"/>
    <n v="1"/>
    <x v="2"/>
    <d v="2025-04-05T00:00:00"/>
    <n v="47"/>
    <x v="0"/>
    <x v="4"/>
  </r>
  <r>
    <n v="86"/>
    <x v="1"/>
    <n v="0"/>
    <n v="709.19"/>
    <x v="40"/>
    <x v="279"/>
    <x v="0"/>
    <x v="5"/>
    <n v="174.78"/>
    <n v="1"/>
    <x v="4"/>
    <d v="2025-02-08T00:00:00"/>
    <n v="127"/>
    <x v="2"/>
    <x v="0"/>
  </r>
  <r>
    <n v="861"/>
    <x v="0"/>
    <n v="0"/>
    <n v="406.56"/>
    <x v="1"/>
    <x v="163"/>
    <x v="3"/>
    <x v="1"/>
    <n v="105.88"/>
    <n v="1"/>
    <x v="2"/>
    <d v="2025-03-17T00:00:00"/>
    <n v="35"/>
    <x v="0"/>
    <x v="1"/>
  </r>
  <r>
    <n v="862"/>
    <x v="1"/>
    <n v="0"/>
    <n v="233.9"/>
    <x v="4"/>
    <x v="541"/>
    <x v="1"/>
    <x v="4"/>
    <n v="63.22"/>
    <n v="1"/>
    <x v="0"/>
    <d v="2025-02-24T00:00:00"/>
    <n v="102"/>
    <x v="2"/>
    <x v="0"/>
  </r>
  <r>
    <n v="863"/>
    <x v="0"/>
    <n v="0"/>
    <n v="384.64"/>
    <x v="9"/>
    <x v="540"/>
    <x v="0"/>
    <x v="6"/>
    <n v="74.28"/>
    <n v="1"/>
    <x v="2"/>
    <d v="2025-04-05T00:00:00"/>
    <n v="12"/>
    <x v="0"/>
    <x v="4"/>
  </r>
  <r>
    <n v="864"/>
    <x v="0"/>
    <n v="1"/>
    <n v="282.2"/>
    <x v="24"/>
    <x v="66"/>
    <x v="0"/>
    <x v="5"/>
    <n v="71.599999999999994"/>
    <n v="1"/>
    <x v="1"/>
    <d v="2025-03-27T00:00:00"/>
    <n v="10"/>
    <x v="0"/>
    <x v="4"/>
  </r>
  <r>
    <n v="865"/>
    <x v="0"/>
    <n v="0"/>
    <n v="362.23"/>
    <x v="19"/>
    <x v="542"/>
    <x v="1"/>
    <x v="6"/>
    <n v="177.28"/>
    <n v="1"/>
    <x v="0"/>
    <d v="2025-03-27T00:00:00"/>
    <n v="63"/>
    <x v="0"/>
    <x v="0"/>
  </r>
  <r>
    <n v="866"/>
    <x v="1"/>
    <n v="0"/>
    <n v="411.3"/>
    <x v="49"/>
    <x v="221"/>
    <x v="5"/>
    <x v="0"/>
    <n v="215.3"/>
    <n v="1"/>
    <x v="4"/>
    <d v="2025-03-03T00:00:00"/>
    <n v="51"/>
    <x v="0"/>
    <x v="0"/>
  </r>
  <r>
    <n v="868"/>
    <x v="1"/>
    <n v="0"/>
    <n v="66.930000000000007"/>
    <x v="8"/>
    <x v="543"/>
    <x v="3"/>
    <x v="3"/>
    <n v="46.11"/>
    <n v="1"/>
    <x v="0"/>
    <d v="2025-03-03T00:00:00"/>
    <n v="82"/>
    <x v="0"/>
    <x v="2"/>
  </r>
  <r>
    <n v="87"/>
    <x v="0"/>
    <n v="0"/>
    <n v="350.92"/>
    <x v="32"/>
    <x v="544"/>
    <x v="1"/>
    <x v="1"/>
    <n v="38.74"/>
    <n v="1"/>
    <x v="4"/>
    <d v="2025-03-07T00:00:00"/>
    <n v="38"/>
    <x v="0"/>
    <x v="3"/>
  </r>
  <r>
    <n v="870"/>
    <x v="1"/>
    <n v="0"/>
    <n v="363.72"/>
    <x v="46"/>
    <x v="234"/>
    <x v="0"/>
    <x v="0"/>
    <n v="172.07999999999998"/>
    <n v="1"/>
    <x v="2"/>
    <d v="2025-03-28T00:00:00"/>
    <n v="61"/>
    <x v="0"/>
    <x v="2"/>
  </r>
  <r>
    <n v="871"/>
    <x v="0"/>
    <n v="0"/>
    <n v="381.21"/>
    <x v="3"/>
    <x v="291"/>
    <x v="1"/>
    <x v="3"/>
    <n v="148.77000000000001"/>
    <n v="1"/>
    <x v="4"/>
    <d v="2025-05-08T00:00:00"/>
    <n v="-33"/>
    <x v="1"/>
    <x v="1"/>
  </r>
  <r>
    <n v="872"/>
    <x v="0"/>
    <n v="1"/>
    <n v="116.41"/>
    <x v="24"/>
    <x v="545"/>
    <x v="5"/>
    <x v="5"/>
    <n v="48.37"/>
    <n v="1"/>
    <x v="0"/>
    <d v="2025-03-11T00:00:00"/>
    <n v="26"/>
    <x v="0"/>
    <x v="2"/>
  </r>
  <r>
    <n v="873"/>
    <x v="0"/>
    <n v="0"/>
    <n v="263.07"/>
    <x v="14"/>
    <x v="80"/>
    <x v="5"/>
    <x v="6"/>
    <n v="42.67"/>
    <n v="1"/>
    <x v="3"/>
    <d v="2025-02-07T00:00:00"/>
    <n v="104"/>
    <x v="2"/>
    <x v="4"/>
  </r>
  <r>
    <n v="874"/>
    <x v="0"/>
    <n v="0"/>
    <n v="259.33"/>
    <x v="23"/>
    <x v="546"/>
    <x v="3"/>
    <x v="1"/>
    <n v="35.69"/>
    <n v="1"/>
    <x v="3"/>
    <d v="2025-04-01T00:00:00"/>
    <n v="76"/>
    <x v="0"/>
    <x v="1"/>
  </r>
  <r>
    <n v="875"/>
    <x v="1"/>
    <n v="1"/>
    <n v="161.27000000000001"/>
    <x v="17"/>
    <x v="430"/>
    <x v="4"/>
    <x v="3"/>
    <n v="39.79"/>
    <n v="1"/>
    <x v="3"/>
    <d v="2025-02-13T00:00:00"/>
    <n v="93"/>
    <x v="2"/>
    <x v="0"/>
  </r>
  <r>
    <n v="876"/>
    <x v="1"/>
    <n v="0"/>
    <n v="142.9"/>
    <x v="49"/>
    <x v="547"/>
    <x v="0"/>
    <x v="0"/>
    <n v="76.12"/>
    <n v="1"/>
    <x v="1"/>
    <d v="2025-06-12T00:00:00"/>
    <n v="-50"/>
    <x v="1"/>
    <x v="1"/>
  </r>
  <r>
    <n v="878"/>
    <x v="0"/>
    <n v="0"/>
    <n v="309.83"/>
    <x v="7"/>
    <x v="548"/>
    <x v="5"/>
    <x v="0"/>
    <n v="130.52000000000001"/>
    <n v="1"/>
    <x v="2"/>
    <d v="2025-05-02T00:00:00"/>
    <n v="-16"/>
    <x v="1"/>
    <x v="3"/>
  </r>
  <r>
    <n v="879"/>
    <x v="0"/>
    <n v="0"/>
    <n v="206.99"/>
    <x v="5"/>
    <x v="448"/>
    <x v="0"/>
    <x v="5"/>
    <n v="72.680000000000007"/>
    <n v="1"/>
    <x v="1"/>
    <d v="2025-02-04T00:00:00"/>
    <n v="82"/>
    <x v="0"/>
    <x v="3"/>
  </r>
  <r>
    <n v="88"/>
    <x v="1"/>
    <n v="0"/>
    <n v="577.9"/>
    <x v="43"/>
    <x v="549"/>
    <x v="0"/>
    <x v="5"/>
    <n v="38.03"/>
    <n v="1"/>
    <x v="2"/>
    <d v="2025-03-18T00:00:00"/>
    <n v="26"/>
    <x v="0"/>
    <x v="3"/>
  </r>
  <r>
    <n v="880"/>
    <x v="1"/>
    <n v="0"/>
    <n v="242.44"/>
    <x v="30"/>
    <x v="152"/>
    <x v="4"/>
    <x v="3"/>
    <n v="121.36"/>
    <n v="1"/>
    <x v="1"/>
    <d v="2025-03-15T00:00:00"/>
    <n v="35"/>
    <x v="0"/>
    <x v="2"/>
  </r>
  <r>
    <n v="882"/>
    <x v="1"/>
    <n v="0"/>
    <n v="88.11"/>
    <x v="40"/>
    <x v="483"/>
    <x v="2"/>
    <x v="5"/>
    <n v="56.44"/>
    <n v="1"/>
    <x v="1"/>
    <d v="2025-03-03T00:00:00"/>
    <n v="104"/>
    <x v="2"/>
    <x v="3"/>
  </r>
  <r>
    <n v="883"/>
    <x v="1"/>
    <n v="0"/>
    <n v="422.95"/>
    <x v="0"/>
    <x v="447"/>
    <x v="2"/>
    <x v="0"/>
    <n v="230.5"/>
    <n v="1"/>
    <x v="1"/>
    <d v="2025-03-19T00:00:00"/>
    <n v="63"/>
    <x v="0"/>
    <x v="0"/>
  </r>
  <r>
    <n v="884"/>
    <x v="1"/>
    <n v="0"/>
    <n v="402.96"/>
    <x v="41"/>
    <x v="84"/>
    <x v="4"/>
    <x v="0"/>
    <n v="135.35999999999999"/>
    <n v="1"/>
    <x v="0"/>
    <d v="2025-02-13T00:00:00"/>
    <n v="111"/>
    <x v="2"/>
    <x v="4"/>
  </r>
  <r>
    <n v="885"/>
    <x v="1"/>
    <n v="0"/>
    <n v="273.51"/>
    <x v="13"/>
    <x v="135"/>
    <x v="3"/>
    <x v="2"/>
    <n v="102.36"/>
    <n v="1"/>
    <x v="4"/>
    <d v="2025-04-25T00:00:00"/>
    <n v="-3"/>
    <x v="1"/>
    <x v="4"/>
  </r>
  <r>
    <n v="886"/>
    <x v="0"/>
    <n v="0"/>
    <n v="240.1"/>
    <x v="21"/>
    <x v="7"/>
    <x v="4"/>
    <x v="5"/>
    <n v="70.400000000000006"/>
    <n v="1"/>
    <x v="1"/>
    <d v="2025-05-12T00:00:00"/>
    <n v="13"/>
    <x v="0"/>
    <x v="1"/>
  </r>
  <r>
    <n v="89"/>
    <x v="0"/>
    <n v="0"/>
    <n v="312.2"/>
    <x v="36"/>
    <x v="550"/>
    <x v="1"/>
    <x v="4"/>
    <n v="59.58"/>
    <n v="1"/>
    <x v="0"/>
    <d v="2025-04-26T00:00:00"/>
    <n v="-1"/>
    <x v="1"/>
    <x v="4"/>
  </r>
  <r>
    <n v="890"/>
    <x v="0"/>
    <n v="0"/>
    <n v="323.23"/>
    <x v="37"/>
    <x v="138"/>
    <x v="2"/>
    <x v="4"/>
    <n v="88.28"/>
    <n v="1"/>
    <x v="1"/>
    <d v="2025-01-28T00:00:00"/>
    <n v="80"/>
    <x v="0"/>
    <x v="0"/>
  </r>
  <r>
    <n v="895"/>
    <x v="1"/>
    <n v="0"/>
    <n v="61.09"/>
    <x v="25"/>
    <x v="551"/>
    <x v="0"/>
    <x v="3"/>
    <n v="33.590000000000003"/>
    <n v="1"/>
    <x v="4"/>
    <d v="2025-05-04T00:00:00"/>
    <n v="27"/>
    <x v="0"/>
    <x v="0"/>
  </r>
  <r>
    <n v="896"/>
    <x v="1"/>
    <n v="1"/>
    <n v="182.89"/>
    <x v="11"/>
    <x v="407"/>
    <x v="3"/>
    <x v="4"/>
    <n v="69.64"/>
    <n v="1"/>
    <x v="1"/>
    <d v="2025-03-07T00:00:00"/>
    <n v="70"/>
    <x v="0"/>
    <x v="3"/>
  </r>
  <r>
    <n v="899"/>
    <x v="1"/>
    <n v="0"/>
    <n v="291.04000000000002"/>
    <x v="8"/>
    <x v="552"/>
    <x v="0"/>
    <x v="3"/>
    <n v="133.36000000000001"/>
    <n v="1"/>
    <x v="4"/>
    <d v="2025-04-16T00:00:00"/>
    <n v="38"/>
    <x v="0"/>
    <x v="4"/>
  </r>
  <r>
    <n v="90"/>
    <x v="0"/>
    <n v="0"/>
    <n v="377.12"/>
    <x v="34"/>
    <x v="284"/>
    <x v="0"/>
    <x v="1"/>
    <n v="43.64"/>
    <n v="1"/>
    <x v="2"/>
    <d v="2025-02-24T00:00:00"/>
    <n v="91"/>
    <x v="2"/>
    <x v="3"/>
  </r>
  <r>
    <n v="902"/>
    <x v="1"/>
    <n v="0"/>
    <n v="305.5"/>
    <x v="19"/>
    <x v="474"/>
    <x v="1"/>
    <x v="6"/>
    <n v="62.3"/>
    <n v="1"/>
    <x v="0"/>
    <d v="2025-03-24T00:00:00"/>
    <n v="66"/>
    <x v="0"/>
    <x v="1"/>
  </r>
  <r>
    <n v="903"/>
    <x v="1"/>
    <n v="0"/>
    <n v="446.43"/>
    <x v="30"/>
    <x v="4"/>
    <x v="2"/>
    <x v="3"/>
    <n v="208.48"/>
    <n v="1"/>
    <x v="3"/>
    <d v="2025-03-09T00:00:00"/>
    <n v="41"/>
    <x v="0"/>
    <x v="0"/>
  </r>
  <r>
    <n v="904"/>
    <x v="0"/>
    <n v="0"/>
    <n v="222.07"/>
    <x v="6"/>
    <x v="276"/>
    <x v="5"/>
    <x v="1"/>
    <n v="63.72"/>
    <n v="1"/>
    <x v="0"/>
    <d v="2025-02-25T00:00:00"/>
    <n v="69"/>
    <x v="0"/>
    <x v="3"/>
  </r>
  <r>
    <n v="905"/>
    <x v="1"/>
    <n v="0"/>
    <n v="133.9"/>
    <x v="38"/>
    <x v="424"/>
    <x v="5"/>
    <x v="4"/>
    <n v="73.38"/>
    <n v="1"/>
    <x v="1"/>
    <d v="2025-02-25T00:00:00"/>
    <n v="94"/>
    <x v="2"/>
    <x v="0"/>
  </r>
  <r>
    <n v="906"/>
    <x v="0"/>
    <n v="0"/>
    <n v="297.44"/>
    <x v="33"/>
    <x v="112"/>
    <x v="0"/>
    <x v="1"/>
    <n v="97.28"/>
    <n v="1"/>
    <x v="0"/>
    <d v="2025-04-18T00:00:00"/>
    <n v="10"/>
    <x v="0"/>
    <x v="0"/>
  </r>
  <r>
    <n v="907"/>
    <x v="0"/>
    <n v="0"/>
    <n v="247.13"/>
    <x v="37"/>
    <x v="36"/>
    <x v="1"/>
    <x v="4"/>
    <n v="30.83"/>
    <n v="1"/>
    <x v="3"/>
    <d v="2025-02-28T00:00:00"/>
    <n v="49"/>
    <x v="0"/>
    <x v="3"/>
  </r>
  <r>
    <n v="908"/>
    <x v="1"/>
    <n v="0"/>
    <n v="224.36"/>
    <x v="48"/>
    <x v="467"/>
    <x v="4"/>
    <x v="3"/>
    <n v="41.88"/>
    <n v="1"/>
    <x v="4"/>
    <d v="2025-05-16T00:00:00"/>
    <n v="-20"/>
    <x v="1"/>
    <x v="0"/>
  </r>
  <r>
    <n v="909"/>
    <x v="1"/>
    <n v="0"/>
    <n v="461.34"/>
    <x v="13"/>
    <x v="423"/>
    <x v="2"/>
    <x v="2"/>
    <n v="146.19"/>
    <n v="1"/>
    <x v="3"/>
    <d v="2025-02-09T00:00:00"/>
    <n v="72"/>
    <x v="0"/>
    <x v="2"/>
  </r>
  <r>
    <n v="912"/>
    <x v="0"/>
    <n v="1"/>
    <n v="113.2"/>
    <x v="24"/>
    <x v="540"/>
    <x v="0"/>
    <x v="5"/>
    <n v="22.46"/>
    <n v="1"/>
    <x v="2"/>
    <d v="2025-04-05T00:00:00"/>
    <n v="1"/>
    <x v="0"/>
    <x v="3"/>
  </r>
  <r>
    <n v="913"/>
    <x v="1"/>
    <n v="0"/>
    <n v="303.24"/>
    <x v="12"/>
    <x v="379"/>
    <x v="2"/>
    <x v="2"/>
    <n v="144.04"/>
    <n v="1"/>
    <x v="2"/>
    <d v="2025-04-24T00:00:00"/>
    <n v="33"/>
    <x v="0"/>
    <x v="1"/>
  </r>
  <r>
    <n v="914"/>
    <x v="1"/>
    <n v="0"/>
    <n v="461.95"/>
    <x v="21"/>
    <x v="254"/>
    <x v="5"/>
    <x v="5"/>
    <n v="265.95"/>
    <n v="1"/>
    <x v="0"/>
    <d v="2025-04-06T00:00:00"/>
    <n v="49"/>
    <x v="0"/>
    <x v="2"/>
  </r>
  <r>
    <n v="915"/>
    <x v="0"/>
    <n v="0"/>
    <n v="241.74"/>
    <x v="27"/>
    <x v="289"/>
    <x v="1"/>
    <x v="5"/>
    <n v="122.24"/>
    <n v="1"/>
    <x v="0"/>
    <d v="2025-01-23T00:00:00"/>
    <n v="87"/>
    <x v="0"/>
    <x v="1"/>
  </r>
  <r>
    <n v="916"/>
    <x v="1"/>
    <n v="1"/>
    <n v="245.94"/>
    <x v="35"/>
    <x v="27"/>
    <x v="5"/>
    <x v="5"/>
    <n v="38.07"/>
    <n v="1"/>
    <x v="2"/>
    <d v="2025-04-24T00:00:00"/>
    <n v="24"/>
    <x v="0"/>
    <x v="4"/>
  </r>
  <r>
    <n v="918"/>
    <x v="0"/>
    <n v="0"/>
    <n v="256.76"/>
    <x v="18"/>
    <x v="553"/>
    <x v="5"/>
    <x v="2"/>
    <n v="102.8"/>
    <n v="1"/>
    <x v="4"/>
    <d v="2025-02-16T00:00:00"/>
    <n v="58"/>
    <x v="0"/>
    <x v="1"/>
  </r>
  <r>
    <n v="92"/>
    <x v="1"/>
    <n v="0"/>
    <n v="611.46"/>
    <x v="38"/>
    <x v="268"/>
    <x v="4"/>
    <x v="4"/>
    <n v="134.58000000000001"/>
    <n v="1"/>
    <x v="1"/>
    <d v="2025-04-04T00:00:00"/>
    <n v="56"/>
    <x v="0"/>
    <x v="3"/>
  </r>
  <r>
    <n v="921"/>
    <x v="1"/>
    <n v="1"/>
    <n v="117.84"/>
    <x v="20"/>
    <x v="243"/>
    <x v="0"/>
    <x v="1"/>
    <n v="69.42"/>
    <n v="1"/>
    <x v="0"/>
    <d v="2025-04-13T00:00:00"/>
    <n v="36"/>
    <x v="0"/>
    <x v="1"/>
  </r>
  <r>
    <n v="922"/>
    <x v="0"/>
    <n v="0"/>
    <n v="342.07"/>
    <x v="47"/>
    <x v="554"/>
    <x v="3"/>
    <x v="4"/>
    <n v="148.02000000000001"/>
    <n v="1"/>
    <x v="3"/>
    <d v="2025-05-02T00:00:00"/>
    <n v="21"/>
    <x v="0"/>
    <x v="4"/>
  </r>
  <r>
    <n v="924"/>
    <x v="0"/>
    <n v="0"/>
    <n v="430.55"/>
    <x v="26"/>
    <x v="555"/>
    <x v="0"/>
    <x v="5"/>
    <n v="172.05"/>
    <n v="1"/>
    <x v="2"/>
    <d v="2025-06-06T00:00:00"/>
    <n v="-33"/>
    <x v="1"/>
    <x v="0"/>
  </r>
  <r>
    <n v="925"/>
    <x v="0"/>
    <n v="0"/>
    <n v="343.79"/>
    <x v="31"/>
    <x v="17"/>
    <x v="0"/>
    <x v="6"/>
    <n v="42.14"/>
    <n v="1"/>
    <x v="0"/>
    <d v="2025-05-05T00:00:00"/>
    <n v="-11"/>
    <x v="1"/>
    <x v="3"/>
  </r>
  <r>
    <n v="926"/>
    <x v="0"/>
    <n v="0"/>
    <n v="110.78"/>
    <x v="19"/>
    <x v="72"/>
    <x v="0"/>
    <x v="6"/>
    <n v="27.5"/>
    <n v="1"/>
    <x v="1"/>
    <d v="2025-04-09T00:00:00"/>
    <n v="50"/>
    <x v="0"/>
    <x v="3"/>
  </r>
  <r>
    <n v="927"/>
    <x v="1"/>
    <n v="0"/>
    <n v="371.36"/>
    <x v="40"/>
    <x v="293"/>
    <x v="0"/>
    <x v="5"/>
    <n v="145.16"/>
    <n v="1"/>
    <x v="3"/>
    <d v="2025-03-27T00:00:00"/>
    <n v="80"/>
    <x v="0"/>
    <x v="4"/>
  </r>
  <r>
    <n v="931"/>
    <x v="0"/>
    <n v="0"/>
    <n v="270.18"/>
    <x v="44"/>
    <x v="556"/>
    <x v="3"/>
    <x v="2"/>
    <n v="31.86"/>
    <n v="1"/>
    <x v="2"/>
    <d v="2025-02-27T00:00:00"/>
    <n v="110"/>
    <x v="2"/>
    <x v="3"/>
  </r>
  <r>
    <n v="932"/>
    <x v="1"/>
    <n v="0"/>
    <n v="317.29000000000002"/>
    <x v="16"/>
    <x v="530"/>
    <x v="5"/>
    <x v="3"/>
    <n v="96.24"/>
    <n v="1"/>
    <x v="3"/>
    <d v="2025-04-03T00:00:00"/>
    <n v="72"/>
    <x v="0"/>
    <x v="1"/>
  </r>
  <r>
    <n v="934"/>
    <x v="0"/>
    <n v="0"/>
    <n v="146.03"/>
    <x v="11"/>
    <x v="438"/>
    <x v="0"/>
    <x v="4"/>
    <n v="36.01"/>
    <n v="1"/>
    <x v="3"/>
    <d v="2025-05-22T00:00:00"/>
    <n v="-6"/>
    <x v="1"/>
    <x v="1"/>
  </r>
  <r>
    <n v="937"/>
    <x v="1"/>
    <n v="0"/>
    <n v="293.27999999999997"/>
    <x v="23"/>
    <x v="557"/>
    <x v="4"/>
    <x v="1"/>
    <n v="103.6"/>
    <n v="1"/>
    <x v="0"/>
    <d v="2025-02-23T00:00:00"/>
    <n v="113"/>
    <x v="2"/>
    <x v="1"/>
  </r>
  <r>
    <n v="938"/>
    <x v="0"/>
    <n v="0"/>
    <n v="360.58"/>
    <x v="20"/>
    <x v="558"/>
    <x v="3"/>
    <x v="1"/>
    <n v="63.68"/>
    <n v="1"/>
    <x v="1"/>
    <d v="2025-04-19T00:00:00"/>
    <n v="30"/>
    <x v="0"/>
    <x v="4"/>
  </r>
  <r>
    <n v="94"/>
    <x v="0"/>
    <n v="0"/>
    <n v="396.88"/>
    <x v="43"/>
    <x v="559"/>
    <x v="0"/>
    <x v="5"/>
    <n v="78.319999999999993"/>
    <n v="1"/>
    <x v="3"/>
    <d v="2025-03-12T00:00:00"/>
    <n v="32"/>
    <x v="0"/>
    <x v="3"/>
  </r>
  <r>
    <n v="940"/>
    <x v="1"/>
    <n v="0"/>
    <n v="268.77"/>
    <x v="1"/>
    <x v="560"/>
    <x v="2"/>
    <x v="1"/>
    <n v="48.73"/>
    <n v="1"/>
    <x v="4"/>
    <d v="2025-02-23T00:00:00"/>
    <n v="57"/>
    <x v="0"/>
    <x v="2"/>
  </r>
  <r>
    <n v="942"/>
    <x v="0"/>
    <n v="0"/>
    <n v="376.17"/>
    <x v="45"/>
    <x v="561"/>
    <x v="4"/>
    <x v="2"/>
    <n v="204.66"/>
    <n v="1"/>
    <x v="1"/>
    <d v="2025-02-21T00:00:00"/>
    <n v="67"/>
    <x v="0"/>
    <x v="4"/>
  </r>
  <r>
    <n v="943"/>
    <x v="1"/>
    <n v="1"/>
    <n v="210.59"/>
    <x v="11"/>
    <x v="378"/>
    <x v="0"/>
    <x v="4"/>
    <n v="108.99"/>
    <n v="1"/>
    <x v="0"/>
    <d v="2025-02-26T00:00:00"/>
    <n v="79"/>
    <x v="0"/>
    <x v="3"/>
  </r>
  <r>
    <n v="944"/>
    <x v="0"/>
    <n v="0"/>
    <n v="246.83"/>
    <x v="16"/>
    <x v="562"/>
    <x v="1"/>
    <x v="3"/>
    <n v="45.62"/>
    <n v="1"/>
    <x v="3"/>
    <d v="2025-02-04T00:00:00"/>
    <n v="130"/>
    <x v="2"/>
    <x v="0"/>
  </r>
  <r>
    <n v="945"/>
    <x v="0"/>
    <n v="0"/>
    <n v="295.02"/>
    <x v="9"/>
    <x v="563"/>
    <x v="0"/>
    <x v="6"/>
    <n v="91.5"/>
    <n v="1"/>
    <x v="2"/>
    <d v="2025-03-13T00:00:00"/>
    <n v="35"/>
    <x v="0"/>
    <x v="0"/>
  </r>
  <r>
    <n v="946"/>
    <x v="1"/>
    <n v="0"/>
    <n v="192.66"/>
    <x v="7"/>
    <x v="346"/>
    <x v="5"/>
    <x v="0"/>
    <n v="63.82"/>
    <n v="1"/>
    <x v="1"/>
    <d v="2025-04-30T00:00:00"/>
    <n v="-14"/>
    <x v="1"/>
    <x v="0"/>
  </r>
  <r>
    <n v="947"/>
    <x v="0"/>
    <n v="0"/>
    <n v="97.73"/>
    <x v="23"/>
    <x v="564"/>
    <x v="5"/>
    <x v="1"/>
    <n v="58.11"/>
    <n v="1"/>
    <x v="0"/>
    <d v="2025-05-02T00:00:00"/>
    <n v="45"/>
    <x v="0"/>
    <x v="0"/>
  </r>
  <r>
    <n v="949"/>
    <x v="0"/>
    <n v="0"/>
    <n v="87.45"/>
    <x v="38"/>
    <x v="565"/>
    <x v="5"/>
    <x v="4"/>
    <n v="32.21"/>
    <n v="1"/>
    <x v="4"/>
    <d v="2025-04-02T00:00:00"/>
    <n v="58"/>
    <x v="0"/>
    <x v="3"/>
  </r>
  <r>
    <n v="950"/>
    <x v="0"/>
    <n v="0"/>
    <n v="524.09"/>
    <x v="12"/>
    <x v="533"/>
    <x v="4"/>
    <x v="2"/>
    <n v="238.24"/>
    <n v="1"/>
    <x v="1"/>
    <d v="2025-01-14T00:00:00"/>
    <n v="133"/>
    <x v="2"/>
    <x v="4"/>
  </r>
  <r>
    <n v="952"/>
    <x v="0"/>
    <n v="0"/>
    <n v="258.61"/>
    <x v="36"/>
    <x v="251"/>
    <x v="4"/>
    <x v="4"/>
    <n v="84.28"/>
    <n v="1"/>
    <x v="4"/>
    <d v="2025-03-02T00:00:00"/>
    <n v="54"/>
    <x v="0"/>
    <x v="3"/>
  </r>
  <r>
    <n v="953"/>
    <x v="1"/>
    <n v="0"/>
    <n v="532.29999999999995"/>
    <x v="7"/>
    <x v="566"/>
    <x v="5"/>
    <x v="0"/>
    <n v="312.60000000000002"/>
    <n v="1"/>
    <x v="4"/>
    <d v="2025-02-16T00:00:00"/>
    <n v="59"/>
    <x v="0"/>
    <x v="3"/>
  </r>
  <r>
    <n v="955"/>
    <x v="1"/>
    <n v="0"/>
    <n v="490.7"/>
    <x v="21"/>
    <x v="122"/>
    <x v="5"/>
    <x v="5"/>
    <n v="256.25"/>
    <n v="1"/>
    <x v="3"/>
    <d v="2025-02-12T00:00:00"/>
    <n v="102"/>
    <x v="2"/>
    <x v="4"/>
  </r>
  <r>
    <n v="956"/>
    <x v="1"/>
    <n v="0"/>
    <n v="166.11"/>
    <x v="25"/>
    <x v="178"/>
    <x v="4"/>
    <x v="3"/>
    <n v="49.59"/>
    <n v="1"/>
    <x v="3"/>
    <d v="2025-01-31T00:00:00"/>
    <n v="120"/>
    <x v="2"/>
    <x v="1"/>
  </r>
  <r>
    <n v="957"/>
    <x v="1"/>
    <n v="1"/>
    <n v="212.16"/>
    <x v="42"/>
    <x v="567"/>
    <x v="4"/>
    <x v="6"/>
    <n v="108.42"/>
    <n v="1"/>
    <x v="2"/>
    <d v="2025-06-12T00:00:00"/>
    <n v="-28"/>
    <x v="1"/>
    <x v="3"/>
  </r>
  <r>
    <n v="958"/>
    <x v="0"/>
    <n v="0"/>
    <n v="68.31"/>
    <x v="14"/>
    <x v="79"/>
    <x v="1"/>
    <x v="6"/>
    <n v="38.68"/>
    <n v="1"/>
    <x v="0"/>
    <d v="2025-02-23T00:00:00"/>
    <n v="88"/>
    <x v="0"/>
    <x v="4"/>
  </r>
  <r>
    <n v="959"/>
    <x v="0"/>
    <n v="0"/>
    <n v="167.82"/>
    <x v="26"/>
    <x v="568"/>
    <x v="3"/>
    <x v="5"/>
    <n v="50.34"/>
    <n v="1"/>
    <x v="3"/>
    <d v="2025-04-02T00:00:00"/>
    <n v="32"/>
    <x v="0"/>
    <x v="0"/>
  </r>
  <r>
    <n v="96"/>
    <x v="0"/>
    <n v="0"/>
    <n v="522.01"/>
    <x v="27"/>
    <x v="232"/>
    <x v="0"/>
    <x v="5"/>
    <n v="43.14"/>
    <n v="1"/>
    <x v="2"/>
    <d v="2025-01-21T00:00:00"/>
    <n v="89"/>
    <x v="0"/>
    <x v="0"/>
  </r>
  <r>
    <n v="960"/>
    <x v="0"/>
    <n v="0"/>
    <n v="223.28"/>
    <x v="46"/>
    <x v="569"/>
    <x v="1"/>
    <x v="0"/>
    <n v="49.92"/>
    <n v="1"/>
    <x v="1"/>
    <d v="2025-02-14T00:00:00"/>
    <n v="103"/>
    <x v="2"/>
    <x v="3"/>
  </r>
  <r>
    <n v="961"/>
    <x v="0"/>
    <n v="0"/>
    <n v="282.52999999999997"/>
    <x v="44"/>
    <x v="14"/>
    <x v="5"/>
    <x v="2"/>
    <n v="97.22999999999999"/>
    <n v="1"/>
    <x v="4"/>
    <d v="2025-05-12T00:00:00"/>
    <n v="36"/>
    <x v="0"/>
    <x v="4"/>
  </r>
  <r>
    <n v="963"/>
    <x v="0"/>
    <n v="0"/>
    <n v="173.16"/>
    <x v="41"/>
    <x v="27"/>
    <x v="5"/>
    <x v="0"/>
    <n v="45.58"/>
    <n v="1"/>
    <x v="2"/>
    <d v="2025-04-24T00:00:00"/>
    <n v="41"/>
    <x v="0"/>
    <x v="4"/>
  </r>
  <r>
    <n v="965"/>
    <x v="0"/>
    <n v="0"/>
    <n v="316.76"/>
    <x v="12"/>
    <x v="560"/>
    <x v="2"/>
    <x v="2"/>
    <n v="153"/>
    <n v="1"/>
    <x v="4"/>
    <d v="2025-02-23T00:00:00"/>
    <n v="93"/>
    <x v="2"/>
    <x v="2"/>
  </r>
  <r>
    <n v="966"/>
    <x v="0"/>
    <n v="0"/>
    <n v="200.11"/>
    <x v="17"/>
    <x v="570"/>
    <x v="4"/>
    <x v="3"/>
    <n v="40.99"/>
    <n v="1"/>
    <x v="3"/>
    <d v="2025-06-09T00:00:00"/>
    <n v="-23"/>
    <x v="1"/>
    <x v="4"/>
  </r>
  <r>
    <n v="967"/>
    <x v="1"/>
    <n v="0"/>
    <n v="281.54000000000002"/>
    <x v="48"/>
    <x v="571"/>
    <x v="4"/>
    <x v="3"/>
    <n v="114.74"/>
    <n v="1"/>
    <x v="4"/>
    <d v="2025-03-31T00:00:00"/>
    <n v="26"/>
    <x v="0"/>
    <x v="2"/>
  </r>
  <r>
    <n v="968"/>
    <x v="0"/>
    <n v="0"/>
    <n v="484.9"/>
    <x v="22"/>
    <x v="572"/>
    <x v="0"/>
    <x v="4"/>
    <n v="313.15000000000003"/>
    <n v="1"/>
    <x v="2"/>
    <d v="2025-02-27T00:00:00"/>
    <n v="106"/>
    <x v="2"/>
    <x v="1"/>
  </r>
  <r>
    <n v="969"/>
    <x v="0"/>
    <n v="0"/>
    <n v="216.4"/>
    <x v="14"/>
    <x v="123"/>
    <x v="4"/>
    <x v="6"/>
    <n v="128.56"/>
    <n v="1"/>
    <x v="4"/>
    <d v="2025-03-06T00:00:00"/>
    <n v="77"/>
    <x v="0"/>
    <x v="3"/>
  </r>
  <r>
    <n v="971"/>
    <x v="1"/>
    <n v="0"/>
    <n v="185.94"/>
    <x v="0"/>
    <x v="74"/>
    <x v="1"/>
    <x v="0"/>
    <n v="40.92"/>
    <n v="1"/>
    <x v="1"/>
    <d v="2025-04-11T00:00:00"/>
    <n v="40"/>
    <x v="0"/>
    <x v="0"/>
  </r>
  <r>
    <n v="973"/>
    <x v="1"/>
    <n v="0"/>
    <n v="442.48"/>
    <x v="44"/>
    <x v="78"/>
    <x v="0"/>
    <x v="2"/>
    <n v="246.68"/>
    <n v="1"/>
    <x v="4"/>
    <d v="2025-03-02T00:00:00"/>
    <n v="107"/>
    <x v="2"/>
    <x v="2"/>
  </r>
  <r>
    <n v="975"/>
    <x v="1"/>
    <n v="0"/>
    <n v="437.07"/>
    <x v="32"/>
    <x v="573"/>
    <x v="1"/>
    <x v="1"/>
    <n v="265.32"/>
    <n v="1"/>
    <x v="3"/>
    <d v="2025-04-10T00:00:00"/>
    <n v="4"/>
    <x v="0"/>
    <x v="3"/>
  </r>
  <r>
    <n v="976"/>
    <x v="0"/>
    <n v="1"/>
    <n v="220.59"/>
    <x v="4"/>
    <x v="300"/>
    <x v="2"/>
    <x v="4"/>
    <n v="60.18"/>
    <n v="1"/>
    <x v="4"/>
    <d v="2025-03-10T00:00:00"/>
    <n v="88"/>
    <x v="0"/>
    <x v="0"/>
  </r>
  <r>
    <n v="977"/>
    <x v="1"/>
    <n v="0"/>
    <n v="189.74"/>
    <x v="13"/>
    <x v="306"/>
    <x v="0"/>
    <x v="2"/>
    <n v="126.06"/>
    <n v="1"/>
    <x v="2"/>
    <d v="2025-03-08T00:00:00"/>
    <n v="45"/>
    <x v="0"/>
    <x v="2"/>
  </r>
  <r>
    <n v="978"/>
    <x v="0"/>
    <n v="0"/>
    <n v="355.24"/>
    <x v="27"/>
    <x v="483"/>
    <x v="2"/>
    <x v="5"/>
    <n v="143.72"/>
    <n v="1"/>
    <x v="1"/>
    <d v="2025-03-03T00:00:00"/>
    <n v="48"/>
    <x v="0"/>
    <x v="1"/>
  </r>
  <r>
    <n v="979"/>
    <x v="0"/>
    <n v="0"/>
    <n v="228.04"/>
    <x v="13"/>
    <x v="147"/>
    <x v="0"/>
    <x v="2"/>
    <n v="81.88"/>
    <n v="1"/>
    <x v="1"/>
    <d v="2025-04-11T00:00:00"/>
    <n v="11"/>
    <x v="0"/>
    <x v="1"/>
  </r>
  <r>
    <n v="98"/>
    <x v="0"/>
    <n v="0"/>
    <n v="413.91"/>
    <x v="2"/>
    <x v="101"/>
    <x v="5"/>
    <x v="2"/>
    <n v="124.96"/>
    <n v="1"/>
    <x v="1"/>
    <d v="2025-05-21T00:00:00"/>
    <n v="-1"/>
    <x v="1"/>
    <x v="3"/>
  </r>
  <r>
    <n v="980"/>
    <x v="1"/>
    <n v="0"/>
    <n v="448.26"/>
    <x v="12"/>
    <x v="102"/>
    <x v="1"/>
    <x v="2"/>
    <n v="198.36"/>
    <n v="1"/>
    <x v="3"/>
    <d v="2025-01-30T00:00:00"/>
    <n v="117"/>
    <x v="2"/>
    <x v="1"/>
  </r>
  <r>
    <n v="981"/>
    <x v="0"/>
    <n v="0"/>
    <n v="149.36000000000001"/>
    <x v="18"/>
    <x v="574"/>
    <x v="1"/>
    <x v="2"/>
    <n v="38.03"/>
    <n v="1"/>
    <x v="3"/>
    <d v="2025-04-02T00:00:00"/>
    <n v="13"/>
    <x v="0"/>
    <x v="3"/>
  </r>
  <r>
    <n v="982"/>
    <x v="1"/>
    <n v="1"/>
    <n v="193.4"/>
    <x v="20"/>
    <x v="575"/>
    <x v="1"/>
    <x v="1"/>
    <n v="90.78"/>
    <n v="1"/>
    <x v="3"/>
    <d v="2025-03-11T00:00:00"/>
    <n v="69"/>
    <x v="0"/>
    <x v="2"/>
  </r>
  <r>
    <n v="985"/>
    <x v="0"/>
    <n v="0"/>
    <n v="239.39"/>
    <x v="3"/>
    <x v="576"/>
    <x v="1"/>
    <x v="3"/>
    <n v="56.91"/>
    <n v="1"/>
    <x v="0"/>
    <d v="2025-03-31T00:00:00"/>
    <n v="5"/>
    <x v="0"/>
    <x v="1"/>
  </r>
  <r>
    <n v="986"/>
    <x v="1"/>
    <n v="0"/>
    <n v="229.64"/>
    <x v="47"/>
    <x v="523"/>
    <x v="0"/>
    <x v="4"/>
    <n v="146.19"/>
    <n v="1"/>
    <x v="3"/>
    <d v="2025-04-02T00:00:00"/>
    <n v="51"/>
    <x v="0"/>
    <x v="2"/>
  </r>
  <r>
    <n v="989"/>
    <x v="0"/>
    <n v="0"/>
    <n v="287.64"/>
    <x v="12"/>
    <x v="199"/>
    <x v="1"/>
    <x v="2"/>
    <n v="133.97999999999999"/>
    <n v="1"/>
    <x v="2"/>
    <d v="2025-03-03T00:00:00"/>
    <n v="85"/>
    <x v="0"/>
    <x v="2"/>
  </r>
  <r>
    <n v="990"/>
    <x v="1"/>
    <n v="0"/>
    <n v="458.36"/>
    <x v="9"/>
    <x v="577"/>
    <x v="0"/>
    <x v="6"/>
    <n v="238.24"/>
    <n v="1"/>
    <x v="3"/>
    <d v="2025-01-31T00:00:00"/>
    <n v="76"/>
    <x v="0"/>
    <x v="4"/>
  </r>
  <r>
    <n v="991"/>
    <x v="1"/>
    <n v="0"/>
    <n v="200.08"/>
    <x v="27"/>
    <x v="390"/>
    <x v="5"/>
    <x v="5"/>
    <n v="75.400000000000006"/>
    <n v="1"/>
    <x v="1"/>
    <d v="2025-03-28T00:00:00"/>
    <n v="23"/>
    <x v="0"/>
    <x v="3"/>
  </r>
  <r>
    <n v="992"/>
    <x v="1"/>
    <n v="1"/>
    <n v="214.08"/>
    <x v="28"/>
    <x v="578"/>
    <x v="1"/>
    <x v="2"/>
    <n v="46.64"/>
    <n v="1"/>
    <x v="2"/>
    <d v="2025-02-28T00:00:00"/>
    <n v="74"/>
    <x v="0"/>
    <x v="1"/>
  </r>
  <r>
    <n v="993"/>
    <x v="0"/>
    <n v="0"/>
    <n v="311.37"/>
    <x v="1"/>
    <x v="163"/>
    <x v="3"/>
    <x v="1"/>
    <n v="103.17"/>
    <n v="1"/>
    <x v="2"/>
    <d v="2025-03-17T00:00:00"/>
    <n v="35"/>
    <x v="0"/>
    <x v="0"/>
  </r>
  <r>
    <n v="994"/>
    <x v="1"/>
    <n v="1"/>
    <n v="477.09"/>
    <x v="42"/>
    <x v="202"/>
    <x v="2"/>
    <x v="6"/>
    <n v="285.95"/>
    <n v="1"/>
    <x v="1"/>
    <d v="2025-03-14T00:00:00"/>
    <n v="62"/>
    <x v="0"/>
    <x v="0"/>
  </r>
  <r>
    <n v="995"/>
    <x v="0"/>
    <n v="0"/>
    <n v="489.02"/>
    <x v="20"/>
    <x v="522"/>
    <x v="3"/>
    <x v="1"/>
    <n v="182.92"/>
    <n v="1"/>
    <x v="1"/>
    <d v="2025-05-08T00:00:00"/>
    <n v="11"/>
    <x v="0"/>
    <x v="0"/>
  </r>
  <r>
    <n v="999"/>
    <x v="0"/>
    <n v="0"/>
    <n v="109.62"/>
    <x v="23"/>
    <x v="579"/>
    <x v="0"/>
    <x v="1"/>
    <n v="39.22"/>
    <n v="1"/>
    <x v="1"/>
    <d v="2025-04-01T00:00:00"/>
    <n v="76"/>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BD2CAC-2569-424C-82C7-18531AA60E2F}"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3:C7" firstHeaderRow="0" firstDataRow="1" firstDataCol="1"/>
  <pivotFields count="19">
    <pivotField showAll="0"/>
    <pivotField showAll="0"/>
    <pivotField showAll="0"/>
    <pivotField showAll="0"/>
    <pivotField showAll="0"/>
    <pivotField showAll="0"/>
    <pivotField showAll="0"/>
    <pivotField numFmtId="10" showAll="0"/>
    <pivotField showAll="0"/>
    <pivotField showAll="0"/>
    <pivotField axis="axisRow" numFmtId="14" showAll="0">
      <items count="52">
        <item x="10"/>
        <item x="49"/>
        <item x="6"/>
        <item x="39"/>
        <item x="5"/>
        <item x="24"/>
        <item x="2"/>
        <item x="14"/>
        <item x="46"/>
        <item x="33"/>
        <item x="11"/>
        <item x="7"/>
        <item x="50"/>
        <item x="20"/>
        <item x="31"/>
        <item x="38"/>
        <item x="23"/>
        <item x="35"/>
        <item x="28"/>
        <item x="40"/>
        <item x="16"/>
        <item x="43"/>
        <item x="48"/>
        <item x="3"/>
        <item x="42"/>
        <item x="45"/>
        <item x="27"/>
        <item x="22"/>
        <item x="29"/>
        <item x="12"/>
        <item x="47"/>
        <item x="9"/>
        <item x="34"/>
        <item x="19"/>
        <item x="15"/>
        <item x="17"/>
        <item x="44"/>
        <item x="36"/>
        <item x="21"/>
        <item x="26"/>
        <item x="8"/>
        <item x="41"/>
        <item x="18"/>
        <item x="32"/>
        <item x="30"/>
        <item x="37"/>
        <item x="25"/>
        <item x="13"/>
        <item x="4"/>
        <item x="0"/>
        <item x="1"/>
        <item t="default"/>
      </items>
    </pivotField>
    <pivotField showAll="0"/>
    <pivotField showAll="0"/>
    <pivotField dataField="1"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8"/>
    <field x="10"/>
  </rowFields>
  <rowItems count="4">
    <i>
      <x v="4"/>
    </i>
    <i>
      <x v="5"/>
    </i>
    <i>
      <x v="6"/>
    </i>
    <i t="grand">
      <x/>
    </i>
  </rowItems>
  <colFields count="1">
    <field x="-2"/>
  </colFields>
  <colItems count="2">
    <i>
      <x/>
    </i>
    <i i="1">
      <x v="1"/>
    </i>
  </colItems>
  <dataFields count="2">
    <dataField name="Sum of revenue" fld="13" baseField="0" baseItem="0"/>
    <dataField name="Mom Growth" fld="13" showDataAs="percentDiff" baseField="18" baseItem="4" numFmtId="10"/>
  </dataFields>
  <chartFormats count="4">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15"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A29DFE-6462-47ED-A4E0-D3B1DF180C3C}"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1" firstHeaderRow="1" firstDataRow="1" firstDataCol="1"/>
  <pivotFields count="18">
    <pivotField showAll="0"/>
    <pivotField showAll="0">
      <items count="3">
        <item x="1"/>
        <item x="0"/>
        <item t="default"/>
      </items>
    </pivotField>
    <pivotField showAll="0"/>
    <pivotField showAll="0"/>
    <pivotField numFmtId="14" showAll="0">
      <items count="52">
        <item x="50"/>
        <item x="3"/>
        <item x="24"/>
        <item x="43"/>
        <item x="32"/>
        <item x="18"/>
        <item x="7"/>
        <item x="9"/>
        <item x="37"/>
        <item x="30"/>
        <item x="27"/>
        <item x="1"/>
        <item x="13"/>
        <item x="49"/>
        <item x="31"/>
        <item x="36"/>
        <item x="48"/>
        <item x="5"/>
        <item x="33"/>
        <item x="45"/>
        <item x="10"/>
        <item x="26"/>
        <item x="6"/>
        <item x="15"/>
        <item x="28"/>
        <item x="29"/>
        <item x="42"/>
        <item x="11"/>
        <item x="17"/>
        <item x="35"/>
        <item x="20"/>
        <item x="2"/>
        <item x="0"/>
        <item x="14"/>
        <item x="47"/>
        <item x="8"/>
        <item x="21"/>
        <item x="34"/>
        <item x="12"/>
        <item x="46"/>
        <item x="19"/>
        <item x="38"/>
        <item x="25"/>
        <item x="41"/>
        <item x="39"/>
        <item x="4"/>
        <item x="22"/>
        <item x="16"/>
        <item x="40"/>
        <item x="23"/>
        <item x="44"/>
        <item t="default"/>
      </items>
    </pivotField>
    <pivotField showAll="0"/>
    <pivotField showAll="0"/>
    <pivotField axis="axisRow" showAll="0">
      <items count="8">
        <item x="5"/>
        <item x="1"/>
        <item x="2"/>
        <item x="0"/>
        <item x="6"/>
        <item x="4"/>
        <item x="3"/>
        <item t="default"/>
      </items>
    </pivotField>
    <pivotField dataField="1" showAll="0"/>
    <pivotField showAll="0"/>
    <pivotField showAll="0"/>
    <pivotField numFmtId="14" showAll="0"/>
    <pivotField showAll="0"/>
    <pivotField showAll="0">
      <items count="4">
        <item x="1"/>
        <item x="2"/>
        <item x="0"/>
        <item t="default"/>
      </items>
    </pivotField>
    <pivotField showAll="0">
      <items count="6">
        <item x="3"/>
        <item x="2"/>
        <item x="4"/>
        <item x="1"/>
        <item x="0"/>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 dragToRow="0" dragToCol="0" dragToPage="0" showAll="0" defaultSubtotal="0"/>
  </pivotFields>
  <rowFields count="1">
    <field x="7"/>
  </rowFields>
  <rowItems count="8">
    <i>
      <x/>
    </i>
    <i>
      <x v="1"/>
    </i>
    <i>
      <x v="2"/>
    </i>
    <i>
      <x v="3"/>
    </i>
    <i>
      <x v="4"/>
    </i>
    <i>
      <x v="5"/>
    </i>
    <i>
      <x v="6"/>
    </i>
    <i t="grand">
      <x/>
    </i>
  </rowItems>
  <colItems count="1">
    <i/>
  </colItems>
  <dataFields count="1">
    <dataField name="Sum of revenue" fld="8"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4040C5-3CE9-4628-B827-5224BDCA9976}"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 firstHeaderRow="0" firstDataRow="1" firstDataCol="1"/>
  <pivotFields count="18">
    <pivotField dataField="1" showAll="0"/>
    <pivotField axis="axisRow" showAll="0">
      <items count="3">
        <item x="1"/>
        <item x="0"/>
        <item t="default"/>
      </items>
    </pivotField>
    <pivotField showAll="0"/>
    <pivotField showAll="0"/>
    <pivotField numFmtId="14" showAll="0">
      <items count="52">
        <item x="50"/>
        <item x="3"/>
        <item x="24"/>
        <item x="43"/>
        <item x="32"/>
        <item x="18"/>
        <item x="7"/>
        <item x="9"/>
        <item x="37"/>
        <item x="30"/>
        <item x="27"/>
        <item x="1"/>
        <item x="13"/>
        <item x="49"/>
        <item x="31"/>
        <item x="36"/>
        <item x="48"/>
        <item x="5"/>
        <item x="33"/>
        <item x="45"/>
        <item x="10"/>
        <item x="26"/>
        <item x="6"/>
        <item x="15"/>
        <item x="28"/>
        <item x="29"/>
        <item x="42"/>
        <item x="11"/>
        <item x="17"/>
        <item x="35"/>
        <item x="20"/>
        <item x="2"/>
        <item x="0"/>
        <item x="14"/>
        <item x="47"/>
        <item x="8"/>
        <item x="21"/>
        <item x="34"/>
        <item x="12"/>
        <item x="46"/>
        <item x="19"/>
        <item x="38"/>
        <item x="25"/>
        <item x="41"/>
        <item x="39"/>
        <item x="4"/>
        <item x="22"/>
        <item x="16"/>
        <item x="40"/>
        <item x="23"/>
        <item x="44"/>
        <item t="default"/>
      </items>
    </pivotField>
    <pivotField showAll="0"/>
    <pivotField showAll="0"/>
    <pivotField showAll="0"/>
    <pivotField dataField="1" showAll="0"/>
    <pivotField showAll="0"/>
    <pivotField showAll="0"/>
    <pivotField numFmtId="14" showAll="0"/>
    <pivotField showAll="0"/>
    <pivotField showAll="0">
      <items count="4">
        <item x="1"/>
        <item x="2"/>
        <item x="0"/>
        <item t="default"/>
      </items>
    </pivotField>
    <pivotField showAll="0">
      <items count="6">
        <item x="3"/>
        <item x="2"/>
        <item x="4"/>
        <item x="1"/>
        <item x="0"/>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 dragToRow="0" dragToCol="0" dragToPage="0" showAll="0" defaultSubtotal="0"/>
  </pivotFields>
  <rowFields count="1">
    <field x="1"/>
  </rowFields>
  <rowItems count="3">
    <i>
      <x/>
    </i>
    <i>
      <x v="1"/>
    </i>
    <i t="grand">
      <x/>
    </i>
  </rowItems>
  <colFields count="1">
    <field x="-2"/>
  </colFields>
  <colItems count="2">
    <i>
      <x/>
    </i>
    <i i="1">
      <x v="1"/>
    </i>
  </colItems>
  <dataFields count="2">
    <dataField name="Sum of revenue" fld="8" baseField="0" baseItem="0"/>
    <dataField name="Count of sale_id"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F492B2-1407-4EC2-8107-8003F3413A7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0" firstDataRow="1" firstDataCol="1"/>
  <pivotFields count="8">
    <pivotField dataField="1" showAll="0"/>
    <pivotField showAll="0"/>
    <pivotField numFmtId="14" showAll="0"/>
    <pivotField numFmtId="14" showAll="0"/>
    <pivotField axis="axisRow" showAll="0">
      <items count="5">
        <item x="2"/>
        <item x="0"/>
        <item x="1"/>
        <item x="3"/>
        <item t="default"/>
      </items>
    </pivotField>
    <pivotField showAll="0"/>
    <pivotField dataField="1" showAll="0"/>
    <pivotField showAll="0"/>
  </pivotFields>
  <rowFields count="1">
    <field x="4"/>
  </rowFields>
  <rowItems count="5">
    <i>
      <x/>
    </i>
    <i>
      <x v="1"/>
    </i>
    <i>
      <x v="2"/>
    </i>
    <i>
      <x v="3"/>
    </i>
    <i t="grand">
      <x/>
    </i>
  </rowItems>
  <colFields count="1">
    <field x="-2"/>
  </colFields>
  <colItems count="2">
    <i>
      <x/>
    </i>
    <i i="1">
      <x v="1"/>
    </i>
  </colItems>
  <dataFields count="2">
    <dataField name="Count of campaign_id" fld="0" subtotal="count" baseField="4" baseItem="0"/>
    <dataField name="Average of discount_value" fld="6"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A84E2B-EB64-4D4A-920C-F32F4C22EEE0}"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C6" firstHeaderRow="0" firstDataRow="1" firstDataCol="1"/>
  <pivotFields count="18">
    <pivotField dataField="1" showAll="0"/>
    <pivotField axis="axisRow" showAll="0">
      <items count="3">
        <item x="1"/>
        <item x="0"/>
        <item t="default"/>
      </items>
    </pivotField>
    <pivotField showAll="0"/>
    <pivotField showAll="0"/>
    <pivotField numFmtId="14" showAll="0">
      <items count="52">
        <item x="50"/>
        <item x="3"/>
        <item x="24"/>
        <item x="43"/>
        <item x="32"/>
        <item x="18"/>
        <item x="7"/>
        <item x="9"/>
        <item x="37"/>
        <item x="30"/>
        <item x="27"/>
        <item x="1"/>
        <item x="13"/>
        <item x="49"/>
        <item x="31"/>
        <item x="36"/>
        <item x="48"/>
        <item x="5"/>
        <item x="33"/>
        <item x="45"/>
        <item x="10"/>
        <item x="26"/>
        <item x="6"/>
        <item x="15"/>
        <item x="28"/>
        <item x="29"/>
        <item x="42"/>
        <item x="11"/>
        <item x="17"/>
        <item x="35"/>
        <item x="20"/>
        <item x="2"/>
        <item x="0"/>
        <item x="14"/>
        <item x="47"/>
        <item x="8"/>
        <item x="21"/>
        <item x="34"/>
        <item x="12"/>
        <item x="46"/>
        <item x="19"/>
        <item x="38"/>
        <item x="25"/>
        <item x="41"/>
        <item x="39"/>
        <item x="4"/>
        <item x="22"/>
        <item x="16"/>
        <item x="40"/>
        <item x="23"/>
        <item x="44"/>
        <item t="default"/>
      </items>
    </pivotField>
    <pivotField showAll="0"/>
    <pivotField showAll="0"/>
    <pivotField showAll="0"/>
    <pivotField dataField="1" showAll="0"/>
    <pivotField showAll="0"/>
    <pivotField showAll="0"/>
    <pivotField numFmtId="14" showAll="0"/>
    <pivotField showAll="0"/>
    <pivotField showAll="0">
      <items count="4">
        <item x="1"/>
        <item x="2"/>
        <item x="0"/>
        <item t="default"/>
      </items>
    </pivotField>
    <pivotField showAll="0">
      <items count="6">
        <item x="3"/>
        <item x="2"/>
        <item x="4"/>
        <item x="1"/>
        <item x="0"/>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 dragToRow="0" dragToCol="0" dragToPage="0" showAll="0" defaultSubtotal="0"/>
  </pivotFields>
  <rowFields count="1">
    <field x="1"/>
  </rowFields>
  <rowItems count="3">
    <i>
      <x/>
    </i>
    <i>
      <x v="1"/>
    </i>
    <i t="grand">
      <x/>
    </i>
  </rowItems>
  <colFields count="1">
    <field x="-2"/>
  </colFields>
  <colItems count="2">
    <i>
      <x/>
    </i>
    <i i="1">
      <x v="1"/>
    </i>
  </colItems>
  <dataFields count="2">
    <dataField name="Count of sale_id" fld="0" subtotal="count" baseField="1" baseItem="0"/>
    <dataField name="Sum of revenue" fld="8" showDataAs="percentOfTotal" baseField="0" baseItem="0" numFmtId="10"/>
  </dataFields>
  <chartFormats count="4">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906B17-8961-4796-BC61-230F6B6C5DE7}"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584" firstHeaderRow="0" firstDataRow="1" firstDataCol="1"/>
  <pivotFields count="18">
    <pivotField dataField="1" showAll="0"/>
    <pivotField showAll="0">
      <items count="3">
        <item x="1"/>
        <item x="0"/>
        <item t="default"/>
      </items>
    </pivotField>
    <pivotField showAll="0"/>
    <pivotField showAll="0"/>
    <pivotField numFmtId="14" showAll="0">
      <items count="52">
        <item x="50"/>
        <item x="3"/>
        <item x="24"/>
        <item x="43"/>
        <item x="32"/>
        <item x="18"/>
        <item x="7"/>
        <item x="9"/>
        <item x="37"/>
        <item x="30"/>
        <item x="27"/>
        <item x="1"/>
        <item x="13"/>
        <item x="49"/>
        <item x="31"/>
        <item x="36"/>
        <item x="48"/>
        <item x="5"/>
        <item x="33"/>
        <item x="45"/>
        <item x="10"/>
        <item x="26"/>
        <item x="6"/>
        <item x="15"/>
        <item x="28"/>
        <item x="29"/>
        <item x="42"/>
        <item x="11"/>
        <item x="17"/>
        <item x="35"/>
        <item x="20"/>
        <item x="2"/>
        <item x="0"/>
        <item x="14"/>
        <item x="47"/>
        <item x="8"/>
        <item x="21"/>
        <item x="34"/>
        <item x="12"/>
        <item x="46"/>
        <item x="19"/>
        <item x="38"/>
        <item x="25"/>
        <item x="41"/>
        <item x="39"/>
        <item x="4"/>
        <item x="22"/>
        <item x="16"/>
        <item x="40"/>
        <item x="23"/>
        <item x="44"/>
        <item t="default"/>
      </items>
    </pivotField>
    <pivotField axis="axisRow" showAll="0">
      <items count="581">
        <item x="241"/>
        <item x="284"/>
        <item x="175"/>
        <item x="407"/>
        <item x="367"/>
        <item x="195"/>
        <item x="98"/>
        <item x="472"/>
        <item x="360"/>
        <item x="85"/>
        <item x="519"/>
        <item x="439"/>
        <item x="45"/>
        <item x="199"/>
        <item x="458"/>
        <item x="481"/>
        <item x="211"/>
        <item x="214"/>
        <item x="527"/>
        <item x="235"/>
        <item x="73"/>
        <item x="155"/>
        <item x="224"/>
        <item x="381"/>
        <item x="540"/>
        <item x="259"/>
        <item x="558"/>
        <item x="16"/>
        <item x="550"/>
        <item x="421"/>
        <item x="297"/>
        <item x="290"/>
        <item x="60"/>
        <item x="7"/>
        <item x="430"/>
        <item x="74"/>
        <item x="342"/>
        <item x="460"/>
        <item x="116"/>
        <item x="463"/>
        <item x="371"/>
        <item x="575"/>
        <item x="321"/>
        <item x="555"/>
        <item x="561"/>
        <item x="24"/>
        <item x="69"/>
        <item x="464"/>
        <item x="139"/>
        <item x="143"/>
        <item x="565"/>
        <item x="120"/>
        <item x="296"/>
        <item x="361"/>
        <item x="163"/>
        <item x="48"/>
        <item x="172"/>
        <item x="52"/>
        <item x="228"/>
        <item x="272"/>
        <item x="65"/>
        <item x="456"/>
        <item x="36"/>
        <item x="189"/>
        <item x="180"/>
        <item x="542"/>
        <item x="451"/>
        <item x="18"/>
        <item x="38"/>
        <item x="501"/>
        <item x="380"/>
        <item x="442"/>
        <item x="478"/>
        <item x="564"/>
        <item x="476"/>
        <item x="339"/>
        <item x="525"/>
        <item x="127"/>
        <item x="446"/>
        <item x="539"/>
        <item x="232"/>
        <item x="315"/>
        <item x="391"/>
        <item x="87"/>
        <item x="198"/>
        <item x="375"/>
        <item x="151"/>
        <item x="12"/>
        <item x="110"/>
        <item x="524"/>
        <item x="487"/>
        <item x="145"/>
        <item x="103"/>
        <item x="247"/>
        <item x="132"/>
        <item x="9"/>
        <item x="260"/>
        <item x="43"/>
        <item x="559"/>
        <item x="283"/>
        <item x="471"/>
        <item x="336"/>
        <item x="137"/>
        <item x="507"/>
        <item x="562"/>
        <item x="420"/>
        <item x="51"/>
        <item x="104"/>
        <item x="396"/>
        <item x="567"/>
        <item x="450"/>
        <item x="307"/>
        <item x="466"/>
        <item x="70"/>
        <item x="201"/>
        <item x="411"/>
        <item x="21"/>
        <item x="376"/>
        <item x="253"/>
        <item x="433"/>
        <item x="0"/>
        <item x="467"/>
        <item x="281"/>
        <item x="47"/>
        <item x="368"/>
        <item x="30"/>
        <item x="154"/>
        <item x="227"/>
        <item x="370"/>
        <item x="309"/>
        <item x="218"/>
        <item x="210"/>
        <item x="403"/>
        <item x="102"/>
        <item x="434"/>
        <item x="348"/>
        <item x="553"/>
        <item x="496"/>
        <item x="378"/>
        <item x="90"/>
        <item x="293"/>
        <item x="150"/>
        <item x="313"/>
        <item x="569"/>
        <item x="404"/>
        <item x="353"/>
        <item x="113"/>
        <item x="53"/>
        <item x="554"/>
        <item x="255"/>
        <item x="251"/>
        <item x="162"/>
        <item x="185"/>
        <item x="528"/>
        <item x="498"/>
        <item x="468"/>
        <item x="164"/>
        <item x="109"/>
        <item x="208"/>
        <item x="35"/>
        <item x="556"/>
        <item x="286"/>
        <item x="67"/>
        <item x="402"/>
        <item x="395"/>
        <item x="119"/>
        <item x="188"/>
        <item x="249"/>
        <item x="146"/>
        <item x="243"/>
        <item x="449"/>
        <item x="207"/>
        <item x="273"/>
        <item x="346"/>
        <item x="37"/>
        <item x="10"/>
        <item x="298"/>
        <item x="364"/>
        <item x="257"/>
        <item x="563"/>
        <item x="161"/>
        <item x="6"/>
        <item x="86"/>
        <item x="328"/>
        <item x="20"/>
        <item x="517"/>
        <item x="530"/>
        <item x="436"/>
        <item x="570"/>
        <item x="577"/>
        <item x="19"/>
        <item x="373"/>
        <item x="54"/>
        <item x="552"/>
        <item x="50"/>
        <item x="408"/>
        <item x="27"/>
        <item x="205"/>
        <item x="144"/>
        <item x="165"/>
        <item x="3"/>
        <item x="572"/>
        <item x="246"/>
        <item x="443"/>
        <item x="75"/>
        <item x="514"/>
        <item x="126"/>
        <item x="256"/>
        <item x="506"/>
        <item x="500"/>
        <item x="32"/>
        <item x="469"/>
        <item x="578"/>
        <item x="465"/>
        <item x="322"/>
        <item x="310"/>
        <item x="152"/>
        <item x="374"/>
        <item x="63"/>
        <item x="234"/>
        <item x="448"/>
        <item x="142"/>
        <item x="133"/>
        <item x="206"/>
        <item x="72"/>
        <item x="543"/>
        <item x="317"/>
        <item x="363"/>
        <item x="248"/>
        <item x="566"/>
        <item x="314"/>
        <item x="76"/>
        <item x="131"/>
        <item x="372"/>
        <item x="194"/>
        <item x="389"/>
        <item x="282"/>
        <item x="480"/>
        <item x="57"/>
        <item x="306"/>
        <item x="579"/>
        <item x="509"/>
        <item x="486"/>
        <item x="369"/>
        <item x="233"/>
        <item x="424"/>
        <item x="510"/>
        <item x="278"/>
        <item x="384"/>
        <item x="358"/>
        <item x="264"/>
        <item x="414"/>
        <item x="2"/>
        <item x="244"/>
        <item x="453"/>
        <item x="354"/>
        <item x="216"/>
        <item x="352"/>
        <item x="279"/>
        <item x="401"/>
        <item x="178"/>
        <item x="355"/>
        <item x="183"/>
        <item x="31"/>
        <item x="153"/>
        <item x="15"/>
        <item x="173"/>
        <item x="167"/>
        <item x="503"/>
        <item x="349"/>
        <item x="545"/>
        <item x="96"/>
        <item x="223"/>
        <item x="64"/>
        <item x="22"/>
        <item x="177"/>
        <item x="59"/>
        <item x="385"/>
        <item x="351"/>
        <item x="337"/>
        <item x="455"/>
        <item x="311"/>
        <item x="114"/>
        <item x="42"/>
        <item x="41"/>
        <item x="571"/>
        <item x="149"/>
        <item x="280"/>
        <item x="536"/>
        <item x="511"/>
        <item x="157"/>
        <item x="454"/>
        <item x="94"/>
        <item x="438"/>
        <item x="492"/>
        <item x="294"/>
        <item x="174"/>
        <item x="399"/>
        <item x="327"/>
        <item x="547"/>
        <item x="238"/>
        <item x="425"/>
        <item x="1"/>
        <item x="343"/>
        <item x="55"/>
        <item x="502"/>
        <item x="413"/>
        <item x="546"/>
        <item x="394"/>
        <item x="535"/>
        <item x="341"/>
        <item x="115"/>
        <item x="515"/>
        <item x="237"/>
        <item x="23"/>
        <item x="308"/>
        <item x="219"/>
        <item x="573"/>
        <item x="61"/>
        <item x="99"/>
        <item x="39"/>
        <item x="68"/>
        <item x="522"/>
        <item x="271"/>
        <item x="319"/>
        <item x="549"/>
        <item x="215"/>
        <item x="267"/>
        <item x="226"/>
        <item x="25"/>
        <item x="516"/>
        <item x="11"/>
        <item x="92"/>
        <item x="192"/>
        <item x="344"/>
        <item x="406"/>
        <item x="8"/>
        <item x="489"/>
        <item x="168"/>
        <item x="508"/>
        <item x="531"/>
        <item x="393"/>
        <item x="225"/>
        <item x="33"/>
        <item x="84"/>
        <item x="520"/>
        <item x="171"/>
        <item x="359"/>
        <item x="14"/>
        <item x="193"/>
        <item x="412"/>
        <item x="40"/>
        <item x="71"/>
        <item x="138"/>
        <item x="302"/>
        <item x="62"/>
        <item x="184"/>
        <item x="483"/>
        <item x="534"/>
        <item x="147"/>
        <item x="518"/>
        <item x="44"/>
        <item x="160"/>
        <item x="333"/>
        <item x="532"/>
        <item x="270"/>
        <item x="190"/>
        <item x="46"/>
        <item x="557"/>
        <item x="419"/>
        <item x="461"/>
        <item x="383"/>
        <item x="186"/>
        <item x="474"/>
        <item x="365"/>
        <item x="538"/>
        <item x="447"/>
        <item x="81"/>
        <item x="169"/>
        <item x="250"/>
        <item x="112"/>
        <item x="504"/>
        <item x="49"/>
        <item x="289"/>
        <item x="288"/>
        <item x="261"/>
        <item x="266"/>
        <item x="366"/>
        <item x="323"/>
        <item x="300"/>
        <item x="254"/>
        <item x="265"/>
        <item x="437"/>
        <item x="77"/>
        <item x="470"/>
        <item x="117"/>
        <item x="529"/>
        <item x="268"/>
        <item x="17"/>
        <item x="405"/>
        <item x="491"/>
        <item x="576"/>
        <item x="387"/>
        <item x="276"/>
        <item x="97"/>
        <item x="140"/>
        <item x="128"/>
        <item x="242"/>
        <item x="187"/>
        <item x="108"/>
        <item x="495"/>
        <item x="551"/>
        <item x="512"/>
        <item x="299"/>
        <item x="312"/>
        <item x="287"/>
        <item x="320"/>
        <item x="4"/>
        <item x="324"/>
        <item x="379"/>
        <item x="209"/>
        <item x="574"/>
        <item x="390"/>
        <item x="523"/>
        <item x="304"/>
        <item x="423"/>
        <item x="521"/>
        <item x="475"/>
        <item x="91"/>
        <item x="245"/>
        <item x="125"/>
        <item x="285"/>
        <item x="432"/>
        <item x="124"/>
        <item x="410"/>
        <item x="445"/>
        <item x="88"/>
        <item x="457"/>
        <item x="176"/>
        <item x="107"/>
        <item x="181"/>
        <item x="158"/>
        <item x="213"/>
        <item x="427"/>
        <item x="191"/>
        <item x="274"/>
        <item x="58"/>
        <item x="204"/>
        <item x="121"/>
        <item x="326"/>
        <item x="156"/>
        <item x="217"/>
        <item x="452"/>
        <item x="428"/>
        <item x="334"/>
        <item x="301"/>
        <item x="123"/>
        <item x="29"/>
        <item x="409"/>
        <item x="221"/>
        <item x="202"/>
        <item x="548"/>
        <item x="484"/>
        <item x="499"/>
        <item x="431"/>
        <item x="329"/>
        <item x="275"/>
        <item x="477"/>
        <item x="505"/>
        <item x="240"/>
        <item x="130"/>
        <item x="236"/>
        <item x="239"/>
        <item x="397"/>
        <item x="34"/>
        <item x="350"/>
        <item x="316"/>
        <item x="490"/>
        <item x="479"/>
        <item x="377"/>
        <item x="435"/>
        <item x="111"/>
        <item x="398"/>
        <item x="347"/>
        <item x="441"/>
        <item x="497"/>
        <item x="473"/>
        <item x="292"/>
        <item x="56"/>
        <item x="459"/>
        <item x="200"/>
        <item x="340"/>
        <item x="203"/>
        <item x="332"/>
        <item x="105"/>
        <item x="440"/>
        <item x="415"/>
        <item x="303"/>
        <item x="338"/>
        <item x="485"/>
        <item x="28"/>
        <item x="388"/>
        <item x="229"/>
        <item x="544"/>
        <item x="129"/>
        <item x="66"/>
        <item x="537"/>
        <item x="252"/>
        <item x="80"/>
        <item x="335"/>
        <item x="83"/>
        <item x="426"/>
        <item x="318"/>
        <item x="101"/>
        <item x="305"/>
        <item x="295"/>
        <item x="212"/>
        <item x="263"/>
        <item x="417"/>
        <item x="482"/>
        <item x="89"/>
        <item x="462"/>
        <item x="26"/>
        <item x="422"/>
        <item x="166"/>
        <item x="418"/>
        <item x="95"/>
        <item x="444"/>
        <item x="141"/>
        <item x="400"/>
        <item x="541"/>
        <item x="526"/>
        <item x="134"/>
        <item x="148"/>
        <item x="429"/>
        <item x="330"/>
        <item x="416"/>
        <item x="135"/>
        <item x="362"/>
        <item x="258"/>
        <item x="182"/>
        <item x="331"/>
        <item x="533"/>
        <item x="122"/>
        <item x="220"/>
        <item x="93"/>
        <item x="100"/>
        <item x="488"/>
        <item x="493"/>
        <item x="78"/>
        <item x="159"/>
        <item x="356"/>
        <item x="230"/>
        <item x="386"/>
        <item x="79"/>
        <item x="568"/>
        <item x="118"/>
        <item x="231"/>
        <item x="197"/>
        <item x="106"/>
        <item x="269"/>
        <item x="513"/>
        <item x="262"/>
        <item x="13"/>
        <item x="179"/>
        <item x="357"/>
        <item x="82"/>
        <item x="382"/>
        <item x="345"/>
        <item x="325"/>
        <item x="5"/>
        <item x="170"/>
        <item x="277"/>
        <item x="560"/>
        <item x="222"/>
        <item x="494"/>
        <item x="196"/>
        <item x="291"/>
        <item x="392"/>
        <item x="136"/>
        <item t="default"/>
      </items>
    </pivotField>
    <pivotField showAll="0"/>
    <pivotField showAll="0"/>
    <pivotField dataField="1" showAll="0"/>
    <pivotField showAll="0"/>
    <pivotField showAll="0"/>
    <pivotField numFmtId="14" showAll="0"/>
    <pivotField showAll="0"/>
    <pivotField showAll="0">
      <items count="4">
        <item x="1"/>
        <item x="2"/>
        <item x="0"/>
        <item t="default"/>
      </items>
    </pivotField>
    <pivotField showAll="0">
      <items count="6">
        <item x="3"/>
        <item x="2"/>
        <item x="4"/>
        <item x="1"/>
        <item x="0"/>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 dataField="1" dragToRow="0" dragToCol="0" dragToPage="0" showAll="0" defaultSubtotal="0"/>
  </pivotFields>
  <rowFields count="1">
    <field x="5"/>
  </rowFields>
  <rowItems count="58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t="grand">
      <x/>
    </i>
  </rowItems>
  <colFields count="1">
    <field x="-2"/>
  </colFields>
  <colItems count="3">
    <i>
      <x/>
    </i>
    <i i="1">
      <x v="1"/>
    </i>
    <i i="2">
      <x v="2"/>
    </i>
  </colItems>
  <dataFields count="3">
    <dataField name="Sum of revenue" fld="8" baseField="0" baseItem="0"/>
    <dataField name="Count of sale_id" fld="0" subtotal="count" baseField="5" baseItem="0"/>
    <dataField name="Aov"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350C6A-CD42-4BCB-B1C9-B9CE43AFDF0B}"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0" firstHeaderRow="0" firstDataRow="1" firstDataCol="1"/>
  <pivotFields count="18">
    <pivotField dataField="1" showAll="0"/>
    <pivotField showAll="0">
      <items count="3">
        <item x="1"/>
        <item x="0"/>
        <item t="default"/>
      </items>
    </pivotField>
    <pivotField showAll="0"/>
    <pivotField showAll="0"/>
    <pivotField numFmtId="14" showAll="0">
      <items count="52">
        <item x="50"/>
        <item x="3"/>
        <item x="24"/>
        <item x="43"/>
        <item x="32"/>
        <item x="18"/>
        <item x="7"/>
        <item x="9"/>
        <item x="37"/>
        <item x="30"/>
        <item x="27"/>
        <item x="1"/>
        <item x="13"/>
        <item x="49"/>
        <item x="31"/>
        <item x="36"/>
        <item x="48"/>
        <item x="5"/>
        <item x="33"/>
        <item x="45"/>
        <item x="10"/>
        <item x="26"/>
        <item x="6"/>
        <item x="15"/>
        <item x="28"/>
        <item x="29"/>
        <item x="42"/>
        <item x="11"/>
        <item x="17"/>
        <item x="35"/>
        <item x="20"/>
        <item x="2"/>
        <item x="0"/>
        <item x="14"/>
        <item x="47"/>
        <item x="8"/>
        <item x="21"/>
        <item x="34"/>
        <item x="12"/>
        <item x="46"/>
        <item x="19"/>
        <item x="38"/>
        <item x="25"/>
        <item x="41"/>
        <item x="39"/>
        <item x="4"/>
        <item x="22"/>
        <item x="16"/>
        <item x="40"/>
        <item x="23"/>
        <item x="44"/>
        <item t="default"/>
      </items>
    </pivotField>
    <pivotField showAll="0"/>
    <pivotField axis="axisRow" showAll="0" sortType="descending">
      <items count="7">
        <item x="0"/>
        <item x="1"/>
        <item x="4"/>
        <item x="5"/>
        <item x="2"/>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numFmtId="14" showAll="0"/>
    <pivotField showAll="0"/>
    <pivotField showAll="0">
      <items count="4">
        <item x="1"/>
        <item x="2"/>
        <item x="0"/>
        <item t="default"/>
      </items>
    </pivotField>
    <pivotField showAll="0">
      <items count="6">
        <item x="3"/>
        <item x="2"/>
        <item x="4"/>
        <item x="1"/>
        <item x="0"/>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 dragToRow="0" dragToCol="0" dragToPage="0" showAll="0" defaultSubtotal="0"/>
  </pivotFields>
  <rowFields count="1">
    <field x="6"/>
  </rowFields>
  <rowItems count="7">
    <i>
      <x v="1"/>
    </i>
    <i>
      <x/>
    </i>
    <i>
      <x v="2"/>
    </i>
    <i>
      <x v="3"/>
    </i>
    <i>
      <x v="5"/>
    </i>
    <i>
      <x v="4"/>
    </i>
    <i t="grand">
      <x/>
    </i>
  </rowItems>
  <colFields count="1">
    <field x="-2"/>
  </colFields>
  <colItems count="2">
    <i>
      <x/>
    </i>
    <i i="1">
      <x v="1"/>
    </i>
  </colItems>
  <dataFields count="2">
    <dataField name="Sum of revenue" fld="8" baseField="0" baseItem="0"/>
    <dataField name="Count of sale_id"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B1292E-0E4F-4F0E-9398-ECD5D6F31629}"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 firstHeaderRow="0" firstDataRow="1" firstDataCol="1"/>
  <pivotFields count="18">
    <pivotField dataField="1"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52">
        <item x="50"/>
        <item x="3"/>
        <item x="24"/>
        <item x="43"/>
        <item x="32"/>
        <item x="18"/>
        <item x="7"/>
        <item x="9"/>
        <item x="37"/>
        <item x="30"/>
        <item x="27"/>
        <item x="1"/>
        <item x="13"/>
        <item x="49"/>
        <item x="31"/>
        <item x="36"/>
        <item x="48"/>
        <item x="5"/>
        <item x="33"/>
        <item x="45"/>
        <item x="10"/>
        <item x="26"/>
        <item x="6"/>
        <item x="15"/>
        <item x="28"/>
        <item x="29"/>
        <item x="42"/>
        <item x="11"/>
        <item x="17"/>
        <item x="35"/>
        <item x="20"/>
        <item x="2"/>
        <item x="0"/>
        <item x="14"/>
        <item x="47"/>
        <item x="8"/>
        <item x="21"/>
        <item x="34"/>
        <item x="12"/>
        <item x="46"/>
        <item x="19"/>
        <item x="38"/>
        <item x="25"/>
        <item x="41"/>
        <item x="39"/>
        <item x="4"/>
        <item x="22"/>
        <item x="16"/>
        <item x="40"/>
        <item x="23"/>
        <item x="44"/>
        <item t="default"/>
      </items>
    </pivotField>
    <pivotField showAll="0"/>
    <pivotField showAll="0"/>
    <pivotField showAll="0"/>
    <pivotField dataField="1" showAll="0"/>
    <pivotField showAll="0"/>
    <pivotField showAll="0"/>
    <pivotField numFmtId="14" showAll="0"/>
    <pivotField showAll="0"/>
    <pivotField showAll="0">
      <items count="4">
        <item x="1"/>
        <item x="2"/>
        <item x="0"/>
        <item t="default"/>
      </items>
    </pivotField>
    <pivotField showAll="0">
      <items count="6">
        <item x="3"/>
        <item x="2"/>
        <item x="4"/>
        <item x="1"/>
        <item x="0"/>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 dragToRow="0" dragToCol="0" dragToPage="0" showAll="0" defaultSubtotal="0"/>
  </pivotFields>
  <rowFields count="1">
    <field x="1"/>
  </rowFields>
  <rowItems count="3">
    <i>
      <x v="1"/>
    </i>
    <i>
      <x/>
    </i>
    <i t="grand">
      <x/>
    </i>
  </rowItems>
  <colFields count="1">
    <field x="-2"/>
  </colFields>
  <colItems count="2">
    <i>
      <x/>
    </i>
    <i i="1">
      <x v="1"/>
    </i>
  </colItems>
  <dataFields count="2">
    <dataField name="Sum of revenue" fld="8" baseField="0" baseItem="0"/>
    <dataField name="Count of sale_id"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D4810C9-3BD2-4F33-88AC-D0EE1774053A}"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_id">
  <location ref="A3:D584" firstHeaderRow="0" firstDataRow="1" firstDataCol="1"/>
  <pivotFields count="18">
    <pivotField dataField="1" showAll="0"/>
    <pivotField showAll="0">
      <items count="3">
        <item x="1"/>
        <item x="0"/>
        <item t="default"/>
      </items>
    </pivotField>
    <pivotField showAll="0"/>
    <pivotField showAll="0"/>
    <pivotField dataField="1" numFmtId="14" showAll="0">
      <items count="52">
        <item x="50"/>
        <item x="3"/>
        <item x="24"/>
        <item x="43"/>
        <item x="32"/>
        <item x="18"/>
        <item x="7"/>
        <item x="9"/>
        <item x="37"/>
        <item x="30"/>
        <item x="27"/>
        <item x="1"/>
        <item x="13"/>
        <item x="49"/>
        <item x="31"/>
        <item x="36"/>
        <item x="48"/>
        <item x="5"/>
        <item x="33"/>
        <item x="45"/>
        <item x="10"/>
        <item x="26"/>
        <item x="6"/>
        <item x="15"/>
        <item x="28"/>
        <item x="29"/>
        <item x="42"/>
        <item x="11"/>
        <item x="17"/>
        <item x="35"/>
        <item x="20"/>
        <item x="2"/>
        <item x="0"/>
        <item x="14"/>
        <item x="47"/>
        <item x="8"/>
        <item x="21"/>
        <item x="34"/>
        <item x="12"/>
        <item x="46"/>
        <item x="19"/>
        <item x="38"/>
        <item x="25"/>
        <item x="41"/>
        <item x="39"/>
        <item x="4"/>
        <item x="22"/>
        <item x="16"/>
        <item x="40"/>
        <item x="23"/>
        <item x="44"/>
        <item t="default"/>
      </items>
    </pivotField>
    <pivotField axis="axisRow" showAll="0">
      <items count="581">
        <item x="241"/>
        <item x="284"/>
        <item x="175"/>
        <item x="407"/>
        <item x="367"/>
        <item x="195"/>
        <item x="98"/>
        <item x="472"/>
        <item x="360"/>
        <item x="85"/>
        <item x="519"/>
        <item x="439"/>
        <item x="45"/>
        <item x="199"/>
        <item x="458"/>
        <item x="481"/>
        <item x="211"/>
        <item x="214"/>
        <item x="527"/>
        <item x="235"/>
        <item x="73"/>
        <item x="155"/>
        <item x="224"/>
        <item x="381"/>
        <item x="540"/>
        <item x="259"/>
        <item x="558"/>
        <item x="16"/>
        <item x="550"/>
        <item x="421"/>
        <item x="297"/>
        <item x="290"/>
        <item x="60"/>
        <item x="7"/>
        <item x="430"/>
        <item x="74"/>
        <item x="342"/>
        <item x="460"/>
        <item x="116"/>
        <item x="463"/>
        <item x="371"/>
        <item x="575"/>
        <item x="321"/>
        <item x="555"/>
        <item x="561"/>
        <item x="24"/>
        <item x="69"/>
        <item x="464"/>
        <item x="139"/>
        <item x="143"/>
        <item x="565"/>
        <item x="120"/>
        <item x="296"/>
        <item x="361"/>
        <item x="163"/>
        <item x="48"/>
        <item x="172"/>
        <item x="52"/>
        <item x="228"/>
        <item x="272"/>
        <item x="65"/>
        <item x="456"/>
        <item x="36"/>
        <item x="189"/>
        <item x="180"/>
        <item x="542"/>
        <item x="451"/>
        <item x="18"/>
        <item x="38"/>
        <item x="501"/>
        <item x="380"/>
        <item x="442"/>
        <item x="478"/>
        <item x="564"/>
        <item x="476"/>
        <item x="339"/>
        <item x="525"/>
        <item x="127"/>
        <item x="446"/>
        <item x="539"/>
        <item x="232"/>
        <item x="315"/>
        <item x="391"/>
        <item x="87"/>
        <item x="198"/>
        <item x="375"/>
        <item x="151"/>
        <item x="12"/>
        <item x="110"/>
        <item x="524"/>
        <item x="487"/>
        <item x="145"/>
        <item x="103"/>
        <item x="247"/>
        <item x="132"/>
        <item x="9"/>
        <item x="260"/>
        <item x="43"/>
        <item x="559"/>
        <item x="283"/>
        <item x="471"/>
        <item x="336"/>
        <item x="137"/>
        <item x="507"/>
        <item x="562"/>
        <item x="420"/>
        <item x="51"/>
        <item x="104"/>
        <item x="396"/>
        <item x="567"/>
        <item x="450"/>
        <item x="307"/>
        <item x="466"/>
        <item x="70"/>
        <item x="201"/>
        <item x="411"/>
        <item x="21"/>
        <item x="376"/>
        <item x="253"/>
        <item x="433"/>
        <item x="0"/>
        <item x="467"/>
        <item x="281"/>
        <item x="47"/>
        <item x="368"/>
        <item x="30"/>
        <item x="154"/>
        <item x="227"/>
        <item x="370"/>
        <item x="309"/>
        <item x="218"/>
        <item x="210"/>
        <item x="403"/>
        <item x="102"/>
        <item x="434"/>
        <item x="348"/>
        <item x="553"/>
        <item x="496"/>
        <item x="378"/>
        <item x="90"/>
        <item x="293"/>
        <item x="150"/>
        <item x="313"/>
        <item x="569"/>
        <item x="404"/>
        <item x="353"/>
        <item x="113"/>
        <item x="53"/>
        <item x="554"/>
        <item x="255"/>
        <item x="251"/>
        <item x="162"/>
        <item x="185"/>
        <item x="528"/>
        <item x="498"/>
        <item x="468"/>
        <item x="164"/>
        <item x="109"/>
        <item x="208"/>
        <item x="35"/>
        <item x="556"/>
        <item x="286"/>
        <item x="67"/>
        <item x="402"/>
        <item x="395"/>
        <item x="119"/>
        <item x="188"/>
        <item x="249"/>
        <item x="146"/>
        <item x="243"/>
        <item x="449"/>
        <item x="207"/>
        <item x="273"/>
        <item x="346"/>
        <item x="37"/>
        <item x="10"/>
        <item x="298"/>
        <item x="364"/>
        <item x="257"/>
        <item x="563"/>
        <item x="161"/>
        <item x="6"/>
        <item x="86"/>
        <item x="328"/>
        <item x="20"/>
        <item x="517"/>
        <item x="530"/>
        <item x="436"/>
        <item x="570"/>
        <item x="577"/>
        <item x="19"/>
        <item x="373"/>
        <item x="54"/>
        <item x="552"/>
        <item x="50"/>
        <item x="408"/>
        <item x="27"/>
        <item x="205"/>
        <item x="144"/>
        <item x="165"/>
        <item x="3"/>
        <item x="572"/>
        <item x="246"/>
        <item x="443"/>
        <item x="75"/>
        <item x="514"/>
        <item x="126"/>
        <item x="256"/>
        <item x="506"/>
        <item x="500"/>
        <item x="32"/>
        <item x="469"/>
        <item x="578"/>
        <item x="465"/>
        <item x="322"/>
        <item x="310"/>
        <item x="152"/>
        <item x="374"/>
        <item x="63"/>
        <item x="234"/>
        <item x="448"/>
        <item x="142"/>
        <item x="133"/>
        <item x="206"/>
        <item x="72"/>
        <item x="543"/>
        <item x="317"/>
        <item x="363"/>
        <item x="248"/>
        <item x="566"/>
        <item x="314"/>
        <item x="76"/>
        <item x="131"/>
        <item x="372"/>
        <item x="194"/>
        <item x="389"/>
        <item x="282"/>
        <item x="480"/>
        <item x="57"/>
        <item x="306"/>
        <item x="579"/>
        <item x="509"/>
        <item x="486"/>
        <item x="369"/>
        <item x="233"/>
        <item x="424"/>
        <item x="510"/>
        <item x="278"/>
        <item x="384"/>
        <item x="358"/>
        <item x="264"/>
        <item x="414"/>
        <item x="2"/>
        <item x="244"/>
        <item x="453"/>
        <item x="354"/>
        <item x="216"/>
        <item x="352"/>
        <item x="279"/>
        <item x="401"/>
        <item x="178"/>
        <item x="355"/>
        <item x="183"/>
        <item x="31"/>
        <item x="153"/>
        <item x="15"/>
        <item x="173"/>
        <item x="167"/>
        <item x="503"/>
        <item x="349"/>
        <item x="545"/>
        <item x="96"/>
        <item x="223"/>
        <item x="64"/>
        <item x="22"/>
        <item x="177"/>
        <item x="59"/>
        <item x="385"/>
        <item x="351"/>
        <item x="337"/>
        <item x="455"/>
        <item x="311"/>
        <item x="114"/>
        <item x="42"/>
        <item x="41"/>
        <item x="571"/>
        <item x="149"/>
        <item x="280"/>
        <item x="536"/>
        <item x="511"/>
        <item x="157"/>
        <item x="454"/>
        <item x="94"/>
        <item x="438"/>
        <item x="492"/>
        <item x="294"/>
        <item x="174"/>
        <item x="399"/>
        <item x="327"/>
        <item x="547"/>
        <item x="238"/>
        <item x="425"/>
        <item x="1"/>
        <item x="343"/>
        <item x="55"/>
        <item x="502"/>
        <item x="413"/>
        <item x="546"/>
        <item x="394"/>
        <item x="535"/>
        <item x="341"/>
        <item x="115"/>
        <item x="515"/>
        <item x="237"/>
        <item x="23"/>
        <item x="308"/>
        <item x="219"/>
        <item x="573"/>
        <item x="61"/>
        <item x="99"/>
        <item x="39"/>
        <item x="68"/>
        <item x="522"/>
        <item x="271"/>
        <item x="319"/>
        <item x="549"/>
        <item x="215"/>
        <item x="267"/>
        <item x="226"/>
        <item x="25"/>
        <item x="516"/>
        <item x="11"/>
        <item x="92"/>
        <item x="192"/>
        <item x="344"/>
        <item x="406"/>
        <item x="8"/>
        <item x="489"/>
        <item x="168"/>
        <item x="508"/>
        <item x="531"/>
        <item x="393"/>
        <item x="225"/>
        <item x="33"/>
        <item x="84"/>
        <item x="520"/>
        <item x="171"/>
        <item x="359"/>
        <item x="14"/>
        <item x="193"/>
        <item x="412"/>
        <item x="40"/>
        <item x="71"/>
        <item x="138"/>
        <item x="302"/>
        <item x="62"/>
        <item x="184"/>
        <item x="483"/>
        <item x="534"/>
        <item x="147"/>
        <item x="518"/>
        <item x="44"/>
        <item x="160"/>
        <item x="333"/>
        <item x="532"/>
        <item x="270"/>
        <item x="190"/>
        <item x="46"/>
        <item x="557"/>
        <item x="419"/>
        <item x="461"/>
        <item x="383"/>
        <item x="186"/>
        <item x="474"/>
        <item x="365"/>
        <item x="538"/>
        <item x="447"/>
        <item x="81"/>
        <item x="169"/>
        <item x="250"/>
        <item x="112"/>
        <item x="504"/>
        <item x="49"/>
        <item x="289"/>
        <item x="288"/>
        <item x="261"/>
        <item x="266"/>
        <item x="366"/>
        <item x="323"/>
        <item x="300"/>
        <item x="254"/>
        <item x="265"/>
        <item x="437"/>
        <item x="77"/>
        <item x="470"/>
        <item x="117"/>
        <item x="529"/>
        <item x="268"/>
        <item x="17"/>
        <item x="405"/>
        <item x="491"/>
        <item x="576"/>
        <item x="387"/>
        <item x="276"/>
        <item x="97"/>
        <item x="140"/>
        <item x="128"/>
        <item x="242"/>
        <item x="187"/>
        <item x="108"/>
        <item x="495"/>
        <item x="551"/>
        <item x="512"/>
        <item x="299"/>
        <item x="312"/>
        <item x="287"/>
        <item x="320"/>
        <item x="4"/>
        <item x="324"/>
        <item x="379"/>
        <item x="209"/>
        <item x="574"/>
        <item x="390"/>
        <item x="523"/>
        <item x="304"/>
        <item x="423"/>
        <item x="521"/>
        <item x="475"/>
        <item x="91"/>
        <item x="245"/>
        <item x="125"/>
        <item x="285"/>
        <item x="432"/>
        <item x="124"/>
        <item x="410"/>
        <item x="445"/>
        <item x="88"/>
        <item x="457"/>
        <item x="176"/>
        <item x="107"/>
        <item x="181"/>
        <item x="158"/>
        <item x="213"/>
        <item x="427"/>
        <item x="191"/>
        <item x="274"/>
        <item x="58"/>
        <item x="204"/>
        <item x="121"/>
        <item x="326"/>
        <item x="156"/>
        <item x="217"/>
        <item x="452"/>
        <item x="428"/>
        <item x="334"/>
        <item x="301"/>
        <item x="123"/>
        <item x="29"/>
        <item x="409"/>
        <item x="221"/>
        <item x="202"/>
        <item x="548"/>
        <item x="484"/>
        <item x="499"/>
        <item x="431"/>
        <item x="329"/>
        <item x="275"/>
        <item x="477"/>
        <item x="505"/>
        <item x="240"/>
        <item x="130"/>
        <item x="236"/>
        <item x="239"/>
        <item x="397"/>
        <item x="34"/>
        <item x="350"/>
        <item x="316"/>
        <item x="490"/>
        <item x="479"/>
        <item x="377"/>
        <item x="435"/>
        <item x="111"/>
        <item x="398"/>
        <item x="347"/>
        <item x="441"/>
        <item x="497"/>
        <item x="473"/>
        <item x="292"/>
        <item x="56"/>
        <item x="459"/>
        <item x="200"/>
        <item x="340"/>
        <item x="203"/>
        <item x="332"/>
        <item x="105"/>
        <item x="440"/>
        <item x="415"/>
        <item x="303"/>
        <item x="338"/>
        <item x="485"/>
        <item x="28"/>
        <item x="388"/>
        <item x="229"/>
        <item x="544"/>
        <item x="129"/>
        <item x="66"/>
        <item x="537"/>
        <item x="252"/>
        <item x="80"/>
        <item x="335"/>
        <item x="83"/>
        <item x="426"/>
        <item x="318"/>
        <item x="101"/>
        <item x="305"/>
        <item x="295"/>
        <item x="212"/>
        <item x="263"/>
        <item x="417"/>
        <item x="482"/>
        <item x="89"/>
        <item x="462"/>
        <item x="26"/>
        <item x="422"/>
        <item x="166"/>
        <item x="418"/>
        <item x="95"/>
        <item x="444"/>
        <item x="141"/>
        <item x="400"/>
        <item x="541"/>
        <item x="526"/>
        <item x="134"/>
        <item x="148"/>
        <item x="429"/>
        <item x="330"/>
        <item x="416"/>
        <item x="135"/>
        <item x="362"/>
        <item x="258"/>
        <item x="182"/>
        <item x="331"/>
        <item x="533"/>
        <item x="122"/>
        <item x="220"/>
        <item x="93"/>
        <item x="100"/>
        <item x="488"/>
        <item x="493"/>
        <item x="78"/>
        <item x="159"/>
        <item x="356"/>
        <item x="230"/>
        <item x="386"/>
        <item x="79"/>
        <item x="568"/>
        <item x="118"/>
        <item x="231"/>
        <item x="197"/>
        <item x="106"/>
        <item x="269"/>
        <item x="513"/>
        <item x="262"/>
        <item x="13"/>
        <item x="179"/>
        <item x="357"/>
        <item x="82"/>
        <item x="382"/>
        <item x="345"/>
        <item x="325"/>
        <item x="5"/>
        <item x="170"/>
        <item x="277"/>
        <item x="560"/>
        <item x="222"/>
        <item x="494"/>
        <item x="196"/>
        <item x="291"/>
        <item x="392"/>
        <item x="136"/>
        <item t="default"/>
      </items>
    </pivotField>
    <pivotField showAll="0"/>
    <pivotField showAll="0"/>
    <pivotField dataField="1" showAll="0"/>
    <pivotField showAll="0"/>
    <pivotField showAll="0"/>
    <pivotField numFmtId="14" showAll="0"/>
    <pivotField showAll="0"/>
    <pivotField showAll="0">
      <items count="4">
        <item x="1"/>
        <item x="2"/>
        <item x="0"/>
        <item t="default"/>
      </items>
    </pivotField>
    <pivotField showAll="0">
      <items count="6">
        <item x="3"/>
        <item x="2"/>
        <item x="4"/>
        <item x="1"/>
        <item x="0"/>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 dragToRow="0" dragToCol="0" dragToPage="0" showAll="0" defaultSubtotal="0"/>
  </pivotFields>
  <rowFields count="1">
    <field x="5"/>
  </rowFields>
  <rowItems count="58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t="grand">
      <x/>
    </i>
  </rowItems>
  <colFields count="1">
    <field x="-2"/>
  </colFields>
  <colItems count="3">
    <i>
      <x/>
    </i>
    <i i="1">
      <x v="1"/>
    </i>
    <i i="2">
      <x v="2"/>
    </i>
  </colItems>
  <dataFields count="3">
    <dataField name="last_purchase_date" fld="4" subtotal="max" baseField="5" baseItem="0" numFmtId="14"/>
    <dataField name="Monetary" fld="8" baseField="0" baseItem="0"/>
    <dataField name="Frequency"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B337A3C-A471-4FC2-B10C-EA2B62917E7E}" name="Pivot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3:C9" firstHeaderRow="0" firstDataRow="1" firstDataCol="1"/>
  <pivotFields count="19">
    <pivotField showAll="0"/>
    <pivotField showAll="0"/>
    <pivotField showAll="0"/>
    <pivotField dataField="1" showAll="0"/>
    <pivotField showAll="0"/>
    <pivotField showAll="0"/>
    <pivotField showAll="0"/>
    <pivotField numFmtId="10" showAll="0"/>
    <pivotField showAll="0"/>
    <pivotField showAll="0"/>
    <pivotField numFmtId="14" showAll="0">
      <items count="52">
        <item x="10"/>
        <item x="49"/>
        <item x="6"/>
        <item x="39"/>
        <item x="5"/>
        <item x="24"/>
        <item x="2"/>
        <item x="14"/>
        <item x="46"/>
        <item x="33"/>
        <item x="11"/>
        <item x="7"/>
        <item x="50"/>
        <item x="20"/>
        <item x="31"/>
        <item x="38"/>
        <item x="23"/>
        <item x="35"/>
        <item x="28"/>
        <item x="40"/>
        <item x="16"/>
        <item x="43"/>
        <item x="48"/>
        <item x="3"/>
        <item x="42"/>
        <item x="45"/>
        <item x="27"/>
        <item x="22"/>
        <item x="29"/>
        <item x="12"/>
        <item x="47"/>
        <item x="9"/>
        <item x="34"/>
        <item x="19"/>
        <item x="15"/>
        <item x="17"/>
        <item x="44"/>
        <item x="36"/>
        <item x="21"/>
        <item x="26"/>
        <item x="8"/>
        <item x="41"/>
        <item x="18"/>
        <item x="32"/>
        <item x="30"/>
        <item x="37"/>
        <item x="25"/>
        <item x="13"/>
        <item x="4"/>
        <item x="0"/>
        <item x="1"/>
        <item t="default"/>
      </items>
    </pivotField>
    <pivotField showAll="0"/>
    <pivotField showAll="0"/>
    <pivotField dataField="1" showAll="0"/>
    <pivotField showAll="0" sortType="descending">
      <items count="500">
        <item x="16"/>
        <item x="226"/>
        <item x="444"/>
        <item x="442"/>
        <item x="117"/>
        <item x="20"/>
        <item x="397"/>
        <item x="275"/>
        <item x="464"/>
        <item x="96"/>
        <item x="272"/>
        <item x="8"/>
        <item x="470"/>
        <item x="146"/>
        <item x="95"/>
        <item x="247"/>
        <item x="490"/>
        <item x="121"/>
        <item x="356"/>
        <item x="109"/>
        <item x="299"/>
        <item x="57"/>
        <item x="195"/>
        <item x="163"/>
        <item x="374"/>
        <item x="199"/>
        <item x="291"/>
        <item x="314"/>
        <item x="138"/>
        <item x="233"/>
        <item x="267"/>
        <item x="231"/>
        <item x="107"/>
        <item x="85"/>
        <item x="155"/>
        <item x="235"/>
        <item x="252"/>
        <item x="147"/>
        <item x="389"/>
        <item x="229"/>
        <item x="473"/>
        <item x="66"/>
        <item x="405"/>
        <item x="227"/>
        <item x="266"/>
        <item x="27"/>
        <item x="160"/>
        <item x="404"/>
        <item x="375"/>
        <item x="83"/>
        <item x="101"/>
        <item x="170"/>
        <item x="383"/>
        <item x="204"/>
        <item x="479"/>
        <item x="59"/>
        <item x="455"/>
        <item x="261"/>
        <item x="414"/>
        <item x="357"/>
        <item x="91"/>
        <item x="90"/>
        <item x="197"/>
        <item x="49"/>
        <item x="268"/>
        <item x="367"/>
        <item x="302"/>
        <item x="78"/>
        <item x="443"/>
        <item x="401"/>
        <item x="394"/>
        <item x="331"/>
        <item x="217"/>
        <item x="172"/>
        <item x="108"/>
        <item x="330"/>
        <item x="92"/>
        <item x="167"/>
        <item x="208"/>
        <item x="181"/>
        <item x="211"/>
        <item x="203"/>
        <item x="353"/>
        <item x="251"/>
        <item x="472"/>
        <item x="196"/>
        <item x="429"/>
        <item x="67"/>
        <item x="350"/>
        <item x="325"/>
        <item x="340"/>
        <item x="395"/>
        <item x="456"/>
        <item x="126"/>
        <item x="164"/>
        <item x="250"/>
        <item x="407"/>
        <item x="242"/>
        <item x="41"/>
        <item x="480"/>
        <item x="277"/>
        <item x="210"/>
        <item x="276"/>
        <item x="182"/>
        <item x="496"/>
        <item x="33"/>
        <item x="454"/>
        <item x="255"/>
        <item x="269"/>
        <item x="134"/>
        <item x="359"/>
        <item x="86"/>
        <item x="46"/>
        <item x="402"/>
        <item x="460"/>
        <item x="14"/>
        <item x="45"/>
        <item x="105"/>
        <item x="492"/>
        <item x="257"/>
        <item x="371"/>
        <item x="143"/>
        <item x="0"/>
        <item x="165"/>
        <item x="5"/>
        <item x="489"/>
        <item x="411"/>
        <item x="459"/>
        <item x="398"/>
        <item x="115"/>
        <item x="87"/>
        <item x="363"/>
        <item x="12"/>
        <item x="222"/>
        <item x="56"/>
        <item x="481"/>
        <item x="6"/>
        <item x="319"/>
        <item x="315"/>
        <item x="79"/>
        <item x="260"/>
        <item x="487"/>
        <item x="53"/>
        <item x="194"/>
        <item x="361"/>
        <item x="1"/>
        <item x="221"/>
        <item x="15"/>
        <item x="11"/>
        <item x="418"/>
        <item x="216"/>
        <item x="25"/>
        <item x="156"/>
        <item x="80"/>
        <item x="430"/>
        <item x="438"/>
        <item x="381"/>
        <item x="106"/>
        <item x="369"/>
        <item x="316"/>
        <item x="427"/>
        <item x="187"/>
        <item x="34"/>
        <item x="205"/>
        <item x="262"/>
        <item x="225"/>
        <item x="77"/>
        <item x="328"/>
        <item x="386"/>
        <item x="465"/>
        <item x="478"/>
        <item x="388"/>
        <item x="326"/>
        <item x="297"/>
        <item x="468"/>
        <item x="58"/>
        <item x="462"/>
        <item x="282"/>
        <item x="185"/>
        <item x="333"/>
        <item x="81"/>
        <item x="436"/>
        <item x="285"/>
        <item x="114"/>
        <item x="298"/>
        <item x="98"/>
        <item x="382"/>
        <item x="64"/>
        <item x="29"/>
        <item x="293"/>
        <item x="3"/>
        <item x="55"/>
        <item x="296"/>
        <item x="432"/>
        <item x="213"/>
        <item x="270"/>
        <item x="309"/>
        <item x="125"/>
        <item x="116"/>
        <item x="274"/>
        <item x="220"/>
        <item x="23"/>
        <item x="483"/>
        <item x="493"/>
        <item x="40"/>
        <item x="88"/>
        <item x="232"/>
        <item x="9"/>
        <item x="157"/>
        <item x="113"/>
        <item x="145"/>
        <item x="104"/>
        <item x="378"/>
        <item x="44"/>
        <item x="283"/>
        <item x="339"/>
        <item x="186"/>
        <item x="2"/>
        <item x="364"/>
        <item x="281"/>
        <item x="457"/>
        <item x="136"/>
        <item x="35"/>
        <item x="51"/>
        <item x="259"/>
        <item x="271"/>
        <item x="419"/>
        <item x="230"/>
        <item x="408"/>
        <item x="476"/>
        <item x="175"/>
        <item x="70"/>
        <item x="336"/>
        <item x="475"/>
        <item x="392"/>
        <item x="37"/>
        <item x="42"/>
        <item x="323"/>
        <item x="254"/>
        <item x="150"/>
        <item x="365"/>
        <item x="463"/>
        <item x="154"/>
        <item x="151"/>
        <item x="421"/>
        <item x="387"/>
        <item x="168"/>
        <item x="447"/>
        <item x="307"/>
        <item x="238"/>
        <item x="68"/>
        <item x="71"/>
        <item x="43"/>
        <item x="120"/>
        <item x="400"/>
        <item x="190"/>
        <item x="471"/>
        <item x="358"/>
        <item x="149"/>
        <item x="224"/>
        <item x="26"/>
        <item x="428"/>
        <item x="239"/>
        <item x="294"/>
        <item x="158"/>
        <item x="265"/>
        <item x="344"/>
        <item x="280"/>
        <item x="335"/>
        <item x="246"/>
        <item x="153"/>
        <item x="368"/>
        <item x="133"/>
        <item x="327"/>
        <item x="286"/>
        <item x="148"/>
        <item x="103"/>
        <item x="410"/>
        <item x="488"/>
        <item x="111"/>
        <item x="179"/>
        <item x="495"/>
        <item x="437"/>
        <item x="278"/>
        <item x="355"/>
        <item x="94"/>
        <item x="244"/>
        <item x="24"/>
        <item x="373"/>
        <item x="390"/>
        <item x="89"/>
        <item x="191"/>
        <item x="422"/>
        <item x="423"/>
        <item x="137"/>
        <item x="60"/>
        <item x="377"/>
        <item x="69"/>
        <item x="426"/>
        <item x="253"/>
        <item x="4"/>
        <item x="139"/>
        <item x="494"/>
        <item x="212"/>
        <item x="39"/>
        <item x="486"/>
        <item x="31"/>
        <item x="18"/>
        <item x="7"/>
        <item x="452"/>
        <item x="440"/>
        <item x="132"/>
        <item x="417"/>
        <item x="439"/>
        <item x="50"/>
        <item x="130"/>
        <item x="141"/>
        <item x="431"/>
        <item x="284"/>
        <item x="82"/>
        <item x="435"/>
        <item x="93"/>
        <item x="351"/>
        <item x="324"/>
        <item x="118"/>
        <item x="166"/>
        <item x="434"/>
        <item x="380"/>
        <item x="393"/>
        <item x="84"/>
        <item x="273"/>
        <item x="169"/>
        <item x="174"/>
        <item x="75"/>
        <item x="467"/>
        <item x="236"/>
        <item x="248"/>
        <item x="334"/>
        <item x="123"/>
        <item x="22"/>
        <item x="140"/>
        <item x="469"/>
        <item x="73"/>
        <item x="352"/>
        <item x="76"/>
        <item x="74"/>
        <item x="243"/>
        <item x="301"/>
        <item x="295"/>
        <item x="466"/>
        <item x="332"/>
        <item x="219"/>
        <item x="180"/>
        <item x="63"/>
        <item x="72"/>
        <item x="38"/>
        <item x="453"/>
        <item x="391"/>
        <item x="372"/>
        <item x="240"/>
        <item x="102"/>
        <item x="110"/>
        <item x="341"/>
        <item x="385"/>
        <item x="218"/>
        <item x="420"/>
        <item x="135"/>
        <item x="184"/>
        <item x="99"/>
        <item x="409"/>
        <item x="477"/>
        <item x="425"/>
        <item x="360"/>
        <item x="304"/>
        <item x="214"/>
        <item x="65"/>
        <item x="287"/>
        <item x="177"/>
        <item x="256"/>
        <item x="498"/>
        <item x="97"/>
        <item x="17"/>
        <item x="289"/>
        <item x="308"/>
        <item x="362"/>
        <item x="349"/>
        <item x="279"/>
        <item x="461"/>
        <item x="112"/>
        <item x="317"/>
        <item x="312"/>
        <item x="249"/>
        <item x="258"/>
        <item x="449"/>
        <item x="446"/>
        <item x="19"/>
        <item x="192"/>
        <item x="193"/>
        <item x="48"/>
        <item x="416"/>
        <item x="228"/>
        <item x="198"/>
        <item x="321"/>
        <item x="188"/>
        <item x="173"/>
        <item x="403"/>
        <item x="127"/>
        <item x="241"/>
        <item x="202"/>
        <item x="497"/>
        <item x="348"/>
        <item x="474"/>
        <item x="124"/>
        <item x="223"/>
        <item x="52"/>
        <item x="100"/>
        <item x="303"/>
        <item x="415"/>
        <item x="484"/>
        <item x="131"/>
        <item x="159"/>
        <item x="406"/>
        <item x="237"/>
        <item x="171"/>
        <item x="413"/>
        <item x="337"/>
        <item x="128"/>
        <item x="338"/>
        <item x="10"/>
        <item x="206"/>
        <item x="412"/>
        <item x="441"/>
        <item x="62"/>
        <item x="200"/>
        <item x="54"/>
        <item x="342"/>
        <item x="288"/>
        <item x="13"/>
        <item x="152"/>
        <item x="329"/>
        <item x="30"/>
        <item x="215"/>
        <item x="28"/>
        <item x="47"/>
        <item x="21"/>
        <item x="458"/>
        <item x="306"/>
        <item x="450"/>
        <item x="399"/>
        <item x="129"/>
        <item x="448"/>
        <item x="445"/>
        <item x="318"/>
        <item x="264"/>
        <item x="396"/>
        <item x="201"/>
        <item x="485"/>
        <item x="366"/>
        <item x="451"/>
        <item x="346"/>
        <item x="370"/>
        <item x="209"/>
        <item x="424"/>
        <item x="61"/>
        <item x="300"/>
        <item x="376"/>
        <item x="119"/>
        <item x="207"/>
        <item x="343"/>
        <item x="290"/>
        <item x="263"/>
        <item x="354"/>
        <item x="176"/>
        <item x="162"/>
        <item x="122"/>
        <item x="292"/>
        <item x="482"/>
        <item x="347"/>
        <item x="491"/>
        <item x="320"/>
        <item x="311"/>
        <item x="322"/>
        <item x="384"/>
        <item x="305"/>
        <item x="379"/>
        <item x="161"/>
        <item x="433"/>
        <item x="142"/>
        <item x="36"/>
        <item x="183"/>
        <item x="32"/>
        <item x="234"/>
        <item x="178"/>
        <item x="245"/>
        <item x="345"/>
        <item x="313"/>
        <item x="310"/>
        <item x="144"/>
        <item x="189"/>
        <item t="default"/>
      </items>
      <autoSortScope>
        <pivotArea dataOnly="0" outline="0" fieldPosition="0">
          <references count="1">
            <reference field="4294967294" count="1" selected="0">
              <x v="0"/>
            </reference>
          </references>
        </pivotArea>
      </autoSortScope>
    </pivotField>
    <pivotField axis="axisRow" showAll="0" measureFilter="1" sortType="descending">
      <items count="6">
        <item x="0"/>
        <item x="2"/>
        <item x="1"/>
        <item x="3"/>
        <item x="4"/>
        <item t="default"/>
      </items>
      <autoSortScope>
        <pivotArea dataOnly="0" outline="0" fieldPosition="0">
          <references count="1">
            <reference field="4294967294" count="1" selected="0">
              <x v="0"/>
            </reference>
          </references>
        </pivotArea>
      </autoSortScope>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15"/>
  </rowFields>
  <rowItems count="6">
    <i>
      <x v="2"/>
    </i>
    <i>
      <x v="4"/>
    </i>
    <i>
      <x/>
    </i>
    <i>
      <x v="3"/>
    </i>
    <i>
      <x v="1"/>
    </i>
    <i t="grand">
      <x/>
    </i>
  </rowItems>
  <colFields count="1">
    <field x="-2"/>
  </colFields>
  <colItems count="2">
    <i>
      <x/>
    </i>
    <i i="1">
      <x v="1"/>
    </i>
  </colItems>
  <dataFields count="2">
    <dataField name="Sum of revenue" fld="13" baseField="0" baseItem="0"/>
    <dataField name="Sum of quantity" fld="3" baseField="0" baseItem="0"/>
  </dataFields>
  <chartFormats count="8">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4"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5" type="count" evalOrder="-1" id="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9CF5449-E797-46B1-A595-A53DE2D7440C}" name="PivotTable7"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14" firstHeaderRow="0" firstDataRow="1" firstDataCol="1"/>
  <pivotFields count="19">
    <pivotField showAll="0"/>
    <pivotField showAll="0"/>
    <pivotField showAll="0"/>
    <pivotField dataField="1" showAll="0"/>
    <pivotField showAll="0"/>
    <pivotField showAll="0"/>
    <pivotField showAll="0"/>
    <pivotField numFmtId="10" showAll="0"/>
    <pivotField showAll="0"/>
    <pivotField showAll="0"/>
    <pivotField numFmtId="14" showAll="0">
      <items count="52">
        <item x="10"/>
        <item x="49"/>
        <item x="6"/>
        <item x="39"/>
        <item x="5"/>
        <item x="24"/>
        <item x="2"/>
        <item x="14"/>
        <item x="46"/>
        <item x="33"/>
        <item x="11"/>
        <item x="7"/>
        <item x="50"/>
        <item x="20"/>
        <item x="31"/>
        <item x="38"/>
        <item x="23"/>
        <item x="35"/>
        <item x="28"/>
        <item x="40"/>
        <item x="16"/>
        <item x="43"/>
        <item x="48"/>
        <item x="3"/>
        <item x="42"/>
        <item x="45"/>
        <item x="27"/>
        <item x="22"/>
        <item x="29"/>
        <item x="12"/>
        <item x="47"/>
        <item x="9"/>
        <item x="34"/>
        <item x="19"/>
        <item x="15"/>
        <item x="17"/>
        <item x="44"/>
        <item x="36"/>
        <item x="21"/>
        <item x="26"/>
        <item x="8"/>
        <item x="41"/>
        <item x="18"/>
        <item x="32"/>
        <item x="30"/>
        <item x="37"/>
        <item x="25"/>
        <item x="13"/>
        <item x="4"/>
        <item x="0"/>
        <item x="1"/>
        <item t="default"/>
      </items>
    </pivotField>
    <pivotField showAll="0"/>
    <pivotField showAll="0"/>
    <pivotField dataField="1" showAll="0"/>
    <pivotField axis="axisRow" showAll="0" measureFilter="1" sortType="ascending">
      <items count="500">
        <item x="16"/>
        <item x="226"/>
        <item x="444"/>
        <item x="442"/>
        <item x="117"/>
        <item x="20"/>
        <item x="397"/>
        <item x="275"/>
        <item x="464"/>
        <item x="96"/>
        <item x="272"/>
        <item x="8"/>
        <item x="470"/>
        <item x="146"/>
        <item x="95"/>
        <item x="247"/>
        <item x="490"/>
        <item x="121"/>
        <item x="356"/>
        <item x="109"/>
        <item x="299"/>
        <item x="57"/>
        <item x="195"/>
        <item x="163"/>
        <item x="374"/>
        <item x="199"/>
        <item x="291"/>
        <item x="314"/>
        <item x="138"/>
        <item x="233"/>
        <item x="267"/>
        <item x="231"/>
        <item x="107"/>
        <item x="85"/>
        <item x="155"/>
        <item x="235"/>
        <item x="252"/>
        <item x="147"/>
        <item x="389"/>
        <item x="229"/>
        <item x="473"/>
        <item x="66"/>
        <item x="405"/>
        <item x="227"/>
        <item x="266"/>
        <item x="27"/>
        <item x="160"/>
        <item x="404"/>
        <item x="375"/>
        <item x="83"/>
        <item x="101"/>
        <item x="170"/>
        <item x="383"/>
        <item x="204"/>
        <item x="479"/>
        <item x="59"/>
        <item x="455"/>
        <item x="261"/>
        <item x="414"/>
        <item x="357"/>
        <item x="91"/>
        <item x="90"/>
        <item x="197"/>
        <item x="49"/>
        <item x="268"/>
        <item x="367"/>
        <item x="302"/>
        <item x="78"/>
        <item x="443"/>
        <item x="401"/>
        <item x="394"/>
        <item x="331"/>
        <item x="217"/>
        <item x="172"/>
        <item x="108"/>
        <item x="330"/>
        <item x="92"/>
        <item x="167"/>
        <item x="208"/>
        <item x="181"/>
        <item x="211"/>
        <item x="203"/>
        <item x="353"/>
        <item x="251"/>
        <item x="472"/>
        <item x="196"/>
        <item x="429"/>
        <item x="67"/>
        <item x="350"/>
        <item x="325"/>
        <item x="340"/>
        <item x="395"/>
        <item x="456"/>
        <item x="126"/>
        <item x="164"/>
        <item x="250"/>
        <item x="407"/>
        <item x="242"/>
        <item x="41"/>
        <item x="480"/>
        <item x="277"/>
        <item x="210"/>
        <item x="276"/>
        <item x="182"/>
        <item x="496"/>
        <item x="33"/>
        <item x="454"/>
        <item x="255"/>
        <item x="269"/>
        <item x="134"/>
        <item x="359"/>
        <item x="86"/>
        <item x="46"/>
        <item x="402"/>
        <item x="460"/>
        <item x="14"/>
        <item x="45"/>
        <item x="105"/>
        <item x="492"/>
        <item x="257"/>
        <item x="371"/>
        <item x="143"/>
        <item x="0"/>
        <item x="165"/>
        <item x="5"/>
        <item x="489"/>
        <item x="411"/>
        <item x="459"/>
        <item x="398"/>
        <item x="115"/>
        <item x="87"/>
        <item x="363"/>
        <item x="12"/>
        <item x="222"/>
        <item x="56"/>
        <item x="481"/>
        <item x="6"/>
        <item x="319"/>
        <item x="315"/>
        <item x="79"/>
        <item x="260"/>
        <item x="487"/>
        <item x="53"/>
        <item x="194"/>
        <item x="361"/>
        <item x="1"/>
        <item x="221"/>
        <item x="15"/>
        <item x="11"/>
        <item x="418"/>
        <item x="216"/>
        <item x="25"/>
        <item x="156"/>
        <item x="80"/>
        <item x="430"/>
        <item x="438"/>
        <item x="381"/>
        <item x="106"/>
        <item x="369"/>
        <item x="316"/>
        <item x="427"/>
        <item x="187"/>
        <item x="34"/>
        <item x="205"/>
        <item x="262"/>
        <item x="225"/>
        <item x="77"/>
        <item x="328"/>
        <item x="386"/>
        <item x="465"/>
        <item x="478"/>
        <item x="388"/>
        <item x="326"/>
        <item x="297"/>
        <item x="468"/>
        <item x="58"/>
        <item x="462"/>
        <item x="282"/>
        <item x="185"/>
        <item x="333"/>
        <item x="81"/>
        <item x="436"/>
        <item x="285"/>
        <item x="114"/>
        <item x="298"/>
        <item x="98"/>
        <item x="382"/>
        <item x="64"/>
        <item x="29"/>
        <item x="293"/>
        <item x="3"/>
        <item x="55"/>
        <item x="296"/>
        <item x="432"/>
        <item x="213"/>
        <item x="270"/>
        <item x="309"/>
        <item x="125"/>
        <item x="116"/>
        <item x="274"/>
        <item x="220"/>
        <item x="23"/>
        <item x="483"/>
        <item x="493"/>
        <item x="40"/>
        <item x="88"/>
        <item x="232"/>
        <item x="9"/>
        <item x="157"/>
        <item x="113"/>
        <item x="145"/>
        <item x="104"/>
        <item x="378"/>
        <item x="44"/>
        <item x="283"/>
        <item x="339"/>
        <item x="186"/>
        <item x="2"/>
        <item x="364"/>
        <item x="281"/>
        <item x="457"/>
        <item x="136"/>
        <item x="35"/>
        <item x="51"/>
        <item x="259"/>
        <item x="271"/>
        <item x="419"/>
        <item x="230"/>
        <item x="408"/>
        <item x="476"/>
        <item x="175"/>
        <item x="70"/>
        <item x="336"/>
        <item x="475"/>
        <item x="392"/>
        <item x="37"/>
        <item x="42"/>
        <item x="323"/>
        <item x="254"/>
        <item x="150"/>
        <item x="365"/>
        <item x="463"/>
        <item x="154"/>
        <item x="151"/>
        <item x="421"/>
        <item x="387"/>
        <item x="168"/>
        <item x="447"/>
        <item x="307"/>
        <item x="238"/>
        <item x="68"/>
        <item x="71"/>
        <item x="43"/>
        <item x="120"/>
        <item x="400"/>
        <item x="190"/>
        <item x="471"/>
        <item x="358"/>
        <item x="149"/>
        <item x="224"/>
        <item x="26"/>
        <item x="428"/>
        <item x="239"/>
        <item x="294"/>
        <item x="158"/>
        <item x="265"/>
        <item x="344"/>
        <item x="280"/>
        <item x="335"/>
        <item x="246"/>
        <item x="153"/>
        <item x="368"/>
        <item x="133"/>
        <item x="327"/>
        <item x="286"/>
        <item x="148"/>
        <item x="103"/>
        <item x="410"/>
        <item x="488"/>
        <item x="111"/>
        <item x="179"/>
        <item x="495"/>
        <item x="437"/>
        <item x="278"/>
        <item x="355"/>
        <item x="94"/>
        <item x="244"/>
        <item x="24"/>
        <item x="373"/>
        <item x="390"/>
        <item x="89"/>
        <item x="191"/>
        <item x="422"/>
        <item x="423"/>
        <item x="137"/>
        <item x="60"/>
        <item x="377"/>
        <item x="69"/>
        <item x="426"/>
        <item x="253"/>
        <item x="4"/>
        <item x="139"/>
        <item x="494"/>
        <item x="212"/>
        <item x="39"/>
        <item x="486"/>
        <item x="31"/>
        <item x="18"/>
        <item x="7"/>
        <item x="452"/>
        <item x="440"/>
        <item x="132"/>
        <item x="417"/>
        <item x="439"/>
        <item x="50"/>
        <item x="130"/>
        <item x="141"/>
        <item x="431"/>
        <item x="284"/>
        <item x="82"/>
        <item x="435"/>
        <item x="93"/>
        <item x="351"/>
        <item x="324"/>
        <item x="118"/>
        <item x="166"/>
        <item x="434"/>
        <item x="380"/>
        <item x="393"/>
        <item x="84"/>
        <item x="273"/>
        <item x="169"/>
        <item x="174"/>
        <item x="75"/>
        <item x="467"/>
        <item x="236"/>
        <item x="248"/>
        <item x="334"/>
        <item x="123"/>
        <item x="22"/>
        <item x="140"/>
        <item x="469"/>
        <item x="73"/>
        <item x="352"/>
        <item x="76"/>
        <item x="74"/>
        <item x="243"/>
        <item x="301"/>
        <item x="295"/>
        <item x="466"/>
        <item x="332"/>
        <item x="219"/>
        <item x="180"/>
        <item x="63"/>
        <item x="72"/>
        <item x="38"/>
        <item x="453"/>
        <item x="391"/>
        <item x="372"/>
        <item x="240"/>
        <item x="102"/>
        <item x="110"/>
        <item x="341"/>
        <item x="385"/>
        <item x="218"/>
        <item x="420"/>
        <item x="135"/>
        <item x="184"/>
        <item x="99"/>
        <item x="409"/>
        <item x="477"/>
        <item x="425"/>
        <item x="360"/>
        <item x="304"/>
        <item x="214"/>
        <item x="65"/>
        <item x="287"/>
        <item x="177"/>
        <item x="256"/>
        <item x="498"/>
        <item x="97"/>
        <item x="17"/>
        <item x="289"/>
        <item x="308"/>
        <item x="362"/>
        <item x="349"/>
        <item x="279"/>
        <item x="461"/>
        <item x="112"/>
        <item x="317"/>
        <item x="312"/>
        <item x="249"/>
        <item x="258"/>
        <item x="449"/>
        <item x="446"/>
        <item x="19"/>
        <item x="192"/>
        <item x="193"/>
        <item x="48"/>
        <item x="416"/>
        <item x="228"/>
        <item x="198"/>
        <item x="321"/>
        <item x="188"/>
        <item x="173"/>
        <item x="403"/>
        <item x="127"/>
        <item x="241"/>
        <item x="202"/>
        <item x="497"/>
        <item x="348"/>
        <item x="474"/>
        <item x="124"/>
        <item x="223"/>
        <item x="52"/>
        <item x="100"/>
        <item x="303"/>
        <item x="415"/>
        <item x="484"/>
        <item x="131"/>
        <item x="159"/>
        <item x="406"/>
        <item x="237"/>
        <item x="171"/>
        <item x="413"/>
        <item x="337"/>
        <item x="128"/>
        <item x="338"/>
        <item x="10"/>
        <item x="206"/>
        <item x="412"/>
        <item x="441"/>
        <item x="62"/>
        <item x="200"/>
        <item x="54"/>
        <item x="342"/>
        <item x="288"/>
        <item x="13"/>
        <item x="152"/>
        <item x="329"/>
        <item x="30"/>
        <item x="215"/>
        <item x="28"/>
        <item x="47"/>
        <item x="21"/>
        <item x="458"/>
        <item x="306"/>
        <item x="450"/>
        <item x="399"/>
        <item x="129"/>
        <item x="448"/>
        <item x="445"/>
        <item x="318"/>
        <item x="264"/>
        <item x="396"/>
        <item x="201"/>
        <item x="485"/>
        <item x="366"/>
        <item x="451"/>
        <item x="346"/>
        <item x="370"/>
        <item x="209"/>
        <item x="424"/>
        <item x="61"/>
        <item x="300"/>
        <item x="376"/>
        <item x="119"/>
        <item x="207"/>
        <item x="343"/>
        <item x="290"/>
        <item x="263"/>
        <item x="354"/>
        <item x="176"/>
        <item x="162"/>
        <item x="122"/>
        <item x="292"/>
        <item x="482"/>
        <item x="347"/>
        <item x="491"/>
        <item x="320"/>
        <item x="311"/>
        <item x="322"/>
        <item x="384"/>
        <item x="305"/>
        <item x="379"/>
        <item x="161"/>
        <item x="433"/>
        <item x="142"/>
        <item x="36"/>
        <item x="183"/>
        <item x="32"/>
        <item x="234"/>
        <item x="178"/>
        <item x="245"/>
        <item x="345"/>
        <item x="313"/>
        <item x="310"/>
        <item x="144"/>
        <item x="189"/>
        <item t="default"/>
      </items>
      <autoSortScope>
        <pivotArea dataOnly="0" outline="0" fieldPosition="0">
          <references count="1">
            <reference field="4294967294" count="1" selected="0">
              <x v="0"/>
            </reference>
          </references>
        </pivotArea>
      </autoSortScope>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4"/>
  </rowFields>
  <rowItems count="11">
    <i>
      <x v="383"/>
    </i>
    <i>
      <x v="408"/>
    </i>
    <i>
      <x v="74"/>
    </i>
    <i>
      <x v="130"/>
    </i>
    <i>
      <x v="354"/>
    </i>
    <i>
      <x v="201"/>
    </i>
    <i>
      <x v="147"/>
    </i>
    <i>
      <x v="228"/>
    </i>
    <i>
      <x v="328"/>
    </i>
    <i>
      <x v="182"/>
    </i>
    <i t="grand">
      <x/>
    </i>
  </rowItems>
  <colFields count="1">
    <field x="-2"/>
  </colFields>
  <colItems count="2">
    <i>
      <x/>
    </i>
    <i i="1">
      <x v="1"/>
    </i>
  </colItems>
  <dataFields count="2">
    <dataField name="Sum of revenue" fld="13" baseField="0" baseItem="0"/>
    <dataField name="Sum of quantity" fld="3" baseField="0" baseItem="0"/>
  </dataFields>
  <pivotTableStyleInfo name="PivotStyleLight16" showRowHeaders="1" showColHeaders="1" showRowStripes="0" showColStripes="0" showLastColumn="1"/>
  <filters count="1">
    <filter fld="14"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919F9A0-9CC1-4947-83E3-66B75174A62C}"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 firstHeaderRow="0" firstDataRow="1" firstDataCol="1"/>
  <pivotFields count="18">
    <pivotField dataField="1" showAll="0"/>
    <pivotField showAll="0">
      <items count="3">
        <item x="1"/>
        <item x="0"/>
        <item t="default"/>
      </items>
    </pivotField>
    <pivotField showAll="0"/>
    <pivotField showAll="0"/>
    <pivotField numFmtId="14" showAll="0">
      <items count="52">
        <item x="50"/>
        <item x="3"/>
        <item x="24"/>
        <item x="43"/>
        <item x="32"/>
        <item x="18"/>
        <item x="7"/>
        <item x="9"/>
        <item x="37"/>
        <item x="30"/>
        <item x="27"/>
        <item x="1"/>
        <item x="13"/>
        <item x="49"/>
        <item x="31"/>
        <item x="36"/>
        <item x="48"/>
        <item x="5"/>
        <item x="33"/>
        <item x="45"/>
        <item x="10"/>
        <item x="26"/>
        <item x="6"/>
        <item x="15"/>
        <item x="28"/>
        <item x="29"/>
        <item x="42"/>
        <item x="11"/>
        <item x="17"/>
        <item x="35"/>
        <item x="20"/>
        <item x="2"/>
        <item x="0"/>
        <item x="14"/>
        <item x="47"/>
        <item x="8"/>
        <item x="21"/>
        <item x="34"/>
        <item x="12"/>
        <item x="46"/>
        <item x="19"/>
        <item x="38"/>
        <item x="25"/>
        <item x="41"/>
        <item x="39"/>
        <item x="4"/>
        <item x="22"/>
        <item x="16"/>
        <item x="40"/>
        <item x="23"/>
        <item x="44"/>
        <item t="default"/>
      </items>
    </pivotField>
    <pivotField showAll="0"/>
    <pivotField axis="axisRow" showAll="0">
      <items count="7">
        <item x="0"/>
        <item x="1"/>
        <item h="1" x="4"/>
        <item h="1" x="5"/>
        <item h="1" x="2"/>
        <item h="1" x="3"/>
        <item t="default"/>
      </items>
    </pivotField>
    <pivotField showAll="0"/>
    <pivotField dataField="1" showAll="0"/>
    <pivotField showAll="0"/>
    <pivotField showAll="0"/>
    <pivotField numFmtId="14" showAll="0"/>
    <pivotField showAll="0"/>
    <pivotField showAll="0">
      <items count="4">
        <item x="1"/>
        <item x="2"/>
        <item x="0"/>
        <item t="default"/>
      </items>
    </pivotField>
    <pivotField showAll="0">
      <items count="6">
        <item x="3"/>
        <item x="2"/>
        <item x="4"/>
        <item x="1"/>
        <item x="0"/>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 dragToRow="0" dragToCol="0" dragToPage="0" showAll="0" defaultSubtotal="0"/>
  </pivotFields>
  <rowFields count="1">
    <field x="6"/>
  </rowFields>
  <rowItems count="3">
    <i>
      <x/>
    </i>
    <i>
      <x v="1"/>
    </i>
    <i t="grand">
      <x/>
    </i>
  </rowItems>
  <colFields count="1">
    <field x="-2"/>
  </colFields>
  <colItems count="2">
    <i>
      <x/>
    </i>
    <i i="1">
      <x v="1"/>
    </i>
  </colItems>
  <dataFields count="2">
    <dataField name="Sum of revenue" fld="8" baseField="0" baseItem="0"/>
    <dataField name="Count of sale_id"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00410FC-D29F-466A-AC8F-ED5829635BDB}"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909" firstHeaderRow="0" firstDataRow="1" firstDataCol="1"/>
  <pivotFields count="19">
    <pivotField showAll="0"/>
    <pivotField axis="axisRow" showAll="0" measureFilter="1" sortType="descending">
      <items count="906">
        <item x="289"/>
        <item x="614"/>
        <item x="399"/>
        <item x="391"/>
        <item x="73"/>
        <item x="102"/>
        <item x="436"/>
        <item x="313"/>
        <item x="657"/>
        <item x="783"/>
        <item x="759"/>
        <item x="653"/>
        <item x="336"/>
        <item x="532"/>
        <item x="24"/>
        <item x="395"/>
        <item x="26"/>
        <item x="526"/>
        <item x="152"/>
        <item x="820"/>
        <item x="401"/>
        <item x="282"/>
        <item x="317"/>
        <item x="128"/>
        <item x="32"/>
        <item x="60"/>
        <item x="278"/>
        <item x="234"/>
        <item x="66"/>
        <item x="280"/>
        <item x="42"/>
        <item x="133"/>
        <item x="319"/>
        <item x="379"/>
        <item x="548"/>
        <item x="650"/>
        <item x="880"/>
        <item x="84"/>
        <item x="603"/>
        <item x="684"/>
        <item x="210"/>
        <item x="318"/>
        <item x="229"/>
        <item x="101"/>
        <item x="178"/>
        <item x="882"/>
        <item x="850"/>
        <item x="575"/>
        <item x="649"/>
        <item x="702"/>
        <item x="296"/>
        <item x="309"/>
        <item x="76"/>
        <item x="244"/>
        <item x="400"/>
        <item x="595"/>
        <item x="246"/>
        <item x="420"/>
        <item x="896"/>
        <item x="593"/>
        <item x="199"/>
        <item x="478"/>
        <item x="287"/>
        <item x="892"/>
        <item x="678"/>
        <item x="431"/>
        <item x="162"/>
        <item x="325"/>
        <item x="129"/>
        <item x="813"/>
        <item x="444"/>
        <item x="233"/>
        <item x="579"/>
        <item x="306"/>
        <item x="203"/>
        <item x="619"/>
        <item x="85"/>
        <item x="147"/>
        <item x="537"/>
        <item x="722"/>
        <item x="540"/>
        <item x="253"/>
        <item x="547"/>
        <item x="737"/>
        <item x="718"/>
        <item x="312"/>
        <item x="303"/>
        <item x="209"/>
        <item x="396"/>
        <item x="238"/>
        <item x="131"/>
        <item x="608"/>
        <item x="460"/>
        <item x="617"/>
        <item x="250"/>
        <item x="660"/>
        <item x="285"/>
        <item x="571"/>
        <item x="508"/>
        <item x="501"/>
        <item x="188"/>
        <item x="861"/>
        <item x="724"/>
        <item x="680"/>
        <item x="468"/>
        <item x="856"/>
        <item x="599"/>
        <item x="57"/>
        <item x="388"/>
        <item x="375"/>
        <item x="677"/>
        <item x="380"/>
        <item x="21"/>
        <item x="36"/>
        <item x="389"/>
        <item x="40"/>
        <item x="569"/>
        <item x="518"/>
        <item x="772"/>
        <item x="78"/>
        <item x="17"/>
        <item x="130"/>
        <item x="703"/>
        <item x="695"/>
        <item x="298"/>
        <item x="276"/>
        <item x="689"/>
        <item x="435"/>
        <item x="43"/>
        <item x="50"/>
        <item x="29"/>
        <item x="668"/>
        <item x="790"/>
        <item x="132"/>
        <item x="715"/>
        <item x="326"/>
        <item x="370"/>
        <item x="483"/>
        <item x="120"/>
        <item x="521"/>
        <item x="615"/>
        <item x="216"/>
        <item x="728"/>
        <item x="61"/>
        <item x="673"/>
        <item x="49"/>
        <item x="91"/>
        <item x="786"/>
        <item x="612"/>
        <item x="665"/>
        <item x="195"/>
        <item x="378"/>
        <item x="437"/>
        <item x="832"/>
        <item x="679"/>
        <item x="227"/>
        <item x="682"/>
        <item x="237"/>
        <item x="68"/>
        <item x="597"/>
        <item x="149"/>
        <item x="474"/>
        <item x="204"/>
        <item x="359"/>
        <item x="79"/>
        <item x="742"/>
        <item x="8"/>
        <item x="257"/>
        <item x="634"/>
        <item x="445"/>
        <item x="95"/>
        <item x="115"/>
        <item x="371"/>
        <item x="167"/>
        <item x="105"/>
        <item x="220"/>
        <item x="646"/>
        <item x="19"/>
        <item x="77"/>
        <item x="206"/>
        <item x="601"/>
        <item x="279"/>
        <item x="487"/>
        <item x="190"/>
        <item x="484"/>
        <item x="300"/>
        <item x="893"/>
        <item x="711"/>
        <item x="556"/>
        <item x="542"/>
        <item x="439"/>
        <item x="151"/>
        <item x="97"/>
        <item x="879"/>
        <item x="273"/>
        <item x="136"/>
        <item x="534"/>
        <item x="572"/>
        <item x="576"/>
        <item x="691"/>
        <item x="31"/>
        <item x="186"/>
        <item x="748"/>
        <item x="781"/>
        <item x="699"/>
        <item x="808"/>
        <item x="384"/>
        <item x="241"/>
        <item x="358"/>
        <item x="793"/>
        <item x="90"/>
        <item x="522"/>
        <item x="352"/>
        <item x="488"/>
        <item x="554"/>
        <item x="3"/>
        <item x="235"/>
        <item x="471"/>
        <item x="750"/>
        <item x="538"/>
        <item x="1"/>
        <item x="621"/>
        <item x="12"/>
        <item x="795"/>
        <item x="688"/>
        <item x="180"/>
        <item x="727"/>
        <item x="182"/>
        <item x="754"/>
        <item x="502"/>
        <item x="268"/>
        <item x="519"/>
        <item x="512"/>
        <item x="884"/>
        <item x="433"/>
        <item x="264"/>
        <item x="826"/>
        <item x="443"/>
        <item x="351"/>
        <item x="642"/>
        <item x="868"/>
        <item x="693"/>
        <item x="330"/>
        <item x="38"/>
        <item x="592"/>
        <item x="723"/>
        <item x="376"/>
        <item x="339"/>
        <item x="294"/>
        <item x="701"/>
        <item x="83"/>
        <item x="231"/>
        <item x="265"/>
        <item x="584"/>
        <item x="192"/>
        <item x="875"/>
        <item x="674"/>
        <item x="213"/>
        <item x="48"/>
        <item x="469"/>
        <item x="183"/>
        <item x="490"/>
        <item x="517"/>
        <item x="667"/>
        <item x="94"/>
        <item x="240"/>
        <item x="70"/>
        <item x="510"/>
        <item x="641"/>
        <item x="458"/>
        <item x="590"/>
        <item x="890"/>
        <item x="794"/>
        <item x="814"/>
        <item x="527"/>
        <item x="454"/>
        <item x="54"/>
        <item x="866"/>
        <item x="16"/>
        <item x="256"/>
        <item x="222"/>
        <item x="25"/>
        <item x="769"/>
        <item x="671"/>
        <item x="266"/>
        <item x="315"/>
        <item x="172"/>
        <item x="114"/>
        <item x="239"/>
        <item x="221"/>
        <item x="80"/>
        <item x="51"/>
        <item x="154"/>
        <item x="281"/>
        <item x="364"/>
        <item x="451"/>
        <item x="369"/>
        <item x="307"/>
        <item x="252"/>
        <item x="259"/>
        <item x="39"/>
        <item x="207"/>
        <item x="567"/>
        <item x="863"/>
        <item x="161"/>
        <item x="580"/>
        <item x="568"/>
        <item x="45"/>
        <item x="348"/>
        <item x="267"/>
        <item x="291"/>
        <item x="587"/>
        <item x="20"/>
        <item x="845"/>
        <item x="698"/>
        <item x="652"/>
        <item x="5"/>
        <item x="497"/>
        <item x="852"/>
        <item x="22"/>
        <item x="212"/>
        <item x="242"/>
        <item x="335"/>
        <item x="63"/>
        <item x="482"/>
        <item x="201"/>
        <item x="346"/>
        <item x="796"/>
        <item x="669"/>
        <item x="347"/>
        <item x="558"/>
        <item x="730"/>
        <item x="353"/>
        <item x="109"/>
        <item x="449"/>
        <item x="573"/>
        <item x="62"/>
        <item x="64"/>
        <item x="768"/>
        <item x="475"/>
        <item x="438"/>
        <item x="551"/>
        <item x="726"/>
        <item x="486"/>
        <item x="610"/>
        <item x="857"/>
        <item x="472"/>
        <item x="606"/>
        <item x="270"/>
        <item x="126"/>
        <item x="539"/>
        <item x="434"/>
        <item x="422"/>
        <item x="116"/>
        <item x="636"/>
        <item x="232"/>
        <item x="563"/>
        <item x="214"/>
        <item x="559"/>
        <item x="111"/>
        <item x="476"/>
        <item x="168"/>
        <item x="156"/>
        <item x="160"/>
        <item x="153"/>
        <item x="714"/>
        <item x="334"/>
        <item x="170"/>
        <item x="624"/>
        <item x="622"/>
        <item x="226"/>
        <item x="338"/>
        <item x="741"/>
        <item x="74"/>
        <item x="274"/>
        <item x="329"/>
        <item x="228"/>
        <item x="581"/>
        <item x="103"/>
        <item x="774"/>
        <item x="477"/>
        <item x="255"/>
        <item x="803"/>
        <item x="805"/>
        <item x="598"/>
        <item x="664"/>
        <item x="117"/>
        <item x="119"/>
        <item x="421"/>
        <item x="23"/>
        <item x="466"/>
        <item x="374"/>
        <item x="331"/>
        <item x="159"/>
        <item x="546"/>
        <item x="118"/>
        <item x="185"/>
        <item x="93"/>
        <item x="846"/>
        <item x="96"/>
        <item x="544"/>
        <item x="310"/>
        <item x="146"/>
        <item x="141"/>
        <item x="72"/>
        <item x="304"/>
        <item x="515"/>
        <item x="507"/>
        <item x="197"/>
        <item x="230"/>
        <item x="367"/>
        <item x="254"/>
        <item x="13"/>
        <item x="272"/>
        <item x="337"/>
        <item x="108"/>
        <item x="582"/>
        <item x="171"/>
        <item x="184"/>
        <item x="788"/>
        <item x="55"/>
        <item x="414"/>
        <item x="99"/>
        <item x="851"/>
        <item x="618"/>
        <item x="107"/>
        <item x="423"/>
        <item x="249"/>
        <item x="675"/>
        <item x="757"/>
        <item x="200"/>
        <item x="10"/>
        <item x="686"/>
        <item x="113"/>
        <item x="89"/>
        <item x="164"/>
        <item x="124"/>
        <item x="263"/>
        <item x="865"/>
        <item x="0"/>
        <item x="752"/>
        <item x="14"/>
        <item x="506"/>
        <item x="765"/>
        <item x="842"/>
        <item x="143"/>
        <item x="446"/>
        <item x="823"/>
        <item x="28"/>
        <item x="743"/>
        <item x="134"/>
        <item x="887"/>
        <item x="290"/>
        <item x="815"/>
        <item x="411"/>
        <item x="872"/>
        <item x="848"/>
        <item x="173"/>
        <item x="869"/>
        <item x="632"/>
        <item x="644"/>
        <item x="761"/>
        <item x="690"/>
        <item x="712"/>
        <item x="545"/>
        <item x="320"/>
        <item x="284"/>
        <item x="123"/>
        <item x="125"/>
        <item x="177"/>
        <item x="418"/>
        <item x="463"/>
        <item x="801"/>
        <item x="543"/>
        <item x="672"/>
        <item x="895"/>
        <item x="605"/>
        <item x="528"/>
        <item x="316"/>
        <item x="782"/>
        <item x="633"/>
        <item x="900"/>
        <item x="787"/>
        <item x="236"/>
        <item x="467"/>
        <item x="802"/>
        <item x="853"/>
        <item x="499"/>
        <item x="871"/>
        <item x="780"/>
        <item x="169"/>
        <item x="293"/>
        <item x="570"/>
        <item x="7"/>
        <item x="139"/>
        <item x="277"/>
        <item x="565"/>
        <item x="448"/>
        <item x="647"/>
        <item x="797"/>
        <item x="792"/>
        <item x="514"/>
        <item x="75"/>
        <item x="166"/>
        <item x="158"/>
        <item x="807"/>
        <item x="295"/>
        <item x="429"/>
        <item x="442"/>
        <item x="828"/>
        <item x="901"/>
        <item x="412"/>
        <item x="707"/>
        <item x="205"/>
        <item x="191"/>
        <item x="138"/>
        <item x="56"/>
        <item x="405"/>
        <item x="425"/>
        <item x="666"/>
        <item x="655"/>
        <item x="494"/>
        <item x="811"/>
        <item x="751"/>
        <item x="710"/>
        <item x="493"/>
        <item x="428"/>
        <item x="733"/>
        <item x="496"/>
        <item x="385"/>
        <item x="736"/>
        <item x="402"/>
        <item x="591"/>
        <item x="635"/>
        <item x="821"/>
        <item x="661"/>
        <item x="122"/>
        <item x="577"/>
        <item x="292"/>
        <item x="717"/>
        <item x="662"/>
        <item x="681"/>
        <item x="654"/>
        <item x="766"/>
        <item x="697"/>
        <item x="495"/>
        <item x="562"/>
        <item x="145"/>
        <item x="771"/>
        <item x="27"/>
        <item x="86"/>
        <item x="275"/>
        <item x="816"/>
        <item x="489"/>
        <item x="314"/>
        <item x="342"/>
        <item x="406"/>
        <item x="409"/>
        <item x="219"/>
        <item x="382"/>
        <item x="419"/>
        <item x="586"/>
        <item x="520"/>
        <item x="394"/>
        <item x="217"/>
        <item x="609"/>
        <item x="753"/>
        <item x="87"/>
        <item x="719"/>
        <item x="286"/>
        <item x="704"/>
        <item x="485"/>
        <item x="643"/>
        <item x="15"/>
        <item x="623"/>
        <item x="862"/>
        <item x="902"/>
        <item x="218"/>
        <item x="706"/>
        <item x="739"/>
        <item x="198"/>
        <item x="251"/>
        <item x="324"/>
        <item x="283"/>
        <item x="604"/>
        <item x="407"/>
        <item x="620"/>
        <item x="432"/>
        <item x="112"/>
        <item x="899"/>
        <item x="756"/>
        <item x="505"/>
        <item x="626"/>
        <item x="560"/>
        <item x="333"/>
        <item x="628"/>
        <item x="404"/>
        <item x="645"/>
        <item x="843"/>
        <item x="637"/>
        <item x="616"/>
        <item x="523"/>
        <item x="350"/>
        <item x="261"/>
        <item x="744"/>
        <item x="372"/>
        <item x="874"/>
        <item x="894"/>
        <item x="430"/>
        <item x="305"/>
        <item x="503"/>
        <item x="629"/>
        <item x="740"/>
        <item x="708"/>
        <item x="258"/>
        <item x="363"/>
        <item x="392"/>
        <item x="341"/>
        <item x="525"/>
        <item x="322"/>
        <item x="500"/>
        <item x="638"/>
        <item x="196"/>
        <item x="676"/>
        <item x="778"/>
        <item x="224"/>
        <item x="550"/>
        <item x="46"/>
        <item x="92"/>
        <item x="340"/>
        <item x="825"/>
        <item x="574"/>
        <item x="886"/>
        <item x="897"/>
        <item x="193"/>
        <item x="779"/>
        <item x="297"/>
        <item x="187"/>
        <item x="658"/>
        <item x="789"/>
        <item x="225"/>
        <item x="734"/>
        <item x="269"/>
        <item x="455"/>
        <item x="885"/>
        <item x="413"/>
        <item x="271"/>
        <item x="819"/>
        <item x="810"/>
        <item x="71"/>
        <item x="416"/>
        <item x="393"/>
        <item x="585"/>
        <item x="849"/>
        <item x="308"/>
        <item x="553"/>
        <item x="106"/>
        <item x="745"/>
        <item x="403"/>
        <item x="824"/>
        <item x="11"/>
        <item x="215"/>
        <item x="785"/>
        <item x="891"/>
        <item x="858"/>
        <item x="288"/>
        <item x="549"/>
        <item x="683"/>
        <item x="836"/>
        <item x="137"/>
        <item x="135"/>
        <item x="705"/>
        <item x="841"/>
        <item x="588"/>
        <item x="18"/>
        <item x="30"/>
        <item x="847"/>
        <item x="516"/>
        <item x="746"/>
        <item x="564"/>
        <item x="631"/>
        <item x="829"/>
        <item x="844"/>
        <item x="181"/>
        <item x="640"/>
        <item x="397"/>
        <item x="355"/>
        <item x="904"/>
        <item x="504"/>
        <item x="81"/>
        <item x="243"/>
        <item x="100"/>
        <item x="465"/>
        <item x="441"/>
        <item x="531"/>
        <item x="373"/>
        <item x="837"/>
        <item x="163"/>
        <item x="398"/>
        <item x="557"/>
        <item x="840"/>
        <item x="492"/>
        <item x="735"/>
        <item x="155"/>
        <item x="694"/>
        <item x="383"/>
        <item x="600"/>
        <item x="357"/>
        <item x="462"/>
        <item x="738"/>
        <item x="776"/>
        <item x="533"/>
        <item x="349"/>
        <item x="888"/>
        <item x="262"/>
        <item x="602"/>
        <item x="427"/>
        <item x="4"/>
        <item x="6"/>
        <item x="365"/>
        <item x="804"/>
        <item x="509"/>
        <item x="767"/>
        <item x="670"/>
        <item x="426"/>
        <item x="110"/>
        <item x="775"/>
        <item x="459"/>
        <item x="415"/>
        <item x="175"/>
        <item x="764"/>
        <item x="390"/>
        <item x="625"/>
        <item x="58"/>
        <item x="583"/>
        <item x="356"/>
        <item x="194"/>
        <item x="827"/>
        <item x="589"/>
        <item x="150"/>
        <item x="417"/>
        <item x="876"/>
        <item x="377"/>
        <item x="47"/>
        <item x="578"/>
        <item x="453"/>
        <item x="731"/>
        <item x="311"/>
        <item x="747"/>
        <item x="35"/>
        <item x="302"/>
        <item x="818"/>
        <item x="873"/>
        <item x="361"/>
        <item x="763"/>
        <item x="53"/>
        <item x="41"/>
        <item x="773"/>
        <item x="408"/>
        <item x="839"/>
        <item x="211"/>
        <item x="9"/>
        <item x="627"/>
        <item x="898"/>
        <item x="535"/>
        <item x="798"/>
        <item x="381"/>
        <item x="607"/>
        <item x="859"/>
        <item x="479"/>
        <item x="822"/>
        <item x="386"/>
        <item x="461"/>
        <item x="721"/>
        <item x="806"/>
        <item x="299"/>
        <item x="69"/>
        <item x="760"/>
        <item x="104"/>
        <item x="456"/>
        <item x="838"/>
        <item x="663"/>
        <item x="202"/>
        <item x="831"/>
        <item x="34"/>
        <item x="88"/>
        <item x="870"/>
        <item x="613"/>
        <item x="812"/>
        <item x="165"/>
        <item x="410"/>
        <item x="867"/>
        <item x="470"/>
        <item x="700"/>
        <item x="245"/>
        <item x="762"/>
        <item x="260"/>
        <item x="343"/>
        <item x="491"/>
        <item x="830"/>
        <item x="366"/>
        <item x="561"/>
        <item x="648"/>
        <item x="566"/>
        <item x="513"/>
        <item x="725"/>
        <item x="98"/>
        <item x="770"/>
        <item x="656"/>
        <item x="799"/>
        <item x="611"/>
        <item x="33"/>
        <item x="536"/>
        <item x="817"/>
        <item x="344"/>
        <item x="713"/>
        <item x="555"/>
        <item x="630"/>
        <item x="323"/>
        <item x="140"/>
        <item x="321"/>
        <item x="541"/>
        <item x="179"/>
        <item x="729"/>
        <item x="121"/>
        <item x="883"/>
        <item x="749"/>
        <item x="709"/>
        <item x="685"/>
        <item x="440"/>
        <item x="791"/>
        <item x="511"/>
        <item x="52"/>
        <item x="889"/>
        <item x="148"/>
        <item x="345"/>
        <item x="176"/>
        <item x="877"/>
        <item x="368"/>
        <item x="758"/>
        <item x="2"/>
        <item x="142"/>
        <item x="594"/>
        <item x="809"/>
        <item x="529"/>
        <item x="696"/>
        <item x="530"/>
        <item x="878"/>
        <item x="881"/>
        <item x="189"/>
        <item x="855"/>
        <item x="755"/>
        <item x="37"/>
        <item x="596"/>
        <item x="498"/>
        <item x="481"/>
        <item x="687"/>
        <item x="552"/>
        <item x="59"/>
        <item x="716"/>
        <item x="144"/>
        <item x="328"/>
        <item x="174"/>
        <item x="777"/>
        <item x="639"/>
        <item x="424"/>
        <item x="223"/>
        <item x="248"/>
        <item x="354"/>
        <item x="903"/>
        <item x="864"/>
        <item x="82"/>
        <item x="692"/>
        <item x="659"/>
        <item x="720"/>
        <item x="800"/>
        <item x="360"/>
        <item x="835"/>
        <item x="452"/>
        <item x="387"/>
        <item x="833"/>
        <item x="362"/>
        <item x="473"/>
        <item x="457"/>
        <item x="332"/>
        <item x="860"/>
        <item x="450"/>
        <item x="464"/>
        <item x="327"/>
        <item x="208"/>
        <item x="67"/>
        <item x="784"/>
        <item x="157"/>
        <item x="301"/>
        <item x="247"/>
        <item x="480"/>
        <item x="127"/>
        <item x="854"/>
        <item x="65"/>
        <item x="732"/>
        <item x="524"/>
        <item x="44"/>
        <item x="447"/>
        <item x="651"/>
        <item x="834"/>
        <item t="default"/>
      </items>
      <autoSortScope>
        <pivotArea dataOnly="0" outline="0" fieldPosition="0">
          <references count="1">
            <reference field="4294967294" count="1" selected="0">
              <x v="0"/>
            </reference>
          </references>
        </pivotArea>
      </autoSortScope>
    </pivotField>
    <pivotField dataField="1" showAll="0"/>
    <pivotField dataField="1" showAll="0"/>
    <pivotField showAll="0"/>
    <pivotField showAll="0"/>
    <pivotField showAll="0"/>
    <pivotField numFmtId="10" showAll="0"/>
    <pivotField showAll="0"/>
    <pivotField showAll="0"/>
    <pivotField numFmtId="14" showAll="0">
      <items count="52">
        <item x="10"/>
        <item x="49"/>
        <item x="6"/>
        <item x="39"/>
        <item x="5"/>
        <item x="24"/>
        <item x="2"/>
        <item x="14"/>
        <item x="46"/>
        <item x="33"/>
        <item x="11"/>
        <item x="7"/>
        <item x="50"/>
        <item x="20"/>
        <item x="31"/>
        <item x="38"/>
        <item x="23"/>
        <item x="35"/>
        <item x="28"/>
        <item x="40"/>
        <item x="16"/>
        <item x="43"/>
        <item x="48"/>
        <item x="3"/>
        <item x="42"/>
        <item x="45"/>
        <item x="27"/>
        <item x="22"/>
        <item x="29"/>
        <item x="12"/>
        <item x="47"/>
        <item x="9"/>
        <item x="34"/>
        <item x="19"/>
        <item x="15"/>
        <item x="17"/>
        <item x="44"/>
        <item x="36"/>
        <item x="21"/>
        <item x="26"/>
        <item x="8"/>
        <item x="41"/>
        <item x="18"/>
        <item x="32"/>
        <item x="30"/>
        <item x="37"/>
        <item x="25"/>
        <item x="13"/>
        <item x="4"/>
        <item x="0"/>
        <item x="1"/>
        <item t="default"/>
      </items>
    </pivotField>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906">
    <i>
      <x v="186"/>
    </i>
    <i>
      <x v="271"/>
    </i>
    <i>
      <x v="233"/>
    </i>
    <i>
      <x v="58"/>
    </i>
    <i>
      <x v="63"/>
    </i>
    <i>
      <x v="303"/>
    </i>
    <i>
      <x v="345"/>
    </i>
    <i>
      <x v="318"/>
    </i>
    <i>
      <x v="45"/>
    </i>
    <i>
      <x v="36"/>
    </i>
    <i>
      <x v="193"/>
    </i>
    <i>
      <x v="69"/>
    </i>
    <i>
      <x v="240"/>
    </i>
    <i>
      <x v="277"/>
    </i>
    <i>
      <x v="46"/>
    </i>
    <i>
      <x v="153"/>
    </i>
    <i>
      <x v="313"/>
    </i>
    <i>
      <x v="383"/>
    </i>
    <i>
      <x v="382"/>
    </i>
    <i>
      <x v="398"/>
    </i>
    <i>
      <x v="342"/>
    </i>
    <i>
      <x v="429"/>
    </i>
    <i>
      <x v="328"/>
    </i>
    <i>
      <x v="438"/>
    </i>
    <i>
      <x v="187"/>
    </i>
    <i>
      <x v="255"/>
    </i>
    <i>
      <x v="223"/>
    </i>
    <i>
      <x v="122"/>
    </i>
    <i>
      <x v="9"/>
    </i>
    <i>
      <x v="132"/>
    </i>
    <i>
      <x v="101"/>
    </i>
    <i>
      <x v="147"/>
    </i>
    <i>
      <x v="224"/>
    </i>
    <i>
      <x v="273"/>
    </i>
    <i>
      <x v="272"/>
    </i>
    <i>
      <x v="19"/>
    </i>
    <i>
      <x v="205"/>
    </i>
    <i>
      <x v="440"/>
    </i>
    <i>
      <x v="314"/>
    </i>
    <i>
      <x v="423"/>
    </i>
    <i>
      <x v="327"/>
    </i>
    <i>
      <x v="331"/>
    </i>
    <i>
      <x v="354"/>
    </i>
    <i>
      <x v="365"/>
    </i>
    <i>
      <x v="189"/>
    </i>
    <i>
      <x v="253"/>
    </i>
    <i>
      <x v="79"/>
    </i>
    <i>
      <x v="105"/>
    </i>
    <i>
      <x v="256"/>
    </i>
    <i>
      <x v="209"/>
    </i>
    <i>
      <x v="239"/>
    </i>
    <i>
      <x v="219"/>
    </i>
    <i>
      <x v="249"/>
    </i>
    <i>
      <x v="165"/>
    </i>
    <i>
      <x v="118"/>
    </i>
    <i>
      <x v="149"/>
    </i>
    <i>
      <x v="83"/>
    </i>
    <i>
      <x v="10"/>
    </i>
    <i>
      <x v="39"/>
    </i>
    <i>
      <x v="236"/>
    </i>
    <i>
      <x v="154"/>
    </i>
    <i>
      <x v="134"/>
    </i>
    <i>
      <x v="397"/>
    </i>
    <i>
      <x v="346"/>
    </i>
    <i>
      <x v="407"/>
    </i>
    <i>
      <x v="419"/>
    </i>
    <i>
      <x v="330"/>
    </i>
    <i>
      <x v="306"/>
    </i>
    <i>
      <x v="435"/>
    </i>
    <i>
      <x v="340"/>
    </i>
    <i>
      <x v="409"/>
    </i>
    <i>
      <x v="434"/>
    </i>
    <i>
      <x v="358"/>
    </i>
    <i>
      <x v="428"/>
    </i>
    <i>
      <x v="372"/>
    </i>
    <i>
      <x v="432"/>
    </i>
    <i>
      <x v="377"/>
    </i>
    <i>
      <x v="341"/>
    </i>
    <i>
      <x v="379"/>
    </i>
    <i>
      <x v="359"/>
    </i>
    <i>
      <x v="360"/>
    </i>
    <i>
      <x v="436"/>
    </i>
    <i>
      <x v="263"/>
    </i>
    <i>
      <x v="21"/>
    </i>
    <i>
      <x v="198"/>
    </i>
    <i>
      <x v="33"/>
    </i>
    <i>
      <x v="237"/>
    </i>
    <i>
      <x v="102"/>
    </i>
    <i>
      <x v="47"/>
    </i>
    <i>
      <x v="103"/>
    </i>
    <i>
      <x v="203"/>
    </i>
    <i>
      <x v="6"/>
    </i>
    <i>
      <x v="229"/>
    </i>
    <i>
      <x v="110"/>
    </i>
    <i>
      <x v="245"/>
    </i>
    <i>
      <x v="114"/>
    </i>
    <i>
      <x v="156"/>
    </i>
    <i>
      <x v="38"/>
    </i>
    <i>
      <x v="49"/>
    </i>
    <i>
      <x v="126"/>
    </i>
    <i>
      <x v="199"/>
    </i>
    <i>
      <x v="127"/>
    </i>
    <i>
      <x v="204"/>
    </i>
    <i>
      <x v="131"/>
    </i>
    <i>
      <x v="226"/>
    </i>
    <i>
      <x v="40"/>
    </i>
    <i>
      <x v="70"/>
    </i>
    <i>
      <x v="283"/>
    </i>
    <i>
      <x v="241"/>
    </i>
    <i>
      <x v="286"/>
    </i>
    <i>
      <x v="28"/>
    </i>
    <i>
      <x v="15"/>
    </i>
    <i>
      <x v="87"/>
    </i>
    <i>
      <x v="17"/>
    </i>
    <i>
      <x v="54"/>
    </i>
    <i>
      <x v="763"/>
    </i>
    <i>
      <x v="663"/>
    </i>
    <i>
      <x v="833"/>
    </i>
    <i>
      <x v="607"/>
    </i>
    <i>
      <x v="687"/>
    </i>
    <i>
      <x v="632"/>
    </i>
    <i>
      <x v="825"/>
    </i>
    <i>
      <x v="633"/>
    </i>
    <i>
      <x v="869"/>
    </i>
    <i>
      <x v="644"/>
    </i>
    <i>
      <x v="713"/>
    </i>
    <i>
      <x v="408"/>
    </i>
    <i>
      <x v="451"/>
    </i>
    <i>
      <x v="338"/>
    </i>
    <i>
      <x v="343"/>
    </i>
    <i>
      <x v="576"/>
    </i>
    <i>
      <x v="352"/>
    </i>
    <i>
      <x v="427"/>
    </i>
    <i>
      <x v="307"/>
    </i>
    <i>
      <x v="441"/>
    </i>
    <i>
      <x v="355"/>
    </i>
    <i>
      <x v="481"/>
    </i>
    <i>
      <x v="356"/>
    </i>
    <i>
      <x v="406"/>
    </i>
    <i>
      <x v="368"/>
    </i>
    <i>
      <x v="589"/>
    </i>
    <i>
      <x v="376"/>
    </i>
    <i>
      <x v="335"/>
    </i>
    <i>
      <x v="381"/>
    </i>
    <i>
      <x v="339"/>
    </i>
    <i>
      <x v="385"/>
    </i>
    <i>
      <x v="442"/>
    </i>
    <i>
      <x v="388"/>
    </i>
    <i>
      <x v="475"/>
    </i>
    <i>
      <x v="394"/>
    </i>
    <i>
      <x v="510"/>
    </i>
    <i>
      <x v="400"/>
    </i>
    <i>
      <x v="402"/>
    </i>
    <i>
      <x v="412"/>
    </i>
    <i>
      <x v="232"/>
    </i>
    <i>
      <x v="268"/>
    </i>
    <i>
      <x v="121"/>
    </i>
    <i>
      <x v="106"/>
    </i>
    <i>
      <x v="23"/>
    </i>
    <i>
      <x v="168"/>
    </i>
    <i>
      <x v="238"/>
    </i>
    <i>
      <x v="172"/>
    </i>
    <i>
      <x v="81"/>
    </i>
    <i>
      <x v="174"/>
    </i>
    <i>
      <x v="123"/>
    </i>
    <i>
      <x v="182"/>
    </i>
    <i>
      <x v="228"/>
    </i>
    <i>
      <x v="185"/>
    </i>
    <i>
      <x v="71"/>
    </i>
    <i>
      <x v="108"/>
    </i>
    <i>
      <x v="76"/>
    </i>
    <i>
      <x v="51"/>
    </i>
    <i>
      <x v="251"/>
    </i>
    <i>
      <x v="89"/>
    </i>
    <i>
      <x v="259"/>
    </i>
    <i>
      <x v="282"/>
    </i>
    <i>
      <x v="31"/>
    </i>
    <i>
      <x v="194"/>
    </i>
    <i>
      <x v="159"/>
    </i>
    <i>
      <x v="196"/>
    </i>
    <i>
      <x v="144"/>
    </i>
    <i>
      <x v="96"/>
    </i>
    <i>
      <x v="41"/>
    </i>
    <i>
      <x v="112"/>
    </i>
    <i>
      <x v="301"/>
    </i>
    <i>
      <x v="100"/>
    </i>
    <i>
      <x v="43"/>
    </i>
    <i>
      <x v="95"/>
    </i>
    <i>
      <x v="75"/>
    </i>
    <i>
      <x v="3"/>
    </i>
    <i>
      <x/>
    </i>
    <i>
      <x v="208"/>
    </i>
    <i>
      <x v="11"/>
    </i>
    <i>
      <x v="59"/>
    </i>
    <i>
      <x v="80"/>
    </i>
    <i>
      <x v="211"/>
    </i>
    <i>
      <x v="82"/>
    </i>
    <i>
      <x v="213"/>
    </i>
    <i>
      <x v="155"/>
    </i>
    <i>
      <x v="214"/>
    </i>
    <i>
      <x v="269"/>
    </i>
    <i>
      <x v="218"/>
    </i>
    <i>
      <x v="86"/>
    </i>
    <i>
      <x v="61"/>
    </i>
    <i>
      <x v="274"/>
    </i>
    <i>
      <x v="221"/>
    </i>
    <i>
      <x v="142"/>
    </i>
    <i>
      <x v="91"/>
    </i>
    <i>
      <x v="55"/>
    </i>
    <i>
      <x v="294"/>
    </i>
    <i>
      <x v="141"/>
    </i>
    <i>
      <x v="148"/>
    </i>
    <i>
      <x v="813"/>
    </i>
    <i>
      <x v="664"/>
    </i>
    <i>
      <x v="847"/>
    </i>
    <i>
      <x v="681"/>
    </i>
    <i>
      <x v="786"/>
    </i>
    <i>
      <x v="682"/>
    </i>
    <i>
      <x v="653"/>
    </i>
    <i>
      <x v="606"/>
    </i>
    <i>
      <x v="850"/>
    </i>
    <i>
      <x v="700"/>
    </i>
    <i>
      <x v="783"/>
    </i>
    <i>
      <x v="870"/>
    </i>
    <i>
      <x v="791"/>
    </i>
    <i>
      <x v="877"/>
    </i>
    <i>
      <x v="648"/>
    </i>
    <i>
      <x v="741"/>
    </i>
    <i>
      <x v="837"/>
    </i>
    <i>
      <x v="751"/>
    </i>
    <i>
      <x v="848"/>
    </i>
    <i>
      <x v="752"/>
    </i>
    <i>
      <x v="630"/>
    </i>
    <i>
      <x v="647"/>
    </i>
    <i>
      <x v="774"/>
    </i>
    <i>
      <x v="885"/>
    </i>
    <i>
      <x v="720"/>
    </i>
    <i>
      <x v="765"/>
    </i>
    <i>
      <x v="308"/>
    </i>
    <i>
      <x v="488"/>
    </i>
    <i>
      <x v="304"/>
    </i>
    <i>
      <x v="384"/>
    </i>
    <i>
      <x v="522"/>
    </i>
    <i>
      <x v="416"/>
    </i>
    <i>
      <x v="458"/>
    </i>
    <i>
      <x v="421"/>
    </i>
    <i>
      <x v="485"/>
    </i>
    <i>
      <x v="422"/>
    </i>
    <i>
      <x v="509"/>
    </i>
    <i>
      <x v="347"/>
    </i>
    <i>
      <x v="552"/>
    </i>
    <i>
      <x v="349"/>
    </i>
    <i>
      <x v="456"/>
    </i>
    <i>
      <x v="430"/>
    </i>
    <i>
      <x v="305"/>
    </i>
    <i>
      <x v="389"/>
    </i>
    <i>
      <x v="404"/>
    </i>
    <i>
      <x v="392"/>
    </i>
    <i>
      <x v="486"/>
    </i>
    <i>
      <x v="350"/>
    </i>
    <i>
      <x v="505"/>
    </i>
    <i>
      <x v="329"/>
    </i>
    <i>
      <x v="315"/>
    </i>
    <i>
      <x v="598"/>
    </i>
    <i>
      <x v="534"/>
    </i>
    <i>
      <x v="373"/>
    </i>
    <i>
      <x v="575"/>
    </i>
    <i>
      <x v="453"/>
    </i>
    <i>
      <x v="311"/>
    </i>
    <i>
      <x v="455"/>
    </i>
    <i>
      <x v="444"/>
    </i>
    <i>
      <x v="35"/>
    </i>
    <i>
      <x v="60"/>
    </i>
    <i>
      <x v="279"/>
    </i>
    <i>
      <x v="78"/>
    </i>
    <i>
      <x v="117"/>
    </i>
    <i>
      <x v="8"/>
    </i>
    <i>
      <x v="262"/>
    </i>
    <i>
      <x v="42"/>
    </i>
    <i>
      <x v="292"/>
    </i>
    <i>
      <x v="160"/>
    </i>
    <i>
      <x v="231"/>
    </i>
    <i>
      <x v="161"/>
    </i>
    <i>
      <x v="34"/>
    </i>
    <i>
      <x v="84"/>
    </i>
    <i>
      <x v="258"/>
    </i>
    <i>
      <x v="167"/>
    </i>
    <i>
      <x v="270"/>
    </i>
    <i>
      <x v="169"/>
    </i>
    <i>
      <x v="288"/>
    </i>
    <i>
      <x v="173"/>
    </i>
    <i>
      <x v="295"/>
    </i>
    <i>
      <x v="176"/>
    </i>
    <i>
      <x v="230"/>
    </i>
    <i>
      <x v="25"/>
    </i>
    <i>
      <x v="116"/>
    </i>
    <i>
      <x v="93"/>
    </i>
    <i>
      <x v="235"/>
    </i>
    <i>
      <x v="26"/>
    </i>
    <i>
      <x v="64"/>
    </i>
    <i>
      <x v="97"/>
    </i>
    <i>
      <x v="2"/>
    </i>
    <i>
      <x v="201"/>
    </i>
    <i>
      <x v="261"/>
    </i>
    <i>
      <x v="202"/>
    </i>
    <i>
      <x v="267"/>
    </i>
    <i>
      <x v="98"/>
    </i>
    <i>
      <x v="140"/>
    </i>
    <i>
      <x v="216"/>
    </i>
    <i>
      <x v="284"/>
    </i>
    <i>
      <x v="217"/>
    </i>
    <i>
      <x v="289"/>
    </i>
    <i>
      <x v="298"/>
    </i>
    <i>
      <x v="145"/>
    </i>
    <i>
      <x v="57"/>
    </i>
    <i>
      <x v="222"/>
    </i>
    <i>
      <x v="56"/>
    </i>
    <i>
      <x v="839"/>
    </i>
    <i>
      <x v="795"/>
    </i>
    <i>
      <x v="897"/>
    </i>
    <i>
      <x v="612"/>
    </i>
    <i>
      <x v="809"/>
    </i>
    <i>
      <x v="657"/>
    </i>
    <i>
      <x v="863"/>
    </i>
    <i>
      <x v="737"/>
    </i>
    <i>
      <x v="676"/>
    </i>
    <i>
      <x v="659"/>
    </i>
    <i>
      <x v="805"/>
    </i>
    <i>
      <x v="746"/>
    </i>
    <i>
      <x v="827"/>
    </i>
    <i>
      <x v="662"/>
    </i>
    <i>
      <x v="696"/>
    </i>
    <i>
      <x v="613"/>
    </i>
    <i>
      <x v="880"/>
    </i>
    <i>
      <x v="604"/>
    </i>
    <i>
      <x v="788"/>
    </i>
    <i>
      <x v="757"/>
    </i>
    <i>
      <x v="793"/>
    </i>
    <i>
      <x v="759"/>
    </i>
    <i>
      <x v="799"/>
    </i>
    <i>
      <x v="639"/>
    </i>
    <i>
      <x v="710"/>
    </i>
    <i>
      <x v="904"/>
    </i>
    <i>
      <x v="823"/>
    </i>
    <i>
      <x v="768"/>
    </i>
    <i>
      <x v="828"/>
    </i>
    <i>
      <x v="770"/>
    </i>
    <i>
      <x v="843"/>
    </i>
    <i>
      <x v="668"/>
    </i>
    <i>
      <x v="851"/>
    </i>
    <i>
      <x v="777"/>
    </i>
    <i>
      <x v="875"/>
    </i>
    <i>
      <x v="780"/>
    </i>
    <i>
      <x v="891"/>
    </i>
    <i>
      <x v="671"/>
    </i>
    <i>
      <x v="672"/>
    </i>
    <i>
      <x v="807"/>
    </i>
    <i>
      <x v="463"/>
    </i>
    <i>
      <x v="366"/>
    </i>
    <i>
      <x v="482"/>
    </i>
    <i>
      <x v="371"/>
    </i>
    <i>
      <x v="369"/>
    </i>
    <i>
      <x v="410"/>
    </i>
    <i>
      <x v="474"/>
    </i>
    <i>
      <x v="353"/>
    </i>
    <i>
      <x v="500"/>
    </i>
    <i>
      <x v="375"/>
    </i>
    <i>
      <x v="544"/>
    </i>
    <i>
      <x v="317"/>
    </i>
    <i>
      <x v="320"/>
    </i>
    <i>
      <x v="324"/>
    </i>
    <i>
      <x v="472"/>
    </i>
    <i>
      <x v="334"/>
    </i>
    <i>
      <x v="362"/>
    </i>
    <i>
      <x v="378"/>
    </i>
    <i>
      <x v="499"/>
    </i>
    <i>
      <x v="344"/>
    </i>
    <i>
      <x v="399"/>
    </i>
    <i>
      <x v="326"/>
    </i>
    <i>
      <x v="530"/>
    </i>
    <i>
      <x v="351"/>
    </i>
    <i>
      <x v="403"/>
    </i>
    <i>
      <x v="447"/>
    </i>
    <i>
      <x v="590"/>
    </i>
    <i>
      <x v="302"/>
    </i>
    <i>
      <x v="479"/>
    </i>
    <i>
      <x v="138"/>
    </i>
    <i>
      <x v="50"/>
    </i>
    <i>
      <x v="29"/>
    </i>
    <i>
      <x v="180"/>
    </i>
    <i>
      <x v="20"/>
    </i>
    <i>
      <x v="181"/>
    </i>
    <i>
      <x v="5"/>
    </i>
    <i>
      <x v="109"/>
    </i>
    <i>
      <x v="299"/>
    </i>
    <i>
      <x v="32"/>
    </i>
    <i>
      <x v="44"/>
    </i>
    <i>
      <x v="184"/>
    </i>
    <i>
      <x v="151"/>
    </i>
    <i>
      <x v="163"/>
    </i>
    <i>
      <x v="99"/>
    </i>
    <i>
      <x v="48"/>
    </i>
    <i>
      <x v="53"/>
    </i>
    <i>
      <x v="188"/>
    </i>
    <i>
      <x v="177"/>
    </i>
    <i>
      <x v="190"/>
    </i>
    <i>
      <x v="166"/>
    </i>
    <i>
      <x v="191"/>
    </i>
    <i>
      <x v="133"/>
    </i>
    <i>
      <x v="120"/>
    </i>
    <i>
      <x v="85"/>
    </i>
    <i>
      <x v="1"/>
    </i>
    <i>
      <x v="135"/>
    </i>
    <i>
      <x v="94"/>
    </i>
    <i>
      <x v="137"/>
    </i>
    <i>
      <x v="125"/>
    </i>
    <i>
      <x v="139"/>
    </i>
    <i>
      <x v="244"/>
    </i>
    <i>
      <x v="72"/>
    </i>
    <i>
      <x v="65"/>
    </i>
    <i>
      <x v="143"/>
    </i>
    <i>
      <x v="246"/>
    </i>
    <i>
      <x v="74"/>
    </i>
    <i>
      <x v="250"/>
    </i>
    <i>
      <x v="162"/>
    </i>
    <i>
      <x v="129"/>
    </i>
    <i>
      <x v="178"/>
    </i>
    <i>
      <x v="252"/>
    </i>
    <i>
      <x v="220"/>
    </i>
    <i>
      <x v="195"/>
    </i>
    <i>
      <x v="300"/>
    </i>
    <i>
      <x v="107"/>
    </i>
    <i>
      <x v="13"/>
    </i>
    <i>
      <x v="781"/>
    </i>
    <i>
      <x v="864"/>
    </i>
    <i>
      <x v="854"/>
    </i>
    <i>
      <x v="815"/>
    </i>
    <i>
      <x v="726"/>
    </i>
    <i>
      <x v="817"/>
    </i>
    <i>
      <x v="641"/>
    </i>
    <i>
      <x v="902"/>
    </i>
    <i>
      <x v="859"/>
    </i>
    <i>
      <x v="618"/>
    </i>
    <i>
      <x v="699"/>
    </i>
    <i>
      <x v="826"/>
    </i>
    <i>
      <x v="764"/>
    </i>
    <i>
      <x v="711"/>
    </i>
    <i>
      <x v="899"/>
    </i>
    <i>
      <x v="722"/>
    </i>
    <i>
      <x v="723"/>
    </i>
    <i>
      <x v="831"/>
    </i>
    <i>
      <x v="856"/>
    </i>
    <i>
      <x v="621"/>
    </i>
    <i>
      <x v="801"/>
    </i>
    <i>
      <x v="693"/>
    </i>
    <i>
      <x v="865"/>
    </i>
    <i>
      <x v="745"/>
    </i>
    <i>
      <x v="608"/>
    </i>
    <i>
      <x v="842"/>
    </i>
    <i>
      <x v="702"/>
    </i>
    <i>
      <x v="772"/>
    </i>
    <i>
      <x v="706"/>
    </i>
    <i>
      <x v="845"/>
    </i>
    <i>
      <x v="812"/>
    </i>
    <i>
      <x v="694"/>
    </i>
    <i>
      <x v="900"/>
    </i>
    <i>
      <x v="773"/>
    </i>
    <i>
      <x v="698"/>
    </i>
    <i>
      <x v="766"/>
    </i>
    <i>
      <x v="754"/>
    </i>
    <i>
      <x v="542"/>
    </i>
    <i>
      <x v="462"/>
    </i>
    <i>
      <x v="574"/>
    </i>
    <i>
      <x v="599"/>
    </i>
    <i>
      <x v="367"/>
    </i>
    <i>
      <x v="464"/>
    </i>
    <i>
      <x v="559"/>
    </i>
    <i>
      <x v="470"/>
    </i>
    <i>
      <x v="579"/>
    </i>
    <i>
      <x v="424"/>
    </i>
    <i>
      <x v="325"/>
    </i>
    <i>
      <x v="312"/>
    </i>
    <i>
      <x v="539"/>
    </i>
    <i>
      <x v="370"/>
    </i>
    <i>
      <x v="546"/>
    </i>
    <i>
      <x v="477"/>
    </i>
    <i>
      <x v="566"/>
    </i>
    <i>
      <x v="592"/>
    </i>
    <i>
      <x v="405"/>
    </i>
    <i>
      <x v="593"/>
    </i>
    <i>
      <x v="461"/>
    </i>
    <i>
      <x v="393"/>
    </i>
    <i>
      <x v="529"/>
    </i>
    <i>
      <x v="415"/>
    </i>
    <i>
      <x v="531"/>
    </i>
    <i>
      <x v="396"/>
    </i>
    <i>
      <x v="535"/>
    </i>
    <i>
      <x v="487"/>
    </i>
    <i>
      <x v="541"/>
    </i>
    <i>
      <x v="489"/>
    </i>
    <i>
      <x v="387"/>
    </i>
    <i>
      <x v="443"/>
    </i>
    <i>
      <x v="380"/>
    </i>
    <i>
      <x v="333"/>
    </i>
    <i>
      <x v="562"/>
    </i>
    <i>
      <x v="507"/>
    </i>
    <i>
      <x v="568"/>
    </i>
    <i>
      <x v="449"/>
    </i>
    <i>
      <x v="348"/>
    </i>
    <i>
      <x v="319"/>
    </i>
    <i>
      <x v="578"/>
    </i>
    <i>
      <x v="512"/>
    </i>
    <i>
      <x v="390"/>
    </i>
    <i>
      <x v="520"/>
    </i>
    <i>
      <x v="591"/>
    </i>
    <i>
      <x v="401"/>
    </i>
    <i>
      <x v="527"/>
    </i>
    <i>
      <x v="480"/>
    </i>
    <i>
      <x v="597"/>
    </i>
    <i>
      <x v="234"/>
    </i>
    <i>
      <x v="179"/>
    </i>
    <i>
      <x v="290"/>
    </i>
    <i>
      <x v="197"/>
    </i>
    <i>
      <x v="183"/>
    </i>
    <i>
      <x v="152"/>
    </i>
    <i>
      <x v="280"/>
    </i>
    <i>
      <x v="130"/>
    </i>
    <i>
      <x v="88"/>
    </i>
    <i>
      <x v="7"/>
    </i>
    <i>
      <x v="206"/>
    </i>
    <i>
      <x v="146"/>
    </i>
    <i>
      <x v="275"/>
    </i>
    <i>
      <x v="260"/>
    </i>
    <i>
      <x v="278"/>
    </i>
    <i>
      <x v="265"/>
    </i>
    <i>
      <x v="18"/>
    </i>
    <i>
      <x v="227"/>
    </i>
    <i>
      <x v="30"/>
    </i>
    <i>
      <x v="92"/>
    </i>
    <i>
      <x v="297"/>
    </i>
    <i>
      <x v="136"/>
    </i>
    <i>
      <x v="247"/>
    </i>
    <i>
      <x v="679"/>
    </i>
    <i>
      <x v="638"/>
    </i>
    <i>
      <x v="832"/>
    </i>
    <i>
      <x v="719"/>
    </i>
    <i>
      <x v="709"/>
    </i>
    <i>
      <x v="724"/>
    </i>
    <i>
      <x v="684"/>
    </i>
    <i>
      <x v="610"/>
    </i>
    <i>
      <x v="614"/>
    </i>
    <i>
      <x v="729"/>
    </i>
    <i>
      <x v="705"/>
    </i>
    <i>
      <x v="730"/>
    </i>
    <i>
      <x v="892"/>
    </i>
    <i>
      <x v="732"/>
    </i>
    <i>
      <x v="718"/>
    </i>
    <i>
      <x v="734"/>
    </i>
    <i>
      <x v="829"/>
    </i>
    <i>
      <x v="742"/>
    </i>
    <i>
      <x v="836"/>
    </i>
    <i>
      <x v="651"/>
    </i>
    <i>
      <x v="635"/>
    </i>
    <i>
      <x v="748"/>
    </i>
    <i>
      <x v="860"/>
    </i>
    <i>
      <x v="620"/>
    </i>
    <i>
      <x v="872"/>
    </i>
    <i>
      <x v="655"/>
    </i>
    <i>
      <x v="883"/>
    </i>
    <i>
      <x v="758"/>
    </i>
    <i>
      <x v="643"/>
    </i>
    <i>
      <x v="762"/>
    </i>
    <i>
      <x v="810"/>
    </i>
    <i>
      <x v="661"/>
    </i>
    <i>
      <x v="680"/>
    </i>
    <i>
      <x v="769"/>
    </i>
    <i>
      <x v="685"/>
    </i>
    <i>
      <x v="623"/>
    </i>
    <i>
      <x v="830"/>
    </i>
    <i>
      <x v="624"/>
    </i>
    <i>
      <x v="690"/>
    </i>
    <i>
      <x v="776"/>
    </i>
    <i>
      <x v="841"/>
    </i>
    <i>
      <x v="666"/>
    </i>
    <i>
      <x v="846"/>
    </i>
    <i>
      <x v="667"/>
    </i>
    <i>
      <x v="697"/>
    </i>
    <i>
      <x v="626"/>
    </i>
    <i>
      <x v="855"/>
    </i>
    <i>
      <x v="784"/>
    </i>
    <i>
      <x v="704"/>
    </i>
    <i>
      <x v="787"/>
    </i>
    <i>
      <x v="867"/>
    </i>
    <i>
      <x v="794"/>
    </i>
    <i>
      <x v="874"/>
    </i>
    <i>
      <x v="796"/>
    </i>
    <i>
      <x v="882"/>
    </i>
    <i>
      <x v="675"/>
    </i>
    <i>
      <x v="887"/>
    </i>
    <i>
      <x v="802"/>
    </i>
    <i>
      <x v="895"/>
    </i>
    <i>
      <x v="806"/>
    </i>
    <i>
      <x v="716"/>
    </i>
    <i>
      <x v="678"/>
    </i>
    <i>
      <x v="811"/>
    </i>
    <i>
      <x v="571"/>
    </i>
    <i>
      <x v="553"/>
    </i>
    <i>
      <x v="583"/>
    </i>
    <i>
      <x v="523"/>
    </i>
    <i>
      <x v="563"/>
    </i>
    <i>
      <x v="524"/>
    </i>
    <i>
      <x v="418"/>
    </i>
    <i>
      <x v="332"/>
    </i>
    <i>
      <x v="439"/>
    </i>
    <i>
      <x v="528"/>
    </i>
    <i>
      <x v="357"/>
    </i>
    <i>
      <x v="391"/>
    </i>
    <i>
      <x v="503"/>
    </i>
    <i>
      <x v="483"/>
    </i>
    <i>
      <x v="364"/>
    </i>
    <i>
      <x v="363"/>
    </i>
    <i>
      <x v="601"/>
    </i>
    <i>
      <x v="533"/>
    </i>
    <i>
      <x v="514"/>
    </i>
    <i>
      <x v="414"/>
    </i>
    <i>
      <x v="361"/>
    </i>
    <i>
      <x v="413"/>
    </i>
    <i>
      <x v="558"/>
    </i>
    <i>
      <x v="309"/>
    </i>
    <i>
      <x v="336"/>
    </i>
    <i>
      <x v="540"/>
    </i>
    <i>
      <x v="502"/>
    </i>
    <i>
      <x v="374"/>
    </i>
    <i>
      <x v="570"/>
    </i>
    <i>
      <x v="492"/>
    </i>
    <i>
      <x v="572"/>
    </i>
    <i>
      <x v="543"/>
    </i>
    <i>
      <x v="506"/>
    </i>
    <i>
      <x v="596"/>
    </i>
    <i>
      <x v="425"/>
    </i>
    <i>
      <x v="545"/>
    </i>
    <i>
      <x v="581"/>
    </i>
    <i>
      <x v="310"/>
    </i>
    <i>
      <x v="426"/>
    </i>
    <i>
      <x v="548"/>
    </i>
    <i>
      <x v="519"/>
    </i>
    <i>
      <x v="549"/>
    </i>
    <i>
      <x v="521"/>
    </i>
    <i>
      <x v="551"/>
    </i>
    <i>
      <x v="498"/>
    </i>
    <i>
      <x v="496"/>
    </i>
    <i>
      <x v="497"/>
    </i>
    <i>
      <x v="459"/>
    </i>
    <i>
      <x v="225"/>
    </i>
    <i>
      <x v="62"/>
    </i>
    <i>
      <x v="22"/>
    </i>
    <i>
      <x v="264"/>
    </i>
    <i>
      <x v="90"/>
    </i>
    <i>
      <x v="276"/>
    </i>
    <i>
      <x v="104"/>
    </i>
    <i>
      <x v="77"/>
    </i>
    <i>
      <x v="37"/>
    </i>
    <i>
      <x v="4"/>
    </i>
    <i>
      <x v="287"/>
    </i>
    <i>
      <x v="192"/>
    </i>
    <i>
      <x v="212"/>
    </i>
    <i>
      <x v="254"/>
    </i>
    <i>
      <x v="291"/>
    </i>
    <i>
      <x v="281"/>
    </i>
    <i>
      <x v="293"/>
    </i>
    <i>
      <x v="73"/>
    </i>
    <i>
      <x v="111"/>
    </i>
    <i>
      <x v="14"/>
    </i>
    <i>
      <x v="248"/>
    </i>
    <i>
      <x v="210"/>
    </i>
    <i>
      <x v="207"/>
    </i>
    <i>
      <x v="66"/>
    </i>
    <i>
      <x v="52"/>
    </i>
    <i>
      <x v="150"/>
    </i>
    <i>
      <x v="642"/>
    </i>
    <i>
      <x v="658"/>
    </i>
    <i>
      <x v="903"/>
    </i>
    <i>
      <x v="627"/>
    </i>
    <i>
      <x v="708"/>
    </i>
    <i>
      <x v="673"/>
    </i>
    <i>
      <x v="893"/>
    </i>
    <i>
      <x v="803"/>
    </i>
    <i>
      <x v="844"/>
    </i>
    <i>
      <x v="804"/>
    </i>
    <i>
      <x v="622"/>
    </i>
    <i>
      <x v="677"/>
    </i>
    <i>
      <x v="878"/>
    </i>
    <i>
      <x v="728"/>
    </i>
    <i>
      <x v="712"/>
    </i>
    <i>
      <x v="808"/>
    </i>
    <i>
      <x v="714"/>
    </i>
    <i>
      <x v="652"/>
    </i>
    <i>
      <x v="838"/>
    </i>
    <i>
      <x v="631"/>
    </i>
    <i>
      <x v="617"/>
    </i>
    <i>
      <x v="816"/>
    </i>
    <i>
      <x v="853"/>
    </i>
    <i>
      <x v="821"/>
    </i>
    <i>
      <x v="873"/>
    </i>
    <i>
      <x v="822"/>
    </i>
    <i>
      <x v="876"/>
    </i>
    <i>
      <x v="753"/>
    </i>
    <i>
      <x v="616"/>
    </i>
    <i>
      <x v="609"/>
    </i>
    <i>
      <x v="886"/>
    </i>
    <i>
      <x v="688"/>
    </i>
    <i>
      <x v="738"/>
    </i>
    <i>
      <x v="689"/>
    </i>
    <i>
      <x v="896"/>
    </i>
    <i>
      <x v="834"/>
    </i>
    <i>
      <x v="715"/>
    </i>
    <i>
      <x v="656"/>
    </i>
    <i>
      <x v="691"/>
    </i>
    <i>
      <x v="740"/>
    </i>
    <i>
      <x v="460"/>
    </i>
    <i>
      <x v="501"/>
    </i>
    <i>
      <x v="585"/>
    </i>
    <i>
      <x v="561"/>
    </i>
    <i>
      <x v="595"/>
    </i>
    <i>
      <x v="476"/>
    </i>
    <i>
      <x v="582"/>
    </i>
    <i>
      <x v="532"/>
    </i>
    <i>
      <x v="587"/>
    </i>
    <i>
      <x v="565"/>
    </i>
    <i>
      <x v="323"/>
    </i>
    <i>
      <x v="321"/>
    </i>
    <i>
      <x v="557"/>
    </i>
    <i>
      <x v="490"/>
    </i>
    <i>
      <x v="469"/>
    </i>
    <i>
      <x v="478"/>
    </i>
    <i>
      <x v="547"/>
    </i>
    <i>
      <x v="511"/>
    </i>
    <i>
      <x v="586"/>
    </i>
    <i>
      <x v="494"/>
    </i>
    <i>
      <x v="446"/>
    </i>
    <i>
      <x v="573"/>
    </i>
    <i>
      <x v="526"/>
    </i>
    <i>
      <x v="513"/>
    </i>
    <i>
      <x v="411"/>
    </i>
    <i>
      <x v="495"/>
    </i>
    <i>
      <x v="554"/>
    </i>
    <i>
      <x v="322"/>
    </i>
    <i>
      <x v="504"/>
    </i>
    <i>
      <x v="337"/>
    </i>
    <i>
      <x v="445"/>
    </i>
    <i>
      <x v="437"/>
    </i>
    <i>
      <x v="603"/>
    </i>
    <i>
      <x v="266"/>
    </i>
    <i>
      <x v="16"/>
    </i>
    <i>
      <x v="170"/>
    </i>
    <i>
      <x v="215"/>
    </i>
    <i>
      <x v="296"/>
    </i>
    <i>
      <x v="257"/>
    </i>
    <i>
      <x v="113"/>
    </i>
    <i>
      <x v="200"/>
    </i>
    <i>
      <x v="171"/>
    </i>
    <i>
      <x v="119"/>
    </i>
    <i>
      <x v="157"/>
    </i>
    <i>
      <x v="12"/>
    </i>
    <i>
      <x v="158"/>
    </i>
    <i>
      <x v="67"/>
    </i>
    <i>
      <x v="242"/>
    </i>
    <i>
      <x v="775"/>
    </i>
    <i>
      <x v="792"/>
    </i>
    <i>
      <x v="857"/>
    </i>
    <i>
      <x v="824"/>
    </i>
    <i>
      <x v="721"/>
    </i>
    <i>
      <x v="654"/>
    </i>
    <i>
      <x v="779"/>
    </i>
    <i>
      <x v="686"/>
    </i>
    <i>
      <x v="820"/>
    </i>
    <i>
      <x v="744"/>
    </i>
    <i>
      <x v="735"/>
    </i>
    <i>
      <x v="755"/>
    </i>
    <i>
      <x v="879"/>
    </i>
    <i>
      <x v="646"/>
    </i>
    <i>
      <x v="790"/>
    </i>
    <i>
      <x v="731"/>
    </i>
    <i>
      <x v="701"/>
    </i>
    <i>
      <x v="798"/>
    </i>
    <i>
      <x v="901"/>
    </i>
    <i>
      <x v="650"/>
    </i>
    <i>
      <x v="767"/>
    </i>
    <i>
      <x v="800"/>
    </i>
    <i>
      <x v="703"/>
    </i>
    <i>
      <x v="692"/>
    </i>
    <i>
      <x v="771"/>
    </i>
    <i>
      <x v="727"/>
    </i>
    <i>
      <x v="625"/>
    </i>
    <i>
      <x v="649"/>
    </i>
    <i>
      <x v="881"/>
    </i>
    <i>
      <x v="611"/>
    </i>
    <i>
      <x v="645"/>
    </i>
    <i>
      <x v="785"/>
    </i>
    <i>
      <x v="894"/>
    </i>
    <i>
      <x v="637"/>
    </i>
    <i>
      <x v="670"/>
    </i>
    <i>
      <x v="739"/>
    </i>
    <i>
      <x v="484"/>
    </i>
    <i>
      <x v="508"/>
    </i>
    <i>
      <x v="471"/>
    </i>
    <i>
      <x v="602"/>
    </i>
    <i>
      <x v="468"/>
    </i>
    <i>
      <x v="569"/>
    </i>
    <i>
      <x v="555"/>
    </i>
    <i>
      <x v="537"/>
    </i>
    <i>
      <x v="560"/>
    </i>
    <i>
      <x v="493"/>
    </i>
    <i>
      <x v="550"/>
    </i>
    <i>
      <x v="417"/>
    </i>
    <i>
      <x v="525"/>
    </i>
    <i>
      <x v="516"/>
    </i>
    <i>
      <x v="431"/>
    </i>
    <i>
      <x v="517"/>
    </i>
    <i>
      <x v="556"/>
    </i>
    <i>
      <x v="518"/>
    </i>
    <i>
      <x v="457"/>
    </i>
    <i>
      <x v="386"/>
    </i>
    <i>
      <x v="473"/>
    </i>
    <i>
      <x v="454"/>
    </i>
    <i>
      <x v="600"/>
    </i>
    <i>
      <x v="584"/>
    </i>
    <i>
      <x v="465"/>
    </i>
    <i>
      <x v="68"/>
    </i>
    <i>
      <x v="175"/>
    </i>
    <i>
      <x v="24"/>
    </i>
    <i>
      <x v="128"/>
    </i>
    <i>
      <x v="124"/>
    </i>
    <i>
      <x v="164"/>
    </i>
    <i>
      <x v="27"/>
    </i>
    <i>
      <x v="243"/>
    </i>
    <i>
      <x v="861"/>
    </i>
    <i>
      <x v="888"/>
    </i>
    <i>
      <x v="884"/>
    </i>
    <i>
      <x v="674"/>
    </i>
    <i>
      <x v="695"/>
    </i>
    <i>
      <x v="629"/>
    </i>
    <i>
      <x v="665"/>
    </i>
    <i>
      <x v="866"/>
    </i>
    <i>
      <x v="605"/>
    </i>
    <i>
      <x v="849"/>
    </i>
    <i>
      <x v="814"/>
    </i>
    <i>
      <x v="868"/>
    </i>
    <i>
      <x v="743"/>
    </i>
    <i>
      <x v="640"/>
    </i>
    <i>
      <x v="660"/>
    </i>
    <i>
      <x v="707"/>
    </i>
    <i>
      <x v="717"/>
    </i>
    <i>
      <x v="871"/>
    </i>
    <i>
      <x v="634"/>
    </i>
    <i>
      <x v="797"/>
    </i>
    <i>
      <x v="619"/>
    </i>
    <i>
      <x v="852"/>
    </i>
    <i>
      <x v="889"/>
    </i>
    <i>
      <x v="736"/>
    </i>
    <i>
      <x v="835"/>
    </i>
    <i>
      <x v="760"/>
    </i>
    <i>
      <x v="778"/>
    </i>
    <i>
      <x v="750"/>
    </i>
    <i>
      <x v="819"/>
    </i>
    <i>
      <x v="747"/>
    </i>
    <i>
      <x v="789"/>
    </i>
    <i>
      <x v="858"/>
    </i>
    <i>
      <x v="615"/>
    </i>
    <i>
      <x v="862"/>
    </i>
    <i>
      <x v="580"/>
    </i>
    <i>
      <x v="316"/>
    </i>
    <i>
      <x v="433"/>
    </i>
    <i>
      <x v="466"/>
    </i>
    <i>
      <x v="420"/>
    </i>
    <i>
      <x v="395"/>
    </i>
    <i>
      <x v="567"/>
    </i>
    <i>
      <x v="536"/>
    </i>
    <i>
      <x v="564"/>
    </i>
    <i>
      <x v="491"/>
    </i>
    <i>
      <x v="448"/>
    </i>
    <i>
      <x v="452"/>
    </i>
    <i>
      <x v="285"/>
    </i>
    <i>
      <x v="115"/>
    </i>
    <i>
      <x v="898"/>
    </i>
    <i>
      <x v="840"/>
    </i>
    <i>
      <x v="725"/>
    </i>
    <i>
      <x v="782"/>
    </i>
    <i>
      <x v="636"/>
    </i>
    <i>
      <x v="628"/>
    </i>
    <i>
      <x v="818"/>
    </i>
    <i>
      <x v="749"/>
    </i>
    <i>
      <x v="669"/>
    </i>
    <i>
      <x v="756"/>
    </i>
    <i>
      <x v="890"/>
    </i>
    <i>
      <x v="683"/>
    </i>
    <i>
      <x v="733"/>
    </i>
    <i>
      <x v="761"/>
    </i>
    <i>
      <x v="538"/>
    </i>
    <i>
      <x v="588"/>
    </i>
    <i>
      <x v="594"/>
    </i>
    <i>
      <x v="450"/>
    </i>
    <i>
      <x v="467"/>
    </i>
    <i>
      <x v="515"/>
    </i>
    <i>
      <x v="577"/>
    </i>
    <i t="grand">
      <x/>
    </i>
  </rowItems>
  <colFields count="1">
    <field x="-2"/>
  </colFields>
  <colItems count="2">
    <i>
      <x/>
    </i>
    <i i="1">
      <x v="1"/>
    </i>
  </colItems>
  <dataFields count="2">
    <dataField name="total items per sale" fld="3" baseField="0" baseItem="0"/>
    <dataField name="product per sale" fld="2" subtotal="count" baseField="1" baseItem="0"/>
  </dataFields>
  <pivotTableStyleInfo name="PivotStyleLight16" showRowHeaders="1" showColHeaders="1" showRowStripes="0" showColStripes="0" showLastColumn="1"/>
  <filters count="1">
    <filter fld="1" type="valueGreaterThan" evalOrder="-1" id="1" iMeasureFld="0">
      <autoFilter ref="A1">
        <filterColumn colId="0">
          <customFilters>
            <customFilter operator="greaterThan" val="1"/>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E2AE8CB-7013-474B-B160-7190CD99D15E}"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C8" firstHeaderRow="0" firstDataRow="1" firstDataCol="1"/>
  <pivotFields count="18">
    <pivotField dataField="1" showAll="0"/>
    <pivotField showAll="0">
      <items count="3">
        <item x="1"/>
        <item x="0"/>
        <item t="default"/>
      </items>
    </pivotField>
    <pivotField showAll="0"/>
    <pivotField showAll="0"/>
    <pivotField numFmtId="14" showAll="0">
      <items count="52">
        <item x="50"/>
        <item x="3"/>
        <item x="24"/>
        <item x="43"/>
        <item x="32"/>
        <item x="18"/>
        <item x="7"/>
        <item x="9"/>
        <item x="37"/>
        <item x="30"/>
        <item x="27"/>
        <item x="1"/>
        <item x="13"/>
        <item x="49"/>
        <item x="31"/>
        <item x="36"/>
        <item x="48"/>
        <item x="5"/>
        <item x="33"/>
        <item x="45"/>
        <item x="10"/>
        <item x="26"/>
        <item x="6"/>
        <item x="15"/>
        <item x="28"/>
        <item x="29"/>
        <item x="42"/>
        <item x="11"/>
        <item x="17"/>
        <item x="35"/>
        <item x="20"/>
        <item x="2"/>
        <item x="0"/>
        <item x="14"/>
        <item x="47"/>
        <item x="8"/>
        <item x="21"/>
        <item x="34"/>
        <item x="12"/>
        <item x="46"/>
        <item x="19"/>
        <item x="38"/>
        <item x="25"/>
        <item x="41"/>
        <item x="39"/>
        <item x="4"/>
        <item x="22"/>
        <item x="16"/>
        <item x="40"/>
        <item x="23"/>
        <item x="44"/>
        <item t="default"/>
      </items>
    </pivotField>
    <pivotField showAll="0"/>
    <pivotField showAll="0"/>
    <pivotField showAll="0"/>
    <pivotField dataField="1" showAll="0"/>
    <pivotField showAll="0"/>
    <pivotField showAll="0"/>
    <pivotField numFmtId="14" showAll="0"/>
    <pivotField showAll="0"/>
    <pivotField showAll="0">
      <items count="4">
        <item x="1"/>
        <item x="2"/>
        <item x="0"/>
        <item t="default"/>
      </items>
    </pivotField>
    <pivotField showAll="0">
      <items count="6">
        <item x="3"/>
        <item x="2"/>
        <item x="4"/>
        <item x="1"/>
        <item x="0"/>
        <item t="default"/>
      </items>
    </pivotField>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 dragToRow="0" dragToCol="0" dragToPage="0" showAll="0" defaultSubtotal="0"/>
  </pivotFields>
  <rowFields count="2">
    <field x="16"/>
    <field x="15"/>
  </rowFields>
  <rowItems count="5">
    <i>
      <x v="1"/>
    </i>
    <i r="1">
      <x v="4"/>
    </i>
    <i r="1">
      <x v="5"/>
    </i>
    <i r="1">
      <x v="6"/>
    </i>
    <i t="grand">
      <x/>
    </i>
  </rowItems>
  <colFields count="1">
    <field x="-2"/>
  </colFields>
  <colItems count="2">
    <i>
      <x/>
    </i>
    <i i="1">
      <x v="1"/>
    </i>
  </colItems>
  <dataFields count="2">
    <dataField name="Sum of revenue" fld="8" baseField="0" baseItem="0"/>
    <dataField name="Count of sale_id" fld="0" subtotal="count" baseField="12" baseItem="4"/>
  </dataFields>
  <chartFormats count="2">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E88DF08-F60D-440A-871A-67B0643799B7}"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C7" firstHeaderRow="0" firstDataRow="1" firstDataCol="1"/>
  <pivotFields count="18">
    <pivotField dataField="1" showAll="0"/>
    <pivotField showAll="0">
      <items count="3">
        <item x="1"/>
        <item x="0"/>
        <item t="default"/>
      </items>
    </pivotField>
    <pivotField showAll="0"/>
    <pivotField showAll="0"/>
    <pivotField numFmtId="14" showAll="0">
      <items count="52">
        <item x="50"/>
        <item x="3"/>
        <item x="24"/>
        <item x="43"/>
        <item x="32"/>
        <item x="18"/>
        <item x="7"/>
        <item x="9"/>
        <item x="37"/>
        <item x="30"/>
        <item x="27"/>
        <item x="1"/>
        <item x="13"/>
        <item x="49"/>
        <item x="31"/>
        <item x="36"/>
        <item x="48"/>
        <item x="5"/>
        <item x="33"/>
        <item x="45"/>
        <item x="10"/>
        <item x="26"/>
        <item x="6"/>
        <item x="15"/>
        <item x="28"/>
        <item x="29"/>
        <item x="42"/>
        <item x="11"/>
        <item x="17"/>
        <item x="35"/>
        <item x="20"/>
        <item x="2"/>
        <item x="0"/>
        <item x="14"/>
        <item x="47"/>
        <item x="8"/>
        <item x="21"/>
        <item x="34"/>
        <item x="12"/>
        <item x="46"/>
        <item x="19"/>
        <item x="38"/>
        <item x="25"/>
        <item x="41"/>
        <item x="39"/>
        <item x="4"/>
        <item x="22"/>
        <item x="16"/>
        <item x="40"/>
        <item x="23"/>
        <item x="44"/>
        <item t="default"/>
      </items>
    </pivotField>
    <pivotField showAll="0"/>
    <pivotField showAll="0"/>
    <pivotField showAll="0"/>
    <pivotField dataField="1" showAll="0"/>
    <pivotField showAll="0"/>
    <pivotField showAll="0"/>
    <pivotField numFmtId="14" showAll="0"/>
    <pivotField showAll="0"/>
    <pivotField axis="axisRow" showAll="0">
      <items count="4">
        <item x="1"/>
        <item x="2"/>
        <item x="0"/>
        <item t="default"/>
      </items>
    </pivotField>
    <pivotField showAll="0">
      <items count="6">
        <item x="3"/>
        <item x="2"/>
        <item x="4"/>
        <item x="1"/>
        <item x="0"/>
        <item t="default"/>
      </items>
    </pivotField>
    <pivotField showAll="0" defaultSubtotal="0"/>
    <pivotField showAll="0" defaultSubtotal="0">
      <items count="3">
        <item x="0"/>
        <item x="1"/>
        <item x="2"/>
      </items>
    </pivotField>
    <pivotField dragToRow="0" dragToCol="0" dragToPage="0" showAll="0" defaultSubtotal="0"/>
  </pivotFields>
  <rowFields count="1">
    <field x="13"/>
  </rowFields>
  <rowItems count="4">
    <i>
      <x/>
    </i>
    <i>
      <x v="1"/>
    </i>
    <i>
      <x v="2"/>
    </i>
    <i t="grand">
      <x/>
    </i>
  </rowItems>
  <colFields count="1">
    <field x="-2"/>
  </colFields>
  <colItems count="2">
    <i>
      <x/>
    </i>
    <i i="1">
      <x v="1"/>
    </i>
  </colItems>
  <dataFields count="2">
    <dataField name="Sum of revenue" fld="8" baseField="0" baseItem="0"/>
    <dataField name="Count of sale_id" fld="0" subtotal="count" baseField="13" baseItem="0"/>
  </dataFields>
  <chartFormats count="4">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 chart="19" format="6"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81BBDC6-FE61-4A40-8189-2B3E098C1E6C}"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9" firstHeaderRow="0" firstDataRow="1" firstDataCol="1"/>
  <pivotFields count="18">
    <pivotField dataField="1" showAll="0"/>
    <pivotField showAll="0">
      <items count="3">
        <item x="1"/>
        <item x="0"/>
        <item t="default"/>
      </items>
    </pivotField>
    <pivotField showAll="0"/>
    <pivotField showAll="0"/>
    <pivotField numFmtId="14" showAll="0">
      <items count="52">
        <item x="50"/>
        <item x="3"/>
        <item x="24"/>
        <item x="43"/>
        <item x="32"/>
        <item x="18"/>
        <item x="7"/>
        <item x="9"/>
        <item x="37"/>
        <item x="30"/>
        <item x="27"/>
        <item x="1"/>
        <item x="13"/>
        <item x="49"/>
        <item x="31"/>
        <item x="36"/>
        <item x="48"/>
        <item x="5"/>
        <item x="33"/>
        <item x="45"/>
        <item x="10"/>
        <item x="26"/>
        <item x="6"/>
        <item x="15"/>
        <item x="28"/>
        <item x="29"/>
        <item x="42"/>
        <item x="11"/>
        <item x="17"/>
        <item x="35"/>
        <item x="20"/>
        <item x="2"/>
        <item x="0"/>
        <item x="14"/>
        <item x="47"/>
        <item x="8"/>
        <item x="21"/>
        <item x="34"/>
        <item x="12"/>
        <item x="46"/>
        <item x="19"/>
        <item x="38"/>
        <item x="25"/>
        <item x="41"/>
        <item x="39"/>
        <item x="4"/>
        <item x="22"/>
        <item x="16"/>
        <item x="40"/>
        <item x="23"/>
        <item x="44"/>
        <item t="default"/>
      </items>
    </pivotField>
    <pivotField showAll="0"/>
    <pivotField showAll="0"/>
    <pivotField showAll="0"/>
    <pivotField dataField="1" showAll="0"/>
    <pivotField showAll="0"/>
    <pivotField axis="axisRow" showAll="0" sortType="descending">
      <items count="6">
        <item x="4"/>
        <item x="3"/>
        <item x="2"/>
        <item x="1"/>
        <item x="0"/>
        <item t="default"/>
      </items>
      <autoSortScope>
        <pivotArea dataOnly="0" outline="0" fieldPosition="0">
          <references count="1">
            <reference field="4294967294" count="1" selected="0">
              <x v="0"/>
            </reference>
          </references>
        </pivotArea>
      </autoSortScope>
    </pivotField>
    <pivotField numFmtId="14" showAll="0"/>
    <pivotField showAll="0"/>
    <pivotField showAll="0">
      <items count="4">
        <item x="1"/>
        <item x="2"/>
        <item x="0"/>
        <item t="default"/>
      </items>
    </pivotField>
    <pivotField showAll="0">
      <items count="6">
        <item x="3"/>
        <item x="2"/>
        <item x="4"/>
        <item x="1"/>
        <item x="0"/>
        <item t="default"/>
      </items>
    </pivotField>
    <pivotField showAll="0" defaultSubtotal="0"/>
    <pivotField showAll="0" defaultSubtotal="0">
      <items count="3">
        <item x="0"/>
        <item x="1"/>
        <item x="2"/>
      </items>
    </pivotField>
    <pivotField dragToRow="0" dragToCol="0" dragToPage="0" showAll="0" defaultSubtotal="0"/>
  </pivotFields>
  <rowFields count="1">
    <field x="10"/>
  </rowFields>
  <rowItems count="6">
    <i>
      <x v="1"/>
    </i>
    <i>
      <x v="3"/>
    </i>
    <i>
      <x/>
    </i>
    <i>
      <x v="2"/>
    </i>
    <i>
      <x v="4"/>
    </i>
    <i t="grand">
      <x/>
    </i>
  </rowItems>
  <colFields count="1">
    <field x="-2"/>
  </colFields>
  <colItems count="2">
    <i>
      <x/>
    </i>
    <i i="1">
      <x v="1"/>
    </i>
  </colItems>
  <dataFields count="2">
    <dataField name="Sum of revenue" fld="8" baseField="0" baseItem="0"/>
    <dataField name="Count of sale_id" fld="0"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D65632D-015A-4A36-8919-BC0CE0EFA50F}"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0" firstHeaderRow="1" firstDataRow="2" firstDataCol="1"/>
  <pivotFields count="18">
    <pivotField showAll="0"/>
    <pivotField showAll="0">
      <items count="3">
        <item x="1"/>
        <item x="0"/>
        <item t="default"/>
      </items>
    </pivotField>
    <pivotField showAll="0"/>
    <pivotField showAll="0"/>
    <pivotField numFmtId="14" showAll="0">
      <items count="52">
        <item x="50"/>
        <item x="3"/>
        <item x="24"/>
        <item x="43"/>
        <item x="32"/>
        <item x="18"/>
        <item x="7"/>
        <item x="9"/>
        <item x="37"/>
        <item x="30"/>
        <item x="27"/>
        <item x="1"/>
        <item x="13"/>
        <item x="49"/>
        <item x="31"/>
        <item x="36"/>
        <item x="48"/>
        <item x="5"/>
        <item x="33"/>
        <item x="45"/>
        <item x="10"/>
        <item x="26"/>
        <item x="6"/>
        <item x="15"/>
        <item x="28"/>
        <item x="29"/>
        <item x="42"/>
        <item x="11"/>
        <item x="17"/>
        <item x="35"/>
        <item x="20"/>
        <item x="2"/>
        <item x="0"/>
        <item x="14"/>
        <item x="47"/>
        <item x="8"/>
        <item x="21"/>
        <item x="34"/>
        <item x="12"/>
        <item x="46"/>
        <item x="19"/>
        <item x="38"/>
        <item x="25"/>
        <item x="41"/>
        <item x="39"/>
        <item x="4"/>
        <item x="22"/>
        <item x="16"/>
        <item x="40"/>
        <item x="23"/>
        <item x="44"/>
        <item t="default"/>
      </items>
    </pivotField>
    <pivotField showAll="0"/>
    <pivotField showAll="0"/>
    <pivotField showAll="0"/>
    <pivotField dataField="1" showAll="0"/>
    <pivotField showAll="0"/>
    <pivotField axis="axisRow" showAll="0">
      <items count="6">
        <item x="4"/>
        <item x="3"/>
        <item x="2"/>
        <item x="1"/>
        <item x="0"/>
        <item t="default"/>
      </items>
    </pivotField>
    <pivotField numFmtId="14" showAll="0"/>
    <pivotField showAll="0"/>
    <pivotField axis="axisCol" showAll="0">
      <items count="4">
        <item x="1"/>
        <item x="2"/>
        <item x="0"/>
        <item t="default"/>
      </items>
    </pivotField>
    <pivotField showAll="0">
      <items count="6">
        <item x="3"/>
        <item x="2"/>
        <item x="4"/>
        <item x="1"/>
        <item x="0"/>
        <item t="default"/>
      </items>
    </pivotField>
    <pivotField showAll="0" defaultSubtotal="0"/>
    <pivotField showAll="0" defaultSubtotal="0">
      <items count="3">
        <item x="0"/>
        <item x="1"/>
        <item x="2"/>
      </items>
    </pivotField>
    <pivotField dragToRow="0" dragToCol="0" dragToPage="0" showAll="0" defaultSubtotal="0"/>
  </pivotFields>
  <rowFields count="1">
    <field x="10"/>
  </rowFields>
  <rowItems count="6">
    <i>
      <x/>
    </i>
    <i>
      <x v="1"/>
    </i>
    <i>
      <x v="2"/>
    </i>
    <i>
      <x v="3"/>
    </i>
    <i>
      <x v="4"/>
    </i>
    <i t="grand">
      <x/>
    </i>
  </rowItems>
  <colFields count="1">
    <field x="13"/>
  </colFields>
  <colItems count="4">
    <i>
      <x/>
    </i>
    <i>
      <x v="1"/>
    </i>
    <i>
      <x v="2"/>
    </i>
    <i t="grand">
      <x/>
    </i>
  </colItems>
  <dataFields count="1">
    <dataField name="Sum of revenu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6BF93F2-8DCA-43BF-9042-82A7CB5CD79F}"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showAll="0"/>
    <pivotField showAll="0">
      <items count="3">
        <item x="1"/>
        <item x="0"/>
        <item t="default"/>
      </items>
    </pivotField>
    <pivotField showAll="0"/>
    <pivotField showAll="0"/>
    <pivotField numFmtId="14" showAll="0">
      <items count="52">
        <item x="50"/>
        <item x="3"/>
        <item x="24"/>
        <item x="43"/>
        <item x="32"/>
        <item x="18"/>
        <item x="7"/>
        <item x="9"/>
        <item x="37"/>
        <item x="30"/>
        <item x="27"/>
        <item x="1"/>
        <item x="13"/>
        <item x="49"/>
        <item x="31"/>
        <item x="36"/>
        <item x="48"/>
        <item x="5"/>
        <item x="33"/>
        <item x="45"/>
        <item x="10"/>
        <item x="26"/>
        <item x="6"/>
        <item x="15"/>
        <item x="28"/>
        <item x="29"/>
        <item x="42"/>
        <item x="11"/>
        <item x="17"/>
        <item x="35"/>
        <item x="20"/>
        <item x="2"/>
        <item x="0"/>
        <item x="14"/>
        <item x="47"/>
        <item x="8"/>
        <item x="21"/>
        <item x="34"/>
        <item x="12"/>
        <item x="46"/>
        <item x="19"/>
        <item x="38"/>
        <item x="25"/>
        <item x="41"/>
        <item x="39"/>
        <item x="4"/>
        <item x="22"/>
        <item x="16"/>
        <item x="40"/>
        <item x="23"/>
        <item x="44"/>
        <item t="default"/>
      </items>
    </pivotField>
    <pivotField showAll="0"/>
    <pivotField showAll="0"/>
    <pivotField showAll="0"/>
    <pivotField dataField="1" showAll="0"/>
    <pivotField showAll="0"/>
    <pivotField showAll="0"/>
    <pivotField numFmtId="14" showAll="0"/>
    <pivotField showAll="0"/>
    <pivotField showAll="0">
      <items count="4">
        <item x="1"/>
        <item x="2"/>
        <item x="0"/>
        <item t="default"/>
      </items>
    </pivotField>
    <pivotField showAll="0">
      <items count="6">
        <item x="3"/>
        <item x="2"/>
        <item x="4"/>
        <item x="1"/>
        <item x="0"/>
        <item t="default"/>
      </items>
    </pivotField>
    <pivotField showAll="0" defaultSubtotal="0"/>
    <pivotField showAll="0" defaultSubtotal="0">
      <items count="3">
        <item x="0"/>
        <item x="1"/>
        <item x="2"/>
      </items>
    </pivotField>
    <pivotField dragToRow="0" dragToCol="0" dragToPage="0" showAll="0" defaultSubtotal="0"/>
  </pivotFields>
  <rowItems count="1">
    <i/>
  </rowItems>
  <colItems count="1">
    <i/>
  </colItems>
  <dataFields count="1">
    <dataField name="Sum of revenu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9D404E6A-F2F2-4FA0-A0DC-C434FE4D6E03}" sourceName="channel">
  <pivotTables>
    <pivotTable tabId="39" name="PivotTable1"/>
    <pivotTable tabId="37" name="PivotTable4"/>
    <pivotTable tabId="35" name="PivotTable3"/>
    <pivotTable tabId="14" name="PivotTable6"/>
    <pivotTable tabId="18" name="PivotTable8"/>
    <pivotTable tabId="30" name="PivotTable1"/>
    <pivotTable tabId="22" name="PivotTable3"/>
    <pivotTable tabId="21" name="PivotTable2"/>
    <pivotTable tabId="33" name="PivotTable2"/>
    <pivotTable tabId="19" name="PivotTable1"/>
    <pivotTable tabId="23" name="PivotTable4"/>
    <pivotTable tabId="32" name="PivotTable1"/>
    <pivotTable tabId="12" name="PivotTable4"/>
  </pivotTables>
  <data>
    <tabular pivotCacheId="57926688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6B211EC6-6C85-4ECC-A379-216D9A35C573}" sourceName="customer_type">
  <pivotTables>
    <pivotTable tabId="39" name="PivotTable1"/>
    <pivotTable tabId="37" name="PivotTable4"/>
    <pivotTable tabId="35" name="PivotTable3"/>
    <pivotTable tabId="14" name="PivotTable6"/>
    <pivotTable tabId="18" name="PivotTable8"/>
    <pivotTable tabId="30" name="PivotTable1"/>
    <pivotTable tabId="22" name="PivotTable3"/>
    <pivotTable tabId="21" name="PivotTable2"/>
    <pivotTable tabId="33" name="PivotTable2"/>
    <pivotTable tabId="19" name="PivotTable1"/>
    <pivotTable tabId="23" name="PivotTable4"/>
    <pivotTable tabId="32" name="PivotTable1"/>
    <pivotTable tabId="12" name="PivotTable4"/>
  </pivotTables>
  <data>
    <tabular pivotCacheId="579266887">
      <items count="3">
        <i x="1" s="1"/>
        <i x="2"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E81B5C0-A79D-4A90-BB75-3FDFAD94FA88}" sourceName="category">
  <pivotTables>
    <pivotTable tabId="39" name="PivotTable1"/>
    <pivotTable tabId="37" name="PivotTable4"/>
    <pivotTable tabId="35" name="PivotTable3"/>
    <pivotTable tabId="14" name="PivotTable6"/>
    <pivotTable tabId="18" name="PivotTable8"/>
    <pivotTable tabId="30" name="PivotTable1"/>
    <pivotTable tabId="22" name="PivotTable3"/>
    <pivotTable tabId="21" name="PivotTable2"/>
    <pivotTable tabId="33" name="PivotTable2"/>
    <pivotTable tabId="19" name="PivotTable1"/>
    <pivotTable tabId="23" name="PivotTable4"/>
    <pivotTable tabId="32" name="PivotTable1"/>
    <pivotTable tabId="12" name="PivotTable4"/>
  </pivotTables>
  <data>
    <tabular pivotCacheId="579266887">
      <items count="5">
        <i x="3" s="1"/>
        <i x="2" s="1"/>
        <i x="4"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B4C13A5B-C9E1-4B67-BB90-0023ECC10E20}" cache="Slicer_channel" caption="channel" columnCount="2" style="SlicerStyleOther2" rowHeight="249238"/>
  <slicer name="customer_type" xr10:uid="{7489611A-7959-4FA2-8A46-A05BD8AFF0CD}" cache="Slicer_customer_type" caption="customer_type" columnCount="2" style="SlicerStyleOther2" rowHeight="249238"/>
  <slicer name="category" xr10:uid="{1DE27F4C-513E-4C19-98F9-9910E15CBA61}" cache="Slicer_category" caption="category" columnCount="2" style="SlicerStyleOther2"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5ECA792-451B-4343-B972-9DD3101FD6B9}" name="Table3" displayName="Table3" ref="A1:H8" totalsRowShown="0">
  <autoFilter ref="A1:H8" xr:uid="{A5ECA792-451B-4343-B972-9DD3101FD6B9}"/>
  <tableColumns count="8">
    <tableColumn id="1" xr3:uid="{2DCAD494-3DFC-4802-8270-8D409208A835}" name="campaign_id"/>
    <tableColumn id="2" xr3:uid="{C7BEE6ED-0A01-46BB-BA25-024630ADDAAE}" name="campaign_name"/>
    <tableColumn id="3" xr3:uid="{17318905-243F-42D2-AFE5-D18A592C57D0}" name="start_date" dataDxfId="20"/>
    <tableColumn id="4" xr3:uid="{402F9CF0-4F86-400E-BBF4-63FEE3C39E6A}" name="end_date" dataDxfId="19"/>
    <tableColumn id="5" xr3:uid="{5220A092-3B69-475D-83BB-4CADEE11EE4B}" name="channel"/>
    <tableColumn id="6" xr3:uid="{BFB9D54D-42F9-4431-B1EC-2852B643F9D5}" name="discount_type"/>
    <tableColumn id="7" xr3:uid="{E1208D52-2D38-4009-B4F5-97CE9E5CCFFB}" name="discount_value" dataDxfId="18"/>
    <tableColumn id="8" xr3:uid="{FA1EDAFE-453A-4C4C-B57C-D4B2EC9E2598}" name="reven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7553BC-AC04-4716-A783-C12E2BEF95E0}" name="channels" displayName="channels" ref="A1:B3" totalsRowShown="0">
  <autoFilter ref="A1:B3" xr:uid="{477553BC-AC04-4716-A783-C12E2BEF95E0}"/>
  <tableColumns count="2">
    <tableColumn id="1" xr3:uid="{24244FAD-F3AA-4716-A75F-7C5508EF55C5}" name="channel"/>
    <tableColumn id="2" xr3:uid="{787B315E-2E81-484A-AA2D-B8353E4B2999}" name="descrip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E5C4642-F185-47B3-9553-C971A19232AE}" name="customers" displayName="customers" ref="A1:D1001" totalsRowShown="0">
  <autoFilter ref="A1:D1001" xr:uid="{8E5C4642-F185-47B3-9553-C971A19232AE}"/>
  <tableColumns count="4">
    <tableColumn id="1" xr3:uid="{D6C2CD60-A91A-4F34-B92A-E54E30DD91F7}" name="customer_id"/>
    <tableColumn id="2" xr3:uid="{405F9356-5C0A-473B-980B-E8C8ADE6E6E9}" name="country"/>
    <tableColumn id="3" xr3:uid="{1777B282-0426-425B-A525-1CA05A96A005}" name="age_range"/>
    <tableColumn id="4" xr3:uid="{DF0EBF61-5E92-432F-A3CC-1089030B9DE6}" name="signup_date" dataDxfId="1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317CF2-9C85-4064-BC4E-FE5AC3597C3A}" name="products" displayName="products" ref="A1:I501" totalsRowShown="0">
  <autoFilter ref="A1:I501" xr:uid="{DA317CF2-9C85-4064-BC4E-FE5AC3597C3A}"/>
  <tableColumns count="9">
    <tableColumn id="1" xr3:uid="{987890D5-D3CB-4EA7-9808-D77C11A73947}" name="product_id"/>
    <tableColumn id="2" xr3:uid="{A7816E18-CED5-434B-ACBB-9519F1407C78}" name="product_name"/>
    <tableColumn id="3" xr3:uid="{17259958-DE2D-44EF-ADE6-47CDF4199B3B}" name="category"/>
    <tableColumn id="4" xr3:uid="{D4C4676B-E30B-429A-80F1-22EEB5D0152F}" name="brand"/>
    <tableColumn id="5" xr3:uid="{81A34347-8F3D-495F-9B1B-FC83DC7BAE89}" name="color"/>
    <tableColumn id="6" xr3:uid="{388D1299-36C4-40EA-BFF1-73856514631F}" name="size"/>
    <tableColumn id="7" xr3:uid="{6E47E430-E109-4078-AD88-6AF382E27283}" name="catalog_price"/>
    <tableColumn id="8" xr3:uid="{6AE03BF1-8BEF-4327-A717-51F02FF02621}" name="cost_price"/>
    <tableColumn id="9" xr3:uid="{83699E66-36EE-4F0C-9107-073B96382F2F}" name="gender"/>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62A8E9A-1D6A-4911-A697-CA336A759B47}" name="sales" displayName="sales" ref="A1:O906" totalsRowShown="0">
  <autoFilter ref="A1:O906" xr:uid="{462A8E9A-1D6A-4911-A697-CA336A759B47}"/>
  <tableColumns count="15">
    <tableColumn id="1" xr3:uid="{6E7BEC3E-6BCD-42BA-A82A-CC49D26E3C42}" name="sale_id"/>
    <tableColumn id="2" xr3:uid="{B1B18E18-3CC9-4699-B9DF-D74C697E458B}" name="channel"/>
    <tableColumn id="3" xr3:uid="{F279D1F5-580F-4C39-AFC1-590BF2A53BD2}" name="discounted"/>
    <tableColumn id="4" xr3:uid="{EBDC95B9-8084-427D-B15F-17EC56321EB2}" name="total_amount"/>
    <tableColumn id="5" xr3:uid="{4C6A33C7-FCA9-4899-9ECC-A5532171DA2D}" name="sale_date" dataDxfId="16"/>
    <tableColumn id="6" xr3:uid="{21D325E7-748F-4BB2-9C81-5415B9886ED1}" name="customer_id"/>
    <tableColumn id="7" xr3:uid="{4BA1CE53-0C82-4145-8A53-E6DF0920037E}" name="country"/>
    <tableColumn id="8" xr3:uid="{A3ACFDE1-2161-443D-807E-6ED729E99A25}" name="weekday" dataDxfId="15">
      <calculatedColumnFormula>TEXT(sales[[#This Row],[sale_date]],"dddd")</calculatedColumnFormula>
    </tableColumn>
    <tableColumn id="9" xr3:uid="{90A393FE-D6C9-4D47-879B-0B1F387C0199}" name="revenue" dataDxfId="14">
      <calculatedColumnFormula>_xlfn.XLOOKUP(A2,salesitems[sale_id],salesitems[revenue],0)</calculatedColumnFormula>
    </tableColumn>
    <tableColumn id="10" xr3:uid="{D15DAFBD-DC67-43C4-810E-9EECA949A59B}" name="counter"/>
    <tableColumn id="11" xr3:uid="{936C5791-993E-4E88-8CD9-12F7AEDE27E5}" name="age_range" dataDxfId="13">
      <calculatedColumnFormula>_xlfn.XLOOKUP(F2,customers[customer_id],customers[age_range])</calculatedColumnFormula>
    </tableColumn>
    <tableColumn id="12" xr3:uid="{669BB77E-4046-4F7B-A40A-4F31A22FAB5D}" name="sighnup_date" dataDxfId="12">
      <calculatedColumnFormula>_xlfn.XLOOKUP(F2,customers[customer_id],customers[signup_date])</calculatedColumnFormula>
    </tableColumn>
    <tableColumn id="13" xr3:uid="{9189362C-0D40-4D8D-8A23-305130157583}" name="customer_tenure" dataDxfId="11">
      <calculatedColumnFormula>sales[[#This Row],[sale_date]]-sales[[#This Row],[sighnup_date]]</calculatedColumnFormula>
    </tableColumn>
    <tableColumn id="14" xr3:uid="{8AD46CEA-44D2-4228-9947-89EAC78AF84A}" name="customer_type" dataDxfId="10">
      <calculatedColumnFormula>IF(M2&lt;0,"data issue",IF(M2&lt;=90,"new customer","existing customer"))</calculatedColumnFormula>
    </tableColumn>
    <tableColumn id="15" xr3:uid="{B35BC72E-C73A-4977-AA50-E712FC547980}" name="category" dataDxfId="9">
      <calculatedColumnFormula>_xlfn.XLOOKUP(A2,salesitems[sale_id],salesitems[category])</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B893748-C7A0-44B8-8C65-7A30A9DEF60B}" name="salesitems" displayName="salesitems" ref="A1:P2254" totalsRowShown="0">
  <autoFilter ref="A1:P2254" xr:uid="{AB893748-C7A0-44B8-8C65-7A30A9DEF60B}"/>
  <tableColumns count="16">
    <tableColumn id="1" xr3:uid="{8CE809B4-5FF1-493D-BE46-3595A3BA61B7}" name="item_id"/>
    <tableColumn id="2" xr3:uid="{10F9D90A-83A6-46B2-914A-8ED1BCDE26DA}" name="sale_id"/>
    <tableColumn id="3" xr3:uid="{5BD36659-BED4-4D05-B219-0B4F4262BCE3}" name="product_id"/>
    <tableColumn id="4" xr3:uid="{D79100EA-AEF9-409B-B8F9-0E832AE75173}" name="quantity"/>
    <tableColumn id="5" xr3:uid="{9C6CFD22-648B-4B73-BB46-CB14D0FFA804}" name="original_price"/>
    <tableColumn id="6" xr3:uid="{5E953B8F-77AB-42C5-941A-38F64D3E9E2E}" name="unit_price"/>
    <tableColumn id="7" xr3:uid="{D6FA09CC-1613-42CF-9E2D-8267042529AC}" name="discount_applied"/>
    <tableColumn id="8" xr3:uid="{236FE996-E8B0-4265-895B-B78422B3A240}" name="discount_percent" dataDxfId="8"/>
    <tableColumn id="9" xr3:uid="{5DC6E140-3582-43A0-A747-9A4922E0989A}" name="discounted"/>
    <tableColumn id="10" xr3:uid="{EC42E330-94A4-4F46-A453-3E02E6DF62C5}" name="item_total"/>
    <tableColumn id="11" xr3:uid="{D4D102F8-791D-4B1D-BBEF-3E035DA51E4D}" name="sale_date" dataDxfId="7"/>
    <tableColumn id="12" xr3:uid="{A4B5EFE4-1190-45FC-B7C0-EF07412D5727}" name="channel"/>
    <tableColumn id="13" xr3:uid="{6CD851C5-919B-4300-9E94-D98B29CC080D}" name="channel_campaigns"/>
    <tableColumn id="14" xr3:uid="{4B8A1A6F-6C0A-4DF9-8CBF-F51DB1324CA1}" name="revenue" dataDxfId="6">
      <calculatedColumnFormula>salesitems[[#This Row],[quantity]]*salesitems[[#This Row],[unit_price]]</calculatedColumnFormula>
    </tableColumn>
    <tableColumn id="15" xr3:uid="{B033BBA4-F5EA-46A3-AA17-022C414D967E}" name="product_name" dataDxfId="5">
      <calculatedColumnFormula>_xlfn.XLOOKUP(salesitems[[#This Row],[product_id]],products[product_id],products[product_name])</calculatedColumnFormula>
    </tableColumn>
    <tableColumn id="16" xr3:uid="{FD2F3694-F0E5-4132-9C28-5C39F1BFFBAF}" name="category" dataDxfId="4">
      <calculatedColumnFormula>_xlfn.XLOOKUP(salesitems[[#This Row],[product_id]],fashion_store_products!A:A,fashion_store_products!C:C)</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1E7C44A-2E1C-43DA-A42B-37292173FC05}" name="stock" displayName="stock" ref="A1:C1001" totalsRowShown="0">
  <autoFilter ref="A1:C1001" xr:uid="{91E7C44A-2E1C-43DA-A42B-37292173FC05}"/>
  <tableColumns count="3">
    <tableColumn id="1" xr3:uid="{CE24A658-1847-4430-B8F9-2543EBA5A111}" name="country"/>
    <tableColumn id="2" xr3:uid="{70C209B1-3738-483F-AE53-B807C05B3F7A}" name="product_id"/>
    <tableColumn id="3" xr3:uid="{C323E766-BEA4-47F4-A005-C45252302A8E}" name="stock_quantity"/>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08EAF2-398F-4509-A69E-38FC242A0D48}" name="Table8" displayName="Table8" ref="A2:B11" totalsRowShown="0">
  <autoFilter ref="A2:B11" xr:uid="{8308EAF2-398F-4509-A69E-38FC242A0D48}"/>
  <tableColumns count="2">
    <tableColumn id="1" xr3:uid="{7CF1F580-3BB8-41B6-AE8E-7009021ED1B0}" name="Metric"/>
    <tableColumn id="2" xr3:uid="{739B93EC-88EA-46FD-80C1-ED5EE17D325C}" name="Valu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F7FE4A2-5A58-4C4D-8CAB-005EB877B680}" name="Table15" displayName="Table15" ref="A14:B19" totalsRowShown="0">
  <autoFilter ref="A14:B19" xr:uid="{2F7FE4A2-5A58-4C4D-8CAB-005EB877B680}"/>
  <tableColumns count="2">
    <tableColumn id="1" xr3:uid="{E3452C89-6027-420D-B5EA-0C3B8E75BDA6}" name="Metric"/>
    <tableColumn id="2" xr3:uid="{8F1C5447-3B86-4FDB-9CB7-C256BBBE16C6}" name="Valu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C89C5AD-7331-4373-A7F9-089EFF4E63C3}" name="Table16" displayName="Table16" ref="A22:B24" totalsRowShown="0">
  <autoFilter ref="A22:B24" xr:uid="{9C89C5AD-7331-4373-A7F9-089EFF4E63C3}"/>
  <tableColumns count="2">
    <tableColumn id="1" xr3:uid="{CF4EE8F3-D252-4C8B-8FE1-27AC6EF871B4}" name="Metric"/>
    <tableColumn id="2" xr3:uid="{62E08522-F1D3-4F59-AE46-F884353CD2F9}" name="Valu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68BD773-1596-4955-93E4-EE65F30F363C}" name="Table18" displayName="Table18" ref="A27:B29" totalsRowShown="0" tableBorderDxfId="3">
  <autoFilter ref="A27:B29" xr:uid="{868BD773-1596-4955-93E4-EE65F30F363C}"/>
  <tableColumns count="2">
    <tableColumn id="1" xr3:uid="{BDB8DF43-22E0-4595-9520-C1893C97D488}" name="Metric"/>
    <tableColumn id="2" xr3:uid="{56592778-DC29-4741-8AC5-9BD7B4E438D7}" name="value"/>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7046F1DD-6901-4F9A-AB94-29A8D183F741}" name="Table19" displayName="Table19" ref="A32:B45" totalsRowShown="0">
  <autoFilter ref="A32:B45" xr:uid="{7046F1DD-6901-4F9A-AB94-29A8D183F741}"/>
  <tableColumns count="2">
    <tableColumn id="1" xr3:uid="{F524E4D8-EEDD-4A62-A1C8-52100DC2C1A8}" name="Metric"/>
    <tableColumn id="2" xr3:uid="{B783DD05-139F-4B7D-8118-AFEECE46AF4D}" name="Valu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BB2F260-AF69-456C-B9C6-45304EE4D8D0}" name="Table9" displayName="Table9" ref="A48:B50" totalsRowShown="0">
  <autoFilter ref="A48:B50" xr:uid="{BBB2F260-AF69-456C-B9C6-45304EE4D8D0}"/>
  <tableColumns count="2">
    <tableColumn id="1" xr3:uid="{2784E2F8-EB54-498F-9F97-13B44AF04EF9}" name="Metric"/>
    <tableColumn id="2" xr3:uid="{9237497E-0FDF-4E91-BEC2-7DE980BFFA08}" name="Value" dataDxfId="0">
      <calculatedColumnFormula>'basket Analysis pivot'!E3</calculatedColumnFormula>
    </tableColum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CCF0677-1E67-4529-A2D2-3398B8DEE9CA}" name="Table11" displayName="Table11" ref="A53:B56" totalsRowShown="0">
  <autoFilter ref="A53:B56" xr:uid="{8CCF0677-1E67-4529-A2D2-3398B8DEE9CA}"/>
  <tableColumns count="2">
    <tableColumn id="1" xr3:uid="{A46422C2-107D-449A-AB79-A9C2F59B1F06}" name="Metric"/>
    <tableColumn id="2" xr3:uid="{87C2ABBB-68EC-4234-8273-E0C9675ED030}" name="Valu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37A7335-6090-4914-9299-3FD6D8A92841}" name="Table12" displayName="Table12" ref="A59:B67" totalsRowShown="0">
  <autoFilter ref="A59:B67" xr:uid="{437A7335-6090-4914-9299-3FD6D8A92841}"/>
  <tableColumns count="2">
    <tableColumn id="1" xr3:uid="{40FBCC7C-BB79-42F2-B219-10B764A41384}" name="Metric"/>
    <tableColumn id="2" xr3:uid="{041E933C-EB9D-45EC-9CCB-AC3DB3A1D1ED}" name="Value"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ale_date" xr10:uid="{0A886327-E5B7-4CB3-B07F-384D40DDF5AC}" sourceName="sale_date">
  <pivotTables>
    <pivotTable tabId="9" name="PivotTable1"/>
    <pivotTable tabId="31" name="PivotTable2"/>
    <pivotTable tabId="28" name="PivotTable7"/>
    <pivotTable tabId="26" name="PivotTable6"/>
  </pivotTables>
  <state minimalRefreshVersion="6" lastRefreshVersion="6" pivotCacheId="484871873"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_date" xr10:uid="{5953F5B2-E725-4621-8411-3F4EA4EC0DF2}" cache="NativeTimeline_sale_date" caption="sale_date" level="2" selectionLevel="2" scrollPosition="2025-01-01T00:00:00" style="TimeSlicerStyleDark4"/>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5.xml"/><Relationship Id="rId3" Type="http://schemas.openxmlformats.org/officeDocument/2006/relationships/table" Target="../tables/table10.xml"/><Relationship Id="rId7" Type="http://schemas.openxmlformats.org/officeDocument/2006/relationships/table" Target="../tables/table14.xml"/><Relationship Id="rId2" Type="http://schemas.openxmlformats.org/officeDocument/2006/relationships/table" Target="../tables/table9.xml"/><Relationship Id="rId1" Type="http://schemas.openxmlformats.org/officeDocument/2006/relationships/table" Target="../tables/table8.xml"/><Relationship Id="rId6" Type="http://schemas.openxmlformats.org/officeDocument/2006/relationships/table" Target="../tables/table13.xml"/><Relationship Id="rId5" Type="http://schemas.openxmlformats.org/officeDocument/2006/relationships/table" Target="../tables/table12.xml"/><Relationship Id="rId4" Type="http://schemas.openxmlformats.org/officeDocument/2006/relationships/table" Target="../tables/table1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4.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24.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25.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_rels/sheet26.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2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E17BD-4261-4057-AE95-337EA8FB272D}">
  <dimension ref="A1:H8"/>
  <sheetViews>
    <sheetView workbookViewId="0">
      <selection activeCell="B4" sqref="A2:H8"/>
    </sheetView>
  </sheetViews>
  <sheetFormatPr defaultRowHeight="14.25" x14ac:dyDescent="0.45"/>
  <cols>
    <col min="1" max="1" width="12.53125" customWidth="1"/>
    <col min="2" max="2" width="18.73046875" customWidth="1"/>
    <col min="3" max="3" width="10.59765625" style="1" customWidth="1"/>
    <col min="4" max="4" width="12.86328125" style="1" customWidth="1"/>
    <col min="5" max="6" width="14.46484375" customWidth="1"/>
    <col min="7" max="7" width="15.86328125" customWidth="1"/>
  </cols>
  <sheetData>
    <row r="1" spans="1:8" x14ac:dyDescent="0.45">
      <c r="A1" t="s">
        <v>0</v>
      </c>
      <c r="B1" t="s">
        <v>1</v>
      </c>
      <c r="C1" s="1" t="s">
        <v>2</v>
      </c>
      <c r="D1" s="1" t="s">
        <v>3</v>
      </c>
      <c r="E1" t="s">
        <v>4</v>
      </c>
      <c r="F1" t="s">
        <v>5</v>
      </c>
      <c r="G1" t="s">
        <v>6</v>
      </c>
      <c r="H1" t="s">
        <v>579</v>
      </c>
    </row>
    <row r="2" spans="1:8" x14ac:dyDescent="0.45">
      <c r="A2">
        <v>1</v>
      </c>
      <c r="B2" t="s">
        <v>7</v>
      </c>
      <c r="C2" s="1">
        <v>45748</v>
      </c>
      <c r="D2" s="1">
        <v>45754</v>
      </c>
      <c r="E2" t="s">
        <v>8</v>
      </c>
      <c r="F2" t="s">
        <v>9</v>
      </c>
      <c r="G2">
        <v>10</v>
      </c>
    </row>
    <row r="3" spans="1:8" x14ac:dyDescent="0.45">
      <c r="A3">
        <v>2</v>
      </c>
      <c r="B3" t="s">
        <v>10</v>
      </c>
      <c r="C3" s="1">
        <v>45755</v>
      </c>
      <c r="D3" s="1">
        <v>45762</v>
      </c>
      <c r="E3" t="s">
        <v>11</v>
      </c>
      <c r="F3" t="s">
        <v>12</v>
      </c>
      <c r="G3">
        <v>10</v>
      </c>
    </row>
    <row r="4" spans="1:8" x14ac:dyDescent="0.45">
      <c r="A4">
        <v>3</v>
      </c>
      <c r="B4" t="s">
        <v>13</v>
      </c>
      <c r="C4" s="1">
        <v>45778</v>
      </c>
      <c r="D4" s="1">
        <v>45786</v>
      </c>
      <c r="E4" t="s">
        <v>8</v>
      </c>
      <c r="F4" t="s">
        <v>9</v>
      </c>
      <c r="G4">
        <v>25</v>
      </c>
    </row>
    <row r="5" spans="1:8" x14ac:dyDescent="0.45">
      <c r="A5">
        <v>4</v>
      </c>
      <c r="B5" t="s">
        <v>14</v>
      </c>
      <c r="C5" s="1">
        <v>45787</v>
      </c>
      <c r="D5" s="1">
        <v>45796</v>
      </c>
      <c r="E5" t="s">
        <v>15</v>
      </c>
      <c r="F5" t="s">
        <v>9</v>
      </c>
      <c r="G5">
        <v>30</v>
      </c>
    </row>
    <row r="6" spans="1:8" x14ac:dyDescent="0.45">
      <c r="A6">
        <v>5</v>
      </c>
      <c r="B6" t="s">
        <v>16</v>
      </c>
      <c r="C6" s="1">
        <v>45797</v>
      </c>
      <c r="D6" s="1">
        <v>45808</v>
      </c>
      <c r="E6" t="s">
        <v>11</v>
      </c>
      <c r="F6" t="s">
        <v>9</v>
      </c>
      <c r="G6">
        <v>30</v>
      </c>
    </row>
    <row r="7" spans="1:8" x14ac:dyDescent="0.45">
      <c r="A7">
        <v>6</v>
      </c>
      <c r="B7" t="s">
        <v>17</v>
      </c>
      <c r="C7" s="1">
        <v>45809</v>
      </c>
      <c r="D7" s="1">
        <v>45817</v>
      </c>
      <c r="E7" t="s">
        <v>18</v>
      </c>
      <c r="F7" t="s">
        <v>9</v>
      </c>
      <c r="G7">
        <v>10</v>
      </c>
    </row>
    <row r="8" spans="1:8" x14ac:dyDescent="0.45">
      <c r="A8">
        <v>7</v>
      </c>
      <c r="B8" t="s">
        <v>19</v>
      </c>
      <c r="C8" s="1">
        <v>45818</v>
      </c>
      <c r="D8" s="1">
        <v>45825</v>
      </c>
      <c r="E8" t="s">
        <v>8</v>
      </c>
      <c r="F8" t="s">
        <v>12</v>
      </c>
      <c r="G8">
        <v>12</v>
      </c>
    </row>
  </sheetData>
  <conditionalFormatting sqref="A1:G8">
    <cfRule type="containsBlanks" priority="1">
      <formula>LEN(TRIM(A1))=0</formula>
    </cfRule>
  </conditionalFormatting>
  <conditionalFormatting sqref="G19">
    <cfRule type="containsBlanks" priority="2">
      <formula>LEN(TRIM(G19))=0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E2A24-4F5D-4602-BE81-A020375A5F14}">
  <dimension ref="A1:B3"/>
  <sheetViews>
    <sheetView workbookViewId="0">
      <selection activeCell="B12" sqref="B12"/>
    </sheetView>
  </sheetViews>
  <sheetFormatPr defaultRowHeight="14.25" x14ac:dyDescent="0.45"/>
  <cols>
    <col min="1" max="1" width="11.86328125" customWidth="1"/>
    <col min="2" max="2" width="16.265625" customWidth="1"/>
  </cols>
  <sheetData>
    <row r="1" spans="1:2" x14ac:dyDescent="0.45">
      <c r="A1" t="s">
        <v>4</v>
      </c>
      <c r="B1" t="s">
        <v>20</v>
      </c>
    </row>
    <row r="2" spans="1:2" x14ac:dyDescent="0.45">
      <c r="A2" t="s">
        <v>21</v>
      </c>
      <c r="B2" t="s">
        <v>22</v>
      </c>
    </row>
    <row r="3" spans="1:2" x14ac:dyDescent="0.45">
      <c r="A3" t="s">
        <v>15</v>
      </c>
      <c r="B3" t="s">
        <v>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7871D-C2AD-45A1-8CF9-7086901B9F8C}">
  <dimension ref="A1:D1001"/>
  <sheetViews>
    <sheetView topLeftCell="A980" workbookViewId="0">
      <selection activeCell="D1" sqref="D1:D1048576"/>
    </sheetView>
  </sheetViews>
  <sheetFormatPr defaultRowHeight="14.25" x14ac:dyDescent="0.45"/>
  <cols>
    <col min="1" max="1" width="12.46484375" customWidth="1"/>
    <col min="2" max="2" width="11.265625" customWidth="1"/>
    <col min="3" max="3" width="10.6640625" customWidth="1"/>
    <col min="4" max="4" width="12.1328125" style="1" customWidth="1"/>
  </cols>
  <sheetData>
    <row r="1" spans="1:4" x14ac:dyDescent="0.45">
      <c r="A1" t="s">
        <v>24</v>
      </c>
      <c r="B1" t="s">
        <v>25</v>
      </c>
      <c r="C1" t="s">
        <v>26</v>
      </c>
      <c r="D1" s="1" t="s">
        <v>27</v>
      </c>
    </row>
    <row r="2" spans="1:4" x14ac:dyDescent="0.45">
      <c r="A2">
        <v>1</v>
      </c>
      <c r="B2" t="s">
        <v>28</v>
      </c>
      <c r="C2" t="s">
        <v>29</v>
      </c>
      <c r="D2" s="1">
        <v>45771</v>
      </c>
    </row>
    <row r="3" spans="1:4" x14ac:dyDescent="0.45">
      <c r="A3">
        <v>2</v>
      </c>
      <c r="B3" t="s">
        <v>28</v>
      </c>
      <c r="C3" t="s">
        <v>30</v>
      </c>
      <c r="D3" s="1">
        <v>45712</v>
      </c>
    </row>
    <row r="4" spans="1:4" x14ac:dyDescent="0.45">
      <c r="A4">
        <v>3</v>
      </c>
      <c r="B4" t="s">
        <v>31</v>
      </c>
      <c r="C4" t="s">
        <v>32</v>
      </c>
      <c r="D4" s="1">
        <v>45394</v>
      </c>
    </row>
    <row r="5" spans="1:4" x14ac:dyDescent="0.45">
      <c r="A5">
        <v>4</v>
      </c>
      <c r="B5" t="s">
        <v>33</v>
      </c>
      <c r="C5" t="s">
        <v>30</v>
      </c>
      <c r="D5" s="1">
        <v>45727</v>
      </c>
    </row>
    <row r="6" spans="1:4" x14ac:dyDescent="0.45">
      <c r="A6">
        <v>5</v>
      </c>
      <c r="B6" t="s">
        <v>34</v>
      </c>
      <c r="C6" t="s">
        <v>35</v>
      </c>
      <c r="D6" s="1">
        <v>45773</v>
      </c>
    </row>
    <row r="7" spans="1:4" x14ac:dyDescent="0.45">
      <c r="A7">
        <v>6</v>
      </c>
      <c r="B7" t="s">
        <v>34</v>
      </c>
      <c r="C7" t="s">
        <v>32</v>
      </c>
      <c r="D7" s="1">
        <v>45640</v>
      </c>
    </row>
    <row r="8" spans="1:4" x14ac:dyDescent="0.45">
      <c r="A8">
        <v>7</v>
      </c>
      <c r="B8" t="s">
        <v>28</v>
      </c>
      <c r="C8" t="s">
        <v>32</v>
      </c>
      <c r="D8" s="1">
        <v>45562</v>
      </c>
    </row>
    <row r="9" spans="1:4" x14ac:dyDescent="0.45">
      <c r="A9">
        <v>8</v>
      </c>
      <c r="B9" t="s">
        <v>31</v>
      </c>
      <c r="C9" t="s">
        <v>32</v>
      </c>
      <c r="D9" s="1">
        <v>45398</v>
      </c>
    </row>
    <row r="10" spans="1:4" x14ac:dyDescent="0.45">
      <c r="A10">
        <v>9</v>
      </c>
      <c r="B10" t="s">
        <v>34</v>
      </c>
      <c r="C10" t="s">
        <v>32</v>
      </c>
      <c r="D10" s="1">
        <v>45723</v>
      </c>
    </row>
    <row r="11" spans="1:4" x14ac:dyDescent="0.45">
      <c r="A11">
        <v>10</v>
      </c>
      <c r="B11" t="s">
        <v>36</v>
      </c>
      <c r="C11" t="s">
        <v>37</v>
      </c>
      <c r="D11" s="1">
        <v>45363</v>
      </c>
    </row>
    <row r="12" spans="1:4" x14ac:dyDescent="0.45">
      <c r="A12">
        <v>11</v>
      </c>
      <c r="B12" t="s">
        <v>28</v>
      </c>
      <c r="C12" t="s">
        <v>37</v>
      </c>
      <c r="D12" s="1">
        <v>45480</v>
      </c>
    </row>
    <row r="13" spans="1:4" x14ac:dyDescent="0.45">
      <c r="A13">
        <v>12</v>
      </c>
      <c r="B13" t="s">
        <v>36</v>
      </c>
      <c r="C13" t="s">
        <v>32</v>
      </c>
      <c r="D13" s="1">
        <v>45819</v>
      </c>
    </row>
    <row r="14" spans="1:4" x14ac:dyDescent="0.45">
      <c r="A14">
        <v>13</v>
      </c>
      <c r="B14" t="s">
        <v>31</v>
      </c>
      <c r="C14" t="s">
        <v>29</v>
      </c>
      <c r="D14" s="1">
        <v>45312</v>
      </c>
    </row>
    <row r="15" spans="1:4" x14ac:dyDescent="0.45">
      <c r="A15">
        <v>14</v>
      </c>
      <c r="B15" t="s">
        <v>36</v>
      </c>
      <c r="C15" t="s">
        <v>32</v>
      </c>
      <c r="D15" s="1">
        <v>45724</v>
      </c>
    </row>
    <row r="16" spans="1:4" x14ac:dyDescent="0.45">
      <c r="A16">
        <v>15</v>
      </c>
      <c r="B16" t="s">
        <v>31</v>
      </c>
      <c r="C16" t="s">
        <v>35</v>
      </c>
      <c r="D16" s="1">
        <v>45752</v>
      </c>
    </row>
    <row r="17" spans="1:4" x14ac:dyDescent="0.45">
      <c r="A17">
        <v>16</v>
      </c>
      <c r="B17" t="s">
        <v>36</v>
      </c>
      <c r="C17" t="s">
        <v>35</v>
      </c>
      <c r="D17" s="1">
        <v>45752</v>
      </c>
    </row>
    <row r="18" spans="1:4" x14ac:dyDescent="0.45">
      <c r="A18">
        <v>17</v>
      </c>
      <c r="B18" t="s">
        <v>28</v>
      </c>
      <c r="C18" t="s">
        <v>35</v>
      </c>
      <c r="D18" s="1">
        <v>45764</v>
      </c>
    </row>
    <row r="19" spans="1:4" x14ac:dyDescent="0.45">
      <c r="A19">
        <v>18</v>
      </c>
      <c r="B19" t="s">
        <v>28</v>
      </c>
      <c r="C19" t="s">
        <v>30</v>
      </c>
      <c r="D19" s="1">
        <v>45719</v>
      </c>
    </row>
    <row r="20" spans="1:4" x14ac:dyDescent="0.45">
      <c r="A20">
        <v>19</v>
      </c>
      <c r="B20" t="s">
        <v>36</v>
      </c>
      <c r="C20" t="s">
        <v>29</v>
      </c>
      <c r="D20" s="1">
        <v>45702</v>
      </c>
    </row>
    <row r="21" spans="1:4" x14ac:dyDescent="0.45">
      <c r="A21">
        <v>20</v>
      </c>
      <c r="B21" t="s">
        <v>28</v>
      </c>
      <c r="C21" t="s">
        <v>35</v>
      </c>
      <c r="D21" s="1">
        <v>45767</v>
      </c>
    </row>
    <row r="22" spans="1:4" x14ac:dyDescent="0.45">
      <c r="A22">
        <v>21</v>
      </c>
      <c r="B22" t="s">
        <v>28</v>
      </c>
      <c r="C22" t="s">
        <v>29</v>
      </c>
      <c r="D22" s="1">
        <v>45747</v>
      </c>
    </row>
    <row r="23" spans="1:4" x14ac:dyDescent="0.45">
      <c r="A23">
        <v>22</v>
      </c>
      <c r="B23" t="s">
        <v>36</v>
      </c>
      <c r="C23" t="s">
        <v>30</v>
      </c>
      <c r="D23" s="1">
        <v>45719</v>
      </c>
    </row>
    <row r="24" spans="1:4" x14ac:dyDescent="0.45">
      <c r="A24">
        <v>23</v>
      </c>
      <c r="B24" t="s">
        <v>28</v>
      </c>
      <c r="C24" t="s">
        <v>29</v>
      </c>
      <c r="D24" s="1">
        <v>45697</v>
      </c>
    </row>
    <row r="25" spans="1:4" x14ac:dyDescent="0.45">
      <c r="A25">
        <v>24</v>
      </c>
      <c r="B25" t="s">
        <v>34</v>
      </c>
      <c r="C25" t="s">
        <v>29</v>
      </c>
      <c r="D25" s="1">
        <v>45394</v>
      </c>
    </row>
    <row r="26" spans="1:4" x14ac:dyDescent="0.45">
      <c r="A26">
        <v>25</v>
      </c>
      <c r="B26" t="s">
        <v>33</v>
      </c>
      <c r="C26" t="s">
        <v>30</v>
      </c>
      <c r="D26" s="1">
        <v>45740</v>
      </c>
    </row>
    <row r="27" spans="1:4" x14ac:dyDescent="0.45">
      <c r="A27">
        <v>26</v>
      </c>
      <c r="B27" t="s">
        <v>31</v>
      </c>
      <c r="C27" t="s">
        <v>32</v>
      </c>
      <c r="D27" s="1">
        <v>45413</v>
      </c>
    </row>
    <row r="28" spans="1:4" x14ac:dyDescent="0.45">
      <c r="A28">
        <v>27</v>
      </c>
      <c r="B28" t="s">
        <v>33</v>
      </c>
      <c r="C28" t="s">
        <v>37</v>
      </c>
      <c r="D28" s="1">
        <v>45727</v>
      </c>
    </row>
    <row r="29" spans="1:4" x14ac:dyDescent="0.45">
      <c r="A29">
        <v>28</v>
      </c>
      <c r="B29" t="s">
        <v>34</v>
      </c>
      <c r="C29" t="s">
        <v>37</v>
      </c>
      <c r="D29" s="1">
        <v>45749</v>
      </c>
    </row>
    <row r="30" spans="1:4" x14ac:dyDescent="0.45">
      <c r="A30">
        <v>29</v>
      </c>
      <c r="B30" t="s">
        <v>34</v>
      </c>
      <c r="C30" t="s">
        <v>29</v>
      </c>
      <c r="D30" s="1">
        <v>45743</v>
      </c>
    </row>
    <row r="31" spans="1:4" x14ac:dyDescent="0.45">
      <c r="A31">
        <v>30</v>
      </c>
      <c r="B31" t="s">
        <v>36</v>
      </c>
      <c r="C31" t="s">
        <v>35</v>
      </c>
      <c r="D31" s="1">
        <v>45506</v>
      </c>
    </row>
    <row r="32" spans="1:4" x14ac:dyDescent="0.45">
      <c r="A32">
        <v>31</v>
      </c>
      <c r="B32" t="s">
        <v>28</v>
      </c>
      <c r="C32" t="s">
        <v>32</v>
      </c>
      <c r="D32" s="1">
        <v>45622</v>
      </c>
    </row>
    <row r="33" spans="1:4" x14ac:dyDescent="0.45">
      <c r="A33">
        <v>32</v>
      </c>
      <c r="B33" t="s">
        <v>31</v>
      </c>
      <c r="C33" t="s">
        <v>37</v>
      </c>
      <c r="D33" s="1">
        <v>45379</v>
      </c>
    </row>
    <row r="34" spans="1:4" x14ac:dyDescent="0.45">
      <c r="A34">
        <v>33</v>
      </c>
      <c r="B34" t="s">
        <v>33</v>
      </c>
      <c r="C34" t="s">
        <v>29</v>
      </c>
      <c r="D34" s="1">
        <v>45714</v>
      </c>
    </row>
    <row r="35" spans="1:4" x14ac:dyDescent="0.45">
      <c r="A35">
        <v>34</v>
      </c>
      <c r="B35" t="s">
        <v>28</v>
      </c>
      <c r="C35" t="s">
        <v>29</v>
      </c>
      <c r="D35" s="1">
        <v>45664</v>
      </c>
    </row>
    <row r="36" spans="1:4" x14ac:dyDescent="0.45">
      <c r="A36">
        <v>35</v>
      </c>
      <c r="B36" t="s">
        <v>28</v>
      </c>
      <c r="C36" t="s">
        <v>35</v>
      </c>
      <c r="D36" s="1">
        <v>45775</v>
      </c>
    </row>
    <row r="37" spans="1:4" x14ac:dyDescent="0.45">
      <c r="A37">
        <v>36</v>
      </c>
      <c r="B37" t="s">
        <v>28</v>
      </c>
      <c r="C37" t="s">
        <v>35</v>
      </c>
      <c r="D37" s="1">
        <v>45728</v>
      </c>
    </row>
    <row r="38" spans="1:4" x14ac:dyDescent="0.45">
      <c r="A38">
        <v>37</v>
      </c>
      <c r="B38" t="s">
        <v>31</v>
      </c>
      <c r="C38" t="s">
        <v>32</v>
      </c>
      <c r="D38" s="1">
        <v>45718</v>
      </c>
    </row>
    <row r="39" spans="1:4" x14ac:dyDescent="0.45">
      <c r="A39">
        <v>38</v>
      </c>
      <c r="B39" t="s">
        <v>34</v>
      </c>
      <c r="C39" t="s">
        <v>35</v>
      </c>
      <c r="D39" s="1">
        <v>45811</v>
      </c>
    </row>
    <row r="40" spans="1:4" x14ac:dyDescent="0.45">
      <c r="A40">
        <v>39</v>
      </c>
      <c r="B40" t="s">
        <v>28</v>
      </c>
      <c r="C40" t="s">
        <v>30</v>
      </c>
      <c r="D40" s="1">
        <v>45752</v>
      </c>
    </row>
    <row r="41" spans="1:4" x14ac:dyDescent="0.45">
      <c r="A41">
        <v>40</v>
      </c>
      <c r="B41" t="s">
        <v>34</v>
      </c>
      <c r="C41" t="s">
        <v>29</v>
      </c>
      <c r="D41" s="1">
        <v>45391</v>
      </c>
    </row>
    <row r="42" spans="1:4" x14ac:dyDescent="0.45">
      <c r="A42">
        <v>41</v>
      </c>
      <c r="B42" t="s">
        <v>36</v>
      </c>
      <c r="C42" t="s">
        <v>30</v>
      </c>
      <c r="D42" s="1">
        <v>45753</v>
      </c>
    </row>
    <row r="43" spans="1:4" x14ac:dyDescent="0.45">
      <c r="A43">
        <v>42</v>
      </c>
      <c r="B43" t="s">
        <v>34</v>
      </c>
      <c r="C43" t="s">
        <v>32</v>
      </c>
      <c r="D43" s="1">
        <v>45766</v>
      </c>
    </row>
    <row r="44" spans="1:4" x14ac:dyDescent="0.45">
      <c r="A44">
        <v>43</v>
      </c>
      <c r="B44" t="s">
        <v>36</v>
      </c>
      <c r="C44" t="s">
        <v>29</v>
      </c>
      <c r="D44" s="1">
        <v>45754</v>
      </c>
    </row>
    <row r="45" spans="1:4" x14ac:dyDescent="0.45">
      <c r="A45">
        <v>44</v>
      </c>
      <c r="B45" t="s">
        <v>36</v>
      </c>
      <c r="C45" t="s">
        <v>35</v>
      </c>
      <c r="D45" s="1">
        <v>45651</v>
      </c>
    </row>
    <row r="46" spans="1:4" x14ac:dyDescent="0.45">
      <c r="A46">
        <v>45</v>
      </c>
      <c r="B46" t="s">
        <v>33</v>
      </c>
      <c r="C46" t="s">
        <v>32</v>
      </c>
      <c r="D46" s="1">
        <v>45443</v>
      </c>
    </row>
    <row r="47" spans="1:4" x14ac:dyDescent="0.45">
      <c r="A47">
        <v>46</v>
      </c>
      <c r="B47" t="s">
        <v>36</v>
      </c>
      <c r="C47" t="s">
        <v>29</v>
      </c>
      <c r="D47" s="1">
        <v>45773</v>
      </c>
    </row>
    <row r="48" spans="1:4" x14ac:dyDescent="0.45">
      <c r="A48">
        <v>47</v>
      </c>
      <c r="B48" t="s">
        <v>36</v>
      </c>
      <c r="C48" t="s">
        <v>35</v>
      </c>
      <c r="D48" s="1">
        <v>45754</v>
      </c>
    </row>
    <row r="49" spans="1:4" x14ac:dyDescent="0.45">
      <c r="A49">
        <v>48</v>
      </c>
      <c r="B49" t="s">
        <v>36</v>
      </c>
      <c r="C49" t="s">
        <v>29</v>
      </c>
      <c r="D49" s="1">
        <v>45738</v>
      </c>
    </row>
    <row r="50" spans="1:4" x14ac:dyDescent="0.45">
      <c r="A50">
        <v>49</v>
      </c>
      <c r="B50" t="s">
        <v>31</v>
      </c>
      <c r="C50" t="s">
        <v>37</v>
      </c>
      <c r="D50" s="1">
        <v>45750</v>
      </c>
    </row>
    <row r="51" spans="1:4" x14ac:dyDescent="0.45">
      <c r="A51">
        <v>50</v>
      </c>
      <c r="B51" t="s">
        <v>34</v>
      </c>
      <c r="C51" t="s">
        <v>35</v>
      </c>
      <c r="D51" s="1">
        <v>45422</v>
      </c>
    </row>
    <row r="52" spans="1:4" x14ac:dyDescent="0.45">
      <c r="A52">
        <v>51</v>
      </c>
      <c r="B52" t="s">
        <v>36</v>
      </c>
      <c r="C52" t="s">
        <v>29</v>
      </c>
      <c r="D52" s="1">
        <v>45694</v>
      </c>
    </row>
    <row r="53" spans="1:4" x14ac:dyDescent="0.45">
      <c r="A53">
        <v>52</v>
      </c>
      <c r="B53" t="s">
        <v>28</v>
      </c>
      <c r="C53" t="s">
        <v>37</v>
      </c>
      <c r="D53" s="1">
        <v>45441</v>
      </c>
    </row>
    <row r="54" spans="1:4" x14ac:dyDescent="0.45">
      <c r="A54">
        <v>53</v>
      </c>
      <c r="B54" t="s">
        <v>33</v>
      </c>
      <c r="C54" t="s">
        <v>32</v>
      </c>
      <c r="D54" s="1">
        <v>45789</v>
      </c>
    </row>
    <row r="55" spans="1:4" x14ac:dyDescent="0.45">
      <c r="A55">
        <v>54</v>
      </c>
      <c r="B55" t="s">
        <v>33</v>
      </c>
      <c r="C55" t="s">
        <v>35</v>
      </c>
      <c r="D55" s="1">
        <v>45701</v>
      </c>
    </row>
    <row r="56" spans="1:4" x14ac:dyDescent="0.45">
      <c r="A56">
        <v>55</v>
      </c>
      <c r="B56" t="s">
        <v>28</v>
      </c>
      <c r="C56" t="s">
        <v>35</v>
      </c>
      <c r="D56" s="1">
        <v>45600</v>
      </c>
    </row>
    <row r="57" spans="1:4" x14ac:dyDescent="0.45">
      <c r="A57">
        <v>56</v>
      </c>
      <c r="B57" t="s">
        <v>33</v>
      </c>
      <c r="C57" t="s">
        <v>37</v>
      </c>
      <c r="D57" s="1">
        <v>45549</v>
      </c>
    </row>
    <row r="58" spans="1:4" x14ac:dyDescent="0.45">
      <c r="A58">
        <v>57</v>
      </c>
      <c r="B58" t="s">
        <v>28</v>
      </c>
      <c r="C58" t="s">
        <v>37</v>
      </c>
      <c r="D58" s="1">
        <v>45635</v>
      </c>
    </row>
    <row r="59" spans="1:4" x14ac:dyDescent="0.45">
      <c r="A59">
        <v>58</v>
      </c>
      <c r="B59" t="s">
        <v>36</v>
      </c>
      <c r="C59" t="s">
        <v>32</v>
      </c>
      <c r="D59" s="1">
        <v>45758</v>
      </c>
    </row>
    <row r="60" spans="1:4" x14ac:dyDescent="0.45">
      <c r="A60">
        <v>59</v>
      </c>
      <c r="B60" t="s">
        <v>36</v>
      </c>
      <c r="C60" t="s">
        <v>37</v>
      </c>
      <c r="D60" s="1">
        <v>45725</v>
      </c>
    </row>
    <row r="61" spans="1:4" x14ac:dyDescent="0.45">
      <c r="A61">
        <v>60</v>
      </c>
      <c r="B61" t="s">
        <v>33</v>
      </c>
      <c r="C61" t="s">
        <v>29</v>
      </c>
      <c r="D61" s="1">
        <v>45705</v>
      </c>
    </row>
    <row r="62" spans="1:4" x14ac:dyDescent="0.45">
      <c r="A62">
        <v>61</v>
      </c>
      <c r="B62" t="s">
        <v>34</v>
      </c>
      <c r="C62" t="s">
        <v>32</v>
      </c>
      <c r="D62" s="1">
        <v>45585</v>
      </c>
    </row>
    <row r="63" spans="1:4" x14ac:dyDescent="0.45">
      <c r="A63">
        <v>62</v>
      </c>
      <c r="B63" t="s">
        <v>34</v>
      </c>
      <c r="C63" t="s">
        <v>29</v>
      </c>
      <c r="D63" s="1">
        <v>45746</v>
      </c>
    </row>
    <row r="64" spans="1:4" x14ac:dyDescent="0.45">
      <c r="A64">
        <v>63</v>
      </c>
      <c r="B64" t="s">
        <v>31</v>
      </c>
      <c r="C64" t="s">
        <v>37</v>
      </c>
      <c r="D64" s="1">
        <v>45775</v>
      </c>
    </row>
    <row r="65" spans="1:4" x14ac:dyDescent="0.45">
      <c r="A65">
        <v>64</v>
      </c>
      <c r="B65" t="s">
        <v>34</v>
      </c>
      <c r="C65" t="s">
        <v>37</v>
      </c>
      <c r="D65" s="1">
        <v>45677</v>
      </c>
    </row>
    <row r="66" spans="1:4" x14ac:dyDescent="0.45">
      <c r="A66">
        <v>65</v>
      </c>
      <c r="B66" t="s">
        <v>34</v>
      </c>
      <c r="C66" t="s">
        <v>37</v>
      </c>
      <c r="D66" s="1">
        <v>45786</v>
      </c>
    </row>
    <row r="67" spans="1:4" x14ac:dyDescent="0.45">
      <c r="A67">
        <v>66</v>
      </c>
      <c r="B67" t="s">
        <v>33</v>
      </c>
      <c r="C67" t="s">
        <v>29</v>
      </c>
      <c r="D67" s="1">
        <v>45483</v>
      </c>
    </row>
    <row r="68" spans="1:4" x14ac:dyDescent="0.45">
      <c r="A68">
        <v>67</v>
      </c>
      <c r="B68" t="s">
        <v>28</v>
      </c>
      <c r="C68" t="s">
        <v>30</v>
      </c>
      <c r="D68" s="1">
        <v>45735</v>
      </c>
    </row>
    <row r="69" spans="1:4" x14ac:dyDescent="0.45">
      <c r="A69">
        <v>68</v>
      </c>
      <c r="B69" t="s">
        <v>33</v>
      </c>
      <c r="C69" t="s">
        <v>32</v>
      </c>
      <c r="D69" s="1">
        <v>45568</v>
      </c>
    </row>
    <row r="70" spans="1:4" x14ac:dyDescent="0.45">
      <c r="A70">
        <v>69</v>
      </c>
      <c r="B70" t="s">
        <v>36</v>
      </c>
      <c r="C70" t="s">
        <v>37</v>
      </c>
      <c r="D70" s="1">
        <v>45798</v>
      </c>
    </row>
    <row r="71" spans="1:4" x14ac:dyDescent="0.45">
      <c r="A71">
        <v>70</v>
      </c>
      <c r="B71" t="s">
        <v>36</v>
      </c>
      <c r="C71" t="s">
        <v>35</v>
      </c>
      <c r="D71" s="1">
        <v>45727</v>
      </c>
    </row>
    <row r="72" spans="1:4" x14ac:dyDescent="0.45">
      <c r="A72">
        <v>71</v>
      </c>
      <c r="B72" t="s">
        <v>28</v>
      </c>
      <c r="C72" t="s">
        <v>32</v>
      </c>
      <c r="D72" s="1">
        <v>45452</v>
      </c>
    </row>
    <row r="73" spans="1:4" x14ac:dyDescent="0.45">
      <c r="A73">
        <v>72</v>
      </c>
      <c r="B73" t="s">
        <v>34</v>
      </c>
      <c r="C73" t="s">
        <v>30</v>
      </c>
      <c r="D73" s="1">
        <v>45708</v>
      </c>
    </row>
    <row r="74" spans="1:4" x14ac:dyDescent="0.45">
      <c r="A74">
        <v>73</v>
      </c>
      <c r="B74" t="s">
        <v>33</v>
      </c>
      <c r="C74" t="s">
        <v>35</v>
      </c>
      <c r="D74" s="1">
        <v>45605</v>
      </c>
    </row>
    <row r="75" spans="1:4" x14ac:dyDescent="0.45">
      <c r="A75">
        <v>74</v>
      </c>
      <c r="B75" t="s">
        <v>28</v>
      </c>
      <c r="C75" t="s">
        <v>30</v>
      </c>
      <c r="D75" s="1">
        <v>45814</v>
      </c>
    </row>
    <row r="76" spans="1:4" x14ac:dyDescent="0.45">
      <c r="A76">
        <v>75</v>
      </c>
      <c r="B76" t="s">
        <v>33</v>
      </c>
      <c r="C76" t="s">
        <v>32</v>
      </c>
      <c r="D76" s="1">
        <v>45709</v>
      </c>
    </row>
    <row r="77" spans="1:4" x14ac:dyDescent="0.45">
      <c r="A77">
        <v>76</v>
      </c>
      <c r="B77" t="s">
        <v>36</v>
      </c>
      <c r="C77" t="s">
        <v>29</v>
      </c>
      <c r="D77" s="1">
        <v>45705</v>
      </c>
    </row>
    <row r="78" spans="1:4" x14ac:dyDescent="0.45">
      <c r="A78">
        <v>77</v>
      </c>
      <c r="B78" t="s">
        <v>31</v>
      </c>
      <c r="C78" t="s">
        <v>30</v>
      </c>
      <c r="D78" s="1">
        <v>45313</v>
      </c>
    </row>
    <row r="79" spans="1:4" x14ac:dyDescent="0.45">
      <c r="A79">
        <v>78</v>
      </c>
      <c r="B79" t="s">
        <v>31</v>
      </c>
      <c r="C79" t="s">
        <v>37</v>
      </c>
      <c r="D79" s="1">
        <v>45544</v>
      </c>
    </row>
    <row r="80" spans="1:4" x14ac:dyDescent="0.45">
      <c r="A80">
        <v>79</v>
      </c>
      <c r="B80" t="s">
        <v>34</v>
      </c>
      <c r="C80" t="s">
        <v>37</v>
      </c>
      <c r="D80" s="1">
        <v>45527</v>
      </c>
    </row>
    <row r="81" spans="1:4" x14ac:dyDescent="0.45">
      <c r="A81">
        <v>80</v>
      </c>
      <c r="B81" t="s">
        <v>31</v>
      </c>
      <c r="C81" t="s">
        <v>29</v>
      </c>
      <c r="D81" s="1">
        <v>45636</v>
      </c>
    </row>
    <row r="82" spans="1:4" x14ac:dyDescent="0.45">
      <c r="A82">
        <v>81</v>
      </c>
      <c r="B82" t="s">
        <v>36</v>
      </c>
      <c r="C82" t="s">
        <v>32</v>
      </c>
      <c r="D82" s="1">
        <v>45750</v>
      </c>
    </row>
    <row r="83" spans="1:4" x14ac:dyDescent="0.45">
      <c r="A83">
        <v>82</v>
      </c>
      <c r="B83" t="s">
        <v>28</v>
      </c>
      <c r="C83" t="s">
        <v>37</v>
      </c>
      <c r="D83" s="1">
        <v>45340</v>
      </c>
    </row>
    <row r="84" spans="1:4" x14ac:dyDescent="0.45">
      <c r="A84">
        <v>83</v>
      </c>
      <c r="B84" t="s">
        <v>36</v>
      </c>
      <c r="C84" t="s">
        <v>29</v>
      </c>
      <c r="D84" s="1">
        <v>45350</v>
      </c>
    </row>
    <row r="85" spans="1:4" x14ac:dyDescent="0.45">
      <c r="A85">
        <v>84</v>
      </c>
      <c r="B85" t="s">
        <v>31</v>
      </c>
      <c r="C85" t="s">
        <v>32</v>
      </c>
      <c r="D85" s="1">
        <v>45461</v>
      </c>
    </row>
    <row r="86" spans="1:4" x14ac:dyDescent="0.45">
      <c r="A86">
        <v>85</v>
      </c>
      <c r="B86" t="s">
        <v>33</v>
      </c>
      <c r="C86" t="s">
        <v>29</v>
      </c>
      <c r="D86" s="1">
        <v>45479</v>
      </c>
    </row>
    <row r="87" spans="1:4" x14ac:dyDescent="0.45">
      <c r="A87">
        <v>86</v>
      </c>
      <c r="B87" t="s">
        <v>31</v>
      </c>
      <c r="C87" t="s">
        <v>32</v>
      </c>
      <c r="D87" s="1">
        <v>45756</v>
      </c>
    </row>
    <row r="88" spans="1:4" x14ac:dyDescent="0.45">
      <c r="A88">
        <v>87</v>
      </c>
      <c r="B88" t="s">
        <v>33</v>
      </c>
      <c r="C88" t="s">
        <v>32</v>
      </c>
      <c r="D88" s="1">
        <v>45562</v>
      </c>
    </row>
    <row r="89" spans="1:4" x14ac:dyDescent="0.45">
      <c r="A89">
        <v>88</v>
      </c>
      <c r="B89" t="s">
        <v>36</v>
      </c>
      <c r="C89" t="s">
        <v>30</v>
      </c>
      <c r="D89" s="1">
        <v>45757</v>
      </c>
    </row>
    <row r="90" spans="1:4" x14ac:dyDescent="0.45">
      <c r="A90">
        <v>89</v>
      </c>
      <c r="B90" t="s">
        <v>28</v>
      </c>
      <c r="C90" t="s">
        <v>35</v>
      </c>
      <c r="D90" s="1">
        <v>45481</v>
      </c>
    </row>
    <row r="91" spans="1:4" x14ac:dyDescent="0.45">
      <c r="A91">
        <v>90</v>
      </c>
      <c r="B91" t="s">
        <v>36</v>
      </c>
      <c r="C91" t="s">
        <v>30</v>
      </c>
      <c r="D91" s="1">
        <v>45761</v>
      </c>
    </row>
    <row r="92" spans="1:4" x14ac:dyDescent="0.45">
      <c r="A92">
        <v>91</v>
      </c>
      <c r="B92" t="s">
        <v>31</v>
      </c>
      <c r="C92" t="s">
        <v>37</v>
      </c>
      <c r="D92" s="1">
        <v>45749</v>
      </c>
    </row>
    <row r="93" spans="1:4" x14ac:dyDescent="0.45">
      <c r="A93">
        <v>92</v>
      </c>
      <c r="B93" t="s">
        <v>33</v>
      </c>
      <c r="C93" t="s">
        <v>32</v>
      </c>
      <c r="D93" s="1">
        <v>45730</v>
      </c>
    </row>
    <row r="94" spans="1:4" x14ac:dyDescent="0.45">
      <c r="A94">
        <v>93</v>
      </c>
      <c r="B94" t="s">
        <v>33</v>
      </c>
      <c r="C94" t="s">
        <v>35</v>
      </c>
      <c r="D94" s="1">
        <v>45737</v>
      </c>
    </row>
    <row r="95" spans="1:4" x14ac:dyDescent="0.45">
      <c r="A95">
        <v>94</v>
      </c>
      <c r="B95" t="s">
        <v>28</v>
      </c>
      <c r="C95" t="s">
        <v>37</v>
      </c>
      <c r="D95" s="1">
        <v>45751</v>
      </c>
    </row>
    <row r="96" spans="1:4" x14ac:dyDescent="0.45">
      <c r="A96">
        <v>95</v>
      </c>
      <c r="B96" t="s">
        <v>33</v>
      </c>
      <c r="C96" t="s">
        <v>32</v>
      </c>
      <c r="D96" s="1">
        <v>45466</v>
      </c>
    </row>
    <row r="97" spans="1:4" x14ac:dyDescent="0.45">
      <c r="A97">
        <v>96</v>
      </c>
      <c r="B97" t="s">
        <v>33</v>
      </c>
      <c r="C97" t="s">
        <v>30</v>
      </c>
      <c r="D97" s="1">
        <v>45703</v>
      </c>
    </row>
    <row r="98" spans="1:4" x14ac:dyDescent="0.45">
      <c r="A98">
        <v>97</v>
      </c>
      <c r="B98" t="s">
        <v>36</v>
      </c>
      <c r="C98" t="s">
        <v>35</v>
      </c>
      <c r="D98" s="1">
        <v>45737</v>
      </c>
    </row>
    <row r="99" spans="1:4" x14ac:dyDescent="0.45">
      <c r="A99">
        <v>98</v>
      </c>
      <c r="B99" t="s">
        <v>28</v>
      </c>
      <c r="C99" t="s">
        <v>35</v>
      </c>
      <c r="D99" s="1">
        <v>45342</v>
      </c>
    </row>
    <row r="100" spans="1:4" x14ac:dyDescent="0.45">
      <c r="A100">
        <v>99</v>
      </c>
      <c r="B100" t="s">
        <v>34</v>
      </c>
      <c r="C100" t="s">
        <v>30</v>
      </c>
      <c r="D100" s="1">
        <v>45733</v>
      </c>
    </row>
    <row r="101" spans="1:4" x14ac:dyDescent="0.45">
      <c r="A101">
        <v>100</v>
      </c>
      <c r="B101" t="s">
        <v>33</v>
      </c>
      <c r="C101" t="s">
        <v>35</v>
      </c>
      <c r="D101" s="1">
        <v>45687</v>
      </c>
    </row>
    <row r="102" spans="1:4" x14ac:dyDescent="0.45">
      <c r="A102">
        <v>101</v>
      </c>
      <c r="B102" t="s">
        <v>28</v>
      </c>
      <c r="C102" t="s">
        <v>37</v>
      </c>
      <c r="D102" s="1">
        <v>45655</v>
      </c>
    </row>
    <row r="103" spans="1:4" x14ac:dyDescent="0.45">
      <c r="A103">
        <v>102</v>
      </c>
      <c r="B103" t="s">
        <v>28</v>
      </c>
      <c r="C103" t="s">
        <v>37</v>
      </c>
      <c r="D103" s="1">
        <v>45346</v>
      </c>
    </row>
    <row r="104" spans="1:4" x14ac:dyDescent="0.45">
      <c r="A104">
        <v>103</v>
      </c>
      <c r="B104" t="s">
        <v>28</v>
      </c>
      <c r="C104" t="s">
        <v>29</v>
      </c>
      <c r="D104" s="1">
        <v>45705</v>
      </c>
    </row>
    <row r="105" spans="1:4" x14ac:dyDescent="0.45">
      <c r="A105">
        <v>104</v>
      </c>
      <c r="B105" t="s">
        <v>31</v>
      </c>
      <c r="C105" t="s">
        <v>29</v>
      </c>
      <c r="D105" s="1">
        <v>45736</v>
      </c>
    </row>
    <row r="106" spans="1:4" x14ac:dyDescent="0.45">
      <c r="A106">
        <v>105</v>
      </c>
      <c r="B106" t="s">
        <v>33</v>
      </c>
      <c r="C106" t="s">
        <v>35</v>
      </c>
      <c r="D106" s="1">
        <v>45535</v>
      </c>
    </row>
    <row r="107" spans="1:4" x14ac:dyDescent="0.45">
      <c r="A107">
        <v>106</v>
      </c>
      <c r="B107" t="s">
        <v>36</v>
      </c>
      <c r="C107" t="s">
        <v>30</v>
      </c>
      <c r="D107" s="1">
        <v>45781</v>
      </c>
    </row>
    <row r="108" spans="1:4" x14ac:dyDescent="0.45">
      <c r="A108">
        <v>107</v>
      </c>
      <c r="B108" t="s">
        <v>36</v>
      </c>
      <c r="C108" t="s">
        <v>32</v>
      </c>
      <c r="D108" s="1">
        <v>45753</v>
      </c>
    </row>
    <row r="109" spans="1:4" x14ac:dyDescent="0.45">
      <c r="A109">
        <v>108</v>
      </c>
      <c r="B109" t="s">
        <v>28</v>
      </c>
      <c r="C109" t="s">
        <v>32</v>
      </c>
      <c r="D109" s="1">
        <v>45611</v>
      </c>
    </row>
    <row r="110" spans="1:4" x14ac:dyDescent="0.45">
      <c r="A110">
        <v>109</v>
      </c>
      <c r="B110" t="s">
        <v>28</v>
      </c>
      <c r="C110" t="s">
        <v>35</v>
      </c>
      <c r="D110" s="1">
        <v>45764</v>
      </c>
    </row>
    <row r="111" spans="1:4" x14ac:dyDescent="0.45">
      <c r="A111">
        <v>110</v>
      </c>
      <c r="B111" t="s">
        <v>34</v>
      </c>
      <c r="C111" t="s">
        <v>30</v>
      </c>
      <c r="D111" s="1">
        <v>45422</v>
      </c>
    </row>
    <row r="112" spans="1:4" x14ac:dyDescent="0.45">
      <c r="A112">
        <v>111</v>
      </c>
      <c r="B112" t="s">
        <v>34</v>
      </c>
      <c r="C112" t="s">
        <v>32</v>
      </c>
      <c r="D112" s="1">
        <v>45598</v>
      </c>
    </row>
    <row r="113" spans="1:4" x14ac:dyDescent="0.45">
      <c r="A113">
        <v>112</v>
      </c>
      <c r="B113" t="s">
        <v>28</v>
      </c>
      <c r="C113" t="s">
        <v>35</v>
      </c>
      <c r="D113" s="1">
        <v>45760</v>
      </c>
    </row>
    <row r="114" spans="1:4" x14ac:dyDescent="0.45">
      <c r="A114">
        <v>113</v>
      </c>
      <c r="B114" t="s">
        <v>36</v>
      </c>
      <c r="C114" t="s">
        <v>35</v>
      </c>
      <c r="D114" s="1">
        <v>45716</v>
      </c>
    </row>
    <row r="115" spans="1:4" x14ac:dyDescent="0.45">
      <c r="A115">
        <v>114</v>
      </c>
      <c r="B115" t="s">
        <v>33</v>
      </c>
      <c r="C115" t="s">
        <v>37</v>
      </c>
      <c r="D115" s="1">
        <v>45426</v>
      </c>
    </row>
    <row r="116" spans="1:4" x14ac:dyDescent="0.45">
      <c r="A116">
        <v>115</v>
      </c>
      <c r="B116" t="s">
        <v>36</v>
      </c>
      <c r="C116" t="s">
        <v>29</v>
      </c>
      <c r="D116" s="1">
        <v>45740</v>
      </c>
    </row>
    <row r="117" spans="1:4" x14ac:dyDescent="0.45">
      <c r="A117">
        <v>116</v>
      </c>
      <c r="B117" t="s">
        <v>31</v>
      </c>
      <c r="C117" t="s">
        <v>29</v>
      </c>
      <c r="D117" s="1">
        <v>45715</v>
      </c>
    </row>
    <row r="118" spans="1:4" x14ac:dyDescent="0.45">
      <c r="A118">
        <v>117</v>
      </c>
      <c r="B118" t="s">
        <v>36</v>
      </c>
      <c r="C118" t="s">
        <v>29</v>
      </c>
      <c r="D118" s="1">
        <v>45743</v>
      </c>
    </row>
    <row r="119" spans="1:4" x14ac:dyDescent="0.45">
      <c r="A119">
        <v>118</v>
      </c>
      <c r="B119" t="s">
        <v>33</v>
      </c>
      <c r="C119" t="s">
        <v>37</v>
      </c>
      <c r="D119" s="1">
        <v>45703</v>
      </c>
    </row>
    <row r="120" spans="1:4" x14ac:dyDescent="0.45">
      <c r="A120">
        <v>119</v>
      </c>
      <c r="B120" t="s">
        <v>36</v>
      </c>
      <c r="C120" t="s">
        <v>32</v>
      </c>
      <c r="D120" s="1">
        <v>45312</v>
      </c>
    </row>
    <row r="121" spans="1:4" x14ac:dyDescent="0.45">
      <c r="A121">
        <v>120</v>
      </c>
      <c r="B121" t="s">
        <v>36</v>
      </c>
      <c r="C121" t="s">
        <v>32</v>
      </c>
      <c r="D121" s="1">
        <v>45773</v>
      </c>
    </row>
    <row r="122" spans="1:4" x14ac:dyDescent="0.45">
      <c r="A122">
        <v>121</v>
      </c>
      <c r="B122" t="s">
        <v>33</v>
      </c>
      <c r="C122" t="s">
        <v>37</v>
      </c>
      <c r="D122" s="1">
        <v>45620</v>
      </c>
    </row>
    <row r="123" spans="1:4" x14ac:dyDescent="0.45">
      <c r="A123">
        <v>122</v>
      </c>
      <c r="B123" t="s">
        <v>36</v>
      </c>
      <c r="C123" t="s">
        <v>30</v>
      </c>
      <c r="D123" s="1">
        <v>45696</v>
      </c>
    </row>
    <row r="124" spans="1:4" x14ac:dyDescent="0.45">
      <c r="A124">
        <v>123</v>
      </c>
      <c r="B124" t="s">
        <v>33</v>
      </c>
      <c r="C124" t="s">
        <v>35</v>
      </c>
      <c r="D124" s="1">
        <v>45735</v>
      </c>
    </row>
    <row r="125" spans="1:4" x14ac:dyDescent="0.45">
      <c r="A125">
        <v>124</v>
      </c>
      <c r="B125" t="s">
        <v>28</v>
      </c>
      <c r="C125" t="s">
        <v>30</v>
      </c>
      <c r="D125" s="1">
        <v>45762</v>
      </c>
    </row>
    <row r="126" spans="1:4" x14ac:dyDescent="0.45">
      <c r="A126">
        <v>125</v>
      </c>
      <c r="B126" t="s">
        <v>36</v>
      </c>
      <c r="C126" t="s">
        <v>32</v>
      </c>
      <c r="D126" s="1">
        <v>45782</v>
      </c>
    </row>
    <row r="127" spans="1:4" x14ac:dyDescent="0.45">
      <c r="A127">
        <v>126</v>
      </c>
      <c r="B127" t="s">
        <v>31</v>
      </c>
      <c r="C127" t="s">
        <v>35</v>
      </c>
      <c r="D127" s="1">
        <v>45689</v>
      </c>
    </row>
    <row r="128" spans="1:4" x14ac:dyDescent="0.45">
      <c r="A128">
        <v>127</v>
      </c>
      <c r="B128" t="s">
        <v>31</v>
      </c>
      <c r="C128" t="s">
        <v>29</v>
      </c>
      <c r="D128" s="1">
        <v>45779</v>
      </c>
    </row>
    <row r="129" spans="1:4" x14ac:dyDescent="0.45">
      <c r="A129">
        <v>128</v>
      </c>
      <c r="B129" t="s">
        <v>31</v>
      </c>
      <c r="C129" t="s">
        <v>29</v>
      </c>
      <c r="D129" s="1">
        <v>45725</v>
      </c>
    </row>
    <row r="130" spans="1:4" x14ac:dyDescent="0.45">
      <c r="A130">
        <v>129</v>
      </c>
      <c r="B130" t="s">
        <v>28</v>
      </c>
      <c r="C130" t="s">
        <v>35</v>
      </c>
      <c r="D130" s="1">
        <v>45743</v>
      </c>
    </row>
    <row r="131" spans="1:4" x14ac:dyDescent="0.45">
      <c r="A131">
        <v>130</v>
      </c>
      <c r="B131" t="s">
        <v>36</v>
      </c>
      <c r="C131" t="s">
        <v>37</v>
      </c>
      <c r="D131" s="1">
        <v>45712</v>
      </c>
    </row>
    <row r="132" spans="1:4" x14ac:dyDescent="0.45">
      <c r="A132">
        <v>131</v>
      </c>
      <c r="B132" t="s">
        <v>36</v>
      </c>
      <c r="C132" t="s">
        <v>32</v>
      </c>
      <c r="D132" s="1">
        <v>45744</v>
      </c>
    </row>
    <row r="133" spans="1:4" x14ac:dyDescent="0.45">
      <c r="A133">
        <v>132</v>
      </c>
      <c r="B133" t="s">
        <v>28</v>
      </c>
      <c r="C133" t="s">
        <v>32</v>
      </c>
      <c r="D133" s="1">
        <v>45714</v>
      </c>
    </row>
    <row r="134" spans="1:4" x14ac:dyDescent="0.45">
      <c r="A134">
        <v>133</v>
      </c>
      <c r="B134" t="s">
        <v>28</v>
      </c>
      <c r="C134" t="s">
        <v>30</v>
      </c>
      <c r="D134" s="1">
        <v>45664</v>
      </c>
    </row>
    <row r="135" spans="1:4" x14ac:dyDescent="0.45">
      <c r="A135">
        <v>134</v>
      </c>
      <c r="B135" t="s">
        <v>36</v>
      </c>
      <c r="C135" t="s">
        <v>30</v>
      </c>
      <c r="D135" s="1">
        <v>45458</v>
      </c>
    </row>
    <row r="136" spans="1:4" x14ac:dyDescent="0.45">
      <c r="A136">
        <v>135</v>
      </c>
      <c r="B136" t="s">
        <v>28</v>
      </c>
      <c r="C136" t="s">
        <v>30</v>
      </c>
      <c r="D136" s="1">
        <v>45678</v>
      </c>
    </row>
    <row r="137" spans="1:4" x14ac:dyDescent="0.45">
      <c r="A137">
        <v>136</v>
      </c>
      <c r="B137" t="s">
        <v>36</v>
      </c>
      <c r="C137" t="s">
        <v>37</v>
      </c>
      <c r="D137" s="1">
        <v>45565</v>
      </c>
    </row>
    <row r="138" spans="1:4" x14ac:dyDescent="0.45">
      <c r="A138">
        <v>137</v>
      </c>
      <c r="B138" t="s">
        <v>28</v>
      </c>
      <c r="C138" t="s">
        <v>37</v>
      </c>
      <c r="D138" s="1">
        <v>45679</v>
      </c>
    </row>
    <row r="139" spans="1:4" x14ac:dyDescent="0.45">
      <c r="A139">
        <v>138</v>
      </c>
      <c r="B139" t="s">
        <v>28</v>
      </c>
      <c r="C139" t="s">
        <v>29</v>
      </c>
      <c r="D139" s="1">
        <v>45380</v>
      </c>
    </row>
    <row r="140" spans="1:4" x14ac:dyDescent="0.45">
      <c r="A140">
        <v>139</v>
      </c>
      <c r="B140" t="s">
        <v>36</v>
      </c>
      <c r="C140" t="s">
        <v>37</v>
      </c>
      <c r="D140" s="1">
        <v>45714</v>
      </c>
    </row>
    <row r="141" spans="1:4" x14ac:dyDescent="0.45">
      <c r="A141">
        <v>140</v>
      </c>
      <c r="B141" t="s">
        <v>28</v>
      </c>
      <c r="C141" t="s">
        <v>37</v>
      </c>
      <c r="D141" s="1">
        <v>45607</v>
      </c>
    </row>
    <row r="142" spans="1:4" x14ac:dyDescent="0.45">
      <c r="A142">
        <v>141</v>
      </c>
      <c r="B142" t="s">
        <v>33</v>
      </c>
      <c r="C142" t="s">
        <v>29</v>
      </c>
      <c r="D142" s="1">
        <v>45305</v>
      </c>
    </row>
    <row r="143" spans="1:4" x14ac:dyDescent="0.45">
      <c r="A143">
        <v>142</v>
      </c>
      <c r="B143" t="s">
        <v>33</v>
      </c>
      <c r="C143" t="s">
        <v>30</v>
      </c>
      <c r="D143" s="1">
        <v>45533</v>
      </c>
    </row>
    <row r="144" spans="1:4" x14ac:dyDescent="0.45">
      <c r="A144">
        <v>143</v>
      </c>
      <c r="B144" t="s">
        <v>31</v>
      </c>
      <c r="C144" t="s">
        <v>29</v>
      </c>
      <c r="D144" s="1">
        <v>45796</v>
      </c>
    </row>
    <row r="145" spans="1:4" x14ac:dyDescent="0.45">
      <c r="A145">
        <v>144</v>
      </c>
      <c r="B145" t="s">
        <v>36</v>
      </c>
      <c r="C145" t="s">
        <v>32</v>
      </c>
      <c r="D145" s="1">
        <v>45725</v>
      </c>
    </row>
    <row r="146" spans="1:4" x14ac:dyDescent="0.45">
      <c r="A146">
        <v>145</v>
      </c>
      <c r="B146" t="s">
        <v>33</v>
      </c>
      <c r="C146" t="s">
        <v>37</v>
      </c>
      <c r="D146" s="1">
        <v>45556</v>
      </c>
    </row>
    <row r="147" spans="1:4" x14ac:dyDescent="0.45">
      <c r="A147">
        <v>146</v>
      </c>
      <c r="B147" t="s">
        <v>33</v>
      </c>
      <c r="C147" t="s">
        <v>29</v>
      </c>
      <c r="D147" s="1">
        <v>45637</v>
      </c>
    </row>
    <row r="148" spans="1:4" x14ac:dyDescent="0.45">
      <c r="A148">
        <v>147</v>
      </c>
      <c r="B148" t="s">
        <v>36</v>
      </c>
      <c r="C148" t="s">
        <v>30</v>
      </c>
      <c r="D148" s="1">
        <v>45701</v>
      </c>
    </row>
    <row r="149" spans="1:4" x14ac:dyDescent="0.45">
      <c r="A149">
        <v>148</v>
      </c>
      <c r="B149" t="s">
        <v>31</v>
      </c>
      <c r="C149" t="s">
        <v>35</v>
      </c>
      <c r="D149" s="1">
        <v>45719</v>
      </c>
    </row>
    <row r="150" spans="1:4" x14ac:dyDescent="0.45">
      <c r="A150">
        <v>149</v>
      </c>
      <c r="B150" t="s">
        <v>31</v>
      </c>
      <c r="C150" t="s">
        <v>35</v>
      </c>
      <c r="D150" s="1">
        <v>45344</v>
      </c>
    </row>
    <row r="151" spans="1:4" x14ac:dyDescent="0.45">
      <c r="A151">
        <v>150</v>
      </c>
      <c r="B151" t="s">
        <v>28</v>
      </c>
      <c r="C151" t="s">
        <v>32</v>
      </c>
      <c r="D151" s="1">
        <v>45814</v>
      </c>
    </row>
    <row r="152" spans="1:4" x14ac:dyDescent="0.45">
      <c r="A152">
        <v>151</v>
      </c>
      <c r="B152" t="s">
        <v>34</v>
      </c>
      <c r="C152" t="s">
        <v>29</v>
      </c>
      <c r="D152" s="1">
        <v>45749</v>
      </c>
    </row>
    <row r="153" spans="1:4" x14ac:dyDescent="0.45">
      <c r="A153">
        <v>152</v>
      </c>
      <c r="B153" t="s">
        <v>28</v>
      </c>
      <c r="C153" t="s">
        <v>35</v>
      </c>
      <c r="D153" s="1">
        <v>45715</v>
      </c>
    </row>
    <row r="154" spans="1:4" x14ac:dyDescent="0.45">
      <c r="A154">
        <v>153</v>
      </c>
      <c r="B154" t="s">
        <v>28</v>
      </c>
      <c r="C154" t="s">
        <v>35</v>
      </c>
      <c r="D154" s="1">
        <v>45798</v>
      </c>
    </row>
    <row r="155" spans="1:4" x14ac:dyDescent="0.45">
      <c r="A155">
        <v>154</v>
      </c>
      <c r="B155" t="s">
        <v>28</v>
      </c>
      <c r="C155" t="s">
        <v>30</v>
      </c>
      <c r="D155" s="1">
        <v>45673</v>
      </c>
    </row>
    <row r="156" spans="1:4" x14ac:dyDescent="0.45">
      <c r="A156">
        <v>155</v>
      </c>
      <c r="B156" t="s">
        <v>36</v>
      </c>
      <c r="C156" t="s">
        <v>35</v>
      </c>
      <c r="D156" s="1">
        <v>45707</v>
      </c>
    </row>
    <row r="157" spans="1:4" x14ac:dyDescent="0.45">
      <c r="A157">
        <v>156</v>
      </c>
      <c r="B157" t="s">
        <v>28</v>
      </c>
      <c r="C157" t="s">
        <v>35</v>
      </c>
      <c r="D157" s="1">
        <v>45677</v>
      </c>
    </row>
    <row r="158" spans="1:4" x14ac:dyDescent="0.45">
      <c r="A158">
        <v>157</v>
      </c>
      <c r="B158" t="s">
        <v>33</v>
      </c>
      <c r="C158" t="s">
        <v>29</v>
      </c>
      <c r="D158" s="1">
        <v>45788</v>
      </c>
    </row>
    <row r="159" spans="1:4" x14ac:dyDescent="0.45">
      <c r="A159">
        <v>158</v>
      </c>
      <c r="B159" t="s">
        <v>31</v>
      </c>
      <c r="C159" t="s">
        <v>35</v>
      </c>
      <c r="D159" s="1">
        <v>45798</v>
      </c>
    </row>
    <row r="160" spans="1:4" x14ac:dyDescent="0.45">
      <c r="A160">
        <v>159</v>
      </c>
      <c r="B160" t="s">
        <v>34</v>
      </c>
      <c r="C160" t="s">
        <v>35</v>
      </c>
      <c r="D160" s="1">
        <v>45631</v>
      </c>
    </row>
    <row r="161" spans="1:4" x14ac:dyDescent="0.45">
      <c r="A161">
        <v>160</v>
      </c>
      <c r="B161" t="s">
        <v>36</v>
      </c>
      <c r="C161" t="s">
        <v>29</v>
      </c>
      <c r="D161" s="1">
        <v>45700</v>
      </c>
    </row>
    <row r="162" spans="1:4" x14ac:dyDescent="0.45">
      <c r="A162">
        <v>161</v>
      </c>
      <c r="B162" t="s">
        <v>34</v>
      </c>
      <c r="C162" t="s">
        <v>30</v>
      </c>
      <c r="D162" s="1">
        <v>45742</v>
      </c>
    </row>
    <row r="163" spans="1:4" x14ac:dyDescent="0.45">
      <c r="A163">
        <v>162</v>
      </c>
      <c r="B163" t="s">
        <v>36</v>
      </c>
      <c r="C163" t="s">
        <v>30</v>
      </c>
      <c r="D163" s="1">
        <v>45721</v>
      </c>
    </row>
    <row r="164" spans="1:4" x14ac:dyDescent="0.45">
      <c r="A164">
        <v>163</v>
      </c>
      <c r="B164" t="s">
        <v>33</v>
      </c>
      <c r="C164" t="s">
        <v>37</v>
      </c>
      <c r="D164" s="1">
        <v>45734</v>
      </c>
    </row>
    <row r="165" spans="1:4" x14ac:dyDescent="0.45">
      <c r="A165">
        <v>164</v>
      </c>
      <c r="B165" t="s">
        <v>34</v>
      </c>
      <c r="C165" t="s">
        <v>29</v>
      </c>
      <c r="D165" s="1">
        <v>45383</v>
      </c>
    </row>
    <row r="166" spans="1:4" x14ac:dyDescent="0.45">
      <c r="A166">
        <v>165</v>
      </c>
      <c r="B166" t="s">
        <v>28</v>
      </c>
      <c r="C166" t="s">
        <v>35</v>
      </c>
      <c r="D166" s="1">
        <v>45728</v>
      </c>
    </row>
    <row r="167" spans="1:4" x14ac:dyDescent="0.45">
      <c r="A167">
        <v>166</v>
      </c>
      <c r="B167" t="s">
        <v>28</v>
      </c>
      <c r="C167" t="s">
        <v>32</v>
      </c>
      <c r="D167" s="1">
        <v>45658</v>
      </c>
    </row>
    <row r="168" spans="1:4" x14ac:dyDescent="0.45">
      <c r="A168">
        <v>167</v>
      </c>
      <c r="B168" t="s">
        <v>28</v>
      </c>
      <c r="C168" t="s">
        <v>32</v>
      </c>
      <c r="D168" s="1">
        <v>45723</v>
      </c>
    </row>
    <row r="169" spans="1:4" x14ac:dyDescent="0.45">
      <c r="A169">
        <v>168</v>
      </c>
      <c r="B169" t="s">
        <v>28</v>
      </c>
      <c r="C169" t="s">
        <v>30</v>
      </c>
      <c r="D169" s="1">
        <v>45680</v>
      </c>
    </row>
    <row r="170" spans="1:4" x14ac:dyDescent="0.45">
      <c r="A170">
        <v>169</v>
      </c>
      <c r="B170" t="s">
        <v>36</v>
      </c>
      <c r="C170" t="s">
        <v>30</v>
      </c>
      <c r="D170" s="1">
        <v>45735</v>
      </c>
    </row>
    <row r="171" spans="1:4" x14ac:dyDescent="0.45">
      <c r="A171">
        <v>170</v>
      </c>
      <c r="B171" t="s">
        <v>28</v>
      </c>
      <c r="C171" t="s">
        <v>30</v>
      </c>
      <c r="D171" s="1">
        <v>45759</v>
      </c>
    </row>
    <row r="172" spans="1:4" x14ac:dyDescent="0.45">
      <c r="A172">
        <v>171</v>
      </c>
      <c r="B172" t="s">
        <v>33</v>
      </c>
      <c r="C172" t="s">
        <v>37</v>
      </c>
      <c r="D172" s="1">
        <v>45680</v>
      </c>
    </row>
    <row r="173" spans="1:4" x14ac:dyDescent="0.45">
      <c r="A173">
        <v>172</v>
      </c>
      <c r="B173" t="s">
        <v>33</v>
      </c>
      <c r="C173" t="s">
        <v>35</v>
      </c>
      <c r="D173" s="1">
        <v>45688</v>
      </c>
    </row>
    <row r="174" spans="1:4" x14ac:dyDescent="0.45">
      <c r="A174">
        <v>173</v>
      </c>
      <c r="B174" t="s">
        <v>36</v>
      </c>
      <c r="C174" t="s">
        <v>35</v>
      </c>
      <c r="D174" s="1">
        <v>45692</v>
      </c>
    </row>
    <row r="175" spans="1:4" x14ac:dyDescent="0.45">
      <c r="A175">
        <v>174</v>
      </c>
      <c r="B175" t="s">
        <v>36</v>
      </c>
      <c r="C175" t="s">
        <v>35</v>
      </c>
      <c r="D175" s="1">
        <v>45804</v>
      </c>
    </row>
    <row r="176" spans="1:4" x14ac:dyDescent="0.45">
      <c r="A176">
        <v>175</v>
      </c>
      <c r="B176" t="s">
        <v>36</v>
      </c>
      <c r="C176" t="s">
        <v>37</v>
      </c>
      <c r="D176" s="1">
        <v>45746</v>
      </c>
    </row>
    <row r="177" spans="1:4" x14ac:dyDescent="0.45">
      <c r="A177">
        <v>176</v>
      </c>
      <c r="B177" t="s">
        <v>36</v>
      </c>
      <c r="C177" t="s">
        <v>35</v>
      </c>
      <c r="D177" s="1">
        <v>45775</v>
      </c>
    </row>
    <row r="178" spans="1:4" x14ac:dyDescent="0.45">
      <c r="A178">
        <v>177</v>
      </c>
      <c r="B178" t="s">
        <v>33</v>
      </c>
      <c r="C178" t="s">
        <v>29</v>
      </c>
      <c r="D178" s="1">
        <v>45732</v>
      </c>
    </row>
    <row r="179" spans="1:4" x14ac:dyDescent="0.45">
      <c r="A179">
        <v>178</v>
      </c>
      <c r="B179" t="s">
        <v>31</v>
      </c>
      <c r="C179" t="s">
        <v>32</v>
      </c>
      <c r="D179" s="1">
        <v>45719</v>
      </c>
    </row>
    <row r="180" spans="1:4" x14ac:dyDescent="0.45">
      <c r="A180">
        <v>179</v>
      </c>
      <c r="B180" t="s">
        <v>31</v>
      </c>
      <c r="C180" t="s">
        <v>32</v>
      </c>
      <c r="D180" s="1">
        <v>45555</v>
      </c>
    </row>
    <row r="181" spans="1:4" x14ac:dyDescent="0.45">
      <c r="A181">
        <v>180</v>
      </c>
      <c r="B181" t="s">
        <v>36</v>
      </c>
      <c r="C181" t="s">
        <v>29</v>
      </c>
      <c r="D181" s="1">
        <v>45701</v>
      </c>
    </row>
    <row r="182" spans="1:4" x14ac:dyDescent="0.45">
      <c r="A182">
        <v>181</v>
      </c>
      <c r="B182" t="s">
        <v>33</v>
      </c>
      <c r="C182" t="s">
        <v>30</v>
      </c>
      <c r="D182" s="1">
        <v>45820</v>
      </c>
    </row>
    <row r="183" spans="1:4" x14ac:dyDescent="0.45">
      <c r="A183">
        <v>182</v>
      </c>
      <c r="B183" t="s">
        <v>28</v>
      </c>
      <c r="C183" t="s">
        <v>32</v>
      </c>
      <c r="D183" s="1">
        <v>45738</v>
      </c>
    </row>
    <row r="184" spans="1:4" x14ac:dyDescent="0.45">
      <c r="A184">
        <v>183</v>
      </c>
      <c r="B184" t="s">
        <v>31</v>
      </c>
      <c r="C184" t="s">
        <v>32</v>
      </c>
      <c r="D184" s="1">
        <v>45722</v>
      </c>
    </row>
    <row r="185" spans="1:4" x14ac:dyDescent="0.45">
      <c r="A185">
        <v>184</v>
      </c>
      <c r="B185" t="s">
        <v>28</v>
      </c>
      <c r="C185" t="s">
        <v>32</v>
      </c>
      <c r="D185" s="1">
        <v>45758</v>
      </c>
    </row>
    <row r="186" spans="1:4" x14ac:dyDescent="0.45">
      <c r="A186">
        <v>185</v>
      </c>
      <c r="B186" t="s">
        <v>28</v>
      </c>
      <c r="C186" t="s">
        <v>37</v>
      </c>
      <c r="D186" s="1">
        <v>45326</v>
      </c>
    </row>
    <row r="187" spans="1:4" x14ac:dyDescent="0.45">
      <c r="A187">
        <v>186</v>
      </c>
      <c r="B187" t="s">
        <v>31</v>
      </c>
      <c r="C187" t="s">
        <v>32</v>
      </c>
      <c r="D187" s="1">
        <v>45743</v>
      </c>
    </row>
    <row r="188" spans="1:4" x14ac:dyDescent="0.45">
      <c r="A188">
        <v>187</v>
      </c>
      <c r="B188" t="s">
        <v>28</v>
      </c>
      <c r="C188" t="s">
        <v>35</v>
      </c>
      <c r="D188" s="1">
        <v>45759</v>
      </c>
    </row>
    <row r="189" spans="1:4" x14ac:dyDescent="0.45">
      <c r="A189">
        <v>188</v>
      </c>
      <c r="B189" t="s">
        <v>28</v>
      </c>
      <c r="C189" t="s">
        <v>32</v>
      </c>
      <c r="D189" s="1">
        <v>45710</v>
      </c>
    </row>
    <row r="190" spans="1:4" x14ac:dyDescent="0.45">
      <c r="A190">
        <v>189</v>
      </c>
      <c r="B190" t="s">
        <v>36</v>
      </c>
      <c r="C190" t="s">
        <v>32</v>
      </c>
      <c r="D190" s="1">
        <v>45766</v>
      </c>
    </row>
    <row r="191" spans="1:4" x14ac:dyDescent="0.45">
      <c r="A191">
        <v>190</v>
      </c>
      <c r="B191" t="s">
        <v>33</v>
      </c>
      <c r="C191" t="s">
        <v>35</v>
      </c>
      <c r="D191" s="1">
        <v>45739</v>
      </c>
    </row>
    <row r="192" spans="1:4" x14ac:dyDescent="0.45">
      <c r="A192">
        <v>191</v>
      </c>
      <c r="B192" t="s">
        <v>36</v>
      </c>
      <c r="C192" t="s">
        <v>37</v>
      </c>
      <c r="D192" s="1">
        <v>45736</v>
      </c>
    </row>
    <row r="193" spans="1:4" x14ac:dyDescent="0.45">
      <c r="A193">
        <v>192</v>
      </c>
      <c r="B193" t="s">
        <v>34</v>
      </c>
      <c r="C193" t="s">
        <v>32</v>
      </c>
      <c r="D193" s="1">
        <v>45719</v>
      </c>
    </row>
    <row r="194" spans="1:4" x14ac:dyDescent="0.45">
      <c r="A194">
        <v>193</v>
      </c>
      <c r="B194" t="s">
        <v>28</v>
      </c>
      <c r="C194" t="s">
        <v>37</v>
      </c>
      <c r="D194" s="1">
        <v>45497</v>
      </c>
    </row>
    <row r="195" spans="1:4" x14ac:dyDescent="0.45">
      <c r="A195">
        <v>194</v>
      </c>
      <c r="B195" t="s">
        <v>31</v>
      </c>
      <c r="C195" t="s">
        <v>37</v>
      </c>
      <c r="D195" s="1">
        <v>45769</v>
      </c>
    </row>
    <row r="196" spans="1:4" x14ac:dyDescent="0.45">
      <c r="A196">
        <v>195</v>
      </c>
      <c r="B196" t="s">
        <v>28</v>
      </c>
      <c r="C196" t="s">
        <v>29</v>
      </c>
      <c r="D196" s="1">
        <v>45716</v>
      </c>
    </row>
    <row r="197" spans="1:4" x14ac:dyDescent="0.45">
      <c r="A197">
        <v>196</v>
      </c>
      <c r="B197" t="s">
        <v>33</v>
      </c>
      <c r="C197" t="s">
        <v>37</v>
      </c>
      <c r="D197" s="1">
        <v>45793</v>
      </c>
    </row>
    <row r="198" spans="1:4" x14ac:dyDescent="0.45">
      <c r="A198">
        <v>197</v>
      </c>
      <c r="B198" t="s">
        <v>28</v>
      </c>
      <c r="C198" t="s">
        <v>29</v>
      </c>
      <c r="D198" s="1">
        <v>45372</v>
      </c>
    </row>
    <row r="199" spans="1:4" x14ac:dyDescent="0.45">
      <c r="A199">
        <v>198</v>
      </c>
      <c r="B199" t="s">
        <v>36</v>
      </c>
      <c r="C199" t="s">
        <v>35</v>
      </c>
      <c r="D199" s="1">
        <v>45730</v>
      </c>
    </row>
    <row r="200" spans="1:4" x14ac:dyDescent="0.45">
      <c r="A200">
        <v>199</v>
      </c>
      <c r="B200" t="s">
        <v>33</v>
      </c>
      <c r="C200" t="s">
        <v>30</v>
      </c>
      <c r="D200" s="1">
        <v>45711</v>
      </c>
    </row>
    <row r="201" spans="1:4" x14ac:dyDescent="0.45">
      <c r="A201">
        <v>200</v>
      </c>
      <c r="B201" t="s">
        <v>33</v>
      </c>
      <c r="C201" t="s">
        <v>35</v>
      </c>
      <c r="D201" s="1">
        <v>45341</v>
      </c>
    </row>
    <row r="202" spans="1:4" x14ac:dyDescent="0.45">
      <c r="A202">
        <v>201</v>
      </c>
      <c r="B202" t="s">
        <v>28</v>
      </c>
      <c r="C202" t="s">
        <v>30</v>
      </c>
      <c r="D202" s="1">
        <v>45761</v>
      </c>
    </row>
    <row r="203" spans="1:4" x14ac:dyDescent="0.45">
      <c r="A203">
        <v>202</v>
      </c>
      <c r="B203" t="s">
        <v>31</v>
      </c>
      <c r="C203" t="s">
        <v>30</v>
      </c>
      <c r="D203" s="1">
        <v>45793</v>
      </c>
    </row>
    <row r="204" spans="1:4" x14ac:dyDescent="0.45">
      <c r="A204">
        <v>203</v>
      </c>
      <c r="B204" t="s">
        <v>33</v>
      </c>
      <c r="C204" t="s">
        <v>32</v>
      </c>
      <c r="D204" s="1">
        <v>45765</v>
      </c>
    </row>
    <row r="205" spans="1:4" x14ac:dyDescent="0.45">
      <c r="A205">
        <v>204</v>
      </c>
      <c r="B205" t="s">
        <v>36</v>
      </c>
      <c r="C205" t="s">
        <v>37</v>
      </c>
      <c r="D205" s="1">
        <v>45780</v>
      </c>
    </row>
    <row r="206" spans="1:4" x14ac:dyDescent="0.45">
      <c r="A206">
        <v>205</v>
      </c>
      <c r="B206" t="s">
        <v>31</v>
      </c>
      <c r="C206" t="s">
        <v>35</v>
      </c>
      <c r="D206" s="1">
        <v>45651</v>
      </c>
    </row>
    <row r="207" spans="1:4" x14ac:dyDescent="0.45">
      <c r="A207">
        <v>206</v>
      </c>
      <c r="B207" t="s">
        <v>34</v>
      </c>
      <c r="C207" t="s">
        <v>30</v>
      </c>
      <c r="D207" s="1">
        <v>45776</v>
      </c>
    </row>
    <row r="208" spans="1:4" x14ac:dyDescent="0.45">
      <c r="A208">
        <v>207</v>
      </c>
      <c r="B208" t="s">
        <v>36</v>
      </c>
      <c r="C208" t="s">
        <v>37</v>
      </c>
      <c r="D208" s="1">
        <v>45759</v>
      </c>
    </row>
    <row r="209" spans="1:4" x14ac:dyDescent="0.45">
      <c r="A209">
        <v>208</v>
      </c>
      <c r="B209" t="s">
        <v>28</v>
      </c>
      <c r="C209" t="s">
        <v>30</v>
      </c>
      <c r="D209" s="1">
        <v>45690</v>
      </c>
    </row>
    <row r="210" spans="1:4" x14ac:dyDescent="0.45">
      <c r="A210">
        <v>209</v>
      </c>
      <c r="B210" t="s">
        <v>31</v>
      </c>
      <c r="C210" t="s">
        <v>32</v>
      </c>
      <c r="D210" s="1">
        <v>45679</v>
      </c>
    </row>
    <row r="211" spans="1:4" x14ac:dyDescent="0.45">
      <c r="A211">
        <v>210</v>
      </c>
      <c r="B211" t="s">
        <v>34</v>
      </c>
      <c r="C211" t="s">
        <v>35</v>
      </c>
      <c r="D211" s="1">
        <v>45293</v>
      </c>
    </row>
    <row r="212" spans="1:4" x14ac:dyDescent="0.45">
      <c r="A212">
        <v>211</v>
      </c>
      <c r="B212" t="s">
        <v>28</v>
      </c>
      <c r="C212" t="s">
        <v>37</v>
      </c>
      <c r="D212" s="1">
        <v>45681</v>
      </c>
    </row>
    <row r="213" spans="1:4" x14ac:dyDescent="0.45">
      <c r="A213">
        <v>212</v>
      </c>
      <c r="B213" t="s">
        <v>34</v>
      </c>
      <c r="C213" t="s">
        <v>32</v>
      </c>
      <c r="D213" s="1">
        <v>45345</v>
      </c>
    </row>
    <row r="214" spans="1:4" x14ac:dyDescent="0.45">
      <c r="A214">
        <v>213</v>
      </c>
      <c r="B214" t="s">
        <v>28</v>
      </c>
      <c r="C214" t="s">
        <v>35</v>
      </c>
      <c r="D214" s="1">
        <v>45397</v>
      </c>
    </row>
    <row r="215" spans="1:4" x14ac:dyDescent="0.45">
      <c r="A215">
        <v>214</v>
      </c>
      <c r="B215" t="s">
        <v>34</v>
      </c>
      <c r="C215" t="s">
        <v>37</v>
      </c>
      <c r="D215" s="1">
        <v>45551</v>
      </c>
    </row>
    <row r="216" spans="1:4" x14ac:dyDescent="0.45">
      <c r="A216">
        <v>215</v>
      </c>
      <c r="B216" t="s">
        <v>31</v>
      </c>
      <c r="C216" t="s">
        <v>29</v>
      </c>
      <c r="D216" s="1">
        <v>45691</v>
      </c>
    </row>
    <row r="217" spans="1:4" x14ac:dyDescent="0.45">
      <c r="A217">
        <v>216</v>
      </c>
      <c r="B217" t="s">
        <v>31</v>
      </c>
      <c r="C217" t="s">
        <v>37</v>
      </c>
      <c r="D217" s="1">
        <v>45601</v>
      </c>
    </row>
    <row r="218" spans="1:4" x14ac:dyDescent="0.45">
      <c r="A218">
        <v>217</v>
      </c>
      <c r="B218" t="s">
        <v>33</v>
      </c>
      <c r="C218" t="s">
        <v>29</v>
      </c>
      <c r="D218" s="1">
        <v>45757</v>
      </c>
    </row>
    <row r="219" spans="1:4" x14ac:dyDescent="0.45">
      <c r="A219">
        <v>218</v>
      </c>
      <c r="B219" t="s">
        <v>36</v>
      </c>
      <c r="C219" t="s">
        <v>37</v>
      </c>
      <c r="D219" s="1">
        <v>45735</v>
      </c>
    </row>
    <row r="220" spans="1:4" x14ac:dyDescent="0.45">
      <c r="A220">
        <v>219</v>
      </c>
      <c r="B220" t="s">
        <v>31</v>
      </c>
      <c r="C220" t="s">
        <v>32</v>
      </c>
      <c r="D220" s="1">
        <v>45482</v>
      </c>
    </row>
    <row r="221" spans="1:4" x14ac:dyDescent="0.45">
      <c r="A221">
        <v>220</v>
      </c>
      <c r="B221" t="s">
        <v>36</v>
      </c>
      <c r="C221" t="s">
        <v>35</v>
      </c>
      <c r="D221" s="1">
        <v>45687</v>
      </c>
    </row>
    <row r="222" spans="1:4" x14ac:dyDescent="0.45">
      <c r="A222">
        <v>221</v>
      </c>
      <c r="B222" t="s">
        <v>36</v>
      </c>
      <c r="C222" t="s">
        <v>30</v>
      </c>
      <c r="D222" s="1">
        <v>45693</v>
      </c>
    </row>
    <row r="223" spans="1:4" x14ac:dyDescent="0.45">
      <c r="A223">
        <v>222</v>
      </c>
      <c r="B223" t="s">
        <v>31</v>
      </c>
      <c r="C223" t="s">
        <v>37</v>
      </c>
      <c r="D223" s="1">
        <v>45509</v>
      </c>
    </row>
    <row r="224" spans="1:4" x14ac:dyDescent="0.45">
      <c r="A224">
        <v>223</v>
      </c>
      <c r="B224" t="s">
        <v>36</v>
      </c>
      <c r="C224" t="s">
        <v>37</v>
      </c>
      <c r="D224" s="1">
        <v>45743</v>
      </c>
    </row>
    <row r="225" spans="1:4" x14ac:dyDescent="0.45">
      <c r="A225">
        <v>224</v>
      </c>
      <c r="B225" t="s">
        <v>28</v>
      </c>
      <c r="C225" t="s">
        <v>30</v>
      </c>
      <c r="D225" s="1">
        <v>45335</v>
      </c>
    </row>
    <row r="226" spans="1:4" x14ac:dyDescent="0.45">
      <c r="A226">
        <v>225</v>
      </c>
      <c r="B226" t="s">
        <v>28</v>
      </c>
      <c r="C226" t="s">
        <v>35</v>
      </c>
      <c r="D226" s="1">
        <v>45728</v>
      </c>
    </row>
    <row r="227" spans="1:4" x14ac:dyDescent="0.45">
      <c r="A227">
        <v>226</v>
      </c>
      <c r="B227" t="s">
        <v>31</v>
      </c>
      <c r="C227" t="s">
        <v>37</v>
      </c>
      <c r="D227" s="1">
        <v>45704</v>
      </c>
    </row>
    <row r="228" spans="1:4" x14ac:dyDescent="0.45">
      <c r="A228">
        <v>227</v>
      </c>
      <c r="B228" t="s">
        <v>28</v>
      </c>
      <c r="C228" t="s">
        <v>32</v>
      </c>
      <c r="D228" s="1">
        <v>45770</v>
      </c>
    </row>
    <row r="229" spans="1:4" x14ac:dyDescent="0.45">
      <c r="A229">
        <v>228</v>
      </c>
      <c r="B229" t="s">
        <v>36</v>
      </c>
      <c r="C229" t="s">
        <v>30</v>
      </c>
      <c r="D229" s="1">
        <v>45453</v>
      </c>
    </row>
    <row r="230" spans="1:4" x14ac:dyDescent="0.45">
      <c r="A230">
        <v>229</v>
      </c>
      <c r="B230" t="s">
        <v>28</v>
      </c>
      <c r="C230" t="s">
        <v>32</v>
      </c>
      <c r="D230" s="1">
        <v>45493</v>
      </c>
    </row>
    <row r="231" spans="1:4" x14ac:dyDescent="0.45">
      <c r="A231">
        <v>230</v>
      </c>
      <c r="B231" t="s">
        <v>28</v>
      </c>
      <c r="C231" t="s">
        <v>29</v>
      </c>
      <c r="D231" s="1">
        <v>45714</v>
      </c>
    </row>
    <row r="232" spans="1:4" x14ac:dyDescent="0.45">
      <c r="A232">
        <v>231</v>
      </c>
      <c r="B232" t="s">
        <v>28</v>
      </c>
      <c r="C232" t="s">
        <v>37</v>
      </c>
      <c r="D232" s="1">
        <v>45709</v>
      </c>
    </row>
    <row r="233" spans="1:4" x14ac:dyDescent="0.45">
      <c r="A233">
        <v>232</v>
      </c>
      <c r="B233" t="s">
        <v>34</v>
      </c>
      <c r="C233" t="s">
        <v>29</v>
      </c>
      <c r="D233" s="1">
        <v>45737</v>
      </c>
    </row>
    <row r="234" spans="1:4" x14ac:dyDescent="0.45">
      <c r="A234">
        <v>233</v>
      </c>
      <c r="B234" t="s">
        <v>28</v>
      </c>
      <c r="C234" t="s">
        <v>35</v>
      </c>
      <c r="D234" s="1">
        <v>45743</v>
      </c>
    </row>
    <row r="235" spans="1:4" x14ac:dyDescent="0.45">
      <c r="A235">
        <v>234</v>
      </c>
      <c r="B235" t="s">
        <v>33</v>
      </c>
      <c r="C235" t="s">
        <v>35</v>
      </c>
      <c r="D235" s="1">
        <v>45699</v>
      </c>
    </row>
    <row r="236" spans="1:4" x14ac:dyDescent="0.45">
      <c r="A236">
        <v>235</v>
      </c>
      <c r="B236" t="s">
        <v>33</v>
      </c>
      <c r="C236" t="s">
        <v>29</v>
      </c>
      <c r="D236" s="1">
        <v>45755</v>
      </c>
    </row>
    <row r="237" spans="1:4" x14ac:dyDescent="0.45">
      <c r="A237">
        <v>236</v>
      </c>
      <c r="B237" t="s">
        <v>31</v>
      </c>
      <c r="C237" t="s">
        <v>32</v>
      </c>
      <c r="D237" s="1">
        <v>45561</v>
      </c>
    </row>
    <row r="238" spans="1:4" x14ac:dyDescent="0.45">
      <c r="A238">
        <v>237</v>
      </c>
      <c r="B238" t="s">
        <v>36</v>
      </c>
      <c r="C238" t="s">
        <v>32</v>
      </c>
      <c r="D238" s="1">
        <v>45702</v>
      </c>
    </row>
    <row r="239" spans="1:4" x14ac:dyDescent="0.45">
      <c r="A239">
        <v>238</v>
      </c>
      <c r="B239" t="s">
        <v>28</v>
      </c>
      <c r="C239" t="s">
        <v>37</v>
      </c>
      <c r="D239" s="1">
        <v>45642</v>
      </c>
    </row>
    <row r="240" spans="1:4" x14ac:dyDescent="0.45">
      <c r="A240">
        <v>239</v>
      </c>
      <c r="B240" t="s">
        <v>31</v>
      </c>
      <c r="C240" t="s">
        <v>32</v>
      </c>
      <c r="D240" s="1">
        <v>45595</v>
      </c>
    </row>
    <row r="241" spans="1:4" x14ac:dyDescent="0.45">
      <c r="A241">
        <v>240</v>
      </c>
      <c r="B241" t="s">
        <v>31</v>
      </c>
      <c r="C241" t="s">
        <v>35</v>
      </c>
      <c r="D241" s="1">
        <v>45562</v>
      </c>
    </row>
    <row r="242" spans="1:4" x14ac:dyDescent="0.45">
      <c r="A242">
        <v>241</v>
      </c>
      <c r="B242" t="s">
        <v>34</v>
      </c>
      <c r="C242" t="s">
        <v>32</v>
      </c>
      <c r="D242" s="1">
        <v>45743</v>
      </c>
    </row>
    <row r="243" spans="1:4" x14ac:dyDescent="0.45">
      <c r="A243">
        <v>242</v>
      </c>
      <c r="B243" t="s">
        <v>31</v>
      </c>
      <c r="C243" t="s">
        <v>32</v>
      </c>
      <c r="D243" s="1">
        <v>45758</v>
      </c>
    </row>
    <row r="244" spans="1:4" x14ac:dyDescent="0.45">
      <c r="A244">
        <v>243</v>
      </c>
      <c r="B244" t="s">
        <v>36</v>
      </c>
      <c r="C244" t="s">
        <v>37</v>
      </c>
      <c r="D244" s="1">
        <v>45684</v>
      </c>
    </row>
    <row r="245" spans="1:4" x14ac:dyDescent="0.45">
      <c r="A245">
        <v>244</v>
      </c>
      <c r="B245" t="s">
        <v>31</v>
      </c>
      <c r="C245" t="s">
        <v>30</v>
      </c>
      <c r="D245" s="1">
        <v>45729</v>
      </c>
    </row>
    <row r="246" spans="1:4" x14ac:dyDescent="0.45">
      <c r="A246">
        <v>245</v>
      </c>
      <c r="B246" t="s">
        <v>28</v>
      </c>
      <c r="C246" t="s">
        <v>35</v>
      </c>
      <c r="D246" s="1">
        <v>45506</v>
      </c>
    </row>
    <row r="247" spans="1:4" x14ac:dyDescent="0.45">
      <c r="A247">
        <v>246</v>
      </c>
      <c r="B247" t="s">
        <v>34</v>
      </c>
      <c r="C247" t="s">
        <v>35</v>
      </c>
      <c r="D247" s="1">
        <v>45779</v>
      </c>
    </row>
    <row r="248" spans="1:4" x14ac:dyDescent="0.45">
      <c r="A248">
        <v>247</v>
      </c>
      <c r="B248" t="s">
        <v>31</v>
      </c>
      <c r="C248" t="s">
        <v>32</v>
      </c>
      <c r="D248" s="1">
        <v>45702</v>
      </c>
    </row>
    <row r="249" spans="1:4" x14ac:dyDescent="0.45">
      <c r="A249">
        <v>248</v>
      </c>
      <c r="B249" t="s">
        <v>36</v>
      </c>
      <c r="C249" t="s">
        <v>32</v>
      </c>
      <c r="D249" s="1">
        <v>45543</v>
      </c>
    </row>
    <row r="250" spans="1:4" x14ac:dyDescent="0.45">
      <c r="A250">
        <v>249</v>
      </c>
      <c r="B250" t="s">
        <v>31</v>
      </c>
      <c r="C250" t="s">
        <v>32</v>
      </c>
      <c r="D250" s="1">
        <v>45481</v>
      </c>
    </row>
    <row r="251" spans="1:4" x14ac:dyDescent="0.45">
      <c r="A251">
        <v>250</v>
      </c>
      <c r="B251" t="s">
        <v>31</v>
      </c>
      <c r="C251" t="s">
        <v>30</v>
      </c>
      <c r="D251" s="1">
        <v>45587</v>
      </c>
    </row>
    <row r="252" spans="1:4" x14ac:dyDescent="0.45">
      <c r="A252">
        <v>251</v>
      </c>
      <c r="B252" t="s">
        <v>33</v>
      </c>
      <c r="C252" t="s">
        <v>37</v>
      </c>
      <c r="D252" s="1">
        <v>45504</v>
      </c>
    </row>
    <row r="253" spans="1:4" x14ac:dyDescent="0.45">
      <c r="A253">
        <v>252</v>
      </c>
      <c r="B253" t="s">
        <v>33</v>
      </c>
      <c r="C253" t="s">
        <v>37</v>
      </c>
      <c r="D253" s="1">
        <v>45718</v>
      </c>
    </row>
    <row r="254" spans="1:4" x14ac:dyDescent="0.45">
      <c r="A254">
        <v>253</v>
      </c>
      <c r="B254" t="s">
        <v>28</v>
      </c>
      <c r="C254" t="s">
        <v>35</v>
      </c>
      <c r="D254" s="1">
        <v>45748</v>
      </c>
    </row>
    <row r="255" spans="1:4" x14ac:dyDescent="0.45">
      <c r="A255">
        <v>254</v>
      </c>
      <c r="B255" t="s">
        <v>33</v>
      </c>
      <c r="C255" t="s">
        <v>30</v>
      </c>
      <c r="D255" s="1">
        <v>45768</v>
      </c>
    </row>
    <row r="256" spans="1:4" x14ac:dyDescent="0.45">
      <c r="A256">
        <v>255</v>
      </c>
      <c r="B256" t="s">
        <v>34</v>
      </c>
      <c r="C256" t="s">
        <v>35</v>
      </c>
      <c r="D256" s="1">
        <v>45499</v>
      </c>
    </row>
    <row r="257" spans="1:4" x14ac:dyDescent="0.45">
      <c r="A257">
        <v>256</v>
      </c>
      <c r="B257" t="s">
        <v>33</v>
      </c>
      <c r="C257" t="s">
        <v>37</v>
      </c>
      <c r="D257" s="1">
        <v>45790</v>
      </c>
    </row>
    <row r="258" spans="1:4" x14ac:dyDescent="0.45">
      <c r="A258">
        <v>257</v>
      </c>
      <c r="B258" t="s">
        <v>36</v>
      </c>
      <c r="C258" t="s">
        <v>35</v>
      </c>
      <c r="D258" s="1">
        <v>45528</v>
      </c>
    </row>
    <row r="259" spans="1:4" x14ac:dyDescent="0.45">
      <c r="A259">
        <v>258</v>
      </c>
      <c r="B259" t="s">
        <v>31</v>
      </c>
      <c r="C259" t="s">
        <v>32</v>
      </c>
      <c r="D259" s="1">
        <v>45803</v>
      </c>
    </row>
    <row r="260" spans="1:4" x14ac:dyDescent="0.45">
      <c r="A260">
        <v>259</v>
      </c>
      <c r="B260" t="s">
        <v>36</v>
      </c>
      <c r="C260" t="s">
        <v>30</v>
      </c>
      <c r="D260" s="1">
        <v>45741</v>
      </c>
    </row>
    <row r="261" spans="1:4" x14ac:dyDescent="0.45">
      <c r="A261">
        <v>260</v>
      </c>
      <c r="B261" t="s">
        <v>31</v>
      </c>
      <c r="C261" t="s">
        <v>30</v>
      </c>
      <c r="D261" s="1">
        <v>45629</v>
      </c>
    </row>
    <row r="262" spans="1:4" x14ac:dyDescent="0.45">
      <c r="A262">
        <v>261</v>
      </c>
      <c r="B262" t="s">
        <v>28</v>
      </c>
      <c r="C262" t="s">
        <v>29</v>
      </c>
      <c r="D262" s="1">
        <v>45658</v>
      </c>
    </row>
    <row r="263" spans="1:4" x14ac:dyDescent="0.45">
      <c r="A263">
        <v>262</v>
      </c>
      <c r="B263" t="s">
        <v>31</v>
      </c>
      <c r="C263" t="s">
        <v>35</v>
      </c>
      <c r="D263" s="1">
        <v>45344</v>
      </c>
    </row>
    <row r="264" spans="1:4" x14ac:dyDescent="0.45">
      <c r="A264">
        <v>263</v>
      </c>
      <c r="B264" t="s">
        <v>28</v>
      </c>
      <c r="C264" t="s">
        <v>37</v>
      </c>
      <c r="D264" s="1">
        <v>45758</v>
      </c>
    </row>
    <row r="265" spans="1:4" x14ac:dyDescent="0.45">
      <c r="A265">
        <v>264</v>
      </c>
      <c r="B265" t="s">
        <v>31</v>
      </c>
      <c r="C265" t="s">
        <v>29</v>
      </c>
      <c r="D265" s="1">
        <v>45739</v>
      </c>
    </row>
    <row r="266" spans="1:4" x14ac:dyDescent="0.45">
      <c r="A266">
        <v>265</v>
      </c>
      <c r="B266" t="s">
        <v>33</v>
      </c>
      <c r="C266" t="s">
        <v>32</v>
      </c>
      <c r="D266" s="1">
        <v>45745</v>
      </c>
    </row>
    <row r="267" spans="1:4" x14ac:dyDescent="0.45">
      <c r="A267">
        <v>266</v>
      </c>
      <c r="B267" t="s">
        <v>33</v>
      </c>
      <c r="C267" t="s">
        <v>32</v>
      </c>
      <c r="D267" s="1">
        <v>45571</v>
      </c>
    </row>
    <row r="268" spans="1:4" x14ac:dyDescent="0.45">
      <c r="A268">
        <v>267</v>
      </c>
      <c r="B268" t="s">
        <v>34</v>
      </c>
      <c r="C268" t="s">
        <v>32</v>
      </c>
      <c r="D268" s="1">
        <v>45701</v>
      </c>
    </row>
    <row r="269" spans="1:4" x14ac:dyDescent="0.45">
      <c r="A269">
        <v>268</v>
      </c>
      <c r="B269" t="s">
        <v>36</v>
      </c>
      <c r="C269" t="s">
        <v>32</v>
      </c>
      <c r="D269" s="1">
        <v>45707</v>
      </c>
    </row>
    <row r="270" spans="1:4" x14ac:dyDescent="0.45">
      <c r="A270">
        <v>269</v>
      </c>
      <c r="B270" t="s">
        <v>34</v>
      </c>
      <c r="C270" t="s">
        <v>30</v>
      </c>
      <c r="D270" s="1">
        <v>45715</v>
      </c>
    </row>
    <row r="271" spans="1:4" x14ac:dyDescent="0.45">
      <c r="A271">
        <v>270</v>
      </c>
      <c r="B271" t="s">
        <v>36</v>
      </c>
      <c r="C271" t="s">
        <v>35</v>
      </c>
      <c r="D271" s="1">
        <v>45715</v>
      </c>
    </row>
    <row r="272" spans="1:4" x14ac:dyDescent="0.45">
      <c r="A272">
        <v>271</v>
      </c>
      <c r="B272" t="s">
        <v>36</v>
      </c>
      <c r="C272" t="s">
        <v>37</v>
      </c>
      <c r="D272" s="1">
        <v>45729</v>
      </c>
    </row>
    <row r="273" spans="1:4" x14ac:dyDescent="0.45">
      <c r="A273">
        <v>272</v>
      </c>
      <c r="B273" t="s">
        <v>31</v>
      </c>
      <c r="C273" t="s">
        <v>29</v>
      </c>
      <c r="D273" s="1">
        <v>45802</v>
      </c>
    </row>
    <row r="274" spans="1:4" x14ac:dyDescent="0.45">
      <c r="A274">
        <v>273</v>
      </c>
      <c r="B274" t="s">
        <v>28</v>
      </c>
      <c r="C274" t="s">
        <v>37</v>
      </c>
      <c r="D274" s="1">
        <v>45717</v>
      </c>
    </row>
    <row r="275" spans="1:4" x14ac:dyDescent="0.45">
      <c r="A275">
        <v>274</v>
      </c>
      <c r="B275" t="s">
        <v>36</v>
      </c>
      <c r="C275" t="s">
        <v>37</v>
      </c>
      <c r="D275" s="1">
        <v>45749</v>
      </c>
    </row>
    <row r="276" spans="1:4" x14ac:dyDescent="0.45">
      <c r="A276">
        <v>275</v>
      </c>
      <c r="B276" t="s">
        <v>36</v>
      </c>
      <c r="C276" t="s">
        <v>35</v>
      </c>
      <c r="D276" s="1">
        <v>45508</v>
      </c>
    </row>
    <row r="277" spans="1:4" x14ac:dyDescent="0.45">
      <c r="A277">
        <v>276</v>
      </c>
      <c r="B277" t="s">
        <v>28</v>
      </c>
      <c r="C277" t="s">
        <v>30</v>
      </c>
      <c r="D277" s="1">
        <v>45543</v>
      </c>
    </row>
    <row r="278" spans="1:4" x14ac:dyDescent="0.45">
      <c r="A278">
        <v>277</v>
      </c>
      <c r="B278" t="s">
        <v>33</v>
      </c>
      <c r="C278" t="s">
        <v>37</v>
      </c>
      <c r="D278" s="1">
        <v>45714</v>
      </c>
    </row>
    <row r="279" spans="1:4" x14ac:dyDescent="0.45">
      <c r="A279">
        <v>278</v>
      </c>
      <c r="B279" t="s">
        <v>34</v>
      </c>
      <c r="C279" t="s">
        <v>29</v>
      </c>
      <c r="D279" s="1">
        <v>45479</v>
      </c>
    </row>
    <row r="280" spans="1:4" x14ac:dyDescent="0.45">
      <c r="A280">
        <v>279</v>
      </c>
      <c r="B280" t="s">
        <v>28</v>
      </c>
      <c r="C280" t="s">
        <v>30</v>
      </c>
      <c r="D280" s="1">
        <v>45756</v>
      </c>
    </row>
    <row r="281" spans="1:4" x14ac:dyDescent="0.45">
      <c r="A281">
        <v>280</v>
      </c>
      <c r="B281" t="s">
        <v>36</v>
      </c>
      <c r="C281" t="s">
        <v>35</v>
      </c>
      <c r="D281" s="1">
        <v>45703</v>
      </c>
    </row>
    <row r="282" spans="1:4" x14ac:dyDescent="0.45">
      <c r="A282">
        <v>281</v>
      </c>
      <c r="B282" t="s">
        <v>36</v>
      </c>
      <c r="C282" t="s">
        <v>32</v>
      </c>
      <c r="D282" s="1">
        <v>45671</v>
      </c>
    </row>
    <row r="283" spans="1:4" x14ac:dyDescent="0.45">
      <c r="A283">
        <v>282</v>
      </c>
      <c r="B283" t="s">
        <v>33</v>
      </c>
      <c r="C283" t="s">
        <v>37</v>
      </c>
      <c r="D283" s="1">
        <v>45332</v>
      </c>
    </row>
    <row r="284" spans="1:4" x14ac:dyDescent="0.45">
      <c r="A284">
        <v>283</v>
      </c>
      <c r="B284" t="s">
        <v>28</v>
      </c>
      <c r="C284" t="s">
        <v>29</v>
      </c>
      <c r="D284" s="1">
        <v>45760</v>
      </c>
    </row>
    <row r="285" spans="1:4" x14ac:dyDescent="0.45">
      <c r="A285">
        <v>284</v>
      </c>
      <c r="B285" t="s">
        <v>33</v>
      </c>
      <c r="C285" t="s">
        <v>37</v>
      </c>
      <c r="D285" s="1">
        <v>45743</v>
      </c>
    </row>
    <row r="286" spans="1:4" x14ac:dyDescent="0.45">
      <c r="A286">
        <v>285</v>
      </c>
      <c r="B286" t="s">
        <v>28</v>
      </c>
      <c r="C286" t="s">
        <v>37</v>
      </c>
      <c r="D286" s="1">
        <v>45698</v>
      </c>
    </row>
    <row r="287" spans="1:4" x14ac:dyDescent="0.45">
      <c r="A287">
        <v>286</v>
      </c>
      <c r="B287" t="s">
        <v>33</v>
      </c>
      <c r="C287" t="s">
        <v>35</v>
      </c>
      <c r="D287" s="1">
        <v>45448</v>
      </c>
    </row>
    <row r="288" spans="1:4" x14ac:dyDescent="0.45">
      <c r="A288">
        <v>287</v>
      </c>
      <c r="B288" t="s">
        <v>28</v>
      </c>
      <c r="C288" t="s">
        <v>35</v>
      </c>
      <c r="D288" s="1">
        <v>45306</v>
      </c>
    </row>
    <row r="289" spans="1:4" x14ac:dyDescent="0.45">
      <c r="A289">
        <v>288</v>
      </c>
      <c r="B289" t="s">
        <v>33</v>
      </c>
      <c r="C289" t="s">
        <v>30</v>
      </c>
      <c r="D289" s="1">
        <v>45693</v>
      </c>
    </row>
    <row r="290" spans="1:4" x14ac:dyDescent="0.45">
      <c r="A290">
        <v>289</v>
      </c>
      <c r="B290" t="s">
        <v>31</v>
      </c>
      <c r="C290" t="s">
        <v>32</v>
      </c>
      <c r="D290" s="1">
        <v>45777</v>
      </c>
    </row>
    <row r="291" spans="1:4" x14ac:dyDescent="0.45">
      <c r="A291">
        <v>290</v>
      </c>
      <c r="B291" t="s">
        <v>33</v>
      </c>
      <c r="C291" t="s">
        <v>37</v>
      </c>
      <c r="D291" s="1">
        <v>45592</v>
      </c>
    </row>
    <row r="292" spans="1:4" x14ac:dyDescent="0.45">
      <c r="A292">
        <v>291</v>
      </c>
      <c r="B292" t="s">
        <v>36</v>
      </c>
      <c r="C292" t="s">
        <v>37</v>
      </c>
      <c r="D292" s="1">
        <v>45356</v>
      </c>
    </row>
    <row r="293" spans="1:4" x14ac:dyDescent="0.45">
      <c r="A293">
        <v>292</v>
      </c>
      <c r="B293" t="s">
        <v>36</v>
      </c>
      <c r="C293" t="s">
        <v>37</v>
      </c>
      <c r="D293" s="1">
        <v>45636</v>
      </c>
    </row>
    <row r="294" spans="1:4" x14ac:dyDescent="0.45">
      <c r="A294">
        <v>293</v>
      </c>
      <c r="B294" t="s">
        <v>33</v>
      </c>
      <c r="C294" t="s">
        <v>29</v>
      </c>
      <c r="D294" s="1">
        <v>45618</v>
      </c>
    </row>
    <row r="295" spans="1:4" x14ac:dyDescent="0.45">
      <c r="A295">
        <v>294</v>
      </c>
      <c r="B295" t="s">
        <v>33</v>
      </c>
      <c r="C295" t="s">
        <v>37</v>
      </c>
      <c r="D295" s="1">
        <v>45795</v>
      </c>
    </row>
    <row r="296" spans="1:4" x14ac:dyDescent="0.45">
      <c r="A296">
        <v>295</v>
      </c>
      <c r="B296" t="s">
        <v>28</v>
      </c>
      <c r="C296" t="s">
        <v>37</v>
      </c>
      <c r="D296" s="1">
        <v>45300</v>
      </c>
    </row>
    <row r="297" spans="1:4" x14ac:dyDescent="0.45">
      <c r="A297">
        <v>296</v>
      </c>
      <c r="B297" t="s">
        <v>28</v>
      </c>
      <c r="C297" t="s">
        <v>37</v>
      </c>
      <c r="D297" s="1">
        <v>45810</v>
      </c>
    </row>
    <row r="298" spans="1:4" x14ac:dyDescent="0.45">
      <c r="A298">
        <v>297</v>
      </c>
      <c r="B298" t="s">
        <v>28</v>
      </c>
      <c r="C298" t="s">
        <v>29</v>
      </c>
      <c r="D298" s="1">
        <v>45635</v>
      </c>
    </row>
    <row r="299" spans="1:4" x14ac:dyDescent="0.45">
      <c r="A299">
        <v>298</v>
      </c>
      <c r="B299" t="s">
        <v>36</v>
      </c>
      <c r="C299" t="s">
        <v>37</v>
      </c>
      <c r="D299" s="1">
        <v>45780</v>
      </c>
    </row>
    <row r="300" spans="1:4" x14ac:dyDescent="0.45">
      <c r="A300">
        <v>299</v>
      </c>
      <c r="B300" t="s">
        <v>33</v>
      </c>
      <c r="C300" t="s">
        <v>35</v>
      </c>
      <c r="D300" s="1">
        <v>45420</v>
      </c>
    </row>
    <row r="301" spans="1:4" x14ac:dyDescent="0.45">
      <c r="A301">
        <v>300</v>
      </c>
      <c r="B301" t="s">
        <v>28</v>
      </c>
      <c r="C301" t="s">
        <v>29</v>
      </c>
      <c r="D301" s="1">
        <v>45427</v>
      </c>
    </row>
    <row r="302" spans="1:4" x14ac:dyDescent="0.45">
      <c r="A302">
        <v>301</v>
      </c>
      <c r="B302" t="s">
        <v>28</v>
      </c>
      <c r="C302" t="s">
        <v>35</v>
      </c>
      <c r="D302" s="1">
        <v>45740</v>
      </c>
    </row>
    <row r="303" spans="1:4" x14ac:dyDescent="0.45">
      <c r="A303">
        <v>302</v>
      </c>
      <c r="B303" t="s">
        <v>36</v>
      </c>
      <c r="C303" t="s">
        <v>29</v>
      </c>
      <c r="D303" s="1">
        <v>45729</v>
      </c>
    </row>
    <row r="304" spans="1:4" x14ac:dyDescent="0.45">
      <c r="A304">
        <v>303</v>
      </c>
      <c r="B304" t="s">
        <v>36</v>
      </c>
      <c r="C304" t="s">
        <v>32</v>
      </c>
      <c r="D304" s="1">
        <v>45354</v>
      </c>
    </row>
    <row r="305" spans="1:4" x14ac:dyDescent="0.45">
      <c r="A305">
        <v>304</v>
      </c>
      <c r="B305" t="s">
        <v>28</v>
      </c>
      <c r="C305" t="s">
        <v>30</v>
      </c>
      <c r="D305" s="1">
        <v>45729</v>
      </c>
    </row>
    <row r="306" spans="1:4" x14ac:dyDescent="0.45">
      <c r="A306">
        <v>305</v>
      </c>
      <c r="B306" t="s">
        <v>36</v>
      </c>
      <c r="C306" t="s">
        <v>32</v>
      </c>
      <c r="D306" s="1">
        <v>45697</v>
      </c>
    </row>
    <row r="307" spans="1:4" x14ac:dyDescent="0.45">
      <c r="A307">
        <v>306</v>
      </c>
      <c r="B307" t="s">
        <v>36</v>
      </c>
      <c r="C307" t="s">
        <v>35</v>
      </c>
      <c r="D307" s="1">
        <v>45430</v>
      </c>
    </row>
    <row r="308" spans="1:4" x14ac:dyDescent="0.45">
      <c r="A308">
        <v>307</v>
      </c>
      <c r="B308" t="s">
        <v>33</v>
      </c>
      <c r="C308" t="s">
        <v>29</v>
      </c>
      <c r="D308" s="1">
        <v>45372</v>
      </c>
    </row>
    <row r="309" spans="1:4" x14ac:dyDescent="0.45">
      <c r="A309">
        <v>308</v>
      </c>
      <c r="B309" t="s">
        <v>31</v>
      </c>
      <c r="C309" t="s">
        <v>30</v>
      </c>
      <c r="D309" s="1">
        <v>45683</v>
      </c>
    </row>
    <row r="310" spans="1:4" x14ac:dyDescent="0.45">
      <c r="A310">
        <v>309</v>
      </c>
      <c r="B310" t="s">
        <v>34</v>
      </c>
      <c r="C310" t="s">
        <v>32</v>
      </c>
      <c r="D310" s="1">
        <v>45765</v>
      </c>
    </row>
    <row r="311" spans="1:4" x14ac:dyDescent="0.45">
      <c r="A311">
        <v>310</v>
      </c>
      <c r="B311" t="s">
        <v>34</v>
      </c>
      <c r="C311" t="s">
        <v>29</v>
      </c>
      <c r="D311" s="1">
        <v>45454</v>
      </c>
    </row>
    <row r="312" spans="1:4" x14ac:dyDescent="0.45">
      <c r="A312">
        <v>311</v>
      </c>
      <c r="B312" t="s">
        <v>33</v>
      </c>
      <c r="C312" t="s">
        <v>35</v>
      </c>
      <c r="D312" s="1">
        <v>45710</v>
      </c>
    </row>
    <row r="313" spans="1:4" x14ac:dyDescent="0.45">
      <c r="A313">
        <v>312</v>
      </c>
      <c r="B313" t="s">
        <v>36</v>
      </c>
      <c r="C313" t="s">
        <v>32</v>
      </c>
      <c r="D313" s="1">
        <v>45580</v>
      </c>
    </row>
    <row r="314" spans="1:4" x14ac:dyDescent="0.45">
      <c r="A314">
        <v>313</v>
      </c>
      <c r="B314" t="s">
        <v>28</v>
      </c>
      <c r="C314" t="s">
        <v>37</v>
      </c>
      <c r="D314" s="1">
        <v>45670</v>
      </c>
    </row>
    <row r="315" spans="1:4" x14ac:dyDescent="0.45">
      <c r="A315">
        <v>314</v>
      </c>
      <c r="B315" t="s">
        <v>36</v>
      </c>
      <c r="C315" t="s">
        <v>35</v>
      </c>
      <c r="D315" s="1">
        <v>45735</v>
      </c>
    </row>
    <row r="316" spans="1:4" x14ac:dyDescent="0.45">
      <c r="A316">
        <v>315</v>
      </c>
      <c r="B316" t="s">
        <v>31</v>
      </c>
      <c r="C316" t="s">
        <v>32</v>
      </c>
      <c r="D316" s="1">
        <v>45552</v>
      </c>
    </row>
    <row r="317" spans="1:4" x14ac:dyDescent="0.45">
      <c r="A317">
        <v>316</v>
      </c>
      <c r="B317" t="s">
        <v>28</v>
      </c>
      <c r="C317" t="s">
        <v>30</v>
      </c>
      <c r="D317" s="1">
        <v>45703</v>
      </c>
    </row>
    <row r="318" spans="1:4" x14ac:dyDescent="0.45">
      <c r="A318">
        <v>317</v>
      </c>
      <c r="B318" t="s">
        <v>33</v>
      </c>
      <c r="C318" t="s">
        <v>32</v>
      </c>
      <c r="D318" s="1">
        <v>45522</v>
      </c>
    </row>
    <row r="319" spans="1:4" x14ac:dyDescent="0.45">
      <c r="A319">
        <v>318</v>
      </c>
      <c r="B319" t="s">
        <v>28</v>
      </c>
      <c r="C319" t="s">
        <v>32</v>
      </c>
      <c r="D319" s="1">
        <v>45708</v>
      </c>
    </row>
    <row r="320" spans="1:4" x14ac:dyDescent="0.45">
      <c r="A320">
        <v>319</v>
      </c>
      <c r="B320" t="s">
        <v>36</v>
      </c>
      <c r="C320" t="s">
        <v>32</v>
      </c>
      <c r="D320" s="1">
        <v>45332</v>
      </c>
    </row>
    <row r="321" spans="1:4" x14ac:dyDescent="0.45">
      <c r="A321">
        <v>320</v>
      </c>
      <c r="B321" t="s">
        <v>33</v>
      </c>
      <c r="C321" t="s">
        <v>32</v>
      </c>
      <c r="D321" s="1">
        <v>45319</v>
      </c>
    </row>
    <row r="322" spans="1:4" x14ac:dyDescent="0.45">
      <c r="A322">
        <v>321</v>
      </c>
      <c r="B322" t="s">
        <v>36</v>
      </c>
      <c r="C322" t="s">
        <v>30</v>
      </c>
      <c r="D322" s="1">
        <v>45774</v>
      </c>
    </row>
    <row r="323" spans="1:4" x14ac:dyDescent="0.45">
      <c r="A323">
        <v>322</v>
      </c>
      <c r="B323" t="s">
        <v>31</v>
      </c>
      <c r="C323" t="s">
        <v>35</v>
      </c>
      <c r="D323" s="1">
        <v>45426</v>
      </c>
    </row>
    <row r="324" spans="1:4" x14ac:dyDescent="0.45">
      <c r="A324">
        <v>323</v>
      </c>
      <c r="B324" t="s">
        <v>31</v>
      </c>
      <c r="C324" t="s">
        <v>35</v>
      </c>
      <c r="D324" s="1">
        <v>45750</v>
      </c>
    </row>
    <row r="325" spans="1:4" x14ac:dyDescent="0.45">
      <c r="A325">
        <v>324</v>
      </c>
      <c r="B325" t="s">
        <v>33</v>
      </c>
      <c r="C325" t="s">
        <v>32</v>
      </c>
      <c r="D325" s="1">
        <v>45492</v>
      </c>
    </row>
    <row r="326" spans="1:4" x14ac:dyDescent="0.45">
      <c r="A326">
        <v>325</v>
      </c>
      <c r="B326" t="s">
        <v>36</v>
      </c>
      <c r="C326" t="s">
        <v>30</v>
      </c>
      <c r="D326" s="1">
        <v>45742</v>
      </c>
    </row>
    <row r="327" spans="1:4" x14ac:dyDescent="0.45">
      <c r="A327">
        <v>326</v>
      </c>
      <c r="B327" t="s">
        <v>33</v>
      </c>
      <c r="C327" t="s">
        <v>35</v>
      </c>
      <c r="D327" s="1">
        <v>45817</v>
      </c>
    </row>
    <row r="328" spans="1:4" x14ac:dyDescent="0.45">
      <c r="A328">
        <v>327</v>
      </c>
      <c r="B328" t="s">
        <v>28</v>
      </c>
      <c r="C328" t="s">
        <v>35</v>
      </c>
      <c r="D328" s="1">
        <v>45688</v>
      </c>
    </row>
    <row r="329" spans="1:4" x14ac:dyDescent="0.45">
      <c r="A329">
        <v>328</v>
      </c>
      <c r="B329" t="s">
        <v>36</v>
      </c>
      <c r="C329" t="s">
        <v>32</v>
      </c>
      <c r="D329" s="1">
        <v>45619</v>
      </c>
    </row>
    <row r="330" spans="1:4" x14ac:dyDescent="0.45">
      <c r="A330">
        <v>329</v>
      </c>
      <c r="B330" t="s">
        <v>31</v>
      </c>
      <c r="C330" t="s">
        <v>35</v>
      </c>
      <c r="D330" s="1">
        <v>45559</v>
      </c>
    </row>
    <row r="331" spans="1:4" x14ac:dyDescent="0.45">
      <c r="A331">
        <v>330</v>
      </c>
      <c r="B331" t="s">
        <v>36</v>
      </c>
      <c r="C331" t="s">
        <v>37</v>
      </c>
      <c r="D331" s="1">
        <v>45709</v>
      </c>
    </row>
    <row r="332" spans="1:4" x14ac:dyDescent="0.45">
      <c r="A332">
        <v>331</v>
      </c>
      <c r="B332" t="s">
        <v>34</v>
      </c>
      <c r="C332" t="s">
        <v>29</v>
      </c>
      <c r="D332" s="1">
        <v>45749</v>
      </c>
    </row>
    <row r="333" spans="1:4" x14ac:dyDescent="0.45">
      <c r="A333">
        <v>332</v>
      </c>
      <c r="B333" t="s">
        <v>31</v>
      </c>
      <c r="C333" t="s">
        <v>32</v>
      </c>
      <c r="D333" s="1">
        <v>45324</v>
      </c>
    </row>
    <row r="334" spans="1:4" x14ac:dyDescent="0.45">
      <c r="A334">
        <v>333</v>
      </c>
      <c r="B334" t="s">
        <v>31</v>
      </c>
      <c r="C334" t="s">
        <v>37</v>
      </c>
      <c r="D334" s="1">
        <v>45339</v>
      </c>
    </row>
    <row r="335" spans="1:4" x14ac:dyDescent="0.45">
      <c r="A335">
        <v>334</v>
      </c>
      <c r="B335" t="s">
        <v>28</v>
      </c>
      <c r="C335" t="s">
        <v>37</v>
      </c>
      <c r="D335" s="1">
        <v>45698</v>
      </c>
    </row>
    <row r="336" spans="1:4" x14ac:dyDescent="0.45">
      <c r="A336">
        <v>335</v>
      </c>
      <c r="B336" t="s">
        <v>36</v>
      </c>
      <c r="C336" t="s">
        <v>37</v>
      </c>
      <c r="D336" s="1">
        <v>45353</v>
      </c>
    </row>
    <row r="337" spans="1:4" x14ac:dyDescent="0.45">
      <c r="A337">
        <v>336</v>
      </c>
      <c r="B337" t="s">
        <v>33</v>
      </c>
      <c r="C337" t="s">
        <v>32</v>
      </c>
      <c r="D337" s="1">
        <v>45704</v>
      </c>
    </row>
    <row r="338" spans="1:4" x14ac:dyDescent="0.45">
      <c r="A338">
        <v>337</v>
      </c>
      <c r="B338" t="s">
        <v>34</v>
      </c>
      <c r="C338" t="s">
        <v>32</v>
      </c>
      <c r="D338" s="1">
        <v>45507</v>
      </c>
    </row>
    <row r="339" spans="1:4" x14ac:dyDescent="0.45">
      <c r="A339">
        <v>338</v>
      </c>
      <c r="B339" t="s">
        <v>34</v>
      </c>
      <c r="C339" t="s">
        <v>35</v>
      </c>
      <c r="D339" s="1">
        <v>45751</v>
      </c>
    </row>
    <row r="340" spans="1:4" x14ac:dyDescent="0.45">
      <c r="A340">
        <v>339</v>
      </c>
      <c r="B340" t="s">
        <v>28</v>
      </c>
      <c r="C340" t="s">
        <v>37</v>
      </c>
      <c r="D340" s="1">
        <v>45763</v>
      </c>
    </row>
    <row r="341" spans="1:4" x14ac:dyDescent="0.45">
      <c r="A341">
        <v>340</v>
      </c>
      <c r="B341" t="s">
        <v>33</v>
      </c>
      <c r="C341" t="s">
        <v>32</v>
      </c>
      <c r="D341" s="1">
        <v>45734</v>
      </c>
    </row>
    <row r="342" spans="1:4" x14ac:dyDescent="0.45">
      <c r="A342">
        <v>341</v>
      </c>
      <c r="B342" t="s">
        <v>28</v>
      </c>
      <c r="C342" t="s">
        <v>37</v>
      </c>
      <c r="D342" s="1">
        <v>45767</v>
      </c>
    </row>
    <row r="343" spans="1:4" x14ac:dyDescent="0.45">
      <c r="A343">
        <v>342</v>
      </c>
      <c r="B343" t="s">
        <v>31</v>
      </c>
      <c r="C343" t="s">
        <v>30</v>
      </c>
      <c r="D343" s="1">
        <v>45771</v>
      </c>
    </row>
    <row r="344" spans="1:4" x14ac:dyDescent="0.45">
      <c r="A344">
        <v>343</v>
      </c>
      <c r="B344" t="s">
        <v>28</v>
      </c>
      <c r="C344" t="s">
        <v>35</v>
      </c>
      <c r="D344" s="1">
        <v>45584</v>
      </c>
    </row>
    <row r="345" spans="1:4" x14ac:dyDescent="0.45">
      <c r="A345">
        <v>344</v>
      </c>
      <c r="B345" t="s">
        <v>31</v>
      </c>
      <c r="C345" t="s">
        <v>37</v>
      </c>
      <c r="D345" s="1">
        <v>45750</v>
      </c>
    </row>
    <row r="346" spans="1:4" x14ac:dyDescent="0.45">
      <c r="A346">
        <v>345</v>
      </c>
      <c r="B346" t="s">
        <v>31</v>
      </c>
      <c r="C346" t="s">
        <v>30</v>
      </c>
      <c r="D346" s="1">
        <v>45390</v>
      </c>
    </row>
    <row r="347" spans="1:4" x14ac:dyDescent="0.45">
      <c r="A347">
        <v>346</v>
      </c>
      <c r="B347" t="s">
        <v>33</v>
      </c>
      <c r="C347" t="s">
        <v>29</v>
      </c>
      <c r="D347" s="1">
        <v>45683</v>
      </c>
    </row>
    <row r="348" spans="1:4" x14ac:dyDescent="0.45">
      <c r="A348">
        <v>347</v>
      </c>
      <c r="B348" t="s">
        <v>31</v>
      </c>
      <c r="C348" t="s">
        <v>30</v>
      </c>
      <c r="D348" s="1">
        <v>45463</v>
      </c>
    </row>
    <row r="349" spans="1:4" x14ac:dyDescent="0.45">
      <c r="A349">
        <v>348</v>
      </c>
      <c r="B349" t="s">
        <v>36</v>
      </c>
      <c r="C349" t="s">
        <v>30</v>
      </c>
      <c r="D349" s="1">
        <v>45707</v>
      </c>
    </row>
    <row r="350" spans="1:4" x14ac:dyDescent="0.45">
      <c r="A350">
        <v>349</v>
      </c>
      <c r="B350" t="s">
        <v>36</v>
      </c>
      <c r="C350" t="s">
        <v>35</v>
      </c>
      <c r="D350" s="1">
        <v>45736</v>
      </c>
    </row>
    <row r="351" spans="1:4" x14ac:dyDescent="0.45">
      <c r="A351">
        <v>350</v>
      </c>
      <c r="B351" t="s">
        <v>28</v>
      </c>
      <c r="C351" t="s">
        <v>30</v>
      </c>
      <c r="D351" s="1">
        <v>45715</v>
      </c>
    </row>
    <row r="352" spans="1:4" x14ac:dyDescent="0.45">
      <c r="A352">
        <v>351</v>
      </c>
      <c r="B352" t="s">
        <v>28</v>
      </c>
      <c r="C352" t="s">
        <v>30</v>
      </c>
      <c r="D352" s="1">
        <v>45651</v>
      </c>
    </row>
    <row r="353" spans="1:4" x14ac:dyDescent="0.45">
      <c r="A353">
        <v>352</v>
      </c>
      <c r="B353" t="s">
        <v>31</v>
      </c>
      <c r="C353" t="s">
        <v>32</v>
      </c>
      <c r="D353" s="1">
        <v>45505</v>
      </c>
    </row>
    <row r="354" spans="1:4" x14ac:dyDescent="0.45">
      <c r="A354">
        <v>353</v>
      </c>
      <c r="B354" t="s">
        <v>36</v>
      </c>
      <c r="C354" t="s">
        <v>30</v>
      </c>
      <c r="D354" s="1">
        <v>45326</v>
      </c>
    </row>
    <row r="355" spans="1:4" x14ac:dyDescent="0.45">
      <c r="A355">
        <v>354</v>
      </c>
      <c r="B355" t="s">
        <v>36</v>
      </c>
      <c r="C355" t="s">
        <v>30</v>
      </c>
      <c r="D355" s="1">
        <v>45693</v>
      </c>
    </row>
    <row r="356" spans="1:4" x14ac:dyDescent="0.45">
      <c r="A356">
        <v>355</v>
      </c>
      <c r="B356" t="s">
        <v>34</v>
      </c>
      <c r="C356" t="s">
        <v>30</v>
      </c>
      <c r="D356" s="1">
        <v>45740</v>
      </c>
    </row>
    <row r="357" spans="1:4" x14ac:dyDescent="0.45">
      <c r="A357">
        <v>356</v>
      </c>
      <c r="B357" t="s">
        <v>36</v>
      </c>
      <c r="C357" t="s">
        <v>32</v>
      </c>
      <c r="D357" s="1">
        <v>45518</v>
      </c>
    </row>
    <row r="358" spans="1:4" x14ac:dyDescent="0.45">
      <c r="A358">
        <v>357</v>
      </c>
      <c r="B358" t="s">
        <v>33</v>
      </c>
      <c r="C358" t="s">
        <v>30</v>
      </c>
      <c r="D358" s="1">
        <v>45708</v>
      </c>
    </row>
    <row r="359" spans="1:4" x14ac:dyDescent="0.45">
      <c r="A359">
        <v>358</v>
      </c>
      <c r="B359" t="s">
        <v>36</v>
      </c>
      <c r="C359" t="s">
        <v>30</v>
      </c>
      <c r="D359" s="1">
        <v>45392</v>
      </c>
    </row>
    <row r="360" spans="1:4" x14ac:dyDescent="0.45">
      <c r="A360">
        <v>359</v>
      </c>
      <c r="B360" t="s">
        <v>28</v>
      </c>
      <c r="C360" t="s">
        <v>37</v>
      </c>
      <c r="D360" s="1">
        <v>45747</v>
      </c>
    </row>
    <row r="361" spans="1:4" x14ac:dyDescent="0.45">
      <c r="A361">
        <v>360</v>
      </c>
      <c r="B361" t="s">
        <v>28</v>
      </c>
      <c r="C361" t="s">
        <v>37</v>
      </c>
      <c r="D361" s="1">
        <v>45722</v>
      </c>
    </row>
    <row r="362" spans="1:4" x14ac:dyDescent="0.45">
      <c r="A362">
        <v>361</v>
      </c>
      <c r="B362" t="s">
        <v>31</v>
      </c>
      <c r="C362" t="s">
        <v>35</v>
      </c>
      <c r="D362" s="1">
        <v>45745</v>
      </c>
    </row>
    <row r="363" spans="1:4" x14ac:dyDescent="0.45">
      <c r="A363">
        <v>362</v>
      </c>
      <c r="B363" t="s">
        <v>34</v>
      </c>
      <c r="C363" t="s">
        <v>29</v>
      </c>
      <c r="D363" s="1">
        <v>45422</v>
      </c>
    </row>
    <row r="364" spans="1:4" x14ac:dyDescent="0.45">
      <c r="A364">
        <v>363</v>
      </c>
      <c r="B364" t="s">
        <v>31</v>
      </c>
      <c r="C364" t="s">
        <v>29</v>
      </c>
      <c r="D364" s="1">
        <v>45548</v>
      </c>
    </row>
    <row r="365" spans="1:4" x14ac:dyDescent="0.45">
      <c r="A365">
        <v>364</v>
      </c>
      <c r="B365" t="s">
        <v>34</v>
      </c>
      <c r="C365" t="s">
        <v>32</v>
      </c>
      <c r="D365" s="1">
        <v>45296</v>
      </c>
    </row>
    <row r="366" spans="1:4" x14ac:dyDescent="0.45">
      <c r="A366">
        <v>365</v>
      </c>
      <c r="B366" t="s">
        <v>28</v>
      </c>
      <c r="C366" t="s">
        <v>29</v>
      </c>
      <c r="D366" s="1">
        <v>45740</v>
      </c>
    </row>
    <row r="367" spans="1:4" x14ac:dyDescent="0.45">
      <c r="A367">
        <v>366</v>
      </c>
      <c r="B367" t="s">
        <v>28</v>
      </c>
      <c r="C367" t="s">
        <v>35</v>
      </c>
      <c r="D367" s="1">
        <v>45509</v>
      </c>
    </row>
    <row r="368" spans="1:4" x14ac:dyDescent="0.45">
      <c r="A368">
        <v>367</v>
      </c>
      <c r="B368" t="s">
        <v>31</v>
      </c>
      <c r="C368" t="s">
        <v>32</v>
      </c>
      <c r="D368" s="1">
        <v>45735</v>
      </c>
    </row>
    <row r="369" spans="1:4" x14ac:dyDescent="0.45">
      <c r="A369">
        <v>368</v>
      </c>
      <c r="B369" t="s">
        <v>28</v>
      </c>
      <c r="C369" t="s">
        <v>35</v>
      </c>
      <c r="D369" s="1">
        <v>45546</v>
      </c>
    </row>
    <row r="370" spans="1:4" x14ac:dyDescent="0.45">
      <c r="A370">
        <v>369</v>
      </c>
      <c r="B370" t="s">
        <v>31</v>
      </c>
      <c r="C370" t="s">
        <v>30</v>
      </c>
      <c r="D370" s="1">
        <v>45748</v>
      </c>
    </row>
    <row r="371" spans="1:4" x14ac:dyDescent="0.45">
      <c r="A371">
        <v>370</v>
      </c>
      <c r="B371" t="s">
        <v>31</v>
      </c>
      <c r="C371" t="s">
        <v>35</v>
      </c>
      <c r="D371" s="1">
        <v>45680</v>
      </c>
    </row>
    <row r="372" spans="1:4" x14ac:dyDescent="0.45">
      <c r="A372">
        <v>371</v>
      </c>
      <c r="B372" t="s">
        <v>31</v>
      </c>
      <c r="C372" t="s">
        <v>30</v>
      </c>
      <c r="D372" s="1">
        <v>45689</v>
      </c>
    </row>
    <row r="373" spans="1:4" x14ac:dyDescent="0.45">
      <c r="A373">
        <v>372</v>
      </c>
      <c r="B373" t="s">
        <v>33</v>
      </c>
      <c r="C373" t="s">
        <v>30</v>
      </c>
      <c r="D373" s="1">
        <v>45650</v>
      </c>
    </row>
    <row r="374" spans="1:4" x14ac:dyDescent="0.45">
      <c r="A374">
        <v>373</v>
      </c>
      <c r="B374" t="s">
        <v>34</v>
      </c>
      <c r="C374" t="s">
        <v>29</v>
      </c>
      <c r="D374" s="1">
        <v>45713</v>
      </c>
    </row>
    <row r="375" spans="1:4" x14ac:dyDescent="0.45">
      <c r="A375">
        <v>374</v>
      </c>
      <c r="B375" t="s">
        <v>33</v>
      </c>
      <c r="C375" t="s">
        <v>37</v>
      </c>
      <c r="D375" s="1">
        <v>45719</v>
      </c>
    </row>
    <row r="376" spans="1:4" x14ac:dyDescent="0.45">
      <c r="A376">
        <v>375</v>
      </c>
      <c r="B376" t="s">
        <v>36</v>
      </c>
      <c r="C376" t="s">
        <v>30</v>
      </c>
      <c r="D376" s="1">
        <v>45716</v>
      </c>
    </row>
    <row r="377" spans="1:4" x14ac:dyDescent="0.45">
      <c r="A377">
        <v>376</v>
      </c>
      <c r="B377" t="s">
        <v>36</v>
      </c>
      <c r="C377" t="s">
        <v>30</v>
      </c>
      <c r="D377" s="1">
        <v>45763</v>
      </c>
    </row>
    <row r="378" spans="1:4" x14ac:dyDescent="0.45">
      <c r="A378">
        <v>377</v>
      </c>
      <c r="B378" t="s">
        <v>34</v>
      </c>
      <c r="C378" t="s">
        <v>37</v>
      </c>
      <c r="D378" s="1">
        <v>45691</v>
      </c>
    </row>
    <row r="379" spans="1:4" x14ac:dyDescent="0.45">
      <c r="A379">
        <v>378</v>
      </c>
      <c r="B379" t="s">
        <v>28</v>
      </c>
      <c r="C379" t="s">
        <v>29</v>
      </c>
      <c r="D379" s="1">
        <v>45574</v>
      </c>
    </row>
    <row r="380" spans="1:4" x14ac:dyDescent="0.45">
      <c r="A380">
        <v>379</v>
      </c>
      <c r="B380" t="s">
        <v>36</v>
      </c>
      <c r="C380" t="s">
        <v>32</v>
      </c>
      <c r="D380" s="1">
        <v>45750</v>
      </c>
    </row>
    <row r="381" spans="1:4" x14ac:dyDescent="0.45">
      <c r="A381">
        <v>380</v>
      </c>
      <c r="B381" t="s">
        <v>33</v>
      </c>
      <c r="C381" t="s">
        <v>32</v>
      </c>
      <c r="D381" s="1">
        <v>45731</v>
      </c>
    </row>
    <row r="382" spans="1:4" x14ac:dyDescent="0.45">
      <c r="A382">
        <v>381</v>
      </c>
      <c r="B382" t="s">
        <v>36</v>
      </c>
      <c r="C382" t="s">
        <v>35</v>
      </c>
      <c r="D382" s="1">
        <v>45684</v>
      </c>
    </row>
    <row r="383" spans="1:4" x14ac:dyDescent="0.45">
      <c r="A383">
        <v>382</v>
      </c>
      <c r="B383" t="s">
        <v>31</v>
      </c>
      <c r="C383" t="s">
        <v>29</v>
      </c>
      <c r="D383" s="1">
        <v>45498</v>
      </c>
    </row>
    <row r="384" spans="1:4" x14ac:dyDescent="0.45">
      <c r="A384">
        <v>383</v>
      </c>
      <c r="B384" t="s">
        <v>28</v>
      </c>
      <c r="C384" t="s">
        <v>32</v>
      </c>
      <c r="D384" s="1">
        <v>45306</v>
      </c>
    </row>
    <row r="385" spans="1:4" x14ac:dyDescent="0.45">
      <c r="A385">
        <v>384</v>
      </c>
      <c r="B385" t="s">
        <v>36</v>
      </c>
      <c r="C385" t="s">
        <v>37</v>
      </c>
      <c r="D385" s="1">
        <v>45769</v>
      </c>
    </row>
    <row r="386" spans="1:4" x14ac:dyDescent="0.45">
      <c r="A386">
        <v>385</v>
      </c>
      <c r="B386" t="s">
        <v>36</v>
      </c>
      <c r="C386" t="s">
        <v>32</v>
      </c>
      <c r="D386" s="1">
        <v>45758</v>
      </c>
    </row>
    <row r="387" spans="1:4" x14ac:dyDescent="0.45">
      <c r="A387">
        <v>386</v>
      </c>
      <c r="B387" t="s">
        <v>28</v>
      </c>
      <c r="C387" t="s">
        <v>30</v>
      </c>
      <c r="D387" s="1">
        <v>45744</v>
      </c>
    </row>
    <row r="388" spans="1:4" x14ac:dyDescent="0.45">
      <c r="A388">
        <v>387</v>
      </c>
      <c r="B388" t="s">
        <v>28</v>
      </c>
      <c r="C388" t="s">
        <v>32</v>
      </c>
      <c r="D388" s="1">
        <v>45692</v>
      </c>
    </row>
    <row r="389" spans="1:4" x14ac:dyDescent="0.45">
      <c r="A389">
        <v>388</v>
      </c>
      <c r="B389" t="s">
        <v>28</v>
      </c>
      <c r="C389" t="s">
        <v>35</v>
      </c>
      <c r="D389" s="1">
        <v>45756</v>
      </c>
    </row>
    <row r="390" spans="1:4" x14ac:dyDescent="0.45">
      <c r="A390">
        <v>389</v>
      </c>
      <c r="B390" t="s">
        <v>33</v>
      </c>
      <c r="C390" t="s">
        <v>37</v>
      </c>
      <c r="D390" s="1">
        <v>45637</v>
      </c>
    </row>
    <row r="391" spans="1:4" x14ac:dyDescent="0.45">
      <c r="A391">
        <v>390</v>
      </c>
      <c r="B391" t="s">
        <v>36</v>
      </c>
      <c r="C391" t="s">
        <v>32</v>
      </c>
      <c r="D391" s="1">
        <v>45742</v>
      </c>
    </row>
    <row r="392" spans="1:4" x14ac:dyDescent="0.45">
      <c r="A392">
        <v>391</v>
      </c>
      <c r="B392" t="s">
        <v>34</v>
      </c>
      <c r="C392" t="s">
        <v>30</v>
      </c>
      <c r="D392" s="1">
        <v>45333</v>
      </c>
    </row>
    <row r="393" spans="1:4" x14ac:dyDescent="0.45">
      <c r="A393">
        <v>392</v>
      </c>
      <c r="B393" t="s">
        <v>31</v>
      </c>
      <c r="C393" t="s">
        <v>30</v>
      </c>
      <c r="D393" s="1">
        <v>45708</v>
      </c>
    </row>
    <row r="394" spans="1:4" x14ac:dyDescent="0.45">
      <c r="A394">
        <v>393</v>
      </c>
      <c r="B394" t="s">
        <v>28</v>
      </c>
      <c r="C394" t="s">
        <v>32</v>
      </c>
      <c r="D394" s="1">
        <v>45756</v>
      </c>
    </row>
    <row r="395" spans="1:4" x14ac:dyDescent="0.45">
      <c r="A395">
        <v>394</v>
      </c>
      <c r="B395" t="s">
        <v>34</v>
      </c>
      <c r="C395" t="s">
        <v>29</v>
      </c>
      <c r="D395" s="1">
        <v>45719</v>
      </c>
    </row>
    <row r="396" spans="1:4" x14ac:dyDescent="0.45">
      <c r="A396">
        <v>395</v>
      </c>
      <c r="B396" t="s">
        <v>34</v>
      </c>
      <c r="C396" t="s">
        <v>35</v>
      </c>
      <c r="D396" s="1">
        <v>45671</v>
      </c>
    </row>
    <row r="397" spans="1:4" x14ac:dyDescent="0.45">
      <c r="A397">
        <v>396</v>
      </c>
      <c r="B397" t="s">
        <v>31</v>
      </c>
      <c r="C397" t="s">
        <v>30</v>
      </c>
      <c r="D397" s="1">
        <v>45754</v>
      </c>
    </row>
    <row r="398" spans="1:4" x14ac:dyDescent="0.45">
      <c r="A398">
        <v>397</v>
      </c>
      <c r="B398" t="s">
        <v>28</v>
      </c>
      <c r="C398" t="s">
        <v>30</v>
      </c>
      <c r="D398" s="1">
        <v>45696</v>
      </c>
    </row>
    <row r="399" spans="1:4" x14ac:dyDescent="0.45">
      <c r="A399">
        <v>398</v>
      </c>
      <c r="B399" t="s">
        <v>34</v>
      </c>
      <c r="C399" t="s">
        <v>37</v>
      </c>
      <c r="D399" s="1">
        <v>45683</v>
      </c>
    </row>
    <row r="400" spans="1:4" x14ac:dyDescent="0.45">
      <c r="A400">
        <v>399</v>
      </c>
      <c r="B400" t="s">
        <v>33</v>
      </c>
      <c r="C400" t="s">
        <v>29</v>
      </c>
      <c r="D400" s="1">
        <v>45470</v>
      </c>
    </row>
    <row r="401" spans="1:4" x14ac:dyDescent="0.45">
      <c r="A401">
        <v>400</v>
      </c>
      <c r="B401" t="s">
        <v>31</v>
      </c>
      <c r="C401" t="s">
        <v>37</v>
      </c>
      <c r="D401" s="1">
        <v>45704</v>
      </c>
    </row>
    <row r="402" spans="1:4" x14ac:dyDescent="0.45">
      <c r="A402">
        <v>401</v>
      </c>
      <c r="B402" t="s">
        <v>28</v>
      </c>
      <c r="C402" t="s">
        <v>35</v>
      </c>
      <c r="D402" s="1">
        <v>45766</v>
      </c>
    </row>
    <row r="403" spans="1:4" x14ac:dyDescent="0.45">
      <c r="A403">
        <v>402</v>
      </c>
      <c r="B403" t="s">
        <v>33</v>
      </c>
      <c r="C403" t="s">
        <v>37</v>
      </c>
      <c r="D403" s="1">
        <v>45776</v>
      </c>
    </row>
    <row r="404" spans="1:4" x14ac:dyDescent="0.45">
      <c r="A404">
        <v>403</v>
      </c>
      <c r="B404" t="s">
        <v>36</v>
      </c>
      <c r="C404" t="s">
        <v>35</v>
      </c>
      <c r="D404" s="1">
        <v>45740</v>
      </c>
    </row>
    <row r="405" spans="1:4" x14ac:dyDescent="0.45">
      <c r="A405">
        <v>404</v>
      </c>
      <c r="B405" t="s">
        <v>36</v>
      </c>
      <c r="C405" t="s">
        <v>29</v>
      </c>
      <c r="D405" s="1">
        <v>45742</v>
      </c>
    </row>
    <row r="406" spans="1:4" x14ac:dyDescent="0.45">
      <c r="A406">
        <v>405</v>
      </c>
      <c r="B406" t="s">
        <v>36</v>
      </c>
      <c r="C406" t="s">
        <v>35</v>
      </c>
      <c r="D406" s="1">
        <v>45354</v>
      </c>
    </row>
    <row r="407" spans="1:4" x14ac:dyDescent="0.45">
      <c r="A407">
        <v>406</v>
      </c>
      <c r="B407" t="s">
        <v>34</v>
      </c>
      <c r="C407" t="s">
        <v>30</v>
      </c>
      <c r="D407" s="1">
        <v>45643</v>
      </c>
    </row>
    <row r="408" spans="1:4" x14ac:dyDescent="0.45">
      <c r="A408">
        <v>407</v>
      </c>
      <c r="B408" t="s">
        <v>33</v>
      </c>
      <c r="C408" t="s">
        <v>37</v>
      </c>
      <c r="D408" s="1">
        <v>45710</v>
      </c>
    </row>
    <row r="409" spans="1:4" x14ac:dyDescent="0.45">
      <c r="A409">
        <v>408</v>
      </c>
      <c r="B409" t="s">
        <v>36</v>
      </c>
      <c r="C409" t="s">
        <v>32</v>
      </c>
      <c r="D409" s="1">
        <v>45745</v>
      </c>
    </row>
    <row r="410" spans="1:4" x14ac:dyDescent="0.45">
      <c r="A410">
        <v>409</v>
      </c>
      <c r="B410" t="s">
        <v>31</v>
      </c>
      <c r="C410" t="s">
        <v>32</v>
      </c>
      <c r="D410" s="1">
        <v>45522</v>
      </c>
    </row>
    <row r="411" spans="1:4" x14ac:dyDescent="0.45">
      <c r="A411">
        <v>410</v>
      </c>
      <c r="B411" t="s">
        <v>34</v>
      </c>
      <c r="C411" t="s">
        <v>37</v>
      </c>
      <c r="D411" s="1">
        <v>45532</v>
      </c>
    </row>
    <row r="412" spans="1:4" x14ac:dyDescent="0.45">
      <c r="A412">
        <v>411</v>
      </c>
      <c r="B412" t="s">
        <v>36</v>
      </c>
      <c r="C412" t="s">
        <v>29</v>
      </c>
      <c r="D412" s="1">
        <v>45760</v>
      </c>
    </row>
    <row r="413" spans="1:4" x14ac:dyDescent="0.45">
      <c r="A413">
        <v>412</v>
      </c>
      <c r="B413" t="s">
        <v>28</v>
      </c>
      <c r="C413" t="s">
        <v>32</v>
      </c>
      <c r="D413" s="1">
        <v>45343</v>
      </c>
    </row>
    <row r="414" spans="1:4" x14ac:dyDescent="0.45">
      <c r="A414">
        <v>413</v>
      </c>
      <c r="B414" t="s">
        <v>28</v>
      </c>
      <c r="C414" t="s">
        <v>37</v>
      </c>
      <c r="D414" s="1">
        <v>45776</v>
      </c>
    </row>
    <row r="415" spans="1:4" x14ac:dyDescent="0.45">
      <c r="A415">
        <v>414</v>
      </c>
      <c r="B415" t="s">
        <v>36</v>
      </c>
      <c r="C415" t="s">
        <v>32</v>
      </c>
      <c r="D415" s="1">
        <v>45745</v>
      </c>
    </row>
    <row r="416" spans="1:4" x14ac:dyDescent="0.45">
      <c r="A416">
        <v>415</v>
      </c>
      <c r="B416" t="s">
        <v>28</v>
      </c>
      <c r="C416" t="s">
        <v>30</v>
      </c>
      <c r="D416" s="1">
        <v>45724</v>
      </c>
    </row>
    <row r="417" spans="1:4" x14ac:dyDescent="0.45">
      <c r="A417">
        <v>416</v>
      </c>
      <c r="B417" t="s">
        <v>28</v>
      </c>
      <c r="C417" t="s">
        <v>32</v>
      </c>
      <c r="D417" s="1">
        <v>45748</v>
      </c>
    </row>
    <row r="418" spans="1:4" x14ac:dyDescent="0.45">
      <c r="A418">
        <v>417</v>
      </c>
      <c r="B418" t="s">
        <v>34</v>
      </c>
      <c r="C418" t="s">
        <v>30</v>
      </c>
      <c r="D418" s="1">
        <v>45719</v>
      </c>
    </row>
    <row r="419" spans="1:4" x14ac:dyDescent="0.45">
      <c r="A419">
        <v>418</v>
      </c>
      <c r="B419" t="s">
        <v>28</v>
      </c>
      <c r="C419" t="s">
        <v>30</v>
      </c>
      <c r="D419" s="1">
        <v>45703</v>
      </c>
    </row>
    <row r="420" spans="1:4" x14ac:dyDescent="0.45">
      <c r="A420">
        <v>419</v>
      </c>
      <c r="B420" t="s">
        <v>34</v>
      </c>
      <c r="C420" t="s">
        <v>30</v>
      </c>
      <c r="D420" s="1">
        <v>45744</v>
      </c>
    </row>
    <row r="421" spans="1:4" x14ac:dyDescent="0.45">
      <c r="A421">
        <v>420</v>
      </c>
      <c r="B421" t="s">
        <v>36</v>
      </c>
      <c r="C421" t="s">
        <v>30</v>
      </c>
      <c r="D421" s="1">
        <v>45723</v>
      </c>
    </row>
    <row r="422" spans="1:4" x14ac:dyDescent="0.45">
      <c r="A422">
        <v>421</v>
      </c>
      <c r="B422" t="s">
        <v>36</v>
      </c>
      <c r="C422" t="s">
        <v>37</v>
      </c>
      <c r="D422" s="1">
        <v>45387</v>
      </c>
    </row>
    <row r="423" spans="1:4" x14ac:dyDescent="0.45">
      <c r="A423">
        <v>422</v>
      </c>
      <c r="B423" t="s">
        <v>31</v>
      </c>
      <c r="C423" t="s">
        <v>32</v>
      </c>
      <c r="D423" s="1">
        <v>45713</v>
      </c>
    </row>
    <row r="424" spans="1:4" x14ac:dyDescent="0.45">
      <c r="A424">
        <v>423</v>
      </c>
      <c r="B424" t="s">
        <v>33</v>
      </c>
      <c r="C424" t="s">
        <v>37</v>
      </c>
      <c r="D424" s="1">
        <v>45679</v>
      </c>
    </row>
    <row r="425" spans="1:4" x14ac:dyDescent="0.45">
      <c r="A425">
        <v>424</v>
      </c>
      <c r="B425" t="s">
        <v>33</v>
      </c>
      <c r="C425" t="s">
        <v>30</v>
      </c>
      <c r="D425" s="1">
        <v>45513</v>
      </c>
    </row>
    <row r="426" spans="1:4" x14ac:dyDescent="0.45">
      <c r="A426">
        <v>425</v>
      </c>
      <c r="B426" t="s">
        <v>33</v>
      </c>
      <c r="C426" t="s">
        <v>32</v>
      </c>
      <c r="D426" s="1">
        <v>45698</v>
      </c>
    </row>
    <row r="427" spans="1:4" x14ac:dyDescent="0.45">
      <c r="A427">
        <v>426</v>
      </c>
      <c r="B427" t="s">
        <v>34</v>
      </c>
      <c r="C427" t="s">
        <v>29</v>
      </c>
      <c r="D427" s="1">
        <v>45522</v>
      </c>
    </row>
    <row r="428" spans="1:4" x14ac:dyDescent="0.45">
      <c r="A428">
        <v>427</v>
      </c>
      <c r="B428" t="s">
        <v>34</v>
      </c>
      <c r="C428" t="s">
        <v>35</v>
      </c>
      <c r="D428" s="1">
        <v>45742</v>
      </c>
    </row>
    <row r="429" spans="1:4" x14ac:dyDescent="0.45">
      <c r="A429">
        <v>428</v>
      </c>
      <c r="B429" t="s">
        <v>34</v>
      </c>
      <c r="C429" t="s">
        <v>29</v>
      </c>
      <c r="D429" s="1">
        <v>45765</v>
      </c>
    </row>
    <row r="430" spans="1:4" x14ac:dyDescent="0.45">
      <c r="A430">
        <v>429</v>
      </c>
      <c r="B430" t="s">
        <v>28</v>
      </c>
      <c r="C430" t="s">
        <v>30</v>
      </c>
      <c r="D430" s="1">
        <v>45528</v>
      </c>
    </row>
    <row r="431" spans="1:4" x14ac:dyDescent="0.45">
      <c r="A431">
        <v>430</v>
      </c>
      <c r="B431" t="s">
        <v>28</v>
      </c>
      <c r="C431" t="s">
        <v>32</v>
      </c>
      <c r="D431" s="1">
        <v>45434</v>
      </c>
    </row>
    <row r="432" spans="1:4" x14ac:dyDescent="0.45">
      <c r="A432">
        <v>431</v>
      </c>
      <c r="B432" t="s">
        <v>28</v>
      </c>
      <c r="C432" t="s">
        <v>32</v>
      </c>
      <c r="D432" s="1">
        <v>45462</v>
      </c>
    </row>
    <row r="433" spans="1:4" x14ac:dyDescent="0.45">
      <c r="A433">
        <v>432</v>
      </c>
      <c r="B433" t="s">
        <v>36</v>
      </c>
      <c r="C433" t="s">
        <v>30</v>
      </c>
      <c r="D433" s="1">
        <v>45679</v>
      </c>
    </row>
    <row r="434" spans="1:4" x14ac:dyDescent="0.45">
      <c r="A434">
        <v>433</v>
      </c>
      <c r="B434" t="s">
        <v>28</v>
      </c>
      <c r="C434" t="s">
        <v>37</v>
      </c>
      <c r="D434" s="1">
        <v>45320</v>
      </c>
    </row>
    <row r="435" spans="1:4" x14ac:dyDescent="0.45">
      <c r="A435">
        <v>434</v>
      </c>
      <c r="B435" t="s">
        <v>28</v>
      </c>
      <c r="C435" t="s">
        <v>37</v>
      </c>
      <c r="D435" s="1">
        <v>45327</v>
      </c>
    </row>
    <row r="436" spans="1:4" x14ac:dyDescent="0.45">
      <c r="A436">
        <v>435</v>
      </c>
      <c r="B436" t="s">
        <v>31</v>
      </c>
      <c r="C436" t="s">
        <v>30</v>
      </c>
      <c r="D436" s="1">
        <v>45705</v>
      </c>
    </row>
    <row r="437" spans="1:4" x14ac:dyDescent="0.45">
      <c r="A437">
        <v>436</v>
      </c>
      <c r="B437" t="s">
        <v>36</v>
      </c>
      <c r="C437" t="s">
        <v>35</v>
      </c>
      <c r="D437" s="1">
        <v>45726</v>
      </c>
    </row>
    <row r="438" spans="1:4" x14ac:dyDescent="0.45">
      <c r="A438">
        <v>437</v>
      </c>
      <c r="B438" t="s">
        <v>33</v>
      </c>
      <c r="C438" t="s">
        <v>30</v>
      </c>
      <c r="D438" s="1">
        <v>45304</v>
      </c>
    </row>
    <row r="439" spans="1:4" x14ac:dyDescent="0.45">
      <c r="A439">
        <v>438</v>
      </c>
      <c r="B439" t="s">
        <v>36</v>
      </c>
      <c r="C439" t="s">
        <v>37</v>
      </c>
      <c r="D439" s="1">
        <v>45798</v>
      </c>
    </row>
    <row r="440" spans="1:4" x14ac:dyDescent="0.45">
      <c r="A440">
        <v>439</v>
      </c>
      <c r="B440" t="s">
        <v>36</v>
      </c>
      <c r="C440" t="s">
        <v>30</v>
      </c>
      <c r="D440" s="1">
        <v>45788</v>
      </c>
    </row>
    <row r="441" spans="1:4" x14ac:dyDescent="0.45">
      <c r="A441">
        <v>440</v>
      </c>
      <c r="B441" t="s">
        <v>33</v>
      </c>
      <c r="C441" t="s">
        <v>37</v>
      </c>
      <c r="D441" s="1">
        <v>45451</v>
      </c>
    </row>
    <row r="442" spans="1:4" x14ac:dyDescent="0.45">
      <c r="A442">
        <v>441</v>
      </c>
      <c r="B442" t="s">
        <v>36</v>
      </c>
      <c r="C442" t="s">
        <v>30</v>
      </c>
      <c r="D442" s="1">
        <v>45618</v>
      </c>
    </row>
    <row r="443" spans="1:4" x14ac:dyDescent="0.45">
      <c r="A443">
        <v>442</v>
      </c>
      <c r="B443" t="s">
        <v>36</v>
      </c>
      <c r="C443" t="s">
        <v>37</v>
      </c>
      <c r="D443" s="1">
        <v>45769</v>
      </c>
    </row>
    <row r="444" spans="1:4" x14ac:dyDescent="0.45">
      <c r="A444">
        <v>443</v>
      </c>
      <c r="B444" t="s">
        <v>34</v>
      </c>
      <c r="C444" t="s">
        <v>37</v>
      </c>
      <c r="D444" s="1">
        <v>45478</v>
      </c>
    </row>
    <row r="445" spans="1:4" x14ac:dyDescent="0.45">
      <c r="A445">
        <v>444</v>
      </c>
      <c r="B445" t="s">
        <v>36</v>
      </c>
      <c r="C445" t="s">
        <v>35</v>
      </c>
      <c r="D445" s="1">
        <v>45685</v>
      </c>
    </row>
    <row r="446" spans="1:4" x14ac:dyDescent="0.45">
      <c r="A446">
        <v>445</v>
      </c>
      <c r="B446" t="s">
        <v>33</v>
      </c>
      <c r="C446" t="s">
        <v>32</v>
      </c>
      <c r="D446" s="1">
        <v>45741</v>
      </c>
    </row>
    <row r="447" spans="1:4" x14ac:dyDescent="0.45">
      <c r="A447">
        <v>446</v>
      </c>
      <c r="B447" t="s">
        <v>34</v>
      </c>
      <c r="C447" t="s">
        <v>32</v>
      </c>
      <c r="D447" s="1">
        <v>45534</v>
      </c>
    </row>
    <row r="448" spans="1:4" x14ac:dyDescent="0.45">
      <c r="A448">
        <v>447</v>
      </c>
      <c r="B448" t="s">
        <v>28</v>
      </c>
      <c r="C448" t="s">
        <v>35</v>
      </c>
      <c r="D448" s="1">
        <v>45735</v>
      </c>
    </row>
    <row r="449" spans="1:4" x14ac:dyDescent="0.45">
      <c r="A449">
        <v>448</v>
      </c>
      <c r="B449" t="s">
        <v>28</v>
      </c>
      <c r="C449" t="s">
        <v>35</v>
      </c>
      <c r="D449" s="1">
        <v>45377</v>
      </c>
    </row>
    <row r="450" spans="1:4" x14ac:dyDescent="0.45">
      <c r="A450">
        <v>449</v>
      </c>
      <c r="B450" t="s">
        <v>33</v>
      </c>
      <c r="C450" t="s">
        <v>32</v>
      </c>
      <c r="D450" s="1">
        <v>45575</v>
      </c>
    </row>
    <row r="451" spans="1:4" x14ac:dyDescent="0.45">
      <c r="A451">
        <v>450</v>
      </c>
      <c r="B451" t="s">
        <v>34</v>
      </c>
      <c r="C451" t="s">
        <v>32</v>
      </c>
      <c r="D451" s="1">
        <v>45357</v>
      </c>
    </row>
    <row r="452" spans="1:4" x14ac:dyDescent="0.45">
      <c r="A452">
        <v>451</v>
      </c>
      <c r="B452" t="s">
        <v>28</v>
      </c>
      <c r="C452" t="s">
        <v>30</v>
      </c>
      <c r="D452" s="1">
        <v>45786</v>
      </c>
    </row>
    <row r="453" spans="1:4" x14ac:dyDescent="0.45">
      <c r="A453">
        <v>452</v>
      </c>
      <c r="B453" t="s">
        <v>28</v>
      </c>
      <c r="C453" t="s">
        <v>29</v>
      </c>
      <c r="D453" s="1">
        <v>45461</v>
      </c>
    </row>
    <row r="454" spans="1:4" x14ac:dyDescent="0.45">
      <c r="A454">
        <v>453</v>
      </c>
      <c r="B454" t="s">
        <v>28</v>
      </c>
      <c r="C454" t="s">
        <v>37</v>
      </c>
      <c r="D454" s="1">
        <v>45696</v>
      </c>
    </row>
    <row r="455" spans="1:4" x14ac:dyDescent="0.45">
      <c r="A455">
        <v>454</v>
      </c>
      <c r="B455" t="s">
        <v>33</v>
      </c>
      <c r="C455" t="s">
        <v>37</v>
      </c>
      <c r="D455" s="1">
        <v>45336</v>
      </c>
    </row>
    <row r="456" spans="1:4" x14ac:dyDescent="0.45">
      <c r="A456">
        <v>455</v>
      </c>
      <c r="B456" t="s">
        <v>31</v>
      </c>
      <c r="C456" t="s">
        <v>30</v>
      </c>
      <c r="D456" s="1">
        <v>45754</v>
      </c>
    </row>
    <row r="457" spans="1:4" x14ac:dyDescent="0.45">
      <c r="A457">
        <v>456</v>
      </c>
      <c r="B457" t="s">
        <v>33</v>
      </c>
      <c r="C457" t="s">
        <v>35</v>
      </c>
      <c r="D457" s="1">
        <v>45688</v>
      </c>
    </row>
    <row r="458" spans="1:4" x14ac:dyDescent="0.45">
      <c r="A458">
        <v>457</v>
      </c>
      <c r="B458" t="s">
        <v>36</v>
      </c>
      <c r="C458" t="s">
        <v>37</v>
      </c>
      <c r="D458" s="1">
        <v>45770</v>
      </c>
    </row>
    <row r="459" spans="1:4" x14ac:dyDescent="0.45">
      <c r="A459">
        <v>458</v>
      </c>
      <c r="B459" t="s">
        <v>33</v>
      </c>
      <c r="C459" t="s">
        <v>29</v>
      </c>
      <c r="D459" s="1">
        <v>45353</v>
      </c>
    </row>
    <row r="460" spans="1:4" x14ac:dyDescent="0.45">
      <c r="A460">
        <v>459</v>
      </c>
      <c r="B460" t="s">
        <v>28</v>
      </c>
      <c r="C460" t="s">
        <v>32</v>
      </c>
      <c r="D460" s="1">
        <v>45765</v>
      </c>
    </row>
    <row r="461" spans="1:4" x14ac:dyDescent="0.45">
      <c r="A461">
        <v>460</v>
      </c>
      <c r="B461" t="s">
        <v>31</v>
      </c>
      <c r="C461" t="s">
        <v>29</v>
      </c>
      <c r="D461" s="1">
        <v>45712</v>
      </c>
    </row>
    <row r="462" spans="1:4" x14ac:dyDescent="0.45">
      <c r="A462">
        <v>461</v>
      </c>
      <c r="B462" t="s">
        <v>36</v>
      </c>
      <c r="C462" t="s">
        <v>35</v>
      </c>
      <c r="D462" s="1">
        <v>45743</v>
      </c>
    </row>
    <row r="463" spans="1:4" x14ac:dyDescent="0.45">
      <c r="A463">
        <v>462</v>
      </c>
      <c r="B463" t="s">
        <v>33</v>
      </c>
      <c r="C463" t="s">
        <v>30</v>
      </c>
      <c r="D463" s="1">
        <v>45724</v>
      </c>
    </row>
    <row r="464" spans="1:4" x14ac:dyDescent="0.45">
      <c r="A464">
        <v>463</v>
      </c>
      <c r="B464" t="s">
        <v>34</v>
      </c>
      <c r="C464" t="s">
        <v>37</v>
      </c>
      <c r="D464" s="1">
        <v>45732</v>
      </c>
    </row>
    <row r="465" spans="1:4" x14ac:dyDescent="0.45">
      <c r="A465">
        <v>464</v>
      </c>
      <c r="B465" t="s">
        <v>36</v>
      </c>
      <c r="C465" t="s">
        <v>30</v>
      </c>
      <c r="D465" s="1">
        <v>45761</v>
      </c>
    </row>
    <row r="466" spans="1:4" x14ac:dyDescent="0.45">
      <c r="A466">
        <v>465</v>
      </c>
      <c r="B466" t="s">
        <v>36</v>
      </c>
      <c r="C466" t="s">
        <v>35</v>
      </c>
      <c r="D466" s="1">
        <v>45425</v>
      </c>
    </row>
    <row r="467" spans="1:4" x14ac:dyDescent="0.45">
      <c r="A467">
        <v>466</v>
      </c>
      <c r="B467" t="s">
        <v>36</v>
      </c>
      <c r="C467" t="s">
        <v>37</v>
      </c>
      <c r="D467" s="1">
        <v>45575</v>
      </c>
    </row>
    <row r="468" spans="1:4" x14ac:dyDescent="0.45">
      <c r="A468">
        <v>467</v>
      </c>
      <c r="B468" t="s">
        <v>34</v>
      </c>
      <c r="C468" t="s">
        <v>35</v>
      </c>
      <c r="D468" s="1">
        <v>45817</v>
      </c>
    </row>
    <row r="469" spans="1:4" x14ac:dyDescent="0.45">
      <c r="A469">
        <v>468</v>
      </c>
      <c r="B469" t="s">
        <v>36</v>
      </c>
      <c r="C469" t="s">
        <v>30</v>
      </c>
      <c r="D469" s="1">
        <v>45319</v>
      </c>
    </row>
    <row r="470" spans="1:4" x14ac:dyDescent="0.45">
      <c r="A470">
        <v>469</v>
      </c>
      <c r="B470" t="s">
        <v>33</v>
      </c>
      <c r="C470" t="s">
        <v>35</v>
      </c>
      <c r="D470" s="1">
        <v>45749</v>
      </c>
    </row>
    <row r="471" spans="1:4" x14ac:dyDescent="0.45">
      <c r="A471">
        <v>470</v>
      </c>
      <c r="B471" t="s">
        <v>33</v>
      </c>
      <c r="C471" t="s">
        <v>29</v>
      </c>
      <c r="D471" s="1">
        <v>45752</v>
      </c>
    </row>
    <row r="472" spans="1:4" x14ac:dyDescent="0.45">
      <c r="A472">
        <v>471</v>
      </c>
      <c r="B472" t="s">
        <v>31</v>
      </c>
      <c r="C472" t="s">
        <v>29</v>
      </c>
      <c r="D472" s="1">
        <v>45727</v>
      </c>
    </row>
    <row r="473" spans="1:4" x14ac:dyDescent="0.45">
      <c r="A473">
        <v>472</v>
      </c>
      <c r="B473" t="s">
        <v>28</v>
      </c>
      <c r="C473" t="s">
        <v>30</v>
      </c>
      <c r="D473" s="1">
        <v>45732</v>
      </c>
    </row>
    <row r="474" spans="1:4" x14ac:dyDescent="0.45">
      <c r="A474">
        <v>473</v>
      </c>
      <c r="B474" t="s">
        <v>28</v>
      </c>
      <c r="C474" t="s">
        <v>37</v>
      </c>
      <c r="D474" s="1">
        <v>45696</v>
      </c>
    </row>
    <row r="475" spans="1:4" x14ac:dyDescent="0.45">
      <c r="A475">
        <v>474</v>
      </c>
      <c r="B475" t="s">
        <v>28</v>
      </c>
      <c r="C475" t="s">
        <v>30</v>
      </c>
      <c r="D475" s="1">
        <v>45744</v>
      </c>
    </row>
    <row r="476" spans="1:4" x14ac:dyDescent="0.45">
      <c r="A476">
        <v>475</v>
      </c>
      <c r="B476" t="s">
        <v>33</v>
      </c>
      <c r="C476" t="s">
        <v>35</v>
      </c>
      <c r="D476" s="1">
        <v>45731</v>
      </c>
    </row>
    <row r="477" spans="1:4" x14ac:dyDescent="0.45">
      <c r="A477">
        <v>476</v>
      </c>
      <c r="B477" t="s">
        <v>36</v>
      </c>
      <c r="C477" t="s">
        <v>29</v>
      </c>
      <c r="D477" s="1">
        <v>45719</v>
      </c>
    </row>
    <row r="478" spans="1:4" x14ac:dyDescent="0.45">
      <c r="A478">
        <v>477</v>
      </c>
      <c r="B478" t="s">
        <v>34</v>
      </c>
      <c r="C478" t="s">
        <v>37</v>
      </c>
      <c r="D478" s="1">
        <v>45711</v>
      </c>
    </row>
    <row r="479" spans="1:4" x14ac:dyDescent="0.45">
      <c r="A479">
        <v>478</v>
      </c>
      <c r="B479" t="s">
        <v>36</v>
      </c>
      <c r="C479" t="s">
        <v>29</v>
      </c>
      <c r="D479" s="1">
        <v>45399</v>
      </c>
    </row>
    <row r="480" spans="1:4" x14ac:dyDescent="0.45">
      <c r="A480">
        <v>479</v>
      </c>
      <c r="B480" t="s">
        <v>31</v>
      </c>
      <c r="C480" t="s">
        <v>29</v>
      </c>
      <c r="D480" s="1">
        <v>45335</v>
      </c>
    </row>
    <row r="481" spans="1:4" x14ac:dyDescent="0.45">
      <c r="A481">
        <v>480</v>
      </c>
      <c r="B481" t="s">
        <v>34</v>
      </c>
      <c r="C481" t="s">
        <v>37</v>
      </c>
      <c r="D481" s="1">
        <v>45631</v>
      </c>
    </row>
    <row r="482" spans="1:4" x14ac:dyDescent="0.45">
      <c r="A482">
        <v>481</v>
      </c>
      <c r="B482" t="s">
        <v>28</v>
      </c>
      <c r="C482" t="s">
        <v>29</v>
      </c>
      <c r="D482" s="1">
        <v>45786</v>
      </c>
    </row>
    <row r="483" spans="1:4" x14ac:dyDescent="0.45">
      <c r="A483">
        <v>482</v>
      </c>
      <c r="B483" t="s">
        <v>33</v>
      </c>
      <c r="C483" t="s">
        <v>29</v>
      </c>
      <c r="D483" s="1">
        <v>45577</v>
      </c>
    </row>
    <row r="484" spans="1:4" x14ac:dyDescent="0.45">
      <c r="A484">
        <v>483</v>
      </c>
      <c r="B484" t="s">
        <v>31</v>
      </c>
      <c r="C484" t="s">
        <v>37</v>
      </c>
      <c r="D484" s="1">
        <v>45737</v>
      </c>
    </row>
    <row r="485" spans="1:4" x14ac:dyDescent="0.45">
      <c r="A485">
        <v>484</v>
      </c>
      <c r="B485" t="s">
        <v>28</v>
      </c>
      <c r="C485" t="s">
        <v>29</v>
      </c>
      <c r="D485" s="1">
        <v>45773</v>
      </c>
    </row>
    <row r="486" spans="1:4" x14ac:dyDescent="0.45">
      <c r="A486">
        <v>485</v>
      </c>
      <c r="B486" t="s">
        <v>31</v>
      </c>
      <c r="C486" t="s">
        <v>30</v>
      </c>
      <c r="D486" s="1">
        <v>45699</v>
      </c>
    </row>
    <row r="487" spans="1:4" x14ac:dyDescent="0.45">
      <c r="A487">
        <v>486</v>
      </c>
      <c r="B487" t="s">
        <v>31</v>
      </c>
      <c r="C487" t="s">
        <v>29</v>
      </c>
      <c r="D487" s="1">
        <v>45622</v>
      </c>
    </row>
    <row r="488" spans="1:4" x14ac:dyDescent="0.45">
      <c r="A488">
        <v>487</v>
      </c>
      <c r="B488" t="s">
        <v>36</v>
      </c>
      <c r="C488" t="s">
        <v>37</v>
      </c>
      <c r="D488" s="1">
        <v>45419</v>
      </c>
    </row>
    <row r="489" spans="1:4" x14ac:dyDescent="0.45">
      <c r="A489">
        <v>488</v>
      </c>
      <c r="B489" t="s">
        <v>36</v>
      </c>
      <c r="C489" t="s">
        <v>32</v>
      </c>
      <c r="D489" s="1">
        <v>45753</v>
      </c>
    </row>
    <row r="490" spans="1:4" x14ac:dyDescent="0.45">
      <c r="A490">
        <v>489</v>
      </c>
      <c r="B490" t="s">
        <v>36</v>
      </c>
      <c r="C490" t="s">
        <v>29</v>
      </c>
      <c r="D490" s="1">
        <v>45794</v>
      </c>
    </row>
    <row r="491" spans="1:4" x14ac:dyDescent="0.45">
      <c r="A491">
        <v>490</v>
      </c>
      <c r="B491" t="s">
        <v>36</v>
      </c>
      <c r="C491" t="s">
        <v>29</v>
      </c>
      <c r="D491" s="1">
        <v>45679</v>
      </c>
    </row>
    <row r="492" spans="1:4" x14ac:dyDescent="0.45">
      <c r="A492">
        <v>491</v>
      </c>
      <c r="B492" t="s">
        <v>28</v>
      </c>
      <c r="C492" t="s">
        <v>30</v>
      </c>
      <c r="D492" s="1">
        <v>45639</v>
      </c>
    </row>
    <row r="493" spans="1:4" x14ac:dyDescent="0.45">
      <c r="A493">
        <v>492</v>
      </c>
      <c r="B493" t="s">
        <v>36</v>
      </c>
      <c r="C493" t="s">
        <v>35</v>
      </c>
      <c r="D493" s="1">
        <v>45715</v>
      </c>
    </row>
    <row r="494" spans="1:4" x14ac:dyDescent="0.45">
      <c r="A494">
        <v>493</v>
      </c>
      <c r="B494" t="s">
        <v>36</v>
      </c>
      <c r="C494" t="s">
        <v>29</v>
      </c>
      <c r="D494" s="1">
        <v>45705</v>
      </c>
    </row>
    <row r="495" spans="1:4" x14ac:dyDescent="0.45">
      <c r="A495">
        <v>494</v>
      </c>
      <c r="B495" t="s">
        <v>33</v>
      </c>
      <c r="C495" t="s">
        <v>30</v>
      </c>
      <c r="D495" s="1">
        <v>45522</v>
      </c>
    </row>
    <row r="496" spans="1:4" x14ac:dyDescent="0.45">
      <c r="A496">
        <v>495</v>
      </c>
      <c r="B496" t="s">
        <v>36</v>
      </c>
      <c r="C496" t="s">
        <v>30</v>
      </c>
      <c r="D496" s="1">
        <v>45481</v>
      </c>
    </row>
    <row r="497" spans="1:4" x14ac:dyDescent="0.45">
      <c r="A497">
        <v>496</v>
      </c>
      <c r="B497" t="s">
        <v>33</v>
      </c>
      <c r="C497" t="s">
        <v>37</v>
      </c>
      <c r="D497" s="1">
        <v>45747</v>
      </c>
    </row>
    <row r="498" spans="1:4" x14ac:dyDescent="0.45">
      <c r="A498">
        <v>497</v>
      </c>
      <c r="B498" t="s">
        <v>36</v>
      </c>
      <c r="C498" t="s">
        <v>30</v>
      </c>
      <c r="D498" s="1">
        <v>45698</v>
      </c>
    </row>
    <row r="499" spans="1:4" x14ac:dyDescent="0.45">
      <c r="A499">
        <v>498</v>
      </c>
      <c r="B499" t="s">
        <v>28</v>
      </c>
      <c r="C499" t="s">
        <v>32</v>
      </c>
      <c r="D499" s="1">
        <v>45516</v>
      </c>
    </row>
    <row r="500" spans="1:4" x14ac:dyDescent="0.45">
      <c r="A500">
        <v>499</v>
      </c>
      <c r="B500" t="s">
        <v>28</v>
      </c>
      <c r="C500" t="s">
        <v>30</v>
      </c>
      <c r="D500" s="1">
        <v>45783</v>
      </c>
    </row>
    <row r="501" spans="1:4" x14ac:dyDescent="0.45">
      <c r="A501">
        <v>500</v>
      </c>
      <c r="B501" t="s">
        <v>36</v>
      </c>
      <c r="C501" t="s">
        <v>29</v>
      </c>
      <c r="D501" s="1">
        <v>45767</v>
      </c>
    </row>
    <row r="502" spans="1:4" x14ac:dyDescent="0.45">
      <c r="A502">
        <v>501</v>
      </c>
      <c r="B502" t="s">
        <v>33</v>
      </c>
      <c r="C502" t="s">
        <v>30</v>
      </c>
      <c r="D502" s="1">
        <v>45735</v>
      </c>
    </row>
    <row r="503" spans="1:4" x14ac:dyDescent="0.45">
      <c r="A503">
        <v>502</v>
      </c>
      <c r="B503" t="s">
        <v>28</v>
      </c>
      <c r="C503" t="s">
        <v>37</v>
      </c>
      <c r="D503" s="1">
        <v>45676</v>
      </c>
    </row>
    <row r="504" spans="1:4" x14ac:dyDescent="0.45">
      <c r="A504">
        <v>503</v>
      </c>
      <c r="B504" t="s">
        <v>33</v>
      </c>
      <c r="C504" t="s">
        <v>37</v>
      </c>
      <c r="D504" s="1">
        <v>45755</v>
      </c>
    </row>
    <row r="505" spans="1:4" x14ac:dyDescent="0.45">
      <c r="A505">
        <v>504</v>
      </c>
      <c r="B505" t="s">
        <v>31</v>
      </c>
      <c r="C505" t="s">
        <v>37</v>
      </c>
      <c r="D505" s="1">
        <v>45768</v>
      </c>
    </row>
    <row r="506" spans="1:4" x14ac:dyDescent="0.45">
      <c r="A506">
        <v>505</v>
      </c>
      <c r="B506" t="s">
        <v>36</v>
      </c>
      <c r="C506" t="s">
        <v>35</v>
      </c>
      <c r="D506" s="1">
        <v>45744</v>
      </c>
    </row>
    <row r="507" spans="1:4" x14ac:dyDescent="0.45">
      <c r="A507">
        <v>506</v>
      </c>
      <c r="B507" t="s">
        <v>28</v>
      </c>
      <c r="C507" t="s">
        <v>35</v>
      </c>
      <c r="D507" s="1">
        <v>45799</v>
      </c>
    </row>
    <row r="508" spans="1:4" x14ac:dyDescent="0.45">
      <c r="A508">
        <v>507</v>
      </c>
      <c r="B508" t="s">
        <v>28</v>
      </c>
      <c r="C508" t="s">
        <v>29</v>
      </c>
      <c r="D508" s="1">
        <v>45668</v>
      </c>
    </row>
    <row r="509" spans="1:4" x14ac:dyDescent="0.45">
      <c r="A509">
        <v>508</v>
      </c>
      <c r="B509" t="s">
        <v>33</v>
      </c>
      <c r="C509" t="s">
        <v>37</v>
      </c>
      <c r="D509" s="1">
        <v>45734</v>
      </c>
    </row>
    <row r="510" spans="1:4" x14ac:dyDescent="0.45">
      <c r="A510">
        <v>509</v>
      </c>
      <c r="B510" t="s">
        <v>31</v>
      </c>
      <c r="C510" t="s">
        <v>30</v>
      </c>
      <c r="D510" s="1">
        <v>45686</v>
      </c>
    </row>
    <row r="511" spans="1:4" x14ac:dyDescent="0.45">
      <c r="A511">
        <v>510</v>
      </c>
      <c r="B511" t="s">
        <v>28</v>
      </c>
      <c r="C511" t="s">
        <v>37</v>
      </c>
      <c r="D511" s="1">
        <v>45734</v>
      </c>
    </row>
    <row r="512" spans="1:4" x14ac:dyDescent="0.45">
      <c r="A512">
        <v>511</v>
      </c>
      <c r="B512" t="s">
        <v>28</v>
      </c>
      <c r="C512" t="s">
        <v>37</v>
      </c>
      <c r="D512" s="1">
        <v>45765</v>
      </c>
    </row>
    <row r="513" spans="1:4" x14ac:dyDescent="0.45">
      <c r="A513">
        <v>512</v>
      </c>
      <c r="B513" t="s">
        <v>36</v>
      </c>
      <c r="C513" t="s">
        <v>29</v>
      </c>
      <c r="D513" s="1">
        <v>45689</v>
      </c>
    </row>
    <row r="514" spans="1:4" x14ac:dyDescent="0.45">
      <c r="A514">
        <v>513</v>
      </c>
      <c r="B514" t="s">
        <v>28</v>
      </c>
      <c r="C514" t="s">
        <v>32</v>
      </c>
      <c r="D514" s="1">
        <v>45820</v>
      </c>
    </row>
    <row r="515" spans="1:4" x14ac:dyDescent="0.45">
      <c r="A515">
        <v>514</v>
      </c>
      <c r="B515" t="s">
        <v>28</v>
      </c>
      <c r="C515" t="s">
        <v>29</v>
      </c>
      <c r="D515" s="1">
        <v>45574</v>
      </c>
    </row>
    <row r="516" spans="1:4" x14ac:dyDescent="0.45">
      <c r="A516">
        <v>515</v>
      </c>
      <c r="B516" t="s">
        <v>36</v>
      </c>
      <c r="C516" t="s">
        <v>29</v>
      </c>
      <c r="D516" s="1">
        <v>45737</v>
      </c>
    </row>
    <row r="517" spans="1:4" x14ac:dyDescent="0.45">
      <c r="A517">
        <v>516</v>
      </c>
      <c r="B517" t="s">
        <v>36</v>
      </c>
      <c r="C517" t="s">
        <v>30</v>
      </c>
      <c r="D517" s="1">
        <v>45743</v>
      </c>
    </row>
    <row r="518" spans="1:4" x14ac:dyDescent="0.45">
      <c r="A518">
        <v>517</v>
      </c>
      <c r="B518" t="s">
        <v>31</v>
      </c>
      <c r="C518" t="s">
        <v>35</v>
      </c>
      <c r="D518" s="1">
        <v>45691</v>
      </c>
    </row>
    <row r="519" spans="1:4" x14ac:dyDescent="0.45">
      <c r="A519">
        <v>518</v>
      </c>
      <c r="B519" t="s">
        <v>36</v>
      </c>
      <c r="C519" t="s">
        <v>32</v>
      </c>
      <c r="D519" s="1">
        <v>45745</v>
      </c>
    </row>
    <row r="520" spans="1:4" x14ac:dyDescent="0.45">
      <c r="A520">
        <v>519</v>
      </c>
      <c r="B520" t="s">
        <v>33</v>
      </c>
      <c r="C520" t="s">
        <v>37</v>
      </c>
      <c r="D520" s="1">
        <v>45698</v>
      </c>
    </row>
    <row r="521" spans="1:4" x14ac:dyDescent="0.45">
      <c r="A521">
        <v>520</v>
      </c>
      <c r="B521" t="s">
        <v>31</v>
      </c>
      <c r="C521" t="s">
        <v>37</v>
      </c>
      <c r="D521" s="1">
        <v>45412</v>
      </c>
    </row>
    <row r="522" spans="1:4" x14ac:dyDescent="0.45">
      <c r="A522">
        <v>521</v>
      </c>
      <c r="B522" t="s">
        <v>28</v>
      </c>
      <c r="C522" t="s">
        <v>32</v>
      </c>
      <c r="D522" s="1">
        <v>45734</v>
      </c>
    </row>
    <row r="523" spans="1:4" x14ac:dyDescent="0.45">
      <c r="A523">
        <v>522</v>
      </c>
      <c r="B523" t="s">
        <v>34</v>
      </c>
      <c r="C523" t="s">
        <v>37</v>
      </c>
      <c r="D523" s="1">
        <v>45700</v>
      </c>
    </row>
    <row r="524" spans="1:4" x14ac:dyDescent="0.45">
      <c r="A524">
        <v>523</v>
      </c>
      <c r="B524" t="s">
        <v>28</v>
      </c>
      <c r="C524" t="s">
        <v>35</v>
      </c>
      <c r="D524" s="1">
        <v>45407</v>
      </c>
    </row>
    <row r="525" spans="1:4" x14ac:dyDescent="0.45">
      <c r="A525">
        <v>524</v>
      </c>
      <c r="B525" t="s">
        <v>28</v>
      </c>
      <c r="C525" t="s">
        <v>37</v>
      </c>
      <c r="D525" s="1">
        <v>45524</v>
      </c>
    </row>
    <row r="526" spans="1:4" x14ac:dyDescent="0.45">
      <c r="A526">
        <v>525</v>
      </c>
      <c r="B526" t="s">
        <v>33</v>
      </c>
      <c r="C526" t="s">
        <v>37</v>
      </c>
      <c r="D526" s="1">
        <v>45770</v>
      </c>
    </row>
    <row r="527" spans="1:4" x14ac:dyDescent="0.45">
      <c r="A527">
        <v>526</v>
      </c>
      <c r="B527" t="s">
        <v>28</v>
      </c>
      <c r="C527" t="s">
        <v>35</v>
      </c>
      <c r="D527" s="1">
        <v>45550</v>
      </c>
    </row>
    <row r="528" spans="1:4" x14ac:dyDescent="0.45">
      <c r="A528">
        <v>527</v>
      </c>
      <c r="B528" t="s">
        <v>28</v>
      </c>
      <c r="C528" t="s">
        <v>32</v>
      </c>
      <c r="D528" s="1">
        <v>45650</v>
      </c>
    </row>
    <row r="529" spans="1:4" x14ac:dyDescent="0.45">
      <c r="A529">
        <v>528</v>
      </c>
      <c r="B529" t="s">
        <v>34</v>
      </c>
      <c r="C529" t="s">
        <v>30</v>
      </c>
      <c r="D529" s="1">
        <v>45489</v>
      </c>
    </row>
    <row r="530" spans="1:4" x14ac:dyDescent="0.45">
      <c r="A530">
        <v>529</v>
      </c>
      <c r="B530" t="s">
        <v>31</v>
      </c>
      <c r="C530" t="s">
        <v>29</v>
      </c>
      <c r="D530" s="1">
        <v>45702</v>
      </c>
    </row>
    <row r="531" spans="1:4" x14ac:dyDescent="0.45">
      <c r="A531">
        <v>530</v>
      </c>
      <c r="B531" t="s">
        <v>34</v>
      </c>
      <c r="C531" t="s">
        <v>35</v>
      </c>
      <c r="D531" s="1">
        <v>45428</v>
      </c>
    </row>
    <row r="532" spans="1:4" x14ac:dyDescent="0.45">
      <c r="A532">
        <v>531</v>
      </c>
      <c r="B532" t="s">
        <v>34</v>
      </c>
      <c r="C532" t="s">
        <v>35</v>
      </c>
      <c r="D532" s="1">
        <v>45748</v>
      </c>
    </row>
    <row r="533" spans="1:4" x14ac:dyDescent="0.45">
      <c r="A533">
        <v>532</v>
      </c>
      <c r="B533" t="s">
        <v>28</v>
      </c>
      <c r="C533" t="s">
        <v>35</v>
      </c>
      <c r="D533" s="1">
        <v>45609</v>
      </c>
    </row>
    <row r="534" spans="1:4" x14ac:dyDescent="0.45">
      <c r="A534">
        <v>533</v>
      </c>
      <c r="B534" t="s">
        <v>34</v>
      </c>
      <c r="C534" t="s">
        <v>32</v>
      </c>
      <c r="D534" s="1">
        <v>45456</v>
      </c>
    </row>
    <row r="535" spans="1:4" x14ac:dyDescent="0.45">
      <c r="A535">
        <v>534</v>
      </c>
      <c r="B535" t="s">
        <v>33</v>
      </c>
      <c r="C535" t="s">
        <v>29</v>
      </c>
      <c r="D535" s="1">
        <v>45516</v>
      </c>
    </row>
    <row r="536" spans="1:4" x14ac:dyDescent="0.45">
      <c r="A536">
        <v>535</v>
      </c>
      <c r="B536" t="s">
        <v>36</v>
      </c>
      <c r="C536" t="s">
        <v>29</v>
      </c>
      <c r="D536" s="1">
        <v>45598</v>
      </c>
    </row>
    <row r="537" spans="1:4" x14ac:dyDescent="0.45">
      <c r="A537">
        <v>536</v>
      </c>
      <c r="B537" t="s">
        <v>28</v>
      </c>
      <c r="C537" t="s">
        <v>29</v>
      </c>
      <c r="D537" s="1">
        <v>45525</v>
      </c>
    </row>
    <row r="538" spans="1:4" x14ac:dyDescent="0.45">
      <c r="A538">
        <v>537</v>
      </c>
      <c r="B538" t="s">
        <v>31</v>
      </c>
      <c r="C538" t="s">
        <v>30</v>
      </c>
      <c r="D538" s="1">
        <v>45463</v>
      </c>
    </row>
    <row r="539" spans="1:4" x14ac:dyDescent="0.45">
      <c r="A539">
        <v>538</v>
      </c>
      <c r="B539" t="s">
        <v>31</v>
      </c>
      <c r="C539" t="s">
        <v>32</v>
      </c>
      <c r="D539" s="1">
        <v>45748</v>
      </c>
    </row>
    <row r="540" spans="1:4" x14ac:dyDescent="0.45">
      <c r="A540">
        <v>539</v>
      </c>
      <c r="B540" t="s">
        <v>36</v>
      </c>
      <c r="C540" t="s">
        <v>35</v>
      </c>
      <c r="D540" s="1">
        <v>45443</v>
      </c>
    </row>
    <row r="541" spans="1:4" x14ac:dyDescent="0.45">
      <c r="A541">
        <v>540</v>
      </c>
      <c r="B541" t="s">
        <v>36</v>
      </c>
      <c r="C541" t="s">
        <v>29</v>
      </c>
      <c r="D541" s="1">
        <v>45606</v>
      </c>
    </row>
    <row r="542" spans="1:4" x14ac:dyDescent="0.45">
      <c r="A542">
        <v>541</v>
      </c>
      <c r="B542" t="s">
        <v>28</v>
      </c>
      <c r="C542" t="s">
        <v>29</v>
      </c>
      <c r="D542" s="1">
        <v>45764</v>
      </c>
    </row>
    <row r="543" spans="1:4" x14ac:dyDescent="0.45">
      <c r="A543">
        <v>542</v>
      </c>
      <c r="B543" t="s">
        <v>28</v>
      </c>
      <c r="C543" t="s">
        <v>32</v>
      </c>
      <c r="D543" s="1">
        <v>45665</v>
      </c>
    </row>
    <row r="544" spans="1:4" x14ac:dyDescent="0.45">
      <c r="A544">
        <v>543</v>
      </c>
      <c r="B544" t="s">
        <v>36</v>
      </c>
      <c r="C544" t="s">
        <v>30</v>
      </c>
      <c r="D544" s="1">
        <v>45451</v>
      </c>
    </row>
    <row r="545" spans="1:4" x14ac:dyDescent="0.45">
      <c r="A545">
        <v>544</v>
      </c>
      <c r="B545" t="s">
        <v>36</v>
      </c>
      <c r="C545" t="s">
        <v>35</v>
      </c>
      <c r="D545" s="1">
        <v>45387</v>
      </c>
    </row>
    <row r="546" spans="1:4" x14ac:dyDescent="0.45">
      <c r="A546">
        <v>545</v>
      </c>
      <c r="B546" t="s">
        <v>36</v>
      </c>
      <c r="C546" t="s">
        <v>37</v>
      </c>
      <c r="D546" s="1">
        <v>45769</v>
      </c>
    </row>
    <row r="547" spans="1:4" x14ac:dyDescent="0.45">
      <c r="A547">
        <v>546</v>
      </c>
      <c r="B547" t="s">
        <v>28</v>
      </c>
      <c r="C547" t="s">
        <v>30</v>
      </c>
      <c r="D547" s="1">
        <v>45524</v>
      </c>
    </row>
    <row r="548" spans="1:4" x14ac:dyDescent="0.45">
      <c r="A548">
        <v>547</v>
      </c>
      <c r="B548" t="s">
        <v>28</v>
      </c>
      <c r="C548" t="s">
        <v>30</v>
      </c>
      <c r="D548" s="1">
        <v>45799</v>
      </c>
    </row>
    <row r="549" spans="1:4" x14ac:dyDescent="0.45">
      <c r="A549">
        <v>548</v>
      </c>
      <c r="B549" t="s">
        <v>36</v>
      </c>
      <c r="C549" t="s">
        <v>30</v>
      </c>
      <c r="D549" s="1">
        <v>45725</v>
      </c>
    </row>
    <row r="550" spans="1:4" x14ac:dyDescent="0.45">
      <c r="A550">
        <v>549</v>
      </c>
      <c r="B550" t="s">
        <v>34</v>
      </c>
      <c r="C550" t="s">
        <v>32</v>
      </c>
      <c r="D550" s="1">
        <v>45471</v>
      </c>
    </row>
    <row r="551" spans="1:4" x14ac:dyDescent="0.45">
      <c r="A551">
        <v>550</v>
      </c>
      <c r="B551" t="s">
        <v>36</v>
      </c>
      <c r="C551" t="s">
        <v>29</v>
      </c>
      <c r="D551" s="1">
        <v>45404</v>
      </c>
    </row>
    <row r="552" spans="1:4" x14ac:dyDescent="0.45">
      <c r="A552">
        <v>551</v>
      </c>
      <c r="B552" t="s">
        <v>28</v>
      </c>
      <c r="C552" t="s">
        <v>37</v>
      </c>
      <c r="D552" s="1">
        <v>45727</v>
      </c>
    </row>
    <row r="553" spans="1:4" x14ac:dyDescent="0.45">
      <c r="A553">
        <v>552</v>
      </c>
      <c r="B553" t="s">
        <v>28</v>
      </c>
      <c r="C553" t="s">
        <v>32</v>
      </c>
      <c r="D553" s="1">
        <v>45609</v>
      </c>
    </row>
    <row r="554" spans="1:4" x14ac:dyDescent="0.45">
      <c r="A554">
        <v>553</v>
      </c>
      <c r="B554" t="s">
        <v>28</v>
      </c>
      <c r="C554" t="s">
        <v>30</v>
      </c>
      <c r="D554" s="1">
        <v>45733</v>
      </c>
    </row>
    <row r="555" spans="1:4" x14ac:dyDescent="0.45">
      <c r="A555">
        <v>554</v>
      </c>
      <c r="B555" t="s">
        <v>28</v>
      </c>
      <c r="C555" t="s">
        <v>29</v>
      </c>
      <c r="D555" s="1">
        <v>45710</v>
      </c>
    </row>
    <row r="556" spans="1:4" x14ac:dyDescent="0.45">
      <c r="A556">
        <v>555</v>
      </c>
      <c r="B556" t="s">
        <v>34</v>
      </c>
      <c r="C556" t="s">
        <v>35</v>
      </c>
      <c r="D556" s="1">
        <v>45343</v>
      </c>
    </row>
    <row r="557" spans="1:4" x14ac:dyDescent="0.45">
      <c r="A557">
        <v>556</v>
      </c>
      <c r="B557" t="s">
        <v>33</v>
      </c>
      <c r="C557" t="s">
        <v>37</v>
      </c>
      <c r="D557" s="1">
        <v>45743</v>
      </c>
    </row>
    <row r="558" spans="1:4" x14ac:dyDescent="0.45">
      <c r="A558">
        <v>557</v>
      </c>
      <c r="B558" t="s">
        <v>34</v>
      </c>
      <c r="C558" t="s">
        <v>29</v>
      </c>
      <c r="D558" s="1">
        <v>45679</v>
      </c>
    </row>
    <row r="559" spans="1:4" x14ac:dyDescent="0.45">
      <c r="A559">
        <v>558</v>
      </c>
      <c r="B559" t="s">
        <v>33</v>
      </c>
      <c r="C559" t="s">
        <v>32</v>
      </c>
      <c r="D559" s="1">
        <v>45559</v>
      </c>
    </row>
    <row r="560" spans="1:4" x14ac:dyDescent="0.45">
      <c r="A560">
        <v>559</v>
      </c>
      <c r="B560" t="s">
        <v>33</v>
      </c>
      <c r="C560" t="s">
        <v>35</v>
      </c>
      <c r="D560" s="1">
        <v>45586</v>
      </c>
    </row>
    <row r="561" spans="1:4" x14ac:dyDescent="0.45">
      <c r="A561">
        <v>560</v>
      </c>
      <c r="B561" t="s">
        <v>36</v>
      </c>
      <c r="C561" t="s">
        <v>35</v>
      </c>
      <c r="D561" s="1">
        <v>45757</v>
      </c>
    </row>
    <row r="562" spans="1:4" x14ac:dyDescent="0.45">
      <c r="A562">
        <v>561</v>
      </c>
      <c r="B562" t="s">
        <v>28</v>
      </c>
      <c r="C562" t="s">
        <v>35</v>
      </c>
      <c r="D562" s="1">
        <v>45740</v>
      </c>
    </row>
    <row r="563" spans="1:4" x14ac:dyDescent="0.45">
      <c r="A563">
        <v>562</v>
      </c>
      <c r="B563" t="s">
        <v>36</v>
      </c>
      <c r="C563" t="s">
        <v>37</v>
      </c>
      <c r="D563" s="1">
        <v>45777</v>
      </c>
    </row>
    <row r="564" spans="1:4" x14ac:dyDescent="0.45">
      <c r="A564">
        <v>563</v>
      </c>
      <c r="B564" t="s">
        <v>31</v>
      </c>
      <c r="C564" t="s">
        <v>32</v>
      </c>
      <c r="D564" s="1">
        <v>45753</v>
      </c>
    </row>
    <row r="565" spans="1:4" x14ac:dyDescent="0.45">
      <c r="A565">
        <v>564</v>
      </c>
      <c r="B565" t="s">
        <v>33</v>
      </c>
      <c r="C565" t="s">
        <v>35</v>
      </c>
      <c r="D565" s="1">
        <v>45711</v>
      </c>
    </row>
    <row r="566" spans="1:4" x14ac:dyDescent="0.45">
      <c r="A566">
        <v>565</v>
      </c>
      <c r="B566" t="s">
        <v>34</v>
      </c>
      <c r="C566" t="s">
        <v>32</v>
      </c>
      <c r="D566" s="1">
        <v>45785</v>
      </c>
    </row>
    <row r="567" spans="1:4" x14ac:dyDescent="0.45">
      <c r="A567">
        <v>566</v>
      </c>
      <c r="B567" t="s">
        <v>33</v>
      </c>
      <c r="C567" t="s">
        <v>30</v>
      </c>
      <c r="D567" s="1">
        <v>45699</v>
      </c>
    </row>
    <row r="568" spans="1:4" x14ac:dyDescent="0.45">
      <c r="A568">
        <v>567</v>
      </c>
      <c r="B568" t="s">
        <v>31</v>
      </c>
      <c r="C568" t="s">
        <v>35</v>
      </c>
      <c r="D568" s="1">
        <v>45766</v>
      </c>
    </row>
    <row r="569" spans="1:4" x14ac:dyDescent="0.45">
      <c r="A569">
        <v>568</v>
      </c>
      <c r="B569" t="s">
        <v>31</v>
      </c>
      <c r="C569" t="s">
        <v>35</v>
      </c>
      <c r="D569" s="1">
        <v>45677</v>
      </c>
    </row>
    <row r="570" spans="1:4" x14ac:dyDescent="0.45">
      <c r="A570">
        <v>569</v>
      </c>
      <c r="B570" t="s">
        <v>28</v>
      </c>
      <c r="C570" t="s">
        <v>30</v>
      </c>
      <c r="D570" s="1">
        <v>45734</v>
      </c>
    </row>
    <row r="571" spans="1:4" x14ac:dyDescent="0.45">
      <c r="A571">
        <v>570</v>
      </c>
      <c r="B571" t="s">
        <v>34</v>
      </c>
      <c r="C571" t="s">
        <v>37</v>
      </c>
      <c r="D571" s="1">
        <v>45760</v>
      </c>
    </row>
    <row r="572" spans="1:4" x14ac:dyDescent="0.45">
      <c r="A572">
        <v>571</v>
      </c>
      <c r="B572" t="s">
        <v>31</v>
      </c>
      <c r="C572" t="s">
        <v>29</v>
      </c>
      <c r="D572" s="1">
        <v>45678</v>
      </c>
    </row>
    <row r="573" spans="1:4" x14ac:dyDescent="0.45">
      <c r="A573">
        <v>572</v>
      </c>
      <c r="B573" t="s">
        <v>31</v>
      </c>
      <c r="C573" t="s">
        <v>29</v>
      </c>
      <c r="D573" s="1">
        <v>45694</v>
      </c>
    </row>
    <row r="574" spans="1:4" x14ac:dyDescent="0.45">
      <c r="A574">
        <v>573</v>
      </c>
      <c r="B574" t="s">
        <v>33</v>
      </c>
      <c r="C574" t="s">
        <v>30</v>
      </c>
      <c r="D574" s="1">
        <v>45404</v>
      </c>
    </row>
    <row r="575" spans="1:4" x14ac:dyDescent="0.45">
      <c r="A575">
        <v>574</v>
      </c>
      <c r="B575" t="s">
        <v>33</v>
      </c>
      <c r="C575" t="s">
        <v>37</v>
      </c>
      <c r="D575" s="1">
        <v>45772</v>
      </c>
    </row>
    <row r="576" spans="1:4" x14ac:dyDescent="0.45">
      <c r="A576">
        <v>575</v>
      </c>
      <c r="B576" t="s">
        <v>31</v>
      </c>
      <c r="C576" t="s">
        <v>35</v>
      </c>
      <c r="D576" s="1">
        <v>45762</v>
      </c>
    </row>
    <row r="577" spans="1:4" x14ac:dyDescent="0.45">
      <c r="A577">
        <v>576</v>
      </c>
      <c r="B577" t="s">
        <v>36</v>
      </c>
      <c r="C577" t="s">
        <v>32</v>
      </c>
      <c r="D577" s="1">
        <v>45392</v>
      </c>
    </row>
    <row r="578" spans="1:4" x14ac:dyDescent="0.45">
      <c r="A578">
        <v>577</v>
      </c>
      <c r="B578" t="s">
        <v>31</v>
      </c>
      <c r="C578" t="s">
        <v>35</v>
      </c>
      <c r="D578" s="1">
        <v>45776</v>
      </c>
    </row>
    <row r="579" spans="1:4" x14ac:dyDescent="0.45">
      <c r="A579">
        <v>578</v>
      </c>
      <c r="B579" t="s">
        <v>36</v>
      </c>
      <c r="C579" t="s">
        <v>37</v>
      </c>
      <c r="D579" s="1">
        <v>45750</v>
      </c>
    </row>
    <row r="580" spans="1:4" x14ac:dyDescent="0.45">
      <c r="A580">
        <v>579</v>
      </c>
      <c r="B580" t="s">
        <v>28</v>
      </c>
      <c r="C580" t="s">
        <v>32</v>
      </c>
      <c r="D580" s="1">
        <v>45404</v>
      </c>
    </row>
    <row r="581" spans="1:4" x14ac:dyDescent="0.45">
      <c r="A581">
        <v>580</v>
      </c>
      <c r="B581" t="s">
        <v>33</v>
      </c>
      <c r="C581" t="s">
        <v>32</v>
      </c>
      <c r="D581" s="1">
        <v>45783</v>
      </c>
    </row>
    <row r="582" spans="1:4" x14ac:dyDescent="0.45">
      <c r="A582">
        <v>581</v>
      </c>
      <c r="B582" t="s">
        <v>36</v>
      </c>
      <c r="C582" t="s">
        <v>29</v>
      </c>
      <c r="D582" s="1">
        <v>45804</v>
      </c>
    </row>
    <row r="583" spans="1:4" x14ac:dyDescent="0.45">
      <c r="A583">
        <v>582</v>
      </c>
      <c r="B583" t="s">
        <v>28</v>
      </c>
      <c r="C583" t="s">
        <v>30</v>
      </c>
      <c r="D583" s="1">
        <v>45731</v>
      </c>
    </row>
    <row r="584" spans="1:4" x14ac:dyDescent="0.45">
      <c r="A584">
        <v>583</v>
      </c>
      <c r="B584" t="s">
        <v>31</v>
      </c>
      <c r="C584" t="s">
        <v>30</v>
      </c>
      <c r="D584" s="1">
        <v>45372</v>
      </c>
    </row>
    <row r="585" spans="1:4" x14ac:dyDescent="0.45">
      <c r="A585">
        <v>584</v>
      </c>
      <c r="B585" t="s">
        <v>33</v>
      </c>
      <c r="C585" t="s">
        <v>35</v>
      </c>
      <c r="D585" s="1">
        <v>45478</v>
      </c>
    </row>
    <row r="586" spans="1:4" x14ac:dyDescent="0.45">
      <c r="A586">
        <v>585</v>
      </c>
      <c r="B586" t="s">
        <v>38</v>
      </c>
      <c r="C586" t="s">
        <v>37</v>
      </c>
      <c r="D586" s="1">
        <v>45404</v>
      </c>
    </row>
    <row r="587" spans="1:4" x14ac:dyDescent="0.45">
      <c r="A587">
        <v>586</v>
      </c>
      <c r="B587" t="s">
        <v>38</v>
      </c>
      <c r="C587" t="s">
        <v>29</v>
      </c>
      <c r="D587" s="1">
        <v>45293</v>
      </c>
    </row>
    <row r="588" spans="1:4" x14ac:dyDescent="0.45">
      <c r="A588">
        <v>587</v>
      </c>
      <c r="B588" t="s">
        <v>36</v>
      </c>
      <c r="C588" t="s">
        <v>30</v>
      </c>
      <c r="D588" s="1">
        <v>45786</v>
      </c>
    </row>
    <row r="589" spans="1:4" x14ac:dyDescent="0.45">
      <c r="A589">
        <v>588</v>
      </c>
      <c r="B589" t="s">
        <v>38</v>
      </c>
      <c r="C589" t="s">
        <v>29</v>
      </c>
      <c r="D589" s="1">
        <v>45759</v>
      </c>
    </row>
    <row r="590" spans="1:4" x14ac:dyDescent="0.45">
      <c r="A590">
        <v>589</v>
      </c>
      <c r="B590" t="s">
        <v>33</v>
      </c>
      <c r="C590" t="s">
        <v>37</v>
      </c>
      <c r="D590" s="1">
        <v>45421</v>
      </c>
    </row>
    <row r="591" spans="1:4" x14ac:dyDescent="0.45">
      <c r="A591">
        <v>590</v>
      </c>
      <c r="B591" t="s">
        <v>36</v>
      </c>
      <c r="C591" t="s">
        <v>35</v>
      </c>
      <c r="D591" s="1">
        <v>45511</v>
      </c>
    </row>
    <row r="592" spans="1:4" x14ac:dyDescent="0.45">
      <c r="A592">
        <v>591</v>
      </c>
      <c r="B592" t="s">
        <v>36</v>
      </c>
      <c r="C592" t="s">
        <v>30</v>
      </c>
      <c r="D592" s="1">
        <v>45345</v>
      </c>
    </row>
    <row r="593" spans="1:4" x14ac:dyDescent="0.45">
      <c r="A593">
        <v>592</v>
      </c>
      <c r="B593" t="s">
        <v>28</v>
      </c>
      <c r="C593" t="s">
        <v>37</v>
      </c>
      <c r="D593" s="1">
        <v>45634</v>
      </c>
    </row>
    <row r="594" spans="1:4" x14ac:dyDescent="0.45">
      <c r="A594">
        <v>593</v>
      </c>
      <c r="B594" t="s">
        <v>28</v>
      </c>
      <c r="C594" t="s">
        <v>35</v>
      </c>
      <c r="D594" s="1">
        <v>45727</v>
      </c>
    </row>
    <row r="595" spans="1:4" x14ac:dyDescent="0.45">
      <c r="A595">
        <v>594</v>
      </c>
      <c r="B595" t="s">
        <v>34</v>
      </c>
      <c r="C595" t="s">
        <v>29</v>
      </c>
      <c r="D595" s="1">
        <v>45515</v>
      </c>
    </row>
    <row r="596" spans="1:4" x14ac:dyDescent="0.45">
      <c r="A596">
        <v>595</v>
      </c>
      <c r="B596" t="s">
        <v>33</v>
      </c>
      <c r="C596" t="s">
        <v>35</v>
      </c>
      <c r="D596" s="1">
        <v>45516</v>
      </c>
    </row>
    <row r="597" spans="1:4" x14ac:dyDescent="0.45">
      <c r="A597">
        <v>596</v>
      </c>
      <c r="B597" t="s">
        <v>33</v>
      </c>
      <c r="C597" t="s">
        <v>35</v>
      </c>
      <c r="D597" s="1">
        <v>45792</v>
      </c>
    </row>
    <row r="598" spans="1:4" x14ac:dyDescent="0.45">
      <c r="A598">
        <v>597</v>
      </c>
      <c r="B598" t="s">
        <v>31</v>
      </c>
      <c r="C598" t="s">
        <v>30</v>
      </c>
      <c r="D598" s="1">
        <v>45676</v>
      </c>
    </row>
    <row r="599" spans="1:4" x14ac:dyDescent="0.45">
      <c r="A599">
        <v>598</v>
      </c>
      <c r="B599" t="s">
        <v>38</v>
      </c>
      <c r="C599" t="s">
        <v>37</v>
      </c>
      <c r="D599" s="1">
        <v>45694</v>
      </c>
    </row>
    <row r="600" spans="1:4" x14ac:dyDescent="0.45">
      <c r="A600">
        <v>599</v>
      </c>
      <c r="B600" t="s">
        <v>33</v>
      </c>
      <c r="C600" t="s">
        <v>30</v>
      </c>
      <c r="D600" s="1">
        <v>45417</v>
      </c>
    </row>
    <row r="601" spans="1:4" x14ac:dyDescent="0.45">
      <c r="A601">
        <v>600</v>
      </c>
      <c r="B601" t="s">
        <v>33</v>
      </c>
      <c r="C601" t="s">
        <v>30</v>
      </c>
      <c r="D601" s="1">
        <v>45421</v>
      </c>
    </row>
    <row r="602" spans="1:4" x14ac:dyDescent="0.45">
      <c r="A602">
        <v>601</v>
      </c>
      <c r="B602" t="s">
        <v>36</v>
      </c>
      <c r="C602" t="s">
        <v>29</v>
      </c>
      <c r="D602" s="1">
        <v>45760</v>
      </c>
    </row>
    <row r="603" spans="1:4" x14ac:dyDescent="0.45">
      <c r="A603">
        <v>602</v>
      </c>
      <c r="B603" t="s">
        <v>38</v>
      </c>
      <c r="C603" t="s">
        <v>37</v>
      </c>
      <c r="D603" s="1">
        <v>45786</v>
      </c>
    </row>
    <row r="604" spans="1:4" x14ac:dyDescent="0.45">
      <c r="A604">
        <v>603</v>
      </c>
      <c r="B604" t="s">
        <v>36</v>
      </c>
      <c r="C604" t="s">
        <v>37</v>
      </c>
      <c r="D604" s="1">
        <v>45344</v>
      </c>
    </row>
    <row r="605" spans="1:4" x14ac:dyDescent="0.45">
      <c r="A605">
        <v>604</v>
      </c>
      <c r="B605" t="s">
        <v>33</v>
      </c>
      <c r="C605" t="s">
        <v>32</v>
      </c>
      <c r="D605" s="1">
        <v>45764</v>
      </c>
    </row>
    <row r="606" spans="1:4" x14ac:dyDescent="0.45">
      <c r="A606">
        <v>605</v>
      </c>
      <c r="B606" t="s">
        <v>34</v>
      </c>
      <c r="C606" t="s">
        <v>35</v>
      </c>
      <c r="D606" s="1">
        <v>45740</v>
      </c>
    </row>
    <row r="607" spans="1:4" x14ac:dyDescent="0.45">
      <c r="A607">
        <v>606</v>
      </c>
      <c r="B607" t="s">
        <v>36</v>
      </c>
      <c r="C607" t="s">
        <v>30</v>
      </c>
      <c r="D607" s="1">
        <v>45463</v>
      </c>
    </row>
    <row r="608" spans="1:4" x14ac:dyDescent="0.45">
      <c r="A608">
        <v>607</v>
      </c>
      <c r="B608" t="s">
        <v>28</v>
      </c>
      <c r="C608" t="s">
        <v>30</v>
      </c>
      <c r="D608" s="1">
        <v>45705</v>
      </c>
    </row>
    <row r="609" spans="1:4" x14ac:dyDescent="0.45">
      <c r="A609">
        <v>608</v>
      </c>
      <c r="B609" t="s">
        <v>28</v>
      </c>
      <c r="C609" t="s">
        <v>35</v>
      </c>
      <c r="D609" s="1">
        <v>45700</v>
      </c>
    </row>
    <row r="610" spans="1:4" x14ac:dyDescent="0.45">
      <c r="A610">
        <v>609</v>
      </c>
      <c r="B610" t="s">
        <v>33</v>
      </c>
      <c r="C610" t="s">
        <v>29</v>
      </c>
      <c r="D610" s="1">
        <v>45701</v>
      </c>
    </row>
    <row r="611" spans="1:4" x14ac:dyDescent="0.45">
      <c r="A611">
        <v>610</v>
      </c>
      <c r="B611" t="s">
        <v>28</v>
      </c>
      <c r="C611" t="s">
        <v>37</v>
      </c>
      <c r="D611" s="1">
        <v>45759</v>
      </c>
    </row>
    <row r="612" spans="1:4" x14ac:dyDescent="0.45">
      <c r="A612">
        <v>611</v>
      </c>
      <c r="B612" t="s">
        <v>34</v>
      </c>
      <c r="C612" t="s">
        <v>30</v>
      </c>
      <c r="D612" s="1">
        <v>45765</v>
      </c>
    </row>
    <row r="613" spans="1:4" x14ac:dyDescent="0.45">
      <c r="A613">
        <v>612</v>
      </c>
      <c r="B613" t="s">
        <v>33</v>
      </c>
      <c r="C613" t="s">
        <v>30</v>
      </c>
      <c r="D613" s="1">
        <v>45694</v>
      </c>
    </row>
    <row r="614" spans="1:4" x14ac:dyDescent="0.45">
      <c r="A614">
        <v>613</v>
      </c>
      <c r="B614" t="s">
        <v>31</v>
      </c>
      <c r="C614" t="s">
        <v>37</v>
      </c>
      <c r="D614" s="1">
        <v>45789</v>
      </c>
    </row>
    <row r="615" spans="1:4" x14ac:dyDescent="0.45">
      <c r="A615">
        <v>614</v>
      </c>
      <c r="B615" t="s">
        <v>31</v>
      </c>
      <c r="C615" t="s">
        <v>35</v>
      </c>
      <c r="D615" s="1">
        <v>45509</v>
      </c>
    </row>
    <row r="616" spans="1:4" x14ac:dyDescent="0.45">
      <c r="A616">
        <v>615</v>
      </c>
      <c r="B616" t="s">
        <v>38</v>
      </c>
      <c r="C616" t="s">
        <v>32</v>
      </c>
      <c r="D616" s="1">
        <v>45753</v>
      </c>
    </row>
    <row r="617" spans="1:4" x14ac:dyDescent="0.45">
      <c r="A617">
        <v>616</v>
      </c>
      <c r="B617" t="s">
        <v>36</v>
      </c>
      <c r="C617" t="s">
        <v>32</v>
      </c>
      <c r="D617" s="1">
        <v>45451</v>
      </c>
    </row>
    <row r="618" spans="1:4" x14ac:dyDescent="0.45">
      <c r="A618">
        <v>617</v>
      </c>
      <c r="B618" t="s">
        <v>31</v>
      </c>
      <c r="C618" t="s">
        <v>35</v>
      </c>
      <c r="D618" s="1">
        <v>45746</v>
      </c>
    </row>
    <row r="619" spans="1:4" x14ac:dyDescent="0.45">
      <c r="A619">
        <v>618</v>
      </c>
      <c r="B619" t="s">
        <v>31</v>
      </c>
      <c r="C619" t="s">
        <v>37</v>
      </c>
      <c r="D619" s="1">
        <v>45489</v>
      </c>
    </row>
    <row r="620" spans="1:4" x14ac:dyDescent="0.45">
      <c r="A620">
        <v>619</v>
      </c>
      <c r="B620" t="s">
        <v>33</v>
      </c>
      <c r="C620" t="s">
        <v>35</v>
      </c>
      <c r="D620" s="1">
        <v>45707</v>
      </c>
    </row>
    <row r="621" spans="1:4" x14ac:dyDescent="0.45">
      <c r="A621">
        <v>620</v>
      </c>
      <c r="B621" t="s">
        <v>31</v>
      </c>
      <c r="C621" t="s">
        <v>29</v>
      </c>
      <c r="D621" s="1">
        <v>45767</v>
      </c>
    </row>
    <row r="622" spans="1:4" x14ac:dyDescent="0.45">
      <c r="A622">
        <v>621</v>
      </c>
      <c r="B622" t="s">
        <v>33</v>
      </c>
      <c r="C622" t="s">
        <v>30</v>
      </c>
      <c r="D622" s="1">
        <v>45538</v>
      </c>
    </row>
    <row r="623" spans="1:4" x14ac:dyDescent="0.45">
      <c r="A623">
        <v>622</v>
      </c>
      <c r="B623" t="s">
        <v>31</v>
      </c>
      <c r="C623" t="s">
        <v>35</v>
      </c>
      <c r="D623" s="1">
        <v>45615</v>
      </c>
    </row>
    <row r="624" spans="1:4" x14ac:dyDescent="0.45">
      <c r="A624">
        <v>623</v>
      </c>
      <c r="B624" t="s">
        <v>31</v>
      </c>
      <c r="C624" t="s">
        <v>37</v>
      </c>
      <c r="D624" s="1">
        <v>45730</v>
      </c>
    </row>
    <row r="625" spans="1:4" x14ac:dyDescent="0.45">
      <c r="A625">
        <v>624</v>
      </c>
      <c r="B625" t="s">
        <v>34</v>
      </c>
      <c r="C625" t="s">
        <v>30</v>
      </c>
      <c r="D625" s="1">
        <v>45727</v>
      </c>
    </row>
    <row r="626" spans="1:4" x14ac:dyDescent="0.45">
      <c r="A626">
        <v>625</v>
      </c>
      <c r="B626" t="s">
        <v>38</v>
      </c>
      <c r="C626" t="s">
        <v>32</v>
      </c>
      <c r="D626" s="1">
        <v>45685</v>
      </c>
    </row>
    <row r="627" spans="1:4" x14ac:dyDescent="0.45">
      <c r="A627">
        <v>626</v>
      </c>
      <c r="B627" t="s">
        <v>33</v>
      </c>
      <c r="C627" t="s">
        <v>30</v>
      </c>
      <c r="D627" s="1">
        <v>45707</v>
      </c>
    </row>
    <row r="628" spans="1:4" x14ac:dyDescent="0.45">
      <c r="A628">
        <v>627</v>
      </c>
      <c r="B628" t="s">
        <v>31</v>
      </c>
      <c r="C628" t="s">
        <v>30</v>
      </c>
      <c r="D628" s="1">
        <v>45494</v>
      </c>
    </row>
    <row r="629" spans="1:4" x14ac:dyDescent="0.45">
      <c r="A629">
        <v>628</v>
      </c>
      <c r="B629" t="s">
        <v>28</v>
      </c>
      <c r="C629" t="s">
        <v>32</v>
      </c>
      <c r="D629" s="1">
        <v>45709</v>
      </c>
    </row>
    <row r="630" spans="1:4" x14ac:dyDescent="0.45">
      <c r="A630">
        <v>629</v>
      </c>
      <c r="B630" t="s">
        <v>33</v>
      </c>
      <c r="C630" t="s">
        <v>35</v>
      </c>
      <c r="D630" s="1">
        <v>45475</v>
      </c>
    </row>
    <row r="631" spans="1:4" x14ac:dyDescent="0.45">
      <c r="A631">
        <v>630</v>
      </c>
      <c r="B631" t="s">
        <v>38</v>
      </c>
      <c r="C631" t="s">
        <v>37</v>
      </c>
      <c r="D631" s="1">
        <v>45414</v>
      </c>
    </row>
    <row r="632" spans="1:4" x14ac:dyDescent="0.45">
      <c r="A632">
        <v>631</v>
      </c>
      <c r="B632" t="s">
        <v>38</v>
      </c>
      <c r="C632" t="s">
        <v>30</v>
      </c>
      <c r="D632" s="1">
        <v>45692</v>
      </c>
    </row>
    <row r="633" spans="1:4" x14ac:dyDescent="0.45">
      <c r="A633">
        <v>632</v>
      </c>
      <c r="B633" t="s">
        <v>38</v>
      </c>
      <c r="C633" t="s">
        <v>32</v>
      </c>
      <c r="D633" s="1">
        <v>45546</v>
      </c>
    </row>
    <row r="634" spans="1:4" x14ac:dyDescent="0.45">
      <c r="A634">
        <v>633</v>
      </c>
      <c r="B634" t="s">
        <v>34</v>
      </c>
      <c r="C634" t="s">
        <v>29</v>
      </c>
      <c r="D634" s="1">
        <v>45727</v>
      </c>
    </row>
    <row r="635" spans="1:4" x14ac:dyDescent="0.45">
      <c r="A635">
        <v>634</v>
      </c>
      <c r="B635" t="s">
        <v>38</v>
      </c>
      <c r="C635" t="s">
        <v>32</v>
      </c>
      <c r="D635" s="1">
        <v>45719</v>
      </c>
    </row>
    <row r="636" spans="1:4" x14ac:dyDescent="0.45">
      <c r="A636">
        <v>635</v>
      </c>
      <c r="B636" t="s">
        <v>38</v>
      </c>
      <c r="C636" t="s">
        <v>30</v>
      </c>
      <c r="D636" s="1">
        <v>45585</v>
      </c>
    </row>
    <row r="637" spans="1:4" x14ac:dyDescent="0.45">
      <c r="A637">
        <v>636</v>
      </c>
      <c r="B637" t="s">
        <v>34</v>
      </c>
      <c r="C637" t="s">
        <v>29</v>
      </c>
      <c r="D637" s="1">
        <v>45734</v>
      </c>
    </row>
    <row r="638" spans="1:4" x14ac:dyDescent="0.45">
      <c r="A638">
        <v>637</v>
      </c>
      <c r="B638" t="s">
        <v>38</v>
      </c>
      <c r="C638" t="s">
        <v>29</v>
      </c>
      <c r="D638" s="1">
        <v>45571</v>
      </c>
    </row>
    <row r="639" spans="1:4" x14ac:dyDescent="0.45">
      <c r="A639">
        <v>638</v>
      </c>
      <c r="B639" t="s">
        <v>28</v>
      </c>
      <c r="C639" t="s">
        <v>32</v>
      </c>
      <c r="D639" s="1">
        <v>45758</v>
      </c>
    </row>
    <row r="640" spans="1:4" x14ac:dyDescent="0.45">
      <c r="A640">
        <v>639</v>
      </c>
      <c r="B640" t="s">
        <v>33</v>
      </c>
      <c r="C640" t="s">
        <v>29</v>
      </c>
      <c r="D640" s="1">
        <v>45742</v>
      </c>
    </row>
    <row r="641" spans="1:4" x14ac:dyDescent="0.45">
      <c r="A641">
        <v>640</v>
      </c>
      <c r="B641" t="s">
        <v>28</v>
      </c>
      <c r="C641" t="s">
        <v>35</v>
      </c>
      <c r="D641" s="1">
        <v>45677</v>
      </c>
    </row>
    <row r="642" spans="1:4" x14ac:dyDescent="0.45">
      <c r="A642">
        <v>641</v>
      </c>
      <c r="B642" t="s">
        <v>34</v>
      </c>
      <c r="C642" t="s">
        <v>30</v>
      </c>
      <c r="D642" s="1">
        <v>45737</v>
      </c>
    </row>
    <row r="643" spans="1:4" x14ac:dyDescent="0.45">
      <c r="A643">
        <v>642</v>
      </c>
      <c r="B643" t="s">
        <v>38</v>
      </c>
      <c r="C643" t="s">
        <v>32</v>
      </c>
      <c r="D643" s="1">
        <v>45791</v>
      </c>
    </row>
    <row r="644" spans="1:4" x14ac:dyDescent="0.45">
      <c r="A644">
        <v>643</v>
      </c>
      <c r="B644" t="s">
        <v>38</v>
      </c>
      <c r="C644" t="s">
        <v>37</v>
      </c>
      <c r="D644" s="1">
        <v>45714</v>
      </c>
    </row>
    <row r="645" spans="1:4" x14ac:dyDescent="0.45">
      <c r="A645">
        <v>644</v>
      </c>
      <c r="B645" t="s">
        <v>38</v>
      </c>
      <c r="C645" t="s">
        <v>30</v>
      </c>
      <c r="D645" s="1">
        <v>45616</v>
      </c>
    </row>
    <row r="646" spans="1:4" x14ac:dyDescent="0.45">
      <c r="A646">
        <v>645</v>
      </c>
      <c r="B646" t="s">
        <v>38</v>
      </c>
      <c r="C646" t="s">
        <v>35</v>
      </c>
      <c r="D646" s="1">
        <v>45663</v>
      </c>
    </row>
    <row r="647" spans="1:4" x14ac:dyDescent="0.45">
      <c r="A647">
        <v>646</v>
      </c>
      <c r="B647" t="s">
        <v>34</v>
      </c>
      <c r="C647" t="s">
        <v>29</v>
      </c>
      <c r="D647" s="1">
        <v>45705</v>
      </c>
    </row>
    <row r="648" spans="1:4" x14ac:dyDescent="0.45">
      <c r="A648">
        <v>647</v>
      </c>
      <c r="B648" t="s">
        <v>28</v>
      </c>
      <c r="C648" t="s">
        <v>37</v>
      </c>
      <c r="D648" s="1">
        <v>45800</v>
      </c>
    </row>
    <row r="649" spans="1:4" x14ac:dyDescent="0.45">
      <c r="A649">
        <v>648</v>
      </c>
      <c r="B649" t="s">
        <v>36</v>
      </c>
      <c r="C649" t="s">
        <v>30</v>
      </c>
      <c r="D649" s="1">
        <v>45706</v>
      </c>
    </row>
    <row r="650" spans="1:4" x14ac:dyDescent="0.45">
      <c r="A650">
        <v>649</v>
      </c>
      <c r="B650" t="s">
        <v>33</v>
      </c>
      <c r="C650" t="s">
        <v>29</v>
      </c>
      <c r="D650" s="1">
        <v>45711</v>
      </c>
    </row>
    <row r="651" spans="1:4" x14ac:dyDescent="0.45">
      <c r="A651">
        <v>650</v>
      </c>
      <c r="B651" t="s">
        <v>33</v>
      </c>
      <c r="C651" t="s">
        <v>30</v>
      </c>
      <c r="D651" s="1">
        <v>45389</v>
      </c>
    </row>
    <row r="652" spans="1:4" x14ac:dyDescent="0.45">
      <c r="A652">
        <v>651</v>
      </c>
      <c r="B652" t="s">
        <v>28</v>
      </c>
      <c r="C652" t="s">
        <v>37</v>
      </c>
      <c r="D652" s="1">
        <v>45489</v>
      </c>
    </row>
    <row r="653" spans="1:4" x14ac:dyDescent="0.45">
      <c r="A653">
        <v>652</v>
      </c>
      <c r="B653" t="s">
        <v>36</v>
      </c>
      <c r="C653" t="s">
        <v>29</v>
      </c>
      <c r="D653" s="1">
        <v>45731</v>
      </c>
    </row>
    <row r="654" spans="1:4" x14ac:dyDescent="0.45">
      <c r="A654">
        <v>653</v>
      </c>
      <c r="B654" t="s">
        <v>38</v>
      </c>
      <c r="C654" t="s">
        <v>30</v>
      </c>
      <c r="D654" s="1">
        <v>45789</v>
      </c>
    </row>
    <row r="655" spans="1:4" x14ac:dyDescent="0.45">
      <c r="A655">
        <v>654</v>
      </c>
      <c r="B655" t="s">
        <v>33</v>
      </c>
      <c r="C655" t="s">
        <v>29</v>
      </c>
      <c r="D655" s="1">
        <v>45782</v>
      </c>
    </row>
    <row r="656" spans="1:4" x14ac:dyDescent="0.45">
      <c r="A656">
        <v>655</v>
      </c>
      <c r="B656" t="s">
        <v>33</v>
      </c>
      <c r="C656" t="s">
        <v>29</v>
      </c>
      <c r="D656" s="1">
        <v>45736</v>
      </c>
    </row>
    <row r="657" spans="1:4" x14ac:dyDescent="0.45">
      <c r="A657">
        <v>656</v>
      </c>
      <c r="B657" t="s">
        <v>36</v>
      </c>
      <c r="C657" t="s">
        <v>29</v>
      </c>
      <c r="D657" s="1">
        <v>45740</v>
      </c>
    </row>
    <row r="658" spans="1:4" x14ac:dyDescent="0.45">
      <c r="A658">
        <v>657</v>
      </c>
      <c r="B658" t="s">
        <v>33</v>
      </c>
      <c r="C658" t="s">
        <v>35</v>
      </c>
      <c r="D658" s="1">
        <v>45732</v>
      </c>
    </row>
    <row r="659" spans="1:4" x14ac:dyDescent="0.45">
      <c r="A659">
        <v>658</v>
      </c>
      <c r="B659" t="s">
        <v>33</v>
      </c>
      <c r="C659" t="s">
        <v>30</v>
      </c>
      <c r="D659" s="1">
        <v>45724</v>
      </c>
    </row>
    <row r="660" spans="1:4" x14ac:dyDescent="0.45">
      <c r="A660">
        <v>659</v>
      </c>
      <c r="B660" t="s">
        <v>38</v>
      </c>
      <c r="C660" t="s">
        <v>32</v>
      </c>
      <c r="D660" s="1">
        <v>45735</v>
      </c>
    </row>
    <row r="661" spans="1:4" x14ac:dyDescent="0.45">
      <c r="A661">
        <v>660</v>
      </c>
      <c r="B661" t="s">
        <v>33</v>
      </c>
      <c r="C661" t="s">
        <v>29</v>
      </c>
      <c r="D661" s="1">
        <v>45770</v>
      </c>
    </row>
    <row r="662" spans="1:4" x14ac:dyDescent="0.45">
      <c r="A662">
        <v>661</v>
      </c>
      <c r="B662" t="s">
        <v>34</v>
      </c>
      <c r="C662" t="s">
        <v>37</v>
      </c>
      <c r="D662" s="1">
        <v>45686</v>
      </c>
    </row>
    <row r="663" spans="1:4" x14ac:dyDescent="0.45">
      <c r="A663">
        <v>662</v>
      </c>
      <c r="B663" t="s">
        <v>33</v>
      </c>
      <c r="C663" t="s">
        <v>30</v>
      </c>
      <c r="D663" s="1">
        <v>45721</v>
      </c>
    </row>
    <row r="664" spans="1:4" x14ac:dyDescent="0.45">
      <c r="A664">
        <v>663</v>
      </c>
      <c r="B664" t="s">
        <v>31</v>
      </c>
      <c r="C664" t="s">
        <v>35</v>
      </c>
      <c r="D664" s="1">
        <v>45724</v>
      </c>
    </row>
    <row r="665" spans="1:4" x14ac:dyDescent="0.45">
      <c r="A665">
        <v>664</v>
      </c>
      <c r="B665" t="s">
        <v>28</v>
      </c>
      <c r="C665" t="s">
        <v>29</v>
      </c>
      <c r="D665" s="1">
        <v>45765</v>
      </c>
    </row>
    <row r="666" spans="1:4" x14ac:dyDescent="0.45">
      <c r="A666">
        <v>665</v>
      </c>
      <c r="B666" t="s">
        <v>38</v>
      </c>
      <c r="C666" t="s">
        <v>35</v>
      </c>
      <c r="D666" s="1">
        <v>45753</v>
      </c>
    </row>
    <row r="667" spans="1:4" x14ac:dyDescent="0.45">
      <c r="A667">
        <v>666</v>
      </c>
      <c r="B667" t="s">
        <v>36</v>
      </c>
      <c r="C667" t="s">
        <v>37</v>
      </c>
      <c r="D667" s="1">
        <v>45531</v>
      </c>
    </row>
    <row r="668" spans="1:4" x14ac:dyDescent="0.45">
      <c r="A668">
        <v>667</v>
      </c>
      <c r="B668" t="s">
        <v>31</v>
      </c>
      <c r="C668" t="s">
        <v>30</v>
      </c>
      <c r="D668" s="1">
        <v>45435</v>
      </c>
    </row>
    <row r="669" spans="1:4" x14ac:dyDescent="0.45">
      <c r="A669">
        <v>668</v>
      </c>
      <c r="B669" t="s">
        <v>34</v>
      </c>
      <c r="C669" t="s">
        <v>35</v>
      </c>
      <c r="D669" s="1">
        <v>45388</v>
      </c>
    </row>
    <row r="670" spans="1:4" x14ac:dyDescent="0.45">
      <c r="A670">
        <v>669</v>
      </c>
      <c r="B670" t="s">
        <v>31</v>
      </c>
      <c r="C670" t="s">
        <v>30</v>
      </c>
      <c r="D670" s="1">
        <v>45492</v>
      </c>
    </row>
    <row r="671" spans="1:4" x14ac:dyDescent="0.45">
      <c r="A671">
        <v>670</v>
      </c>
      <c r="B671" t="s">
        <v>33</v>
      </c>
      <c r="C671" t="s">
        <v>30</v>
      </c>
      <c r="D671" s="1">
        <v>45768</v>
      </c>
    </row>
    <row r="672" spans="1:4" x14ac:dyDescent="0.45">
      <c r="A672">
        <v>671</v>
      </c>
      <c r="B672" t="s">
        <v>31</v>
      </c>
      <c r="C672" t="s">
        <v>35</v>
      </c>
      <c r="D672" s="1">
        <v>45415</v>
      </c>
    </row>
    <row r="673" spans="1:4" x14ac:dyDescent="0.45">
      <c r="A673">
        <v>672</v>
      </c>
      <c r="B673" t="s">
        <v>36</v>
      </c>
      <c r="C673" t="s">
        <v>29</v>
      </c>
      <c r="D673" s="1">
        <v>45680</v>
      </c>
    </row>
    <row r="674" spans="1:4" x14ac:dyDescent="0.45">
      <c r="A674">
        <v>673</v>
      </c>
      <c r="B674" t="s">
        <v>36</v>
      </c>
      <c r="C674" t="s">
        <v>30</v>
      </c>
      <c r="D674" s="1">
        <v>45763</v>
      </c>
    </row>
    <row r="675" spans="1:4" x14ac:dyDescent="0.45">
      <c r="A675">
        <v>674</v>
      </c>
      <c r="B675" t="s">
        <v>31</v>
      </c>
      <c r="C675" t="s">
        <v>35</v>
      </c>
      <c r="D675" s="1">
        <v>45478</v>
      </c>
    </row>
    <row r="676" spans="1:4" x14ac:dyDescent="0.45">
      <c r="A676">
        <v>675</v>
      </c>
      <c r="B676" t="s">
        <v>33</v>
      </c>
      <c r="C676" t="s">
        <v>30</v>
      </c>
      <c r="D676" s="1">
        <v>45676</v>
      </c>
    </row>
    <row r="677" spans="1:4" x14ac:dyDescent="0.45">
      <c r="A677">
        <v>676</v>
      </c>
      <c r="B677" t="s">
        <v>38</v>
      </c>
      <c r="C677" t="s">
        <v>35</v>
      </c>
      <c r="D677" s="1">
        <v>45773</v>
      </c>
    </row>
    <row r="678" spans="1:4" x14ac:dyDescent="0.45">
      <c r="A678">
        <v>677</v>
      </c>
      <c r="B678" t="s">
        <v>38</v>
      </c>
      <c r="C678" t="s">
        <v>30</v>
      </c>
      <c r="D678" s="1">
        <v>45728</v>
      </c>
    </row>
    <row r="679" spans="1:4" x14ac:dyDescent="0.45">
      <c r="A679">
        <v>678</v>
      </c>
      <c r="B679" t="s">
        <v>33</v>
      </c>
      <c r="C679" t="s">
        <v>32</v>
      </c>
      <c r="D679" s="1">
        <v>45617</v>
      </c>
    </row>
    <row r="680" spans="1:4" x14ac:dyDescent="0.45">
      <c r="A680">
        <v>679</v>
      </c>
      <c r="B680" t="s">
        <v>38</v>
      </c>
      <c r="C680" t="s">
        <v>35</v>
      </c>
      <c r="D680" s="1">
        <v>45640</v>
      </c>
    </row>
    <row r="681" spans="1:4" x14ac:dyDescent="0.45">
      <c r="A681">
        <v>680</v>
      </c>
      <c r="B681" t="s">
        <v>34</v>
      </c>
      <c r="C681" t="s">
        <v>29</v>
      </c>
      <c r="D681" s="1">
        <v>45550</v>
      </c>
    </row>
    <row r="682" spans="1:4" x14ac:dyDescent="0.45">
      <c r="A682">
        <v>681</v>
      </c>
      <c r="B682" t="s">
        <v>36</v>
      </c>
      <c r="C682" t="s">
        <v>37</v>
      </c>
      <c r="D682" s="1">
        <v>45695</v>
      </c>
    </row>
    <row r="683" spans="1:4" x14ac:dyDescent="0.45">
      <c r="A683">
        <v>682</v>
      </c>
      <c r="B683" t="s">
        <v>38</v>
      </c>
      <c r="C683" t="s">
        <v>37</v>
      </c>
      <c r="D683" s="1">
        <v>45726</v>
      </c>
    </row>
    <row r="684" spans="1:4" x14ac:dyDescent="0.45">
      <c r="A684">
        <v>683</v>
      </c>
      <c r="B684" t="s">
        <v>28</v>
      </c>
      <c r="C684" t="s">
        <v>30</v>
      </c>
      <c r="D684" s="1">
        <v>45439</v>
      </c>
    </row>
    <row r="685" spans="1:4" x14ac:dyDescent="0.45">
      <c r="A685">
        <v>684</v>
      </c>
      <c r="B685" t="s">
        <v>31</v>
      </c>
      <c r="C685" t="s">
        <v>29</v>
      </c>
      <c r="D685" s="1">
        <v>45753</v>
      </c>
    </row>
    <row r="686" spans="1:4" x14ac:dyDescent="0.45">
      <c r="A686">
        <v>685</v>
      </c>
      <c r="B686" t="s">
        <v>34</v>
      </c>
      <c r="C686" t="s">
        <v>30</v>
      </c>
      <c r="D686" s="1">
        <v>45761</v>
      </c>
    </row>
    <row r="687" spans="1:4" x14ac:dyDescent="0.45">
      <c r="A687">
        <v>686</v>
      </c>
      <c r="B687" t="s">
        <v>31</v>
      </c>
      <c r="C687" t="s">
        <v>37</v>
      </c>
      <c r="D687" s="1">
        <v>45758</v>
      </c>
    </row>
    <row r="688" spans="1:4" x14ac:dyDescent="0.45">
      <c r="A688">
        <v>687</v>
      </c>
      <c r="B688" t="s">
        <v>28</v>
      </c>
      <c r="C688" t="s">
        <v>35</v>
      </c>
      <c r="D688" s="1">
        <v>45786</v>
      </c>
    </row>
    <row r="689" spans="1:4" x14ac:dyDescent="0.45">
      <c r="A689">
        <v>688</v>
      </c>
      <c r="B689" t="s">
        <v>33</v>
      </c>
      <c r="C689" t="s">
        <v>32</v>
      </c>
      <c r="D689" s="1">
        <v>45749</v>
      </c>
    </row>
    <row r="690" spans="1:4" x14ac:dyDescent="0.45">
      <c r="A690">
        <v>689</v>
      </c>
      <c r="B690" t="s">
        <v>34</v>
      </c>
      <c r="C690" t="s">
        <v>29</v>
      </c>
      <c r="D690" s="1">
        <v>45735</v>
      </c>
    </row>
    <row r="691" spans="1:4" x14ac:dyDescent="0.45">
      <c r="A691">
        <v>690</v>
      </c>
      <c r="B691" t="s">
        <v>34</v>
      </c>
      <c r="C691" t="s">
        <v>32</v>
      </c>
      <c r="D691" s="1">
        <v>45777</v>
      </c>
    </row>
    <row r="692" spans="1:4" x14ac:dyDescent="0.45">
      <c r="A692">
        <v>691</v>
      </c>
      <c r="B692" t="s">
        <v>33</v>
      </c>
      <c r="C692" t="s">
        <v>32</v>
      </c>
      <c r="D692" s="1">
        <v>45751</v>
      </c>
    </row>
    <row r="693" spans="1:4" x14ac:dyDescent="0.45">
      <c r="A693">
        <v>692</v>
      </c>
      <c r="B693" t="s">
        <v>28</v>
      </c>
      <c r="C693" t="s">
        <v>29</v>
      </c>
      <c r="D693" s="1">
        <v>45782</v>
      </c>
    </row>
    <row r="694" spans="1:4" x14ac:dyDescent="0.45">
      <c r="A694">
        <v>693</v>
      </c>
      <c r="B694" t="s">
        <v>31</v>
      </c>
      <c r="C694" t="s">
        <v>35</v>
      </c>
      <c r="D694" s="1">
        <v>45729</v>
      </c>
    </row>
    <row r="695" spans="1:4" x14ac:dyDescent="0.45">
      <c r="A695">
        <v>694</v>
      </c>
      <c r="B695" t="s">
        <v>31</v>
      </c>
      <c r="C695" t="s">
        <v>32</v>
      </c>
      <c r="D695" s="1">
        <v>45543</v>
      </c>
    </row>
    <row r="696" spans="1:4" x14ac:dyDescent="0.45">
      <c r="A696">
        <v>695</v>
      </c>
      <c r="B696" t="s">
        <v>34</v>
      </c>
      <c r="C696" t="s">
        <v>29</v>
      </c>
      <c r="D696" s="1">
        <v>45705</v>
      </c>
    </row>
    <row r="697" spans="1:4" x14ac:dyDescent="0.45">
      <c r="A697">
        <v>696</v>
      </c>
      <c r="B697" t="s">
        <v>28</v>
      </c>
      <c r="C697" t="s">
        <v>32</v>
      </c>
      <c r="D697" s="1">
        <v>45734</v>
      </c>
    </row>
    <row r="698" spans="1:4" x14ac:dyDescent="0.45">
      <c r="A698">
        <v>697</v>
      </c>
      <c r="B698" t="s">
        <v>36</v>
      </c>
      <c r="C698" t="s">
        <v>29</v>
      </c>
      <c r="D698" s="1">
        <v>45747</v>
      </c>
    </row>
    <row r="699" spans="1:4" x14ac:dyDescent="0.45">
      <c r="A699">
        <v>698</v>
      </c>
      <c r="B699" t="s">
        <v>38</v>
      </c>
      <c r="C699" t="s">
        <v>30</v>
      </c>
      <c r="D699" s="1">
        <v>45752</v>
      </c>
    </row>
    <row r="700" spans="1:4" x14ac:dyDescent="0.45">
      <c r="A700">
        <v>699</v>
      </c>
      <c r="B700" t="s">
        <v>31</v>
      </c>
      <c r="C700" t="s">
        <v>29</v>
      </c>
      <c r="D700" s="1">
        <v>45713</v>
      </c>
    </row>
    <row r="701" spans="1:4" x14ac:dyDescent="0.45">
      <c r="A701">
        <v>700</v>
      </c>
      <c r="B701" t="s">
        <v>38</v>
      </c>
      <c r="C701" t="s">
        <v>37</v>
      </c>
      <c r="D701" s="1">
        <v>45724</v>
      </c>
    </row>
    <row r="702" spans="1:4" x14ac:dyDescent="0.45">
      <c r="A702">
        <v>701</v>
      </c>
      <c r="B702" t="s">
        <v>34</v>
      </c>
      <c r="C702" t="s">
        <v>35</v>
      </c>
      <c r="D702" s="1">
        <v>45694</v>
      </c>
    </row>
    <row r="703" spans="1:4" x14ac:dyDescent="0.45">
      <c r="A703">
        <v>702</v>
      </c>
      <c r="B703" t="s">
        <v>38</v>
      </c>
      <c r="C703" t="s">
        <v>32</v>
      </c>
      <c r="D703" s="1">
        <v>45816</v>
      </c>
    </row>
    <row r="704" spans="1:4" x14ac:dyDescent="0.45">
      <c r="A704">
        <v>703</v>
      </c>
      <c r="B704" t="s">
        <v>36</v>
      </c>
      <c r="C704" t="s">
        <v>37</v>
      </c>
      <c r="D704" s="1">
        <v>45746</v>
      </c>
    </row>
    <row r="705" spans="1:4" x14ac:dyDescent="0.45">
      <c r="A705">
        <v>704</v>
      </c>
      <c r="B705" t="s">
        <v>36</v>
      </c>
      <c r="C705" t="s">
        <v>37</v>
      </c>
      <c r="D705" s="1">
        <v>45757</v>
      </c>
    </row>
    <row r="706" spans="1:4" x14ac:dyDescent="0.45">
      <c r="A706">
        <v>705</v>
      </c>
      <c r="B706" t="s">
        <v>34</v>
      </c>
      <c r="C706" t="s">
        <v>35</v>
      </c>
      <c r="D706" s="1">
        <v>45711</v>
      </c>
    </row>
    <row r="707" spans="1:4" x14ac:dyDescent="0.45">
      <c r="A707">
        <v>706</v>
      </c>
      <c r="B707" t="s">
        <v>28</v>
      </c>
      <c r="C707" t="s">
        <v>30</v>
      </c>
      <c r="D707" s="1">
        <v>45773</v>
      </c>
    </row>
    <row r="708" spans="1:4" x14ac:dyDescent="0.45">
      <c r="A708">
        <v>707</v>
      </c>
      <c r="B708" t="s">
        <v>28</v>
      </c>
      <c r="C708" t="s">
        <v>32</v>
      </c>
      <c r="D708" s="1">
        <v>45694</v>
      </c>
    </row>
    <row r="709" spans="1:4" x14ac:dyDescent="0.45">
      <c r="A709">
        <v>708</v>
      </c>
      <c r="B709" t="s">
        <v>31</v>
      </c>
      <c r="C709" t="s">
        <v>30</v>
      </c>
      <c r="D709" s="1">
        <v>45637</v>
      </c>
    </row>
    <row r="710" spans="1:4" x14ac:dyDescent="0.45">
      <c r="A710">
        <v>709</v>
      </c>
      <c r="B710" t="s">
        <v>36</v>
      </c>
      <c r="C710" t="s">
        <v>30</v>
      </c>
      <c r="D710" s="1">
        <v>45742</v>
      </c>
    </row>
    <row r="711" spans="1:4" x14ac:dyDescent="0.45">
      <c r="A711">
        <v>710</v>
      </c>
      <c r="B711" t="s">
        <v>28</v>
      </c>
      <c r="C711" t="s">
        <v>30</v>
      </c>
      <c r="D711" s="1">
        <v>45693</v>
      </c>
    </row>
    <row r="712" spans="1:4" x14ac:dyDescent="0.45">
      <c r="A712">
        <v>711</v>
      </c>
      <c r="B712" t="s">
        <v>28</v>
      </c>
      <c r="C712" t="s">
        <v>37</v>
      </c>
      <c r="D712" s="1">
        <v>45781</v>
      </c>
    </row>
    <row r="713" spans="1:4" x14ac:dyDescent="0.45">
      <c r="A713">
        <v>712</v>
      </c>
      <c r="B713" t="s">
        <v>36</v>
      </c>
      <c r="C713" t="s">
        <v>30</v>
      </c>
      <c r="D713" s="1">
        <v>45438</v>
      </c>
    </row>
    <row r="714" spans="1:4" x14ac:dyDescent="0.45">
      <c r="A714">
        <v>713</v>
      </c>
      <c r="B714" t="s">
        <v>28</v>
      </c>
      <c r="C714" t="s">
        <v>30</v>
      </c>
      <c r="D714" s="1">
        <v>45439</v>
      </c>
    </row>
    <row r="715" spans="1:4" x14ac:dyDescent="0.45">
      <c r="A715">
        <v>714</v>
      </c>
      <c r="B715" t="s">
        <v>38</v>
      </c>
      <c r="C715" t="s">
        <v>32</v>
      </c>
      <c r="D715" s="1">
        <v>45738</v>
      </c>
    </row>
    <row r="716" spans="1:4" x14ac:dyDescent="0.45">
      <c r="A716">
        <v>715</v>
      </c>
      <c r="B716" t="s">
        <v>36</v>
      </c>
      <c r="C716" t="s">
        <v>35</v>
      </c>
      <c r="D716" s="1">
        <v>45643</v>
      </c>
    </row>
    <row r="717" spans="1:4" x14ac:dyDescent="0.45">
      <c r="A717">
        <v>716</v>
      </c>
      <c r="B717" t="s">
        <v>28</v>
      </c>
      <c r="C717" t="s">
        <v>35</v>
      </c>
      <c r="D717" s="1">
        <v>45490</v>
      </c>
    </row>
    <row r="718" spans="1:4" x14ac:dyDescent="0.45">
      <c r="A718">
        <v>717</v>
      </c>
      <c r="B718" t="s">
        <v>34</v>
      </c>
      <c r="C718" t="s">
        <v>32</v>
      </c>
      <c r="D718" s="1">
        <v>45599</v>
      </c>
    </row>
    <row r="719" spans="1:4" x14ac:dyDescent="0.45">
      <c r="A719">
        <v>718</v>
      </c>
      <c r="B719" t="s">
        <v>33</v>
      </c>
      <c r="C719" t="s">
        <v>37</v>
      </c>
      <c r="D719" s="1">
        <v>45748</v>
      </c>
    </row>
    <row r="720" spans="1:4" x14ac:dyDescent="0.45">
      <c r="A720">
        <v>719</v>
      </c>
      <c r="B720" t="s">
        <v>33</v>
      </c>
      <c r="C720" t="s">
        <v>35</v>
      </c>
      <c r="D720" s="1">
        <v>45708</v>
      </c>
    </row>
    <row r="721" spans="1:4" x14ac:dyDescent="0.45">
      <c r="A721">
        <v>720</v>
      </c>
      <c r="B721" t="s">
        <v>34</v>
      </c>
      <c r="C721" t="s">
        <v>32</v>
      </c>
      <c r="D721" s="1">
        <v>45737</v>
      </c>
    </row>
    <row r="722" spans="1:4" x14ac:dyDescent="0.45">
      <c r="A722">
        <v>721</v>
      </c>
      <c r="B722" t="s">
        <v>31</v>
      </c>
      <c r="C722" t="s">
        <v>37</v>
      </c>
      <c r="D722" s="1">
        <v>45715</v>
      </c>
    </row>
    <row r="723" spans="1:4" x14ac:dyDescent="0.45">
      <c r="A723">
        <v>722</v>
      </c>
      <c r="B723" t="s">
        <v>33</v>
      </c>
      <c r="C723" t="s">
        <v>35</v>
      </c>
      <c r="D723" s="1">
        <v>45419</v>
      </c>
    </row>
    <row r="724" spans="1:4" x14ac:dyDescent="0.45">
      <c r="A724">
        <v>723</v>
      </c>
      <c r="B724" t="s">
        <v>33</v>
      </c>
      <c r="C724" t="s">
        <v>29</v>
      </c>
      <c r="D724" s="1">
        <v>45330</v>
      </c>
    </row>
    <row r="725" spans="1:4" x14ac:dyDescent="0.45">
      <c r="A725">
        <v>724</v>
      </c>
      <c r="B725" t="s">
        <v>28</v>
      </c>
      <c r="C725" t="s">
        <v>29</v>
      </c>
      <c r="D725" s="1">
        <v>45629</v>
      </c>
    </row>
    <row r="726" spans="1:4" x14ac:dyDescent="0.45">
      <c r="A726">
        <v>725</v>
      </c>
      <c r="B726" t="s">
        <v>34</v>
      </c>
      <c r="C726" t="s">
        <v>30</v>
      </c>
      <c r="D726" s="1">
        <v>45761</v>
      </c>
    </row>
    <row r="727" spans="1:4" x14ac:dyDescent="0.45">
      <c r="A727">
        <v>726</v>
      </c>
      <c r="B727" t="s">
        <v>36</v>
      </c>
      <c r="C727" t="s">
        <v>29</v>
      </c>
      <c r="D727" s="1">
        <v>45750</v>
      </c>
    </row>
    <row r="728" spans="1:4" x14ac:dyDescent="0.45">
      <c r="A728">
        <v>727</v>
      </c>
      <c r="B728" t="s">
        <v>38</v>
      </c>
      <c r="C728" t="s">
        <v>35</v>
      </c>
      <c r="D728" s="1">
        <v>45725</v>
      </c>
    </row>
    <row r="729" spans="1:4" x14ac:dyDescent="0.45">
      <c r="A729">
        <v>728</v>
      </c>
      <c r="B729" t="s">
        <v>31</v>
      </c>
      <c r="C729" t="s">
        <v>29</v>
      </c>
      <c r="D729" s="1">
        <v>45749</v>
      </c>
    </row>
    <row r="730" spans="1:4" x14ac:dyDescent="0.45">
      <c r="A730">
        <v>729</v>
      </c>
      <c r="B730" t="s">
        <v>38</v>
      </c>
      <c r="C730" t="s">
        <v>30</v>
      </c>
      <c r="D730" s="1">
        <v>45771</v>
      </c>
    </row>
    <row r="731" spans="1:4" x14ac:dyDescent="0.45">
      <c r="A731">
        <v>730</v>
      </c>
      <c r="B731" t="s">
        <v>34</v>
      </c>
      <c r="C731" t="s">
        <v>37</v>
      </c>
      <c r="D731" s="1">
        <v>45704</v>
      </c>
    </row>
    <row r="732" spans="1:4" x14ac:dyDescent="0.45">
      <c r="A732">
        <v>731</v>
      </c>
      <c r="B732" t="s">
        <v>38</v>
      </c>
      <c r="C732" t="s">
        <v>30</v>
      </c>
      <c r="D732" s="1">
        <v>45651</v>
      </c>
    </row>
    <row r="733" spans="1:4" x14ac:dyDescent="0.45">
      <c r="A733">
        <v>732</v>
      </c>
      <c r="B733" t="s">
        <v>36</v>
      </c>
      <c r="C733" t="s">
        <v>37</v>
      </c>
      <c r="D733" s="1">
        <v>45420</v>
      </c>
    </row>
    <row r="734" spans="1:4" x14ac:dyDescent="0.45">
      <c r="A734">
        <v>733</v>
      </c>
      <c r="B734" t="s">
        <v>36</v>
      </c>
      <c r="C734" t="s">
        <v>35</v>
      </c>
      <c r="D734" s="1">
        <v>45749</v>
      </c>
    </row>
    <row r="735" spans="1:4" x14ac:dyDescent="0.45">
      <c r="A735">
        <v>734</v>
      </c>
      <c r="B735" t="s">
        <v>31</v>
      </c>
      <c r="C735" t="s">
        <v>32</v>
      </c>
      <c r="D735" s="1">
        <v>45744</v>
      </c>
    </row>
    <row r="736" spans="1:4" x14ac:dyDescent="0.45">
      <c r="A736">
        <v>735</v>
      </c>
      <c r="B736" t="s">
        <v>28</v>
      </c>
      <c r="C736" t="s">
        <v>35</v>
      </c>
      <c r="D736" s="1">
        <v>45749</v>
      </c>
    </row>
    <row r="737" spans="1:4" x14ac:dyDescent="0.45">
      <c r="A737">
        <v>736</v>
      </c>
      <c r="B737" t="s">
        <v>36</v>
      </c>
      <c r="C737" t="s">
        <v>35</v>
      </c>
      <c r="D737" s="1">
        <v>45707</v>
      </c>
    </row>
    <row r="738" spans="1:4" x14ac:dyDescent="0.45">
      <c r="A738">
        <v>737</v>
      </c>
      <c r="B738" t="s">
        <v>33</v>
      </c>
      <c r="C738" t="s">
        <v>32</v>
      </c>
      <c r="D738" s="1">
        <v>45558</v>
      </c>
    </row>
    <row r="739" spans="1:4" x14ac:dyDescent="0.45">
      <c r="A739">
        <v>738</v>
      </c>
      <c r="B739" t="s">
        <v>31</v>
      </c>
      <c r="C739" t="s">
        <v>35</v>
      </c>
      <c r="D739" s="1">
        <v>45732</v>
      </c>
    </row>
    <row r="740" spans="1:4" x14ac:dyDescent="0.45">
      <c r="A740">
        <v>739</v>
      </c>
      <c r="B740" t="s">
        <v>38</v>
      </c>
      <c r="C740" t="s">
        <v>35</v>
      </c>
      <c r="D740" s="1">
        <v>45697</v>
      </c>
    </row>
    <row r="741" spans="1:4" x14ac:dyDescent="0.45">
      <c r="A741">
        <v>740</v>
      </c>
      <c r="B741" t="s">
        <v>34</v>
      </c>
      <c r="C741" t="s">
        <v>37</v>
      </c>
      <c r="D741" s="1">
        <v>45725</v>
      </c>
    </row>
    <row r="742" spans="1:4" x14ac:dyDescent="0.45">
      <c r="A742">
        <v>741</v>
      </c>
      <c r="B742" t="s">
        <v>38</v>
      </c>
      <c r="C742" t="s">
        <v>37</v>
      </c>
      <c r="D742" s="1">
        <v>45739</v>
      </c>
    </row>
    <row r="743" spans="1:4" x14ac:dyDescent="0.45">
      <c r="A743">
        <v>742</v>
      </c>
      <c r="B743" t="s">
        <v>38</v>
      </c>
      <c r="C743" t="s">
        <v>29</v>
      </c>
      <c r="D743" s="1">
        <v>45442</v>
      </c>
    </row>
    <row r="744" spans="1:4" x14ac:dyDescent="0.45">
      <c r="A744">
        <v>743</v>
      </c>
      <c r="B744" t="s">
        <v>31</v>
      </c>
      <c r="C744" t="s">
        <v>37</v>
      </c>
      <c r="D744" s="1">
        <v>45781</v>
      </c>
    </row>
    <row r="745" spans="1:4" x14ac:dyDescent="0.45">
      <c r="A745">
        <v>744</v>
      </c>
      <c r="B745" t="s">
        <v>33</v>
      </c>
      <c r="C745" t="s">
        <v>30</v>
      </c>
      <c r="D745" s="1">
        <v>45706</v>
      </c>
    </row>
    <row r="746" spans="1:4" x14ac:dyDescent="0.45">
      <c r="A746">
        <v>745</v>
      </c>
      <c r="B746" t="s">
        <v>33</v>
      </c>
      <c r="C746" t="s">
        <v>32</v>
      </c>
      <c r="D746" s="1">
        <v>45757</v>
      </c>
    </row>
    <row r="747" spans="1:4" x14ac:dyDescent="0.45">
      <c r="A747">
        <v>746</v>
      </c>
      <c r="B747" t="s">
        <v>33</v>
      </c>
      <c r="C747" t="s">
        <v>30</v>
      </c>
      <c r="D747" s="1">
        <v>45589</v>
      </c>
    </row>
    <row r="748" spans="1:4" x14ac:dyDescent="0.45">
      <c r="A748">
        <v>747</v>
      </c>
      <c r="B748" t="s">
        <v>34</v>
      </c>
      <c r="C748" t="s">
        <v>30</v>
      </c>
      <c r="D748" s="1">
        <v>45390</v>
      </c>
    </row>
    <row r="749" spans="1:4" x14ac:dyDescent="0.45">
      <c r="A749">
        <v>748</v>
      </c>
      <c r="B749" t="s">
        <v>31</v>
      </c>
      <c r="C749" t="s">
        <v>32</v>
      </c>
      <c r="D749" s="1">
        <v>45725</v>
      </c>
    </row>
    <row r="750" spans="1:4" x14ac:dyDescent="0.45">
      <c r="A750">
        <v>749</v>
      </c>
      <c r="B750" t="s">
        <v>34</v>
      </c>
      <c r="C750" t="s">
        <v>29</v>
      </c>
      <c r="D750" s="1">
        <v>45744</v>
      </c>
    </row>
    <row r="751" spans="1:4" x14ac:dyDescent="0.45">
      <c r="A751">
        <v>750</v>
      </c>
      <c r="B751" t="s">
        <v>34</v>
      </c>
      <c r="C751" t="s">
        <v>32</v>
      </c>
      <c r="D751" s="1">
        <v>45757</v>
      </c>
    </row>
    <row r="752" spans="1:4" x14ac:dyDescent="0.45">
      <c r="A752">
        <v>751</v>
      </c>
      <c r="B752" t="s">
        <v>28</v>
      </c>
      <c r="C752" t="s">
        <v>29</v>
      </c>
      <c r="D752" s="1">
        <v>45764</v>
      </c>
    </row>
    <row r="753" spans="1:4" x14ac:dyDescent="0.45">
      <c r="A753">
        <v>752</v>
      </c>
      <c r="B753" t="s">
        <v>33</v>
      </c>
      <c r="C753" t="s">
        <v>29</v>
      </c>
      <c r="D753" s="1">
        <v>45755</v>
      </c>
    </row>
    <row r="754" spans="1:4" x14ac:dyDescent="0.45">
      <c r="A754">
        <v>753</v>
      </c>
      <c r="B754" t="s">
        <v>31</v>
      </c>
      <c r="C754" t="s">
        <v>30</v>
      </c>
      <c r="D754" s="1">
        <v>45554</v>
      </c>
    </row>
    <row r="755" spans="1:4" x14ac:dyDescent="0.45">
      <c r="A755">
        <v>754</v>
      </c>
      <c r="B755" t="s">
        <v>34</v>
      </c>
      <c r="C755" t="s">
        <v>35</v>
      </c>
      <c r="D755" s="1">
        <v>45677</v>
      </c>
    </row>
    <row r="756" spans="1:4" x14ac:dyDescent="0.45">
      <c r="A756">
        <v>755</v>
      </c>
      <c r="B756" t="s">
        <v>28</v>
      </c>
      <c r="C756" t="s">
        <v>35</v>
      </c>
      <c r="D756" s="1">
        <v>45543</v>
      </c>
    </row>
    <row r="757" spans="1:4" x14ac:dyDescent="0.45">
      <c r="A757">
        <v>756</v>
      </c>
      <c r="B757" t="s">
        <v>28</v>
      </c>
      <c r="C757" t="s">
        <v>29</v>
      </c>
      <c r="D757" s="1">
        <v>45435</v>
      </c>
    </row>
    <row r="758" spans="1:4" x14ac:dyDescent="0.45">
      <c r="A758">
        <v>757</v>
      </c>
      <c r="B758" t="s">
        <v>33</v>
      </c>
      <c r="C758" t="s">
        <v>30</v>
      </c>
      <c r="D758" s="1">
        <v>45637</v>
      </c>
    </row>
    <row r="759" spans="1:4" x14ac:dyDescent="0.45">
      <c r="A759">
        <v>758</v>
      </c>
      <c r="B759" t="s">
        <v>38</v>
      </c>
      <c r="C759" t="s">
        <v>30</v>
      </c>
      <c r="D759" s="1">
        <v>45731</v>
      </c>
    </row>
    <row r="760" spans="1:4" x14ac:dyDescent="0.45">
      <c r="A760">
        <v>759</v>
      </c>
      <c r="B760" t="s">
        <v>28</v>
      </c>
      <c r="C760" t="s">
        <v>30</v>
      </c>
      <c r="D760" s="1">
        <v>45697</v>
      </c>
    </row>
    <row r="761" spans="1:4" x14ac:dyDescent="0.45">
      <c r="A761">
        <v>760</v>
      </c>
      <c r="B761" t="s">
        <v>38</v>
      </c>
      <c r="C761" t="s">
        <v>29</v>
      </c>
      <c r="D761" s="1">
        <v>45403</v>
      </c>
    </row>
    <row r="762" spans="1:4" x14ac:dyDescent="0.45">
      <c r="A762">
        <v>761</v>
      </c>
      <c r="B762" t="s">
        <v>31</v>
      </c>
      <c r="C762" t="s">
        <v>30</v>
      </c>
      <c r="D762" s="1">
        <v>45762</v>
      </c>
    </row>
    <row r="763" spans="1:4" x14ac:dyDescent="0.45">
      <c r="A763">
        <v>762</v>
      </c>
      <c r="B763" t="s">
        <v>34</v>
      </c>
      <c r="C763" t="s">
        <v>30</v>
      </c>
      <c r="D763" s="1">
        <v>45741</v>
      </c>
    </row>
    <row r="764" spans="1:4" x14ac:dyDescent="0.45">
      <c r="A764">
        <v>763</v>
      </c>
      <c r="B764" t="s">
        <v>34</v>
      </c>
      <c r="C764" t="s">
        <v>35</v>
      </c>
      <c r="D764" s="1">
        <v>45351</v>
      </c>
    </row>
    <row r="765" spans="1:4" x14ac:dyDescent="0.45">
      <c r="A765">
        <v>764</v>
      </c>
      <c r="B765" t="s">
        <v>28</v>
      </c>
      <c r="C765" t="s">
        <v>35</v>
      </c>
      <c r="D765" s="1">
        <v>45789</v>
      </c>
    </row>
    <row r="766" spans="1:4" x14ac:dyDescent="0.45">
      <c r="A766">
        <v>765</v>
      </c>
      <c r="B766" t="s">
        <v>34</v>
      </c>
      <c r="C766" t="s">
        <v>29</v>
      </c>
      <c r="D766" s="1">
        <v>45660</v>
      </c>
    </row>
    <row r="767" spans="1:4" x14ac:dyDescent="0.45">
      <c r="A767">
        <v>766</v>
      </c>
      <c r="B767" t="s">
        <v>34</v>
      </c>
      <c r="C767" t="s">
        <v>29</v>
      </c>
      <c r="D767" s="1">
        <v>45293</v>
      </c>
    </row>
    <row r="768" spans="1:4" x14ac:dyDescent="0.45">
      <c r="A768">
        <v>767</v>
      </c>
      <c r="B768" t="s">
        <v>31</v>
      </c>
      <c r="C768" t="s">
        <v>30</v>
      </c>
      <c r="D768" s="1">
        <v>45778</v>
      </c>
    </row>
    <row r="769" spans="1:4" x14ac:dyDescent="0.45">
      <c r="A769">
        <v>768</v>
      </c>
      <c r="B769" t="s">
        <v>28</v>
      </c>
      <c r="C769" t="s">
        <v>30</v>
      </c>
      <c r="D769" s="1">
        <v>45676</v>
      </c>
    </row>
    <row r="770" spans="1:4" x14ac:dyDescent="0.45">
      <c r="A770">
        <v>769</v>
      </c>
      <c r="B770" t="s">
        <v>33</v>
      </c>
      <c r="C770" t="s">
        <v>32</v>
      </c>
      <c r="D770" s="1">
        <v>45766</v>
      </c>
    </row>
    <row r="771" spans="1:4" x14ac:dyDescent="0.45">
      <c r="A771">
        <v>770</v>
      </c>
      <c r="B771" t="s">
        <v>38</v>
      </c>
      <c r="C771" t="s">
        <v>30</v>
      </c>
      <c r="D771" s="1">
        <v>45744</v>
      </c>
    </row>
    <row r="772" spans="1:4" x14ac:dyDescent="0.45">
      <c r="A772">
        <v>771</v>
      </c>
      <c r="B772" t="s">
        <v>38</v>
      </c>
      <c r="C772" t="s">
        <v>37</v>
      </c>
      <c r="D772" s="1">
        <v>45709</v>
      </c>
    </row>
    <row r="773" spans="1:4" x14ac:dyDescent="0.45">
      <c r="A773">
        <v>772</v>
      </c>
      <c r="B773" t="s">
        <v>34</v>
      </c>
      <c r="C773" t="s">
        <v>37</v>
      </c>
      <c r="D773" s="1">
        <v>45686</v>
      </c>
    </row>
    <row r="774" spans="1:4" x14ac:dyDescent="0.45">
      <c r="A774">
        <v>773</v>
      </c>
      <c r="B774" t="s">
        <v>34</v>
      </c>
      <c r="C774" t="s">
        <v>32</v>
      </c>
      <c r="D774" s="1">
        <v>45753</v>
      </c>
    </row>
    <row r="775" spans="1:4" x14ac:dyDescent="0.45">
      <c r="A775">
        <v>774</v>
      </c>
      <c r="B775" t="s">
        <v>38</v>
      </c>
      <c r="C775" t="s">
        <v>32</v>
      </c>
      <c r="D775" s="1">
        <v>45798</v>
      </c>
    </row>
    <row r="776" spans="1:4" x14ac:dyDescent="0.45">
      <c r="A776">
        <v>775</v>
      </c>
      <c r="B776" t="s">
        <v>38</v>
      </c>
      <c r="C776" t="s">
        <v>37</v>
      </c>
      <c r="D776" s="1">
        <v>45595</v>
      </c>
    </row>
    <row r="777" spans="1:4" x14ac:dyDescent="0.45">
      <c r="A777">
        <v>776</v>
      </c>
      <c r="B777" t="s">
        <v>38</v>
      </c>
      <c r="C777" t="s">
        <v>29</v>
      </c>
      <c r="D777" s="1">
        <v>45734</v>
      </c>
    </row>
    <row r="778" spans="1:4" x14ac:dyDescent="0.45">
      <c r="A778">
        <v>777</v>
      </c>
      <c r="B778" t="s">
        <v>34</v>
      </c>
      <c r="C778" t="s">
        <v>30</v>
      </c>
      <c r="D778" s="1">
        <v>45779</v>
      </c>
    </row>
    <row r="779" spans="1:4" x14ac:dyDescent="0.45">
      <c r="A779">
        <v>778</v>
      </c>
      <c r="B779" t="s">
        <v>33</v>
      </c>
      <c r="C779" t="s">
        <v>29</v>
      </c>
      <c r="D779" s="1">
        <v>45545</v>
      </c>
    </row>
    <row r="780" spans="1:4" x14ac:dyDescent="0.45">
      <c r="A780">
        <v>779</v>
      </c>
      <c r="B780" t="s">
        <v>31</v>
      </c>
      <c r="C780" t="s">
        <v>30</v>
      </c>
      <c r="D780" s="1">
        <v>45759</v>
      </c>
    </row>
    <row r="781" spans="1:4" x14ac:dyDescent="0.45">
      <c r="A781">
        <v>780</v>
      </c>
      <c r="B781" t="s">
        <v>38</v>
      </c>
      <c r="C781" t="s">
        <v>37</v>
      </c>
      <c r="D781" s="1">
        <v>45744</v>
      </c>
    </row>
    <row r="782" spans="1:4" x14ac:dyDescent="0.45">
      <c r="A782">
        <v>781</v>
      </c>
      <c r="B782" t="s">
        <v>31</v>
      </c>
      <c r="C782" t="s">
        <v>29</v>
      </c>
      <c r="D782" s="1">
        <v>45431</v>
      </c>
    </row>
    <row r="783" spans="1:4" x14ac:dyDescent="0.45">
      <c r="A783">
        <v>782</v>
      </c>
      <c r="B783" t="s">
        <v>33</v>
      </c>
      <c r="C783" t="s">
        <v>29</v>
      </c>
      <c r="D783" s="1">
        <v>45744</v>
      </c>
    </row>
    <row r="784" spans="1:4" x14ac:dyDescent="0.45">
      <c r="A784">
        <v>783</v>
      </c>
      <c r="B784" t="s">
        <v>33</v>
      </c>
      <c r="C784" t="s">
        <v>30</v>
      </c>
      <c r="D784" s="1">
        <v>45719</v>
      </c>
    </row>
    <row r="785" spans="1:4" x14ac:dyDescent="0.45">
      <c r="A785">
        <v>784</v>
      </c>
      <c r="B785" t="s">
        <v>31</v>
      </c>
      <c r="C785" t="s">
        <v>29</v>
      </c>
      <c r="D785" s="1">
        <v>45328</v>
      </c>
    </row>
    <row r="786" spans="1:4" x14ac:dyDescent="0.45">
      <c r="A786">
        <v>785</v>
      </c>
      <c r="B786" t="s">
        <v>28</v>
      </c>
      <c r="C786" t="s">
        <v>29</v>
      </c>
      <c r="D786" s="1">
        <v>45734</v>
      </c>
    </row>
    <row r="787" spans="1:4" x14ac:dyDescent="0.45">
      <c r="A787">
        <v>786</v>
      </c>
      <c r="B787" t="s">
        <v>34</v>
      </c>
      <c r="C787" t="s">
        <v>29</v>
      </c>
      <c r="D787" s="1">
        <v>45451</v>
      </c>
    </row>
    <row r="788" spans="1:4" x14ac:dyDescent="0.45">
      <c r="A788">
        <v>787</v>
      </c>
      <c r="B788" t="s">
        <v>33</v>
      </c>
      <c r="C788" t="s">
        <v>32</v>
      </c>
      <c r="D788" s="1">
        <v>45707</v>
      </c>
    </row>
    <row r="789" spans="1:4" x14ac:dyDescent="0.45">
      <c r="A789">
        <v>788</v>
      </c>
      <c r="B789" t="s">
        <v>36</v>
      </c>
      <c r="C789" t="s">
        <v>37</v>
      </c>
      <c r="D789" s="1">
        <v>45300</v>
      </c>
    </row>
    <row r="790" spans="1:4" x14ac:dyDescent="0.45">
      <c r="A790">
        <v>789</v>
      </c>
      <c r="B790" t="s">
        <v>38</v>
      </c>
      <c r="C790" t="s">
        <v>37</v>
      </c>
      <c r="D790" s="1">
        <v>45524</v>
      </c>
    </row>
    <row r="791" spans="1:4" x14ac:dyDescent="0.45">
      <c r="A791">
        <v>790</v>
      </c>
      <c r="B791" t="s">
        <v>28</v>
      </c>
      <c r="C791" t="s">
        <v>37</v>
      </c>
      <c r="D791" s="1">
        <v>45773</v>
      </c>
    </row>
    <row r="792" spans="1:4" x14ac:dyDescent="0.45">
      <c r="A792">
        <v>791</v>
      </c>
      <c r="B792" t="s">
        <v>38</v>
      </c>
      <c r="C792" t="s">
        <v>37</v>
      </c>
      <c r="D792" s="1">
        <v>45752</v>
      </c>
    </row>
    <row r="793" spans="1:4" x14ac:dyDescent="0.45">
      <c r="A793">
        <v>792</v>
      </c>
      <c r="B793" t="s">
        <v>33</v>
      </c>
      <c r="C793" t="s">
        <v>37</v>
      </c>
      <c r="D793" s="1">
        <v>45722</v>
      </c>
    </row>
    <row r="794" spans="1:4" x14ac:dyDescent="0.45">
      <c r="A794">
        <v>793</v>
      </c>
      <c r="B794" t="s">
        <v>33</v>
      </c>
      <c r="C794" t="s">
        <v>30</v>
      </c>
      <c r="D794" s="1">
        <v>45787</v>
      </c>
    </row>
    <row r="795" spans="1:4" x14ac:dyDescent="0.45">
      <c r="A795">
        <v>794</v>
      </c>
      <c r="B795" t="s">
        <v>33</v>
      </c>
      <c r="C795" t="s">
        <v>29</v>
      </c>
      <c r="D795" s="1">
        <v>45390</v>
      </c>
    </row>
    <row r="796" spans="1:4" x14ac:dyDescent="0.45">
      <c r="A796">
        <v>795</v>
      </c>
      <c r="B796" t="s">
        <v>36</v>
      </c>
      <c r="C796" t="s">
        <v>30</v>
      </c>
      <c r="D796" s="1">
        <v>45790</v>
      </c>
    </row>
    <row r="797" spans="1:4" x14ac:dyDescent="0.45">
      <c r="A797">
        <v>796</v>
      </c>
      <c r="B797" t="s">
        <v>31</v>
      </c>
      <c r="C797" t="s">
        <v>37</v>
      </c>
      <c r="D797" s="1">
        <v>45719</v>
      </c>
    </row>
    <row r="798" spans="1:4" x14ac:dyDescent="0.45">
      <c r="A798">
        <v>797</v>
      </c>
      <c r="B798" t="s">
        <v>31</v>
      </c>
      <c r="C798" t="s">
        <v>32</v>
      </c>
      <c r="D798" s="1">
        <v>45438</v>
      </c>
    </row>
    <row r="799" spans="1:4" x14ac:dyDescent="0.45">
      <c r="A799">
        <v>798</v>
      </c>
      <c r="B799" t="s">
        <v>38</v>
      </c>
      <c r="C799" t="s">
        <v>32</v>
      </c>
      <c r="D799" s="1">
        <v>45730</v>
      </c>
    </row>
    <row r="800" spans="1:4" x14ac:dyDescent="0.45">
      <c r="A800">
        <v>799</v>
      </c>
      <c r="B800" t="s">
        <v>28</v>
      </c>
      <c r="C800" t="s">
        <v>30</v>
      </c>
      <c r="D800" s="1">
        <v>45595</v>
      </c>
    </row>
    <row r="801" spans="1:4" x14ac:dyDescent="0.45">
      <c r="A801">
        <v>800</v>
      </c>
      <c r="B801" t="s">
        <v>31</v>
      </c>
      <c r="C801" t="s">
        <v>30</v>
      </c>
      <c r="D801" s="1">
        <v>45779</v>
      </c>
    </row>
    <row r="802" spans="1:4" x14ac:dyDescent="0.45">
      <c r="A802">
        <v>801</v>
      </c>
      <c r="B802" t="s">
        <v>31</v>
      </c>
      <c r="C802" t="s">
        <v>32</v>
      </c>
      <c r="D802" s="1">
        <v>45684</v>
      </c>
    </row>
    <row r="803" spans="1:4" x14ac:dyDescent="0.45">
      <c r="A803">
        <v>802</v>
      </c>
      <c r="B803" t="s">
        <v>34</v>
      </c>
      <c r="C803" t="s">
        <v>30</v>
      </c>
      <c r="D803" s="1">
        <v>45719</v>
      </c>
    </row>
    <row r="804" spans="1:4" x14ac:dyDescent="0.45">
      <c r="A804">
        <v>803</v>
      </c>
      <c r="B804" t="s">
        <v>33</v>
      </c>
      <c r="C804" t="s">
        <v>30</v>
      </c>
      <c r="D804" s="1">
        <v>45499</v>
      </c>
    </row>
    <row r="805" spans="1:4" x14ac:dyDescent="0.45">
      <c r="A805">
        <v>804</v>
      </c>
      <c r="B805" t="s">
        <v>33</v>
      </c>
      <c r="C805" t="s">
        <v>35</v>
      </c>
      <c r="D805" s="1">
        <v>45782</v>
      </c>
    </row>
    <row r="806" spans="1:4" x14ac:dyDescent="0.45">
      <c r="A806">
        <v>805</v>
      </c>
      <c r="B806" t="s">
        <v>36</v>
      </c>
      <c r="C806" t="s">
        <v>35</v>
      </c>
      <c r="D806" s="1">
        <v>45709</v>
      </c>
    </row>
    <row r="807" spans="1:4" x14ac:dyDescent="0.45">
      <c r="A807">
        <v>806</v>
      </c>
      <c r="B807" t="s">
        <v>33</v>
      </c>
      <c r="C807" t="s">
        <v>35</v>
      </c>
      <c r="D807" s="1">
        <v>45779</v>
      </c>
    </row>
    <row r="808" spans="1:4" x14ac:dyDescent="0.45">
      <c r="A808">
        <v>807</v>
      </c>
      <c r="B808" t="s">
        <v>36</v>
      </c>
      <c r="C808" t="s">
        <v>37</v>
      </c>
      <c r="D808" s="1">
        <v>45761</v>
      </c>
    </row>
    <row r="809" spans="1:4" x14ac:dyDescent="0.45">
      <c r="A809">
        <v>808</v>
      </c>
      <c r="B809" t="s">
        <v>31</v>
      </c>
      <c r="C809" t="s">
        <v>35</v>
      </c>
      <c r="D809" s="1">
        <v>45422</v>
      </c>
    </row>
    <row r="810" spans="1:4" x14ac:dyDescent="0.45">
      <c r="A810">
        <v>809</v>
      </c>
      <c r="B810" t="s">
        <v>28</v>
      </c>
      <c r="C810" t="s">
        <v>30</v>
      </c>
      <c r="D810" s="1">
        <v>45695</v>
      </c>
    </row>
    <row r="811" spans="1:4" x14ac:dyDescent="0.45">
      <c r="A811">
        <v>810</v>
      </c>
      <c r="B811" t="s">
        <v>31</v>
      </c>
      <c r="C811" t="s">
        <v>35</v>
      </c>
      <c r="D811" s="1">
        <v>45443</v>
      </c>
    </row>
    <row r="812" spans="1:4" x14ac:dyDescent="0.45">
      <c r="A812">
        <v>811</v>
      </c>
      <c r="B812" t="s">
        <v>28</v>
      </c>
      <c r="C812" t="s">
        <v>35</v>
      </c>
      <c r="D812" s="1">
        <v>45679</v>
      </c>
    </row>
    <row r="813" spans="1:4" x14ac:dyDescent="0.45">
      <c r="A813">
        <v>812</v>
      </c>
      <c r="B813" t="s">
        <v>34</v>
      </c>
      <c r="C813" t="s">
        <v>29</v>
      </c>
      <c r="D813" s="1">
        <v>45345</v>
      </c>
    </row>
    <row r="814" spans="1:4" x14ac:dyDescent="0.45">
      <c r="A814">
        <v>813</v>
      </c>
      <c r="B814" t="s">
        <v>36</v>
      </c>
      <c r="C814" t="s">
        <v>35</v>
      </c>
      <c r="D814" s="1">
        <v>45711</v>
      </c>
    </row>
    <row r="815" spans="1:4" x14ac:dyDescent="0.45">
      <c r="A815">
        <v>814</v>
      </c>
      <c r="B815" t="s">
        <v>33</v>
      </c>
      <c r="C815" t="s">
        <v>32</v>
      </c>
      <c r="D815" s="1">
        <v>45411</v>
      </c>
    </row>
    <row r="816" spans="1:4" x14ac:dyDescent="0.45">
      <c r="A816">
        <v>815</v>
      </c>
      <c r="B816" t="s">
        <v>34</v>
      </c>
      <c r="C816" t="s">
        <v>35</v>
      </c>
      <c r="D816" s="1">
        <v>45452</v>
      </c>
    </row>
    <row r="817" spans="1:4" x14ac:dyDescent="0.45">
      <c r="A817">
        <v>816</v>
      </c>
      <c r="B817" t="s">
        <v>31</v>
      </c>
      <c r="C817" t="s">
        <v>37</v>
      </c>
      <c r="D817" s="1">
        <v>45692</v>
      </c>
    </row>
    <row r="818" spans="1:4" x14ac:dyDescent="0.45">
      <c r="A818">
        <v>817</v>
      </c>
      <c r="B818" t="s">
        <v>31</v>
      </c>
      <c r="C818" t="s">
        <v>29</v>
      </c>
      <c r="D818" s="1">
        <v>45699</v>
      </c>
    </row>
    <row r="819" spans="1:4" x14ac:dyDescent="0.45">
      <c r="A819">
        <v>818</v>
      </c>
      <c r="B819" t="s">
        <v>28</v>
      </c>
      <c r="C819" t="s">
        <v>32</v>
      </c>
      <c r="D819" s="1">
        <v>45721</v>
      </c>
    </row>
    <row r="820" spans="1:4" x14ac:dyDescent="0.45">
      <c r="A820">
        <v>819</v>
      </c>
      <c r="B820" t="s">
        <v>33</v>
      </c>
      <c r="C820" t="s">
        <v>32</v>
      </c>
      <c r="D820" s="1">
        <v>45722</v>
      </c>
    </row>
    <row r="821" spans="1:4" x14ac:dyDescent="0.45">
      <c r="A821">
        <v>820</v>
      </c>
      <c r="B821" t="s">
        <v>34</v>
      </c>
      <c r="C821" t="s">
        <v>29</v>
      </c>
      <c r="D821" s="1">
        <v>45686</v>
      </c>
    </row>
    <row r="822" spans="1:4" x14ac:dyDescent="0.45">
      <c r="A822">
        <v>821</v>
      </c>
      <c r="B822" t="s">
        <v>33</v>
      </c>
      <c r="C822" t="s">
        <v>32</v>
      </c>
      <c r="D822" s="1">
        <v>45407</v>
      </c>
    </row>
    <row r="823" spans="1:4" x14ac:dyDescent="0.45">
      <c r="A823">
        <v>822</v>
      </c>
      <c r="B823" t="s">
        <v>36</v>
      </c>
      <c r="C823" t="s">
        <v>29</v>
      </c>
      <c r="D823" s="1">
        <v>45777</v>
      </c>
    </row>
    <row r="824" spans="1:4" x14ac:dyDescent="0.45">
      <c r="A824">
        <v>823</v>
      </c>
      <c r="B824" t="s">
        <v>36</v>
      </c>
      <c r="C824" t="s">
        <v>32</v>
      </c>
      <c r="D824" s="1">
        <v>45787</v>
      </c>
    </row>
    <row r="825" spans="1:4" x14ac:dyDescent="0.45">
      <c r="A825">
        <v>824</v>
      </c>
      <c r="B825" t="s">
        <v>33</v>
      </c>
      <c r="C825" t="s">
        <v>32</v>
      </c>
      <c r="D825" s="1">
        <v>45366</v>
      </c>
    </row>
    <row r="826" spans="1:4" x14ac:dyDescent="0.45">
      <c r="A826">
        <v>825</v>
      </c>
      <c r="B826" t="s">
        <v>31</v>
      </c>
      <c r="C826" t="s">
        <v>35</v>
      </c>
      <c r="D826" s="1">
        <v>45697</v>
      </c>
    </row>
    <row r="827" spans="1:4" x14ac:dyDescent="0.45">
      <c r="A827">
        <v>826</v>
      </c>
      <c r="B827" t="s">
        <v>38</v>
      </c>
      <c r="C827" t="s">
        <v>35</v>
      </c>
      <c r="D827" s="1">
        <v>45784</v>
      </c>
    </row>
    <row r="828" spans="1:4" x14ac:dyDescent="0.45">
      <c r="A828">
        <v>827</v>
      </c>
      <c r="B828" t="s">
        <v>28</v>
      </c>
      <c r="C828" t="s">
        <v>32</v>
      </c>
      <c r="D828" s="1">
        <v>45768</v>
      </c>
    </row>
    <row r="829" spans="1:4" x14ac:dyDescent="0.45">
      <c r="A829">
        <v>828</v>
      </c>
      <c r="B829" t="s">
        <v>28</v>
      </c>
      <c r="C829" t="s">
        <v>37</v>
      </c>
      <c r="D829" s="1">
        <v>45724</v>
      </c>
    </row>
    <row r="830" spans="1:4" x14ac:dyDescent="0.45">
      <c r="A830">
        <v>829</v>
      </c>
      <c r="B830" t="s">
        <v>38</v>
      </c>
      <c r="C830" t="s">
        <v>35</v>
      </c>
      <c r="D830" s="1">
        <v>45762</v>
      </c>
    </row>
    <row r="831" spans="1:4" x14ac:dyDescent="0.45">
      <c r="A831">
        <v>830</v>
      </c>
      <c r="B831" t="s">
        <v>33</v>
      </c>
      <c r="C831" t="s">
        <v>29</v>
      </c>
      <c r="D831" s="1">
        <v>45714</v>
      </c>
    </row>
    <row r="832" spans="1:4" x14ac:dyDescent="0.45">
      <c r="A832">
        <v>831</v>
      </c>
      <c r="B832" t="s">
        <v>36</v>
      </c>
      <c r="C832" t="s">
        <v>30</v>
      </c>
      <c r="D832" s="1">
        <v>45768</v>
      </c>
    </row>
    <row r="833" spans="1:4" x14ac:dyDescent="0.45">
      <c r="A833">
        <v>832</v>
      </c>
      <c r="B833" t="s">
        <v>33</v>
      </c>
      <c r="C833" t="s">
        <v>37</v>
      </c>
      <c r="D833" s="1">
        <v>45720</v>
      </c>
    </row>
    <row r="834" spans="1:4" x14ac:dyDescent="0.45">
      <c r="A834">
        <v>833</v>
      </c>
      <c r="B834" t="s">
        <v>38</v>
      </c>
      <c r="C834" t="s">
        <v>29</v>
      </c>
      <c r="D834" s="1">
        <v>45723</v>
      </c>
    </row>
    <row r="835" spans="1:4" x14ac:dyDescent="0.45">
      <c r="A835">
        <v>834</v>
      </c>
      <c r="B835" t="s">
        <v>31</v>
      </c>
      <c r="C835" t="s">
        <v>35</v>
      </c>
      <c r="D835" s="1">
        <v>45766</v>
      </c>
    </row>
    <row r="836" spans="1:4" x14ac:dyDescent="0.45">
      <c r="A836">
        <v>835</v>
      </c>
      <c r="B836" t="s">
        <v>38</v>
      </c>
      <c r="C836" t="s">
        <v>32</v>
      </c>
      <c r="D836" s="1">
        <v>45773</v>
      </c>
    </row>
    <row r="837" spans="1:4" x14ac:dyDescent="0.45">
      <c r="A837">
        <v>836</v>
      </c>
      <c r="B837" t="s">
        <v>36</v>
      </c>
      <c r="C837" t="s">
        <v>29</v>
      </c>
      <c r="D837" s="1">
        <v>45797</v>
      </c>
    </row>
    <row r="838" spans="1:4" x14ac:dyDescent="0.45">
      <c r="A838">
        <v>837</v>
      </c>
      <c r="B838" t="s">
        <v>36</v>
      </c>
      <c r="C838" t="s">
        <v>32</v>
      </c>
      <c r="D838" s="1">
        <v>45718</v>
      </c>
    </row>
    <row r="839" spans="1:4" x14ac:dyDescent="0.45">
      <c r="A839">
        <v>838</v>
      </c>
      <c r="B839" t="s">
        <v>34</v>
      </c>
      <c r="C839" t="s">
        <v>32</v>
      </c>
      <c r="D839" s="1">
        <v>45743</v>
      </c>
    </row>
    <row r="840" spans="1:4" x14ac:dyDescent="0.45">
      <c r="A840">
        <v>839</v>
      </c>
      <c r="B840" t="s">
        <v>36</v>
      </c>
      <c r="C840" t="s">
        <v>30</v>
      </c>
      <c r="D840" s="1">
        <v>45686</v>
      </c>
    </row>
    <row r="841" spans="1:4" x14ac:dyDescent="0.45">
      <c r="A841">
        <v>840</v>
      </c>
      <c r="B841" t="s">
        <v>36</v>
      </c>
      <c r="C841" t="s">
        <v>30</v>
      </c>
      <c r="D841" s="1">
        <v>45765</v>
      </c>
    </row>
    <row r="842" spans="1:4" x14ac:dyDescent="0.45">
      <c r="A842">
        <v>841</v>
      </c>
      <c r="B842" t="s">
        <v>34</v>
      </c>
      <c r="C842" t="s">
        <v>29</v>
      </c>
      <c r="D842" s="1">
        <v>45719</v>
      </c>
    </row>
    <row r="843" spans="1:4" x14ac:dyDescent="0.45">
      <c r="A843">
        <v>842</v>
      </c>
      <c r="B843" t="s">
        <v>33</v>
      </c>
      <c r="C843" t="s">
        <v>32</v>
      </c>
      <c r="D843" s="1">
        <v>45705</v>
      </c>
    </row>
    <row r="844" spans="1:4" x14ac:dyDescent="0.45">
      <c r="A844">
        <v>843</v>
      </c>
      <c r="B844" t="s">
        <v>28</v>
      </c>
      <c r="C844" t="s">
        <v>37</v>
      </c>
      <c r="D844" s="1">
        <v>45740</v>
      </c>
    </row>
    <row r="845" spans="1:4" x14ac:dyDescent="0.45">
      <c r="A845">
        <v>844</v>
      </c>
      <c r="B845" t="s">
        <v>31</v>
      </c>
      <c r="C845" t="s">
        <v>37</v>
      </c>
      <c r="D845" s="1">
        <v>45404</v>
      </c>
    </row>
    <row r="846" spans="1:4" x14ac:dyDescent="0.45">
      <c r="A846">
        <v>845</v>
      </c>
      <c r="B846" t="s">
        <v>36</v>
      </c>
      <c r="C846" t="s">
        <v>35</v>
      </c>
      <c r="D846" s="1">
        <v>45711</v>
      </c>
    </row>
    <row r="847" spans="1:4" x14ac:dyDescent="0.45">
      <c r="A847">
        <v>846</v>
      </c>
      <c r="B847" t="s">
        <v>38</v>
      </c>
      <c r="C847" t="s">
        <v>32</v>
      </c>
      <c r="D847" s="1">
        <v>45713</v>
      </c>
    </row>
    <row r="848" spans="1:4" x14ac:dyDescent="0.45">
      <c r="A848">
        <v>847</v>
      </c>
      <c r="B848" t="s">
        <v>34</v>
      </c>
      <c r="C848" t="s">
        <v>29</v>
      </c>
      <c r="D848" s="1">
        <v>45395</v>
      </c>
    </row>
    <row r="849" spans="1:4" x14ac:dyDescent="0.45">
      <c r="A849">
        <v>848</v>
      </c>
      <c r="B849" t="s">
        <v>31</v>
      </c>
      <c r="C849" t="s">
        <v>30</v>
      </c>
      <c r="D849" s="1">
        <v>45631</v>
      </c>
    </row>
    <row r="850" spans="1:4" x14ac:dyDescent="0.45">
      <c r="A850">
        <v>849</v>
      </c>
      <c r="B850" t="s">
        <v>33</v>
      </c>
      <c r="C850" t="s">
        <v>29</v>
      </c>
      <c r="D850" s="1">
        <v>45802</v>
      </c>
    </row>
    <row r="851" spans="1:4" x14ac:dyDescent="0.45">
      <c r="A851">
        <v>850</v>
      </c>
      <c r="B851" t="s">
        <v>31</v>
      </c>
      <c r="C851" t="s">
        <v>37</v>
      </c>
      <c r="D851" s="1">
        <v>45545</v>
      </c>
    </row>
    <row r="852" spans="1:4" x14ac:dyDescent="0.45">
      <c r="A852">
        <v>851</v>
      </c>
      <c r="B852" t="s">
        <v>28</v>
      </c>
      <c r="C852" t="s">
        <v>32</v>
      </c>
      <c r="D852" s="1">
        <v>45737</v>
      </c>
    </row>
    <row r="853" spans="1:4" x14ac:dyDescent="0.45">
      <c r="A853">
        <v>852</v>
      </c>
      <c r="B853" t="s">
        <v>38</v>
      </c>
      <c r="C853" t="s">
        <v>32</v>
      </c>
      <c r="D853" s="1">
        <v>45740</v>
      </c>
    </row>
    <row r="854" spans="1:4" x14ac:dyDescent="0.45">
      <c r="A854">
        <v>853</v>
      </c>
      <c r="B854" t="s">
        <v>36</v>
      </c>
      <c r="C854" t="s">
        <v>35</v>
      </c>
      <c r="D854" s="1">
        <v>45518</v>
      </c>
    </row>
    <row r="855" spans="1:4" x14ac:dyDescent="0.45">
      <c r="A855">
        <v>854</v>
      </c>
      <c r="B855" t="s">
        <v>38</v>
      </c>
      <c r="C855" t="s">
        <v>30</v>
      </c>
      <c r="D855" s="1">
        <v>45712</v>
      </c>
    </row>
    <row r="856" spans="1:4" x14ac:dyDescent="0.45">
      <c r="A856">
        <v>855</v>
      </c>
      <c r="B856" t="s">
        <v>34</v>
      </c>
      <c r="C856" t="s">
        <v>37</v>
      </c>
      <c r="D856" s="1">
        <v>45728</v>
      </c>
    </row>
    <row r="857" spans="1:4" x14ac:dyDescent="0.45">
      <c r="A857">
        <v>856</v>
      </c>
      <c r="B857" t="s">
        <v>28</v>
      </c>
      <c r="C857" t="s">
        <v>32</v>
      </c>
      <c r="D857" s="1">
        <v>45403</v>
      </c>
    </row>
    <row r="858" spans="1:4" x14ac:dyDescent="0.45">
      <c r="A858">
        <v>857</v>
      </c>
      <c r="B858" t="s">
        <v>36</v>
      </c>
      <c r="C858" t="s">
        <v>30</v>
      </c>
      <c r="D858" s="1">
        <v>45768</v>
      </c>
    </row>
    <row r="859" spans="1:4" x14ac:dyDescent="0.45">
      <c r="A859">
        <v>858</v>
      </c>
      <c r="B859" t="s">
        <v>36</v>
      </c>
      <c r="C859" t="s">
        <v>37</v>
      </c>
      <c r="D859" s="1">
        <v>45757</v>
      </c>
    </row>
    <row r="860" spans="1:4" x14ac:dyDescent="0.45">
      <c r="A860">
        <v>859</v>
      </c>
      <c r="B860" t="s">
        <v>28</v>
      </c>
      <c r="C860" t="s">
        <v>29</v>
      </c>
      <c r="D860" s="1">
        <v>45390</v>
      </c>
    </row>
    <row r="861" spans="1:4" x14ac:dyDescent="0.45">
      <c r="A861">
        <v>860</v>
      </c>
      <c r="B861" t="s">
        <v>36</v>
      </c>
      <c r="C861" t="s">
        <v>35</v>
      </c>
      <c r="D861" s="1">
        <v>45444</v>
      </c>
    </row>
    <row r="862" spans="1:4" x14ac:dyDescent="0.45">
      <c r="A862">
        <v>861</v>
      </c>
      <c r="B862" t="s">
        <v>38</v>
      </c>
      <c r="C862" t="s">
        <v>35</v>
      </c>
      <c r="D862" s="1">
        <v>45707</v>
      </c>
    </row>
    <row r="863" spans="1:4" x14ac:dyDescent="0.45">
      <c r="A863">
        <v>862</v>
      </c>
      <c r="B863" t="s">
        <v>28</v>
      </c>
      <c r="C863" t="s">
        <v>30</v>
      </c>
      <c r="D863" s="1">
        <v>45640</v>
      </c>
    </row>
    <row r="864" spans="1:4" x14ac:dyDescent="0.45">
      <c r="A864">
        <v>863</v>
      </c>
      <c r="B864" t="s">
        <v>36</v>
      </c>
      <c r="C864" t="s">
        <v>37</v>
      </c>
      <c r="D864" s="1">
        <v>45723</v>
      </c>
    </row>
    <row r="865" spans="1:4" x14ac:dyDescent="0.45">
      <c r="A865">
        <v>864</v>
      </c>
      <c r="B865" t="s">
        <v>31</v>
      </c>
      <c r="C865" t="s">
        <v>30</v>
      </c>
      <c r="D865" s="1">
        <v>45743</v>
      </c>
    </row>
    <row r="866" spans="1:4" x14ac:dyDescent="0.45">
      <c r="A866">
        <v>865</v>
      </c>
      <c r="B866" t="s">
        <v>31</v>
      </c>
      <c r="C866" t="s">
        <v>37</v>
      </c>
      <c r="D866" s="1">
        <v>45693</v>
      </c>
    </row>
    <row r="867" spans="1:4" x14ac:dyDescent="0.45">
      <c r="A867">
        <v>866</v>
      </c>
      <c r="B867" t="s">
        <v>34</v>
      </c>
      <c r="C867" t="s">
        <v>30</v>
      </c>
      <c r="D867" s="1">
        <v>45675</v>
      </c>
    </row>
    <row r="868" spans="1:4" x14ac:dyDescent="0.45">
      <c r="A868">
        <v>867</v>
      </c>
      <c r="B868" t="s">
        <v>28</v>
      </c>
      <c r="C868" t="s">
        <v>32</v>
      </c>
      <c r="D868" s="1">
        <v>45743</v>
      </c>
    </row>
    <row r="869" spans="1:4" x14ac:dyDescent="0.45">
      <c r="A869">
        <v>868</v>
      </c>
      <c r="B869" t="s">
        <v>38</v>
      </c>
      <c r="C869" t="s">
        <v>37</v>
      </c>
      <c r="D869" s="1">
        <v>45657</v>
      </c>
    </row>
    <row r="870" spans="1:4" x14ac:dyDescent="0.45">
      <c r="A870">
        <v>869</v>
      </c>
      <c r="B870" t="s">
        <v>31</v>
      </c>
      <c r="C870" t="s">
        <v>29</v>
      </c>
      <c r="D870" s="1">
        <v>45725</v>
      </c>
    </row>
    <row r="871" spans="1:4" x14ac:dyDescent="0.45">
      <c r="A871">
        <v>870</v>
      </c>
      <c r="B871" t="s">
        <v>33</v>
      </c>
      <c r="C871" t="s">
        <v>30</v>
      </c>
      <c r="D871" s="1">
        <v>45629</v>
      </c>
    </row>
    <row r="872" spans="1:4" x14ac:dyDescent="0.45">
      <c r="A872">
        <v>871</v>
      </c>
      <c r="B872" t="s">
        <v>31</v>
      </c>
      <c r="C872" t="s">
        <v>35</v>
      </c>
      <c r="D872" s="1">
        <v>45755</v>
      </c>
    </row>
    <row r="873" spans="1:4" x14ac:dyDescent="0.45">
      <c r="A873">
        <v>872</v>
      </c>
      <c r="B873" t="s">
        <v>31</v>
      </c>
      <c r="C873" t="s">
        <v>35</v>
      </c>
      <c r="D873" s="1">
        <v>45695</v>
      </c>
    </row>
    <row r="874" spans="1:4" x14ac:dyDescent="0.45">
      <c r="A874">
        <v>873</v>
      </c>
      <c r="B874" t="s">
        <v>28</v>
      </c>
      <c r="C874" t="s">
        <v>37</v>
      </c>
      <c r="D874" s="1">
        <v>45748</v>
      </c>
    </row>
    <row r="875" spans="1:4" x14ac:dyDescent="0.45">
      <c r="A875">
        <v>874</v>
      </c>
      <c r="B875" t="s">
        <v>34</v>
      </c>
      <c r="C875" t="s">
        <v>37</v>
      </c>
      <c r="D875" s="1">
        <v>45485</v>
      </c>
    </row>
    <row r="876" spans="1:4" x14ac:dyDescent="0.45">
      <c r="A876">
        <v>875</v>
      </c>
      <c r="B876" t="s">
        <v>33</v>
      </c>
      <c r="C876" t="s">
        <v>30</v>
      </c>
      <c r="D876" s="1">
        <v>45601</v>
      </c>
    </row>
    <row r="877" spans="1:4" x14ac:dyDescent="0.45">
      <c r="A877">
        <v>876</v>
      </c>
      <c r="B877" t="s">
        <v>33</v>
      </c>
      <c r="C877" t="s">
        <v>32</v>
      </c>
      <c r="D877" s="1">
        <v>45726</v>
      </c>
    </row>
    <row r="878" spans="1:4" x14ac:dyDescent="0.45">
      <c r="A878">
        <v>877</v>
      </c>
      <c r="B878" t="s">
        <v>28</v>
      </c>
      <c r="C878" t="s">
        <v>35</v>
      </c>
      <c r="D878" s="1">
        <v>45790</v>
      </c>
    </row>
    <row r="879" spans="1:4" x14ac:dyDescent="0.45">
      <c r="A879">
        <v>878</v>
      </c>
      <c r="B879" t="s">
        <v>36</v>
      </c>
      <c r="C879" t="s">
        <v>35</v>
      </c>
      <c r="D879" s="1">
        <v>45745</v>
      </c>
    </row>
    <row r="880" spans="1:4" x14ac:dyDescent="0.45">
      <c r="A880">
        <v>879</v>
      </c>
      <c r="B880" t="s">
        <v>31</v>
      </c>
      <c r="C880" t="s">
        <v>32</v>
      </c>
      <c r="D880" s="1">
        <v>45798</v>
      </c>
    </row>
    <row r="881" spans="1:4" x14ac:dyDescent="0.45">
      <c r="A881">
        <v>880</v>
      </c>
      <c r="B881" t="s">
        <v>38</v>
      </c>
      <c r="C881" t="s">
        <v>37</v>
      </c>
      <c r="D881" s="1">
        <v>45664</v>
      </c>
    </row>
    <row r="882" spans="1:4" x14ac:dyDescent="0.45">
      <c r="A882">
        <v>881</v>
      </c>
      <c r="B882" t="s">
        <v>38</v>
      </c>
      <c r="C882" t="s">
        <v>30</v>
      </c>
      <c r="D882" s="1">
        <v>45719</v>
      </c>
    </row>
    <row r="883" spans="1:4" x14ac:dyDescent="0.45">
      <c r="A883">
        <v>882</v>
      </c>
      <c r="B883" t="s">
        <v>34</v>
      </c>
      <c r="C883" t="s">
        <v>29</v>
      </c>
      <c r="D883" s="1">
        <v>45454</v>
      </c>
    </row>
    <row r="884" spans="1:4" x14ac:dyDescent="0.45">
      <c r="A884">
        <v>883</v>
      </c>
      <c r="B884" t="s">
        <v>33</v>
      </c>
      <c r="C884" t="s">
        <v>29</v>
      </c>
      <c r="D884" s="1">
        <v>45745</v>
      </c>
    </row>
    <row r="885" spans="1:4" x14ac:dyDescent="0.45">
      <c r="A885">
        <v>884</v>
      </c>
      <c r="B885" t="s">
        <v>34</v>
      </c>
      <c r="C885" t="s">
        <v>35</v>
      </c>
      <c r="D885" s="1">
        <v>45760</v>
      </c>
    </row>
    <row r="886" spans="1:4" x14ac:dyDescent="0.45">
      <c r="A886">
        <v>885</v>
      </c>
      <c r="B886" t="s">
        <v>34</v>
      </c>
      <c r="C886" t="s">
        <v>29</v>
      </c>
      <c r="D886" s="1">
        <v>45757</v>
      </c>
    </row>
    <row r="887" spans="1:4" x14ac:dyDescent="0.45">
      <c r="A887">
        <v>886</v>
      </c>
      <c r="B887" t="s">
        <v>33</v>
      </c>
      <c r="C887" t="s">
        <v>30</v>
      </c>
      <c r="D887" s="1">
        <v>45499</v>
      </c>
    </row>
    <row r="888" spans="1:4" x14ac:dyDescent="0.45">
      <c r="A888">
        <v>887</v>
      </c>
      <c r="B888" t="s">
        <v>33</v>
      </c>
      <c r="C888" t="s">
        <v>37</v>
      </c>
      <c r="D888" s="1">
        <v>45736</v>
      </c>
    </row>
    <row r="889" spans="1:4" x14ac:dyDescent="0.45">
      <c r="A889">
        <v>888</v>
      </c>
      <c r="B889" t="s">
        <v>34</v>
      </c>
      <c r="C889" t="s">
        <v>37</v>
      </c>
      <c r="D889" s="1">
        <v>45460</v>
      </c>
    </row>
    <row r="890" spans="1:4" x14ac:dyDescent="0.45">
      <c r="A890">
        <v>889</v>
      </c>
      <c r="B890" t="s">
        <v>36</v>
      </c>
      <c r="C890" t="s">
        <v>35</v>
      </c>
      <c r="D890" s="1">
        <v>45452</v>
      </c>
    </row>
    <row r="891" spans="1:4" x14ac:dyDescent="0.45">
      <c r="A891">
        <v>890</v>
      </c>
      <c r="B891" t="s">
        <v>33</v>
      </c>
      <c r="C891" t="s">
        <v>37</v>
      </c>
      <c r="D891" s="1">
        <v>45359</v>
      </c>
    </row>
    <row r="892" spans="1:4" x14ac:dyDescent="0.45">
      <c r="A892">
        <v>891</v>
      </c>
      <c r="B892" t="s">
        <v>38</v>
      </c>
      <c r="C892" t="s">
        <v>32</v>
      </c>
      <c r="D892" s="1">
        <v>45744</v>
      </c>
    </row>
    <row r="893" spans="1:4" x14ac:dyDescent="0.45">
      <c r="A893">
        <v>892</v>
      </c>
      <c r="B893" t="s">
        <v>36</v>
      </c>
      <c r="C893" t="s">
        <v>32</v>
      </c>
      <c r="D893" s="1">
        <v>45732</v>
      </c>
    </row>
    <row r="894" spans="1:4" x14ac:dyDescent="0.45">
      <c r="A894">
        <v>893</v>
      </c>
      <c r="B894" t="s">
        <v>31</v>
      </c>
      <c r="C894" t="s">
        <v>32</v>
      </c>
      <c r="D894" s="1">
        <v>45580</v>
      </c>
    </row>
    <row r="895" spans="1:4" x14ac:dyDescent="0.45">
      <c r="A895">
        <v>894</v>
      </c>
      <c r="B895" t="s">
        <v>31</v>
      </c>
      <c r="C895" t="s">
        <v>30</v>
      </c>
      <c r="D895" s="1">
        <v>45689</v>
      </c>
    </row>
    <row r="896" spans="1:4" x14ac:dyDescent="0.45">
      <c r="A896">
        <v>895</v>
      </c>
      <c r="B896" t="s">
        <v>28</v>
      </c>
      <c r="C896" t="s">
        <v>35</v>
      </c>
      <c r="D896" s="1">
        <v>45775</v>
      </c>
    </row>
    <row r="897" spans="1:4" x14ac:dyDescent="0.45">
      <c r="A897">
        <v>896</v>
      </c>
      <c r="B897" t="s">
        <v>38</v>
      </c>
      <c r="C897" t="s">
        <v>32</v>
      </c>
      <c r="D897" s="1">
        <v>45757</v>
      </c>
    </row>
    <row r="898" spans="1:4" x14ac:dyDescent="0.45">
      <c r="A898">
        <v>897</v>
      </c>
      <c r="B898" t="s">
        <v>28</v>
      </c>
      <c r="C898" t="s">
        <v>29</v>
      </c>
      <c r="D898" s="1">
        <v>45734</v>
      </c>
    </row>
    <row r="899" spans="1:4" x14ac:dyDescent="0.45">
      <c r="A899">
        <v>898</v>
      </c>
      <c r="B899" t="s">
        <v>33</v>
      </c>
      <c r="C899" t="s">
        <v>30</v>
      </c>
      <c r="D899" s="1">
        <v>45716</v>
      </c>
    </row>
    <row r="900" spans="1:4" x14ac:dyDescent="0.45">
      <c r="A900">
        <v>899</v>
      </c>
      <c r="B900" t="s">
        <v>36</v>
      </c>
      <c r="C900" t="s">
        <v>35</v>
      </c>
      <c r="D900" s="1">
        <v>45568</v>
      </c>
    </row>
    <row r="901" spans="1:4" x14ac:dyDescent="0.45">
      <c r="A901">
        <v>900</v>
      </c>
      <c r="B901" t="s">
        <v>36</v>
      </c>
      <c r="C901" t="s">
        <v>30</v>
      </c>
      <c r="D901" s="1">
        <v>45720</v>
      </c>
    </row>
    <row r="902" spans="1:4" x14ac:dyDescent="0.45">
      <c r="A902">
        <v>901</v>
      </c>
      <c r="B902" t="s">
        <v>34</v>
      </c>
      <c r="C902" t="s">
        <v>35</v>
      </c>
      <c r="D902" s="1">
        <v>45595</v>
      </c>
    </row>
    <row r="903" spans="1:4" x14ac:dyDescent="0.45">
      <c r="A903">
        <v>902</v>
      </c>
      <c r="B903" t="s">
        <v>33</v>
      </c>
      <c r="C903" t="s">
        <v>37</v>
      </c>
      <c r="D903" s="1">
        <v>45695</v>
      </c>
    </row>
    <row r="904" spans="1:4" x14ac:dyDescent="0.45">
      <c r="A904">
        <v>903</v>
      </c>
      <c r="B904" t="s">
        <v>34</v>
      </c>
      <c r="C904" t="s">
        <v>37</v>
      </c>
      <c r="D904" s="1">
        <v>45751</v>
      </c>
    </row>
    <row r="905" spans="1:4" x14ac:dyDescent="0.45">
      <c r="A905">
        <v>904</v>
      </c>
      <c r="B905" t="s">
        <v>36</v>
      </c>
      <c r="C905" t="s">
        <v>35</v>
      </c>
      <c r="D905" s="1">
        <v>45675</v>
      </c>
    </row>
    <row r="906" spans="1:4" x14ac:dyDescent="0.45">
      <c r="A906">
        <v>905</v>
      </c>
      <c r="B906" t="s">
        <v>34</v>
      </c>
      <c r="C906" t="s">
        <v>30</v>
      </c>
      <c r="D906" s="1">
        <v>45683</v>
      </c>
    </row>
    <row r="907" spans="1:4" x14ac:dyDescent="0.45">
      <c r="A907">
        <v>906</v>
      </c>
      <c r="B907" t="s">
        <v>31</v>
      </c>
      <c r="C907" t="s">
        <v>32</v>
      </c>
      <c r="D907" s="1">
        <v>45780</v>
      </c>
    </row>
    <row r="908" spans="1:4" x14ac:dyDescent="0.45">
      <c r="A908">
        <v>907</v>
      </c>
      <c r="B908" t="s">
        <v>34</v>
      </c>
      <c r="C908" t="s">
        <v>32</v>
      </c>
      <c r="D908" s="1">
        <v>45727</v>
      </c>
    </row>
    <row r="909" spans="1:4" x14ac:dyDescent="0.45">
      <c r="A909">
        <v>908</v>
      </c>
      <c r="B909" t="s">
        <v>36</v>
      </c>
      <c r="C909" t="s">
        <v>37</v>
      </c>
      <c r="D909" s="1">
        <v>45701</v>
      </c>
    </row>
    <row r="910" spans="1:4" x14ac:dyDescent="0.45">
      <c r="A910">
        <v>909</v>
      </c>
      <c r="B910" t="s">
        <v>28</v>
      </c>
      <c r="C910" t="s">
        <v>37</v>
      </c>
      <c r="D910" s="1">
        <v>45426</v>
      </c>
    </row>
    <row r="911" spans="1:4" x14ac:dyDescent="0.45">
      <c r="A911">
        <v>910</v>
      </c>
      <c r="B911" t="s">
        <v>38</v>
      </c>
      <c r="C911" t="s">
        <v>32</v>
      </c>
      <c r="D911" s="1">
        <v>45486</v>
      </c>
    </row>
    <row r="912" spans="1:4" x14ac:dyDescent="0.45">
      <c r="A912">
        <v>911</v>
      </c>
      <c r="B912" t="s">
        <v>34</v>
      </c>
      <c r="C912" t="s">
        <v>30</v>
      </c>
      <c r="D912" s="1">
        <v>45692</v>
      </c>
    </row>
    <row r="913" spans="1:4" x14ac:dyDescent="0.45">
      <c r="A913">
        <v>912</v>
      </c>
      <c r="B913" t="s">
        <v>36</v>
      </c>
      <c r="C913" t="s">
        <v>29</v>
      </c>
      <c r="D913" s="1">
        <v>45712</v>
      </c>
    </row>
    <row r="914" spans="1:4" x14ac:dyDescent="0.45">
      <c r="A914">
        <v>913</v>
      </c>
      <c r="B914" t="s">
        <v>38</v>
      </c>
      <c r="C914" t="s">
        <v>35</v>
      </c>
      <c r="D914" s="1">
        <v>45684</v>
      </c>
    </row>
    <row r="915" spans="1:4" x14ac:dyDescent="0.45">
      <c r="A915">
        <v>914</v>
      </c>
      <c r="B915" t="s">
        <v>34</v>
      </c>
      <c r="C915" t="s">
        <v>35</v>
      </c>
      <c r="D915" s="1">
        <v>45745</v>
      </c>
    </row>
    <row r="916" spans="1:4" x14ac:dyDescent="0.45">
      <c r="A916">
        <v>915</v>
      </c>
      <c r="B916" t="s">
        <v>34</v>
      </c>
      <c r="C916" t="s">
        <v>29</v>
      </c>
      <c r="D916" s="1">
        <v>45734</v>
      </c>
    </row>
    <row r="917" spans="1:4" x14ac:dyDescent="0.45">
      <c r="A917">
        <v>916</v>
      </c>
      <c r="B917" t="s">
        <v>34</v>
      </c>
      <c r="C917" t="s">
        <v>30</v>
      </c>
      <c r="D917" s="1">
        <v>45772</v>
      </c>
    </row>
    <row r="918" spans="1:4" x14ac:dyDescent="0.45">
      <c r="A918">
        <v>917</v>
      </c>
      <c r="B918" t="s">
        <v>36</v>
      </c>
      <c r="C918" t="s">
        <v>35</v>
      </c>
      <c r="D918" s="1">
        <v>45419</v>
      </c>
    </row>
    <row r="919" spans="1:4" x14ac:dyDescent="0.45">
      <c r="A919">
        <v>918</v>
      </c>
      <c r="B919" t="s">
        <v>28</v>
      </c>
      <c r="C919" t="s">
        <v>37</v>
      </c>
      <c r="D919" s="1">
        <v>45324</v>
      </c>
    </row>
    <row r="920" spans="1:4" x14ac:dyDescent="0.45">
      <c r="A920">
        <v>919</v>
      </c>
      <c r="B920" t="s">
        <v>34</v>
      </c>
      <c r="C920" t="s">
        <v>30</v>
      </c>
      <c r="D920" s="1">
        <v>45467</v>
      </c>
    </row>
    <row r="921" spans="1:4" x14ac:dyDescent="0.45">
      <c r="A921">
        <v>920</v>
      </c>
      <c r="B921" t="s">
        <v>34</v>
      </c>
      <c r="C921" t="s">
        <v>37</v>
      </c>
      <c r="D921" s="1">
        <v>45710</v>
      </c>
    </row>
    <row r="922" spans="1:4" x14ac:dyDescent="0.45">
      <c r="A922">
        <v>921</v>
      </c>
      <c r="B922" t="s">
        <v>33</v>
      </c>
      <c r="C922" t="s">
        <v>32</v>
      </c>
      <c r="D922" s="1">
        <v>45780</v>
      </c>
    </row>
    <row r="923" spans="1:4" x14ac:dyDescent="0.45">
      <c r="A923">
        <v>922</v>
      </c>
      <c r="B923" t="s">
        <v>34</v>
      </c>
      <c r="C923" t="s">
        <v>37</v>
      </c>
      <c r="D923" s="1">
        <v>45772</v>
      </c>
    </row>
    <row r="924" spans="1:4" x14ac:dyDescent="0.45">
      <c r="A924">
        <v>923</v>
      </c>
      <c r="B924" t="s">
        <v>33</v>
      </c>
      <c r="C924" t="s">
        <v>32</v>
      </c>
      <c r="D924" s="1">
        <v>45734</v>
      </c>
    </row>
    <row r="925" spans="1:4" x14ac:dyDescent="0.45">
      <c r="A925">
        <v>924</v>
      </c>
      <c r="B925" t="s">
        <v>28</v>
      </c>
      <c r="C925" t="s">
        <v>29</v>
      </c>
      <c r="D925" s="1">
        <v>45662</v>
      </c>
    </row>
    <row r="926" spans="1:4" x14ac:dyDescent="0.45">
      <c r="A926">
        <v>925</v>
      </c>
      <c r="B926" t="s">
        <v>28</v>
      </c>
      <c r="C926" t="s">
        <v>37</v>
      </c>
      <c r="D926" s="1">
        <v>45666</v>
      </c>
    </row>
    <row r="927" spans="1:4" x14ac:dyDescent="0.45">
      <c r="A927">
        <v>926</v>
      </c>
      <c r="B927" t="s">
        <v>28</v>
      </c>
      <c r="C927" t="s">
        <v>29</v>
      </c>
      <c r="D927" s="1">
        <v>45313</v>
      </c>
    </row>
    <row r="928" spans="1:4" x14ac:dyDescent="0.45">
      <c r="A928">
        <v>927</v>
      </c>
      <c r="B928" t="s">
        <v>38</v>
      </c>
      <c r="C928" t="s">
        <v>29</v>
      </c>
      <c r="D928" s="1">
        <v>45529</v>
      </c>
    </row>
    <row r="929" spans="1:4" x14ac:dyDescent="0.45">
      <c r="A929">
        <v>928</v>
      </c>
      <c r="B929" t="s">
        <v>31</v>
      </c>
      <c r="C929" t="s">
        <v>30</v>
      </c>
      <c r="D929" s="1">
        <v>45740</v>
      </c>
    </row>
    <row r="930" spans="1:4" x14ac:dyDescent="0.45">
      <c r="A930">
        <v>929</v>
      </c>
      <c r="B930" t="s">
        <v>31</v>
      </c>
      <c r="C930" t="s">
        <v>35</v>
      </c>
      <c r="D930" s="1">
        <v>45668</v>
      </c>
    </row>
    <row r="931" spans="1:4" x14ac:dyDescent="0.45">
      <c r="A931">
        <v>930</v>
      </c>
      <c r="B931" t="s">
        <v>31</v>
      </c>
      <c r="C931" t="s">
        <v>32</v>
      </c>
      <c r="D931" s="1">
        <v>45703</v>
      </c>
    </row>
    <row r="932" spans="1:4" x14ac:dyDescent="0.45">
      <c r="A932">
        <v>931</v>
      </c>
      <c r="B932" t="s">
        <v>28</v>
      </c>
      <c r="C932" t="s">
        <v>32</v>
      </c>
      <c r="D932" s="1">
        <v>45449</v>
      </c>
    </row>
    <row r="933" spans="1:4" x14ac:dyDescent="0.45">
      <c r="A933">
        <v>932</v>
      </c>
      <c r="B933" t="s">
        <v>28</v>
      </c>
      <c r="C933" t="s">
        <v>35</v>
      </c>
      <c r="D933" s="1">
        <v>45728</v>
      </c>
    </row>
    <row r="934" spans="1:4" x14ac:dyDescent="0.45">
      <c r="A934">
        <v>933</v>
      </c>
      <c r="B934" t="s">
        <v>33</v>
      </c>
      <c r="C934" t="s">
        <v>30</v>
      </c>
      <c r="D934" s="1">
        <v>45329</v>
      </c>
    </row>
    <row r="935" spans="1:4" x14ac:dyDescent="0.45">
      <c r="A935">
        <v>934</v>
      </c>
      <c r="B935" t="s">
        <v>38</v>
      </c>
      <c r="C935" t="s">
        <v>35</v>
      </c>
      <c r="D935" s="1">
        <v>45521</v>
      </c>
    </row>
    <row r="936" spans="1:4" x14ac:dyDescent="0.45">
      <c r="A936">
        <v>935</v>
      </c>
      <c r="B936" t="s">
        <v>33</v>
      </c>
      <c r="C936" t="s">
        <v>32</v>
      </c>
      <c r="D936" s="1">
        <v>45671</v>
      </c>
    </row>
    <row r="937" spans="1:4" x14ac:dyDescent="0.45">
      <c r="A937">
        <v>936</v>
      </c>
      <c r="B937" t="s">
        <v>31</v>
      </c>
      <c r="C937" t="s">
        <v>35</v>
      </c>
      <c r="D937" s="1">
        <v>45700</v>
      </c>
    </row>
    <row r="938" spans="1:4" x14ac:dyDescent="0.45">
      <c r="A938">
        <v>937</v>
      </c>
      <c r="B938" t="s">
        <v>28</v>
      </c>
      <c r="C938" t="s">
        <v>32</v>
      </c>
      <c r="D938" s="1">
        <v>45656</v>
      </c>
    </row>
    <row r="939" spans="1:4" x14ac:dyDescent="0.45">
      <c r="A939">
        <v>938</v>
      </c>
      <c r="B939" t="s">
        <v>28</v>
      </c>
      <c r="C939" t="s">
        <v>35</v>
      </c>
      <c r="D939" s="1">
        <v>45342</v>
      </c>
    </row>
    <row r="940" spans="1:4" x14ac:dyDescent="0.45">
      <c r="A940">
        <v>939</v>
      </c>
      <c r="B940" t="s">
        <v>31</v>
      </c>
      <c r="C940" t="s">
        <v>29</v>
      </c>
      <c r="D940" s="1">
        <v>45729</v>
      </c>
    </row>
    <row r="941" spans="1:4" x14ac:dyDescent="0.45">
      <c r="A941">
        <v>940</v>
      </c>
      <c r="B941" t="s">
        <v>33</v>
      </c>
      <c r="C941" t="s">
        <v>32</v>
      </c>
      <c r="D941" s="1">
        <v>45555</v>
      </c>
    </row>
    <row r="942" spans="1:4" x14ac:dyDescent="0.45">
      <c r="A942">
        <v>941</v>
      </c>
      <c r="B942" t="s">
        <v>33</v>
      </c>
      <c r="C942" t="s">
        <v>29</v>
      </c>
      <c r="D942" s="1">
        <v>45574</v>
      </c>
    </row>
    <row r="943" spans="1:4" x14ac:dyDescent="0.45">
      <c r="A943">
        <v>942</v>
      </c>
      <c r="B943" t="s">
        <v>33</v>
      </c>
      <c r="C943" t="s">
        <v>30</v>
      </c>
      <c r="D943" s="1">
        <v>45318</v>
      </c>
    </row>
    <row r="944" spans="1:4" x14ac:dyDescent="0.45">
      <c r="A944">
        <v>943</v>
      </c>
      <c r="B944" t="s">
        <v>33</v>
      </c>
      <c r="C944" t="s">
        <v>29</v>
      </c>
      <c r="D944" s="1">
        <v>45718</v>
      </c>
    </row>
    <row r="945" spans="1:4" x14ac:dyDescent="0.45">
      <c r="A945">
        <v>944</v>
      </c>
      <c r="B945" t="s">
        <v>34</v>
      </c>
      <c r="C945" t="s">
        <v>37</v>
      </c>
      <c r="D945" s="1">
        <v>45517</v>
      </c>
    </row>
    <row r="946" spans="1:4" x14ac:dyDescent="0.45">
      <c r="A946">
        <v>945</v>
      </c>
      <c r="B946" t="s">
        <v>36</v>
      </c>
      <c r="C946" t="s">
        <v>37</v>
      </c>
      <c r="D946" s="1">
        <v>45568</v>
      </c>
    </row>
    <row r="947" spans="1:4" x14ac:dyDescent="0.45">
      <c r="A947">
        <v>946</v>
      </c>
      <c r="B947" t="s">
        <v>28</v>
      </c>
      <c r="C947" t="s">
        <v>37</v>
      </c>
      <c r="D947" s="1">
        <v>45750</v>
      </c>
    </row>
    <row r="948" spans="1:4" x14ac:dyDescent="0.45">
      <c r="A948">
        <v>947</v>
      </c>
      <c r="B948" t="s">
        <v>31</v>
      </c>
      <c r="C948" t="s">
        <v>37</v>
      </c>
      <c r="D948" s="1">
        <v>45577</v>
      </c>
    </row>
    <row r="949" spans="1:4" x14ac:dyDescent="0.45">
      <c r="A949">
        <v>948</v>
      </c>
      <c r="B949" t="s">
        <v>34</v>
      </c>
      <c r="C949" t="s">
        <v>35</v>
      </c>
      <c r="D949" s="1">
        <v>45682</v>
      </c>
    </row>
    <row r="950" spans="1:4" x14ac:dyDescent="0.45">
      <c r="A950">
        <v>949</v>
      </c>
      <c r="B950" t="s">
        <v>34</v>
      </c>
      <c r="C950" t="s">
        <v>29</v>
      </c>
      <c r="D950" s="1">
        <v>45388</v>
      </c>
    </row>
    <row r="951" spans="1:4" x14ac:dyDescent="0.45">
      <c r="A951">
        <v>950</v>
      </c>
      <c r="B951" t="s">
        <v>33</v>
      </c>
      <c r="C951" t="s">
        <v>35</v>
      </c>
      <c r="D951" s="1">
        <v>45575</v>
      </c>
    </row>
    <row r="952" spans="1:4" x14ac:dyDescent="0.45">
      <c r="A952">
        <v>951</v>
      </c>
      <c r="B952" t="s">
        <v>38</v>
      </c>
      <c r="C952" t="s">
        <v>35</v>
      </c>
      <c r="D952" s="1">
        <v>45707</v>
      </c>
    </row>
    <row r="953" spans="1:4" x14ac:dyDescent="0.45">
      <c r="A953">
        <v>952</v>
      </c>
      <c r="B953" t="s">
        <v>33</v>
      </c>
      <c r="C953" t="s">
        <v>37</v>
      </c>
      <c r="D953" s="1">
        <v>45730</v>
      </c>
    </row>
    <row r="954" spans="1:4" x14ac:dyDescent="0.45">
      <c r="A954">
        <v>953</v>
      </c>
      <c r="B954" t="s">
        <v>28</v>
      </c>
      <c r="C954" t="s">
        <v>37</v>
      </c>
      <c r="D954" s="1">
        <v>45718</v>
      </c>
    </row>
    <row r="955" spans="1:4" x14ac:dyDescent="0.45">
      <c r="A955">
        <v>954</v>
      </c>
      <c r="B955" t="s">
        <v>38</v>
      </c>
      <c r="C955" t="s">
        <v>35</v>
      </c>
      <c r="D955" s="1">
        <v>45707</v>
      </c>
    </row>
    <row r="956" spans="1:4" x14ac:dyDescent="0.45">
      <c r="A956">
        <v>955</v>
      </c>
      <c r="B956" t="s">
        <v>38</v>
      </c>
      <c r="C956" t="s">
        <v>35</v>
      </c>
      <c r="D956" s="1">
        <v>45761</v>
      </c>
    </row>
    <row r="957" spans="1:4" x14ac:dyDescent="0.45">
      <c r="A957">
        <v>956</v>
      </c>
      <c r="B957" t="s">
        <v>38</v>
      </c>
      <c r="C957" t="s">
        <v>32</v>
      </c>
      <c r="D957" s="1">
        <v>45749</v>
      </c>
    </row>
    <row r="958" spans="1:4" x14ac:dyDescent="0.45">
      <c r="A958">
        <v>957</v>
      </c>
      <c r="B958" t="s">
        <v>28</v>
      </c>
      <c r="C958" t="s">
        <v>37</v>
      </c>
      <c r="D958" s="1">
        <v>45675</v>
      </c>
    </row>
    <row r="959" spans="1:4" x14ac:dyDescent="0.45">
      <c r="A959">
        <v>958</v>
      </c>
      <c r="B959" t="s">
        <v>36</v>
      </c>
      <c r="C959" t="s">
        <v>29</v>
      </c>
      <c r="D959" s="1">
        <v>45711</v>
      </c>
    </row>
    <row r="960" spans="1:4" x14ac:dyDescent="0.45">
      <c r="A960">
        <v>959</v>
      </c>
      <c r="B960" t="s">
        <v>34</v>
      </c>
      <c r="C960" t="s">
        <v>35</v>
      </c>
      <c r="D960" s="1">
        <v>45749</v>
      </c>
    </row>
    <row r="961" spans="1:4" x14ac:dyDescent="0.45">
      <c r="A961">
        <v>960</v>
      </c>
      <c r="B961" t="s">
        <v>36</v>
      </c>
      <c r="C961" t="s">
        <v>29</v>
      </c>
      <c r="D961" s="1">
        <v>45670</v>
      </c>
    </row>
    <row r="962" spans="1:4" x14ac:dyDescent="0.45">
      <c r="A962">
        <v>961</v>
      </c>
      <c r="B962" t="s">
        <v>36</v>
      </c>
      <c r="C962" t="s">
        <v>29</v>
      </c>
      <c r="D962" s="1">
        <v>45740</v>
      </c>
    </row>
    <row r="963" spans="1:4" x14ac:dyDescent="0.45">
      <c r="A963">
        <v>962</v>
      </c>
      <c r="B963" t="s">
        <v>38</v>
      </c>
      <c r="C963" t="s">
        <v>29</v>
      </c>
      <c r="D963" s="1">
        <v>45751</v>
      </c>
    </row>
    <row r="964" spans="1:4" x14ac:dyDescent="0.45">
      <c r="A964">
        <v>963</v>
      </c>
      <c r="B964" t="s">
        <v>36</v>
      </c>
      <c r="C964" t="s">
        <v>32</v>
      </c>
      <c r="D964" s="1">
        <v>45741</v>
      </c>
    </row>
    <row r="965" spans="1:4" x14ac:dyDescent="0.45">
      <c r="A965">
        <v>964</v>
      </c>
      <c r="B965" t="s">
        <v>34</v>
      </c>
      <c r="C965" t="s">
        <v>35</v>
      </c>
      <c r="D965" s="1">
        <v>45658</v>
      </c>
    </row>
    <row r="966" spans="1:4" x14ac:dyDescent="0.45">
      <c r="A966">
        <v>965</v>
      </c>
      <c r="B966" t="s">
        <v>33</v>
      </c>
      <c r="C966" t="s">
        <v>32</v>
      </c>
      <c r="D966" s="1">
        <v>45739</v>
      </c>
    </row>
    <row r="967" spans="1:4" x14ac:dyDescent="0.45">
      <c r="A967">
        <v>966</v>
      </c>
      <c r="B967" t="s">
        <v>28</v>
      </c>
      <c r="C967" t="s">
        <v>32</v>
      </c>
      <c r="D967" s="1">
        <v>45744</v>
      </c>
    </row>
    <row r="968" spans="1:4" x14ac:dyDescent="0.45">
      <c r="A968">
        <v>967</v>
      </c>
      <c r="B968" t="s">
        <v>33</v>
      </c>
      <c r="C968" t="s">
        <v>35</v>
      </c>
      <c r="D968" s="1">
        <v>45608</v>
      </c>
    </row>
    <row r="969" spans="1:4" x14ac:dyDescent="0.45">
      <c r="A969">
        <v>968</v>
      </c>
      <c r="B969" t="s">
        <v>33</v>
      </c>
      <c r="C969" t="s">
        <v>37</v>
      </c>
      <c r="D969" s="1">
        <v>45763</v>
      </c>
    </row>
    <row r="970" spans="1:4" x14ac:dyDescent="0.45">
      <c r="A970">
        <v>969</v>
      </c>
      <c r="B970" t="s">
        <v>38</v>
      </c>
      <c r="C970" t="s">
        <v>37</v>
      </c>
      <c r="D970" s="1">
        <v>45595</v>
      </c>
    </row>
    <row r="971" spans="1:4" x14ac:dyDescent="0.45">
      <c r="A971">
        <v>970</v>
      </c>
      <c r="B971" t="s">
        <v>36</v>
      </c>
      <c r="C971" t="s">
        <v>29</v>
      </c>
      <c r="D971" s="1">
        <v>45765</v>
      </c>
    </row>
    <row r="972" spans="1:4" x14ac:dyDescent="0.45">
      <c r="A972">
        <v>971</v>
      </c>
      <c r="B972" t="s">
        <v>28</v>
      </c>
      <c r="C972" t="s">
        <v>37</v>
      </c>
      <c r="D972" s="1">
        <v>45438</v>
      </c>
    </row>
    <row r="973" spans="1:4" x14ac:dyDescent="0.45">
      <c r="A973">
        <v>972</v>
      </c>
      <c r="B973" t="s">
        <v>28</v>
      </c>
      <c r="C973" t="s">
        <v>35</v>
      </c>
      <c r="D973" s="1">
        <v>45727</v>
      </c>
    </row>
    <row r="974" spans="1:4" x14ac:dyDescent="0.45">
      <c r="A974">
        <v>973</v>
      </c>
      <c r="B974" t="s">
        <v>33</v>
      </c>
      <c r="C974" t="s">
        <v>29</v>
      </c>
      <c r="D974" s="1">
        <v>45738</v>
      </c>
    </row>
    <row r="975" spans="1:4" x14ac:dyDescent="0.45">
      <c r="A975">
        <v>974</v>
      </c>
      <c r="B975" t="s">
        <v>33</v>
      </c>
      <c r="C975" t="s">
        <v>35</v>
      </c>
      <c r="D975" s="1">
        <v>45810</v>
      </c>
    </row>
    <row r="976" spans="1:4" x14ac:dyDescent="0.45">
      <c r="A976">
        <v>975</v>
      </c>
      <c r="B976" t="s">
        <v>31</v>
      </c>
      <c r="C976" t="s">
        <v>32</v>
      </c>
      <c r="D976" s="1">
        <v>45766</v>
      </c>
    </row>
    <row r="977" spans="1:4" x14ac:dyDescent="0.45">
      <c r="A977">
        <v>976</v>
      </c>
      <c r="B977" t="s">
        <v>33</v>
      </c>
      <c r="C977" t="s">
        <v>35</v>
      </c>
      <c r="D977" s="1">
        <v>45777</v>
      </c>
    </row>
    <row r="978" spans="1:4" x14ac:dyDescent="0.45">
      <c r="A978">
        <v>977</v>
      </c>
      <c r="B978" t="s">
        <v>33</v>
      </c>
      <c r="C978" t="s">
        <v>29</v>
      </c>
      <c r="D978" s="1">
        <v>45295</v>
      </c>
    </row>
    <row r="979" spans="1:4" x14ac:dyDescent="0.45">
      <c r="A979">
        <v>978</v>
      </c>
      <c r="B979" t="s">
        <v>28</v>
      </c>
      <c r="C979" t="s">
        <v>30</v>
      </c>
      <c r="D979" s="1">
        <v>45757</v>
      </c>
    </row>
    <row r="980" spans="1:4" x14ac:dyDescent="0.45">
      <c r="A980">
        <v>979</v>
      </c>
      <c r="B980" t="s">
        <v>34</v>
      </c>
      <c r="C980" t="s">
        <v>37</v>
      </c>
      <c r="D980" s="1">
        <v>45326</v>
      </c>
    </row>
    <row r="981" spans="1:4" x14ac:dyDescent="0.45">
      <c r="A981">
        <v>980</v>
      </c>
      <c r="B981" t="s">
        <v>33</v>
      </c>
      <c r="C981" t="s">
        <v>35</v>
      </c>
      <c r="D981" s="1">
        <v>45483</v>
      </c>
    </row>
    <row r="982" spans="1:4" x14ac:dyDescent="0.45">
      <c r="A982">
        <v>981</v>
      </c>
      <c r="B982" t="s">
        <v>34</v>
      </c>
      <c r="C982" t="s">
        <v>35</v>
      </c>
      <c r="D982" s="1">
        <v>45776</v>
      </c>
    </row>
    <row r="983" spans="1:4" x14ac:dyDescent="0.45">
      <c r="A983">
        <v>982</v>
      </c>
      <c r="B983" t="s">
        <v>33</v>
      </c>
      <c r="C983" t="s">
        <v>29</v>
      </c>
      <c r="D983" s="1">
        <v>45684</v>
      </c>
    </row>
    <row r="984" spans="1:4" x14ac:dyDescent="0.45">
      <c r="A984">
        <v>983</v>
      </c>
      <c r="B984" t="s">
        <v>36</v>
      </c>
      <c r="C984" t="s">
        <v>30</v>
      </c>
      <c r="D984" s="1">
        <v>45768</v>
      </c>
    </row>
    <row r="985" spans="1:4" x14ac:dyDescent="0.45">
      <c r="A985">
        <v>984</v>
      </c>
      <c r="B985" t="s">
        <v>31</v>
      </c>
      <c r="C985" t="s">
        <v>37</v>
      </c>
      <c r="D985" s="1">
        <v>45340</v>
      </c>
    </row>
    <row r="986" spans="1:4" x14ac:dyDescent="0.45">
      <c r="A986">
        <v>985</v>
      </c>
      <c r="B986" t="s">
        <v>36</v>
      </c>
      <c r="C986" t="s">
        <v>32</v>
      </c>
      <c r="D986" s="1">
        <v>45308</v>
      </c>
    </row>
    <row r="987" spans="1:4" x14ac:dyDescent="0.45">
      <c r="A987">
        <v>986</v>
      </c>
      <c r="B987" t="s">
        <v>31</v>
      </c>
      <c r="C987" t="s">
        <v>37</v>
      </c>
      <c r="D987" s="1">
        <v>45740</v>
      </c>
    </row>
    <row r="988" spans="1:4" x14ac:dyDescent="0.45">
      <c r="A988">
        <v>987</v>
      </c>
      <c r="B988" t="s">
        <v>38</v>
      </c>
      <c r="C988" t="s">
        <v>32</v>
      </c>
      <c r="D988" s="1">
        <v>45771</v>
      </c>
    </row>
    <row r="989" spans="1:4" x14ac:dyDescent="0.45">
      <c r="A989">
        <v>988</v>
      </c>
      <c r="B989" t="s">
        <v>38</v>
      </c>
      <c r="C989" t="s">
        <v>37</v>
      </c>
      <c r="D989" s="1">
        <v>45711</v>
      </c>
    </row>
    <row r="990" spans="1:4" x14ac:dyDescent="0.45">
      <c r="A990">
        <v>989</v>
      </c>
      <c r="B990" t="s">
        <v>34</v>
      </c>
      <c r="C990" t="s">
        <v>32</v>
      </c>
      <c r="D990" s="1">
        <v>45463</v>
      </c>
    </row>
    <row r="991" spans="1:4" x14ac:dyDescent="0.45">
      <c r="A991">
        <v>990</v>
      </c>
      <c r="B991" t="s">
        <v>34</v>
      </c>
      <c r="C991" t="s">
        <v>32</v>
      </c>
      <c r="D991" s="1">
        <v>45715</v>
      </c>
    </row>
    <row r="992" spans="1:4" x14ac:dyDescent="0.45">
      <c r="A992">
        <v>991</v>
      </c>
      <c r="B992" t="s">
        <v>31</v>
      </c>
      <c r="C992" t="s">
        <v>32</v>
      </c>
      <c r="D992" s="1">
        <v>45511</v>
      </c>
    </row>
    <row r="993" spans="1:4" x14ac:dyDescent="0.45">
      <c r="A993">
        <v>992</v>
      </c>
      <c r="B993" t="s">
        <v>33</v>
      </c>
      <c r="C993" t="s">
        <v>30</v>
      </c>
      <c r="D993" s="1">
        <v>45791</v>
      </c>
    </row>
    <row r="994" spans="1:4" x14ac:dyDescent="0.45">
      <c r="A994">
        <v>993</v>
      </c>
      <c r="B994" t="s">
        <v>36</v>
      </c>
      <c r="C994" t="s">
        <v>37</v>
      </c>
      <c r="D994" s="1">
        <v>45764</v>
      </c>
    </row>
    <row r="995" spans="1:4" x14ac:dyDescent="0.45">
      <c r="A995">
        <v>994</v>
      </c>
      <c r="B995" t="s">
        <v>34</v>
      </c>
      <c r="C995" t="s">
        <v>35</v>
      </c>
      <c r="D995" s="1">
        <v>45449</v>
      </c>
    </row>
    <row r="996" spans="1:4" x14ac:dyDescent="0.45">
      <c r="A996">
        <v>995</v>
      </c>
      <c r="B996" t="s">
        <v>36</v>
      </c>
      <c r="C996" t="s">
        <v>29</v>
      </c>
      <c r="D996" s="1">
        <v>45337</v>
      </c>
    </row>
    <row r="997" spans="1:4" x14ac:dyDescent="0.45">
      <c r="A997">
        <v>996</v>
      </c>
      <c r="B997" t="s">
        <v>36</v>
      </c>
      <c r="C997" t="s">
        <v>37</v>
      </c>
      <c r="D997" s="1">
        <v>45785</v>
      </c>
    </row>
    <row r="998" spans="1:4" x14ac:dyDescent="0.45">
      <c r="A998">
        <v>997</v>
      </c>
      <c r="B998" t="s">
        <v>33</v>
      </c>
      <c r="C998" t="s">
        <v>29</v>
      </c>
      <c r="D998" s="1">
        <v>45745</v>
      </c>
    </row>
    <row r="999" spans="1:4" x14ac:dyDescent="0.45">
      <c r="A999">
        <v>998</v>
      </c>
      <c r="B999" t="s">
        <v>28</v>
      </c>
      <c r="C999" t="s">
        <v>30</v>
      </c>
      <c r="D999" s="1">
        <v>45664</v>
      </c>
    </row>
    <row r="1000" spans="1:4" x14ac:dyDescent="0.45">
      <c r="A1000">
        <v>999</v>
      </c>
      <c r="B1000" t="s">
        <v>36</v>
      </c>
      <c r="C1000" t="s">
        <v>29</v>
      </c>
      <c r="D1000" s="1">
        <v>45709</v>
      </c>
    </row>
    <row r="1001" spans="1:4" x14ac:dyDescent="0.45">
      <c r="A1001">
        <v>1000</v>
      </c>
      <c r="B1001" t="s">
        <v>34</v>
      </c>
      <c r="C1001" t="s">
        <v>29</v>
      </c>
      <c r="D1001" s="1">
        <v>45297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BE4E7-006E-4DFF-AB0E-50F2897592BE}">
  <dimension ref="A1:I501"/>
  <sheetViews>
    <sheetView workbookViewId="0">
      <selection activeCell="F14" sqref="F14"/>
    </sheetView>
  </sheetViews>
  <sheetFormatPr defaultRowHeight="14.25" x14ac:dyDescent="0.45"/>
  <cols>
    <col min="1" max="1" width="11.06640625" customWidth="1"/>
    <col min="2" max="2" width="21.73046875" customWidth="1"/>
    <col min="3" max="3" width="9.46484375" customWidth="1"/>
    <col min="6" max="6" width="4.86328125" customWidth="1"/>
    <col min="7" max="7" width="13.265625" customWidth="1"/>
    <col min="8" max="8" width="10.86328125" customWidth="1"/>
  </cols>
  <sheetData>
    <row r="1" spans="1:9" x14ac:dyDescent="0.45">
      <c r="A1" t="s">
        <v>39</v>
      </c>
      <c r="B1" t="s">
        <v>40</v>
      </c>
      <c r="C1" t="s">
        <v>41</v>
      </c>
      <c r="D1" t="s">
        <v>42</v>
      </c>
      <c r="E1" t="s">
        <v>43</v>
      </c>
      <c r="F1" t="s">
        <v>44</v>
      </c>
      <c r="G1" t="s">
        <v>45</v>
      </c>
      <c r="H1" t="s">
        <v>46</v>
      </c>
      <c r="I1" t="s">
        <v>47</v>
      </c>
    </row>
    <row r="2" spans="1:9" x14ac:dyDescent="0.45">
      <c r="A2">
        <v>1</v>
      </c>
      <c r="B2" t="s">
        <v>48</v>
      </c>
      <c r="C2" t="s">
        <v>49</v>
      </c>
      <c r="D2" t="s">
        <v>50</v>
      </c>
      <c r="E2" t="s">
        <v>51</v>
      </c>
      <c r="F2" t="s">
        <v>52</v>
      </c>
      <c r="G2">
        <v>40.409999999999997</v>
      </c>
      <c r="H2">
        <v>20.7</v>
      </c>
      <c r="I2" t="s">
        <v>53</v>
      </c>
    </row>
    <row r="3" spans="1:9" x14ac:dyDescent="0.45">
      <c r="A3">
        <v>2</v>
      </c>
      <c r="B3" t="s">
        <v>54</v>
      </c>
      <c r="C3" t="s">
        <v>55</v>
      </c>
      <c r="D3" t="s">
        <v>50</v>
      </c>
      <c r="E3" t="s">
        <v>56</v>
      </c>
      <c r="F3" t="s">
        <v>52</v>
      </c>
      <c r="G3">
        <v>78.45</v>
      </c>
      <c r="H3">
        <v>53.76</v>
      </c>
      <c r="I3" t="s">
        <v>53</v>
      </c>
    </row>
    <row r="4" spans="1:9" x14ac:dyDescent="0.45">
      <c r="A4">
        <v>3</v>
      </c>
      <c r="B4" t="s">
        <v>57</v>
      </c>
      <c r="C4" t="s">
        <v>55</v>
      </c>
      <c r="D4" t="s">
        <v>50</v>
      </c>
      <c r="E4" t="s">
        <v>51</v>
      </c>
      <c r="F4" t="s">
        <v>58</v>
      </c>
      <c r="G4">
        <v>23.9</v>
      </c>
      <c r="H4">
        <v>14.81</v>
      </c>
      <c r="I4" t="s">
        <v>53</v>
      </c>
    </row>
    <row r="5" spans="1:9" x14ac:dyDescent="0.45">
      <c r="A5">
        <v>4</v>
      </c>
      <c r="B5" t="s">
        <v>59</v>
      </c>
      <c r="C5" t="s">
        <v>55</v>
      </c>
      <c r="D5" t="s">
        <v>50</v>
      </c>
      <c r="E5" t="s">
        <v>56</v>
      </c>
      <c r="F5" t="s">
        <v>52</v>
      </c>
      <c r="G5">
        <v>60</v>
      </c>
      <c r="H5">
        <v>34.78</v>
      </c>
      <c r="I5" t="s">
        <v>53</v>
      </c>
    </row>
    <row r="6" spans="1:9" x14ac:dyDescent="0.45">
      <c r="A6">
        <v>5</v>
      </c>
      <c r="B6" t="s">
        <v>60</v>
      </c>
      <c r="C6" t="s">
        <v>61</v>
      </c>
      <c r="D6" t="s">
        <v>50</v>
      </c>
      <c r="E6" t="s">
        <v>62</v>
      </c>
      <c r="F6" t="s">
        <v>63</v>
      </c>
      <c r="G6">
        <v>36.840000000000003</v>
      </c>
      <c r="H6">
        <v>16.46</v>
      </c>
      <c r="I6" t="s">
        <v>53</v>
      </c>
    </row>
    <row r="7" spans="1:9" x14ac:dyDescent="0.45">
      <c r="A7">
        <v>6</v>
      </c>
      <c r="B7" t="s">
        <v>64</v>
      </c>
      <c r="C7" t="s">
        <v>65</v>
      </c>
      <c r="D7" t="s">
        <v>50</v>
      </c>
      <c r="E7" t="s">
        <v>51</v>
      </c>
      <c r="F7" t="s">
        <v>52</v>
      </c>
      <c r="G7">
        <v>70.86</v>
      </c>
      <c r="H7">
        <v>31.66</v>
      </c>
      <c r="I7" t="s">
        <v>53</v>
      </c>
    </row>
    <row r="8" spans="1:9" x14ac:dyDescent="0.45">
      <c r="A8">
        <v>7</v>
      </c>
      <c r="B8" t="s">
        <v>66</v>
      </c>
      <c r="C8" t="s">
        <v>49</v>
      </c>
      <c r="D8" t="s">
        <v>50</v>
      </c>
      <c r="E8" t="s">
        <v>56</v>
      </c>
      <c r="F8" t="s">
        <v>63</v>
      </c>
      <c r="G8">
        <v>57.66</v>
      </c>
      <c r="H8">
        <v>24.07</v>
      </c>
      <c r="I8" t="s">
        <v>53</v>
      </c>
    </row>
    <row r="9" spans="1:9" x14ac:dyDescent="0.45">
      <c r="A9">
        <v>8</v>
      </c>
      <c r="B9" t="s">
        <v>67</v>
      </c>
      <c r="C9" t="s">
        <v>61</v>
      </c>
      <c r="D9" t="s">
        <v>50</v>
      </c>
      <c r="E9" t="s">
        <v>51</v>
      </c>
      <c r="F9" t="s">
        <v>63</v>
      </c>
      <c r="G9">
        <v>50.91</v>
      </c>
      <c r="H9">
        <v>33.590000000000003</v>
      </c>
      <c r="I9" t="s">
        <v>53</v>
      </c>
    </row>
    <row r="10" spans="1:9" x14ac:dyDescent="0.45">
      <c r="A10">
        <v>9</v>
      </c>
      <c r="B10" t="s">
        <v>68</v>
      </c>
      <c r="C10" t="s">
        <v>65</v>
      </c>
      <c r="D10" t="s">
        <v>50</v>
      </c>
      <c r="E10" t="s">
        <v>69</v>
      </c>
      <c r="F10" t="s">
        <v>72</v>
      </c>
      <c r="G10">
        <v>40.5</v>
      </c>
      <c r="H10">
        <v>23.5</v>
      </c>
      <c r="I10" t="s">
        <v>53</v>
      </c>
    </row>
    <row r="11" spans="1:9" x14ac:dyDescent="0.45">
      <c r="A11">
        <v>10</v>
      </c>
      <c r="B11" t="s">
        <v>70</v>
      </c>
      <c r="C11" t="s">
        <v>61</v>
      </c>
      <c r="D11" t="s">
        <v>50</v>
      </c>
      <c r="E11" t="s">
        <v>71</v>
      </c>
      <c r="F11" t="s">
        <v>72</v>
      </c>
      <c r="G11">
        <v>79.7</v>
      </c>
      <c r="H11">
        <v>48.81</v>
      </c>
      <c r="I11" t="s">
        <v>53</v>
      </c>
    </row>
    <row r="12" spans="1:9" x14ac:dyDescent="0.45">
      <c r="A12">
        <v>11</v>
      </c>
      <c r="B12" t="s">
        <v>73</v>
      </c>
      <c r="C12" t="s">
        <v>65</v>
      </c>
      <c r="D12" t="s">
        <v>50</v>
      </c>
      <c r="E12" t="s">
        <v>51</v>
      </c>
      <c r="F12" t="s">
        <v>63</v>
      </c>
      <c r="G12">
        <v>51.09</v>
      </c>
      <c r="H12">
        <v>20.75</v>
      </c>
      <c r="I12" t="s">
        <v>53</v>
      </c>
    </row>
    <row r="13" spans="1:9" x14ac:dyDescent="0.45">
      <c r="A13">
        <v>12</v>
      </c>
      <c r="B13" t="s">
        <v>74</v>
      </c>
      <c r="C13" t="s">
        <v>49</v>
      </c>
      <c r="D13" t="s">
        <v>50</v>
      </c>
      <c r="E13" t="s">
        <v>69</v>
      </c>
      <c r="F13" t="s">
        <v>58</v>
      </c>
      <c r="G13">
        <v>44.77</v>
      </c>
      <c r="H13">
        <v>30.93</v>
      </c>
      <c r="I13" t="s">
        <v>53</v>
      </c>
    </row>
    <row r="14" spans="1:9" x14ac:dyDescent="0.45">
      <c r="A14">
        <v>13</v>
      </c>
      <c r="B14" t="s">
        <v>75</v>
      </c>
      <c r="C14" t="s">
        <v>65</v>
      </c>
      <c r="D14" t="s">
        <v>50</v>
      </c>
      <c r="E14" t="s">
        <v>51</v>
      </c>
      <c r="F14" t="s">
        <v>52</v>
      </c>
      <c r="G14">
        <v>34.25</v>
      </c>
      <c r="H14">
        <v>22.25</v>
      </c>
      <c r="I14" t="s">
        <v>53</v>
      </c>
    </row>
    <row r="15" spans="1:9" x14ac:dyDescent="0.45">
      <c r="A15">
        <v>14</v>
      </c>
      <c r="B15" t="s">
        <v>76</v>
      </c>
      <c r="C15" t="s">
        <v>49</v>
      </c>
      <c r="D15" t="s">
        <v>50</v>
      </c>
      <c r="E15" t="s">
        <v>71</v>
      </c>
      <c r="F15" t="s">
        <v>77</v>
      </c>
      <c r="G15">
        <v>24.96</v>
      </c>
      <c r="H15">
        <v>11.57</v>
      </c>
      <c r="I15" t="s">
        <v>53</v>
      </c>
    </row>
    <row r="16" spans="1:9" x14ac:dyDescent="0.45">
      <c r="A16">
        <v>15</v>
      </c>
      <c r="B16" t="s">
        <v>78</v>
      </c>
      <c r="C16" t="s">
        <v>55</v>
      </c>
      <c r="D16" t="s">
        <v>50</v>
      </c>
      <c r="E16" t="s">
        <v>62</v>
      </c>
      <c r="F16" t="s">
        <v>52</v>
      </c>
      <c r="G16">
        <v>61.26</v>
      </c>
      <c r="H16">
        <v>27.85</v>
      </c>
      <c r="I16" t="s">
        <v>53</v>
      </c>
    </row>
    <row r="17" spans="1:9" x14ac:dyDescent="0.45">
      <c r="A17">
        <v>16</v>
      </c>
      <c r="B17" t="s">
        <v>79</v>
      </c>
      <c r="C17" t="s">
        <v>61</v>
      </c>
      <c r="D17" t="s">
        <v>50</v>
      </c>
      <c r="E17" t="s">
        <v>62</v>
      </c>
      <c r="F17" t="s">
        <v>63</v>
      </c>
      <c r="G17">
        <v>40.36</v>
      </c>
      <c r="H17">
        <v>18.36</v>
      </c>
      <c r="I17" t="s">
        <v>53</v>
      </c>
    </row>
    <row r="18" spans="1:9" x14ac:dyDescent="0.45">
      <c r="A18">
        <v>17</v>
      </c>
      <c r="B18" t="s">
        <v>80</v>
      </c>
      <c r="C18" t="s">
        <v>49</v>
      </c>
      <c r="D18" t="s">
        <v>50</v>
      </c>
      <c r="E18" t="s">
        <v>62</v>
      </c>
      <c r="F18" t="s">
        <v>72</v>
      </c>
      <c r="G18">
        <v>51.9</v>
      </c>
      <c r="H18">
        <v>25.5</v>
      </c>
      <c r="I18" t="s">
        <v>53</v>
      </c>
    </row>
    <row r="19" spans="1:9" x14ac:dyDescent="0.45">
      <c r="A19">
        <v>18</v>
      </c>
      <c r="B19" t="s">
        <v>81</v>
      </c>
      <c r="C19" t="s">
        <v>65</v>
      </c>
      <c r="D19" t="s">
        <v>50</v>
      </c>
      <c r="E19" t="s">
        <v>51</v>
      </c>
      <c r="F19" t="s">
        <v>77</v>
      </c>
      <c r="G19">
        <v>40.99</v>
      </c>
      <c r="H19">
        <v>22.85</v>
      </c>
      <c r="I19" t="s">
        <v>53</v>
      </c>
    </row>
    <row r="20" spans="1:9" x14ac:dyDescent="0.45">
      <c r="A20">
        <v>19</v>
      </c>
      <c r="B20" t="s">
        <v>82</v>
      </c>
      <c r="C20" t="s">
        <v>49</v>
      </c>
      <c r="D20" t="s">
        <v>50</v>
      </c>
      <c r="E20" t="s">
        <v>62</v>
      </c>
      <c r="F20" t="s">
        <v>52</v>
      </c>
      <c r="G20">
        <v>65.260000000000005</v>
      </c>
      <c r="H20">
        <v>34.56</v>
      </c>
      <c r="I20" t="s">
        <v>53</v>
      </c>
    </row>
    <row r="21" spans="1:9" x14ac:dyDescent="0.45">
      <c r="A21">
        <v>20</v>
      </c>
      <c r="B21" t="s">
        <v>83</v>
      </c>
      <c r="C21" t="s">
        <v>49</v>
      </c>
      <c r="D21" t="s">
        <v>50</v>
      </c>
      <c r="E21" t="s">
        <v>56</v>
      </c>
      <c r="F21" t="s">
        <v>77</v>
      </c>
      <c r="G21">
        <v>45.42</v>
      </c>
      <c r="H21">
        <v>22.14</v>
      </c>
      <c r="I21" t="s">
        <v>53</v>
      </c>
    </row>
    <row r="22" spans="1:9" x14ac:dyDescent="0.45">
      <c r="A22">
        <v>21</v>
      </c>
      <c r="B22" t="s">
        <v>84</v>
      </c>
      <c r="C22" t="s">
        <v>65</v>
      </c>
      <c r="D22" t="s">
        <v>50</v>
      </c>
      <c r="E22" t="s">
        <v>69</v>
      </c>
      <c r="F22" t="s">
        <v>52</v>
      </c>
      <c r="G22">
        <v>43.3</v>
      </c>
      <c r="H22">
        <v>25.27</v>
      </c>
      <c r="I22" t="s">
        <v>53</v>
      </c>
    </row>
    <row r="23" spans="1:9" x14ac:dyDescent="0.45">
      <c r="A23">
        <v>22</v>
      </c>
      <c r="B23" t="s">
        <v>85</v>
      </c>
      <c r="C23" t="s">
        <v>55</v>
      </c>
      <c r="D23" t="s">
        <v>50</v>
      </c>
      <c r="E23" t="s">
        <v>71</v>
      </c>
      <c r="F23" t="s">
        <v>77</v>
      </c>
      <c r="G23">
        <v>58.26</v>
      </c>
      <c r="H23">
        <v>25.74</v>
      </c>
      <c r="I23" t="s">
        <v>53</v>
      </c>
    </row>
    <row r="24" spans="1:9" x14ac:dyDescent="0.45">
      <c r="A24">
        <v>23</v>
      </c>
      <c r="B24" t="s">
        <v>86</v>
      </c>
      <c r="C24" t="s">
        <v>49</v>
      </c>
      <c r="D24" t="s">
        <v>50</v>
      </c>
      <c r="E24" t="s">
        <v>69</v>
      </c>
      <c r="F24" t="s">
        <v>58</v>
      </c>
      <c r="G24">
        <v>27.5</v>
      </c>
      <c r="H24">
        <v>13.41</v>
      </c>
      <c r="I24" t="s">
        <v>53</v>
      </c>
    </row>
    <row r="25" spans="1:9" x14ac:dyDescent="0.45">
      <c r="A25">
        <v>24</v>
      </c>
      <c r="B25" t="s">
        <v>87</v>
      </c>
      <c r="C25" t="s">
        <v>49</v>
      </c>
      <c r="D25" t="s">
        <v>50</v>
      </c>
      <c r="E25" t="s">
        <v>51</v>
      </c>
      <c r="F25" t="s">
        <v>52</v>
      </c>
      <c r="G25">
        <v>42.76</v>
      </c>
      <c r="H25">
        <v>21.8</v>
      </c>
      <c r="I25" t="s">
        <v>53</v>
      </c>
    </row>
    <row r="26" spans="1:9" x14ac:dyDescent="0.45">
      <c r="A26">
        <v>25</v>
      </c>
      <c r="B26" t="s">
        <v>88</v>
      </c>
      <c r="C26" t="s">
        <v>89</v>
      </c>
      <c r="D26" t="s">
        <v>50</v>
      </c>
      <c r="E26" t="s">
        <v>69</v>
      </c>
      <c r="F26" t="s">
        <v>72</v>
      </c>
      <c r="G26">
        <v>52.94</v>
      </c>
      <c r="H26">
        <v>28.42</v>
      </c>
      <c r="I26" t="s">
        <v>53</v>
      </c>
    </row>
    <row r="27" spans="1:9" x14ac:dyDescent="0.45">
      <c r="A27">
        <v>26</v>
      </c>
      <c r="B27" t="s">
        <v>90</v>
      </c>
      <c r="C27" t="s">
        <v>65</v>
      </c>
      <c r="D27" t="s">
        <v>50</v>
      </c>
      <c r="E27" t="s">
        <v>56</v>
      </c>
      <c r="F27" t="s">
        <v>72</v>
      </c>
      <c r="G27">
        <v>57.48</v>
      </c>
      <c r="H27">
        <v>36.53</v>
      </c>
      <c r="I27" t="s">
        <v>53</v>
      </c>
    </row>
    <row r="28" spans="1:9" x14ac:dyDescent="0.45">
      <c r="A28">
        <v>27</v>
      </c>
      <c r="B28" t="s">
        <v>91</v>
      </c>
      <c r="C28" t="s">
        <v>49</v>
      </c>
      <c r="D28" t="s">
        <v>50</v>
      </c>
      <c r="E28" t="s">
        <v>69</v>
      </c>
      <c r="F28" t="s">
        <v>58</v>
      </c>
      <c r="G28">
        <v>57.35</v>
      </c>
      <c r="H28">
        <v>26.38</v>
      </c>
      <c r="I28" t="s">
        <v>53</v>
      </c>
    </row>
    <row r="29" spans="1:9" x14ac:dyDescent="0.45">
      <c r="A29">
        <v>28</v>
      </c>
      <c r="B29" t="s">
        <v>92</v>
      </c>
      <c r="C29" t="s">
        <v>65</v>
      </c>
      <c r="D29" t="s">
        <v>50</v>
      </c>
      <c r="E29" t="s">
        <v>69</v>
      </c>
      <c r="F29" t="s">
        <v>63</v>
      </c>
      <c r="G29">
        <v>51.18</v>
      </c>
      <c r="H29">
        <v>28.37</v>
      </c>
      <c r="I29" t="s">
        <v>53</v>
      </c>
    </row>
    <row r="30" spans="1:9" x14ac:dyDescent="0.45">
      <c r="A30">
        <v>29</v>
      </c>
      <c r="B30" t="s">
        <v>93</v>
      </c>
      <c r="C30" t="s">
        <v>89</v>
      </c>
      <c r="D30" t="s">
        <v>50</v>
      </c>
      <c r="E30" t="s">
        <v>56</v>
      </c>
      <c r="F30" t="s">
        <v>77</v>
      </c>
      <c r="G30">
        <v>44.27</v>
      </c>
      <c r="H30">
        <v>25.58</v>
      </c>
      <c r="I30" t="s">
        <v>53</v>
      </c>
    </row>
    <row r="31" spans="1:9" x14ac:dyDescent="0.45">
      <c r="A31">
        <v>30</v>
      </c>
      <c r="B31" t="s">
        <v>94</v>
      </c>
      <c r="C31" t="s">
        <v>61</v>
      </c>
      <c r="D31" t="s">
        <v>50</v>
      </c>
      <c r="E31" t="s">
        <v>62</v>
      </c>
      <c r="F31" t="s">
        <v>77</v>
      </c>
      <c r="G31">
        <v>31.09</v>
      </c>
      <c r="H31">
        <v>12.87</v>
      </c>
      <c r="I31" t="s">
        <v>53</v>
      </c>
    </row>
    <row r="32" spans="1:9" x14ac:dyDescent="0.45">
      <c r="A32">
        <v>31</v>
      </c>
      <c r="B32" t="s">
        <v>95</v>
      </c>
      <c r="C32" t="s">
        <v>61</v>
      </c>
      <c r="D32" t="s">
        <v>50</v>
      </c>
      <c r="E32" t="s">
        <v>56</v>
      </c>
      <c r="F32" t="s">
        <v>72</v>
      </c>
      <c r="G32">
        <v>69.819999999999993</v>
      </c>
      <c r="H32">
        <v>40.65</v>
      </c>
      <c r="I32" t="s">
        <v>53</v>
      </c>
    </row>
    <row r="33" spans="1:9" x14ac:dyDescent="0.45">
      <c r="A33">
        <v>32</v>
      </c>
      <c r="B33" t="s">
        <v>96</v>
      </c>
      <c r="C33" t="s">
        <v>55</v>
      </c>
      <c r="D33" t="s">
        <v>50</v>
      </c>
      <c r="E33" t="s">
        <v>62</v>
      </c>
      <c r="F33" t="s">
        <v>77</v>
      </c>
      <c r="G33">
        <v>54.83</v>
      </c>
      <c r="H33">
        <v>24.74</v>
      </c>
      <c r="I33" t="s">
        <v>53</v>
      </c>
    </row>
    <row r="34" spans="1:9" x14ac:dyDescent="0.45">
      <c r="A34">
        <v>33</v>
      </c>
      <c r="B34" t="s">
        <v>97</v>
      </c>
      <c r="C34" t="s">
        <v>49</v>
      </c>
      <c r="D34" t="s">
        <v>50</v>
      </c>
      <c r="E34" t="s">
        <v>62</v>
      </c>
      <c r="F34" t="s">
        <v>58</v>
      </c>
      <c r="G34">
        <v>65.23</v>
      </c>
      <c r="H34">
        <v>27.36</v>
      </c>
      <c r="I34" t="s">
        <v>53</v>
      </c>
    </row>
    <row r="35" spans="1:9" x14ac:dyDescent="0.45">
      <c r="A35">
        <v>34</v>
      </c>
      <c r="B35" t="s">
        <v>98</v>
      </c>
      <c r="C35" t="s">
        <v>49</v>
      </c>
      <c r="D35" t="s">
        <v>50</v>
      </c>
      <c r="E35" t="s">
        <v>51</v>
      </c>
      <c r="F35" t="s">
        <v>52</v>
      </c>
      <c r="G35">
        <v>48.34</v>
      </c>
      <c r="H35">
        <v>33.1</v>
      </c>
      <c r="I35" t="s">
        <v>53</v>
      </c>
    </row>
    <row r="36" spans="1:9" x14ac:dyDescent="0.45">
      <c r="A36">
        <v>35</v>
      </c>
      <c r="B36" t="s">
        <v>99</v>
      </c>
      <c r="C36" t="s">
        <v>49</v>
      </c>
      <c r="D36" t="s">
        <v>50</v>
      </c>
      <c r="E36" t="s">
        <v>56</v>
      </c>
      <c r="F36" t="s">
        <v>58</v>
      </c>
      <c r="G36">
        <v>61.61</v>
      </c>
      <c r="H36">
        <v>42.49</v>
      </c>
      <c r="I36" t="s">
        <v>53</v>
      </c>
    </row>
    <row r="37" spans="1:9" x14ac:dyDescent="0.45">
      <c r="A37">
        <v>36</v>
      </c>
      <c r="B37" t="s">
        <v>100</v>
      </c>
      <c r="C37" t="s">
        <v>49</v>
      </c>
      <c r="D37" t="s">
        <v>50</v>
      </c>
      <c r="E37" t="s">
        <v>69</v>
      </c>
      <c r="F37" t="s">
        <v>72</v>
      </c>
      <c r="G37">
        <v>72.06</v>
      </c>
      <c r="H37">
        <v>46.3</v>
      </c>
      <c r="I37" t="s">
        <v>53</v>
      </c>
    </row>
    <row r="38" spans="1:9" x14ac:dyDescent="0.45">
      <c r="A38">
        <v>37</v>
      </c>
      <c r="B38" t="s">
        <v>101</v>
      </c>
      <c r="C38" t="s">
        <v>61</v>
      </c>
      <c r="D38" t="s">
        <v>50</v>
      </c>
      <c r="E38" t="s">
        <v>69</v>
      </c>
      <c r="F38" t="s">
        <v>77</v>
      </c>
      <c r="G38">
        <v>51.33</v>
      </c>
      <c r="H38">
        <v>25.22</v>
      </c>
      <c r="I38" t="s">
        <v>53</v>
      </c>
    </row>
    <row r="39" spans="1:9" x14ac:dyDescent="0.45">
      <c r="A39">
        <v>38</v>
      </c>
      <c r="B39" t="s">
        <v>102</v>
      </c>
      <c r="C39" t="s">
        <v>55</v>
      </c>
      <c r="D39" t="s">
        <v>50</v>
      </c>
      <c r="E39" t="s">
        <v>69</v>
      </c>
      <c r="F39" t="s">
        <v>77</v>
      </c>
      <c r="G39">
        <v>62.8</v>
      </c>
      <c r="H39">
        <v>26.96</v>
      </c>
      <c r="I39" t="s">
        <v>53</v>
      </c>
    </row>
    <row r="40" spans="1:9" x14ac:dyDescent="0.45">
      <c r="A40">
        <v>39</v>
      </c>
      <c r="B40" t="s">
        <v>103</v>
      </c>
      <c r="C40" t="s">
        <v>61</v>
      </c>
      <c r="D40" t="s">
        <v>50</v>
      </c>
      <c r="E40" t="s">
        <v>69</v>
      </c>
      <c r="F40" t="s">
        <v>63</v>
      </c>
      <c r="G40">
        <v>29.97</v>
      </c>
      <c r="H40">
        <v>18.14</v>
      </c>
      <c r="I40" t="s">
        <v>53</v>
      </c>
    </row>
    <row r="41" spans="1:9" x14ac:dyDescent="0.45">
      <c r="A41">
        <v>40</v>
      </c>
      <c r="B41" t="s">
        <v>104</v>
      </c>
      <c r="C41" t="s">
        <v>61</v>
      </c>
      <c r="D41" t="s">
        <v>50</v>
      </c>
      <c r="E41" t="s">
        <v>56</v>
      </c>
      <c r="F41" t="s">
        <v>72</v>
      </c>
      <c r="G41">
        <v>53.19</v>
      </c>
      <c r="H41">
        <v>28.3</v>
      </c>
      <c r="I41" t="s">
        <v>53</v>
      </c>
    </row>
    <row r="42" spans="1:9" x14ac:dyDescent="0.45">
      <c r="A42">
        <v>41</v>
      </c>
      <c r="B42" t="s">
        <v>105</v>
      </c>
      <c r="C42" t="s">
        <v>61</v>
      </c>
      <c r="D42" t="s">
        <v>50</v>
      </c>
      <c r="E42" t="s">
        <v>51</v>
      </c>
      <c r="F42" t="s">
        <v>63</v>
      </c>
      <c r="G42">
        <v>37.94</v>
      </c>
      <c r="H42">
        <v>16.57</v>
      </c>
      <c r="I42" t="s">
        <v>53</v>
      </c>
    </row>
    <row r="43" spans="1:9" x14ac:dyDescent="0.45">
      <c r="A43">
        <v>42</v>
      </c>
      <c r="B43" t="s">
        <v>106</v>
      </c>
      <c r="C43" t="s">
        <v>89</v>
      </c>
      <c r="D43" t="s">
        <v>50</v>
      </c>
      <c r="E43" t="s">
        <v>51</v>
      </c>
      <c r="F43" t="s">
        <v>72</v>
      </c>
      <c r="G43">
        <v>54.2</v>
      </c>
      <c r="H43">
        <v>29.73</v>
      </c>
      <c r="I43" t="s">
        <v>53</v>
      </c>
    </row>
    <row r="44" spans="1:9" x14ac:dyDescent="0.45">
      <c r="A44">
        <v>43</v>
      </c>
      <c r="B44" t="s">
        <v>107</v>
      </c>
      <c r="C44" t="s">
        <v>49</v>
      </c>
      <c r="D44" t="s">
        <v>50</v>
      </c>
      <c r="E44" t="s">
        <v>62</v>
      </c>
      <c r="F44" t="s">
        <v>72</v>
      </c>
      <c r="G44">
        <v>49.4</v>
      </c>
      <c r="H44">
        <v>20.27</v>
      </c>
      <c r="I44" t="s">
        <v>53</v>
      </c>
    </row>
    <row r="45" spans="1:9" x14ac:dyDescent="0.45">
      <c r="A45">
        <v>44</v>
      </c>
      <c r="B45" t="s">
        <v>108</v>
      </c>
      <c r="C45" t="s">
        <v>61</v>
      </c>
      <c r="D45" t="s">
        <v>50</v>
      </c>
      <c r="E45" t="s">
        <v>69</v>
      </c>
      <c r="F45" t="s">
        <v>77</v>
      </c>
      <c r="G45">
        <v>64.84</v>
      </c>
      <c r="H45">
        <v>43.62</v>
      </c>
      <c r="I45" t="s">
        <v>53</v>
      </c>
    </row>
    <row r="46" spans="1:9" x14ac:dyDescent="0.45">
      <c r="A46">
        <v>45</v>
      </c>
      <c r="B46" t="s">
        <v>109</v>
      </c>
      <c r="C46" t="s">
        <v>55</v>
      </c>
      <c r="D46" t="s">
        <v>50</v>
      </c>
      <c r="E46" t="s">
        <v>69</v>
      </c>
      <c r="F46" t="s">
        <v>52</v>
      </c>
      <c r="G46">
        <v>54.16</v>
      </c>
      <c r="H46">
        <v>25.87</v>
      </c>
      <c r="I46" t="s">
        <v>53</v>
      </c>
    </row>
    <row r="47" spans="1:9" x14ac:dyDescent="0.45">
      <c r="A47">
        <v>46</v>
      </c>
      <c r="B47" t="s">
        <v>110</v>
      </c>
      <c r="C47" t="s">
        <v>89</v>
      </c>
      <c r="D47" t="s">
        <v>50</v>
      </c>
      <c r="E47" t="s">
        <v>62</v>
      </c>
      <c r="F47" t="s">
        <v>77</v>
      </c>
      <c r="G47">
        <v>25.15</v>
      </c>
      <c r="H47">
        <v>15.06</v>
      </c>
      <c r="I47" t="s">
        <v>53</v>
      </c>
    </row>
    <row r="48" spans="1:9" x14ac:dyDescent="0.45">
      <c r="A48">
        <v>47</v>
      </c>
      <c r="B48" t="s">
        <v>111</v>
      </c>
      <c r="C48" t="s">
        <v>55</v>
      </c>
      <c r="D48" t="s">
        <v>50</v>
      </c>
      <c r="E48" t="s">
        <v>56</v>
      </c>
      <c r="F48" t="s">
        <v>77</v>
      </c>
      <c r="G48">
        <v>53.73</v>
      </c>
      <c r="H48">
        <v>26.52</v>
      </c>
      <c r="I48" t="s">
        <v>53</v>
      </c>
    </row>
    <row r="49" spans="1:9" x14ac:dyDescent="0.45">
      <c r="A49">
        <v>48</v>
      </c>
      <c r="B49" t="s">
        <v>112</v>
      </c>
      <c r="C49" t="s">
        <v>65</v>
      </c>
      <c r="D49" t="s">
        <v>50</v>
      </c>
      <c r="E49" t="s">
        <v>69</v>
      </c>
      <c r="F49" t="s">
        <v>77</v>
      </c>
      <c r="G49">
        <v>54.38</v>
      </c>
      <c r="H49">
        <v>30.24</v>
      </c>
      <c r="I49" t="s">
        <v>53</v>
      </c>
    </row>
    <row r="50" spans="1:9" x14ac:dyDescent="0.45">
      <c r="A50">
        <v>49</v>
      </c>
      <c r="B50" t="s">
        <v>113</v>
      </c>
      <c r="C50" t="s">
        <v>55</v>
      </c>
      <c r="D50" t="s">
        <v>50</v>
      </c>
      <c r="E50" t="s">
        <v>71</v>
      </c>
      <c r="F50" t="s">
        <v>77</v>
      </c>
      <c r="G50">
        <v>57.35</v>
      </c>
      <c r="H50">
        <v>32.35</v>
      </c>
      <c r="I50" t="s">
        <v>53</v>
      </c>
    </row>
    <row r="51" spans="1:9" x14ac:dyDescent="0.45">
      <c r="A51">
        <v>50</v>
      </c>
      <c r="B51" t="s">
        <v>114</v>
      </c>
      <c r="C51" t="s">
        <v>55</v>
      </c>
      <c r="D51" t="s">
        <v>50</v>
      </c>
      <c r="E51" t="s">
        <v>69</v>
      </c>
      <c r="F51" t="s">
        <v>63</v>
      </c>
      <c r="G51">
        <v>61.95</v>
      </c>
      <c r="H51">
        <v>28.22</v>
      </c>
      <c r="I51" t="s">
        <v>53</v>
      </c>
    </row>
    <row r="52" spans="1:9" x14ac:dyDescent="0.45">
      <c r="A52">
        <v>51</v>
      </c>
      <c r="B52" t="s">
        <v>115</v>
      </c>
      <c r="C52" t="s">
        <v>89</v>
      </c>
      <c r="D52" t="s">
        <v>50</v>
      </c>
      <c r="E52" t="s">
        <v>51</v>
      </c>
      <c r="F52" t="s">
        <v>58</v>
      </c>
      <c r="G52">
        <v>25.38</v>
      </c>
      <c r="H52">
        <v>17.53</v>
      </c>
      <c r="I52" t="s">
        <v>53</v>
      </c>
    </row>
    <row r="53" spans="1:9" x14ac:dyDescent="0.45">
      <c r="A53">
        <v>52</v>
      </c>
      <c r="B53" t="s">
        <v>116</v>
      </c>
      <c r="C53" t="s">
        <v>55</v>
      </c>
      <c r="D53" t="s">
        <v>50</v>
      </c>
      <c r="E53" t="s">
        <v>56</v>
      </c>
      <c r="F53" t="s">
        <v>58</v>
      </c>
      <c r="G53">
        <v>53.61</v>
      </c>
      <c r="H53">
        <v>33.909999999999997</v>
      </c>
      <c r="I53" t="s">
        <v>53</v>
      </c>
    </row>
    <row r="54" spans="1:9" x14ac:dyDescent="0.45">
      <c r="A54">
        <v>53</v>
      </c>
      <c r="B54" t="s">
        <v>117</v>
      </c>
      <c r="C54" t="s">
        <v>65</v>
      </c>
      <c r="D54" t="s">
        <v>50</v>
      </c>
      <c r="E54" t="s">
        <v>71</v>
      </c>
      <c r="F54" t="s">
        <v>77</v>
      </c>
      <c r="G54">
        <v>57.17</v>
      </c>
      <c r="H54">
        <v>38.979999999999997</v>
      </c>
      <c r="I54" t="s">
        <v>53</v>
      </c>
    </row>
    <row r="55" spans="1:9" x14ac:dyDescent="0.45">
      <c r="A55">
        <v>54</v>
      </c>
      <c r="B55" t="s">
        <v>118</v>
      </c>
      <c r="C55" t="s">
        <v>49</v>
      </c>
      <c r="D55" t="s">
        <v>50</v>
      </c>
      <c r="E55" t="s">
        <v>62</v>
      </c>
      <c r="F55" t="s">
        <v>72</v>
      </c>
      <c r="G55">
        <v>60.33</v>
      </c>
      <c r="H55">
        <v>40.33</v>
      </c>
      <c r="I55" t="s">
        <v>53</v>
      </c>
    </row>
    <row r="56" spans="1:9" x14ac:dyDescent="0.45">
      <c r="A56">
        <v>55</v>
      </c>
      <c r="B56" t="s">
        <v>119</v>
      </c>
      <c r="C56" t="s">
        <v>55</v>
      </c>
      <c r="D56" t="s">
        <v>50</v>
      </c>
      <c r="E56" t="s">
        <v>69</v>
      </c>
      <c r="F56" t="s">
        <v>77</v>
      </c>
      <c r="G56">
        <v>44.32</v>
      </c>
      <c r="H56">
        <v>25.68</v>
      </c>
      <c r="I56" t="s">
        <v>53</v>
      </c>
    </row>
    <row r="57" spans="1:9" x14ac:dyDescent="0.45">
      <c r="A57">
        <v>56</v>
      </c>
      <c r="B57" t="s">
        <v>120</v>
      </c>
      <c r="C57" t="s">
        <v>65</v>
      </c>
      <c r="D57" t="s">
        <v>50</v>
      </c>
      <c r="E57" t="s">
        <v>69</v>
      </c>
      <c r="F57" t="s">
        <v>77</v>
      </c>
      <c r="G57">
        <v>62.92</v>
      </c>
      <c r="H57">
        <v>42.57</v>
      </c>
      <c r="I57" t="s">
        <v>53</v>
      </c>
    </row>
    <row r="58" spans="1:9" x14ac:dyDescent="0.45">
      <c r="A58">
        <v>57</v>
      </c>
      <c r="B58" t="s">
        <v>121</v>
      </c>
      <c r="C58" t="s">
        <v>49</v>
      </c>
      <c r="D58" t="s">
        <v>50</v>
      </c>
      <c r="E58" t="s">
        <v>51</v>
      </c>
      <c r="F58" t="s">
        <v>63</v>
      </c>
      <c r="G58">
        <v>52.28</v>
      </c>
      <c r="H58">
        <v>22.3</v>
      </c>
      <c r="I58" t="s">
        <v>53</v>
      </c>
    </row>
    <row r="59" spans="1:9" x14ac:dyDescent="0.45">
      <c r="A59">
        <v>58</v>
      </c>
      <c r="B59" t="s">
        <v>122</v>
      </c>
      <c r="C59" t="s">
        <v>49</v>
      </c>
      <c r="D59" t="s">
        <v>50</v>
      </c>
      <c r="E59" t="s">
        <v>69</v>
      </c>
      <c r="F59" t="s">
        <v>58</v>
      </c>
      <c r="G59">
        <v>35.81</v>
      </c>
      <c r="H59">
        <v>16.43</v>
      </c>
      <c r="I59" t="s">
        <v>53</v>
      </c>
    </row>
    <row r="60" spans="1:9" x14ac:dyDescent="0.45">
      <c r="A60">
        <v>59</v>
      </c>
      <c r="B60" t="s">
        <v>123</v>
      </c>
      <c r="C60" t="s">
        <v>89</v>
      </c>
      <c r="D60" t="s">
        <v>50</v>
      </c>
      <c r="E60" t="s">
        <v>62</v>
      </c>
      <c r="F60" t="s">
        <v>52</v>
      </c>
      <c r="G60">
        <v>34.58</v>
      </c>
      <c r="H60">
        <v>14.3</v>
      </c>
      <c r="I60" t="s">
        <v>53</v>
      </c>
    </row>
    <row r="61" spans="1:9" x14ac:dyDescent="0.45">
      <c r="A61">
        <v>60</v>
      </c>
      <c r="B61" t="s">
        <v>124</v>
      </c>
      <c r="C61" t="s">
        <v>55</v>
      </c>
      <c r="D61" t="s">
        <v>50</v>
      </c>
      <c r="E61" t="s">
        <v>51</v>
      </c>
      <c r="F61" t="s">
        <v>63</v>
      </c>
      <c r="G61">
        <v>81.7</v>
      </c>
      <c r="H61">
        <v>40.65</v>
      </c>
      <c r="I61" t="s">
        <v>53</v>
      </c>
    </row>
    <row r="62" spans="1:9" x14ac:dyDescent="0.45">
      <c r="A62">
        <v>61</v>
      </c>
      <c r="B62" t="s">
        <v>125</v>
      </c>
      <c r="C62" t="s">
        <v>55</v>
      </c>
      <c r="D62" t="s">
        <v>50</v>
      </c>
      <c r="E62" t="s">
        <v>51</v>
      </c>
      <c r="F62" t="s">
        <v>58</v>
      </c>
      <c r="G62">
        <v>50.88</v>
      </c>
      <c r="H62">
        <v>26.28</v>
      </c>
      <c r="I62" t="s">
        <v>53</v>
      </c>
    </row>
    <row r="63" spans="1:9" x14ac:dyDescent="0.45">
      <c r="A63">
        <v>62</v>
      </c>
      <c r="B63" t="s">
        <v>126</v>
      </c>
      <c r="C63" t="s">
        <v>61</v>
      </c>
      <c r="D63" t="s">
        <v>50</v>
      </c>
      <c r="E63" t="s">
        <v>51</v>
      </c>
      <c r="F63" t="s">
        <v>58</v>
      </c>
      <c r="G63">
        <v>46.09</v>
      </c>
      <c r="H63">
        <v>22.19</v>
      </c>
      <c r="I63" t="s">
        <v>53</v>
      </c>
    </row>
    <row r="64" spans="1:9" x14ac:dyDescent="0.45">
      <c r="A64">
        <v>63</v>
      </c>
      <c r="B64" t="s">
        <v>127</v>
      </c>
      <c r="C64" t="s">
        <v>89</v>
      </c>
      <c r="D64" t="s">
        <v>50</v>
      </c>
      <c r="E64" t="s">
        <v>51</v>
      </c>
      <c r="F64" t="s">
        <v>58</v>
      </c>
      <c r="G64">
        <v>58.67</v>
      </c>
      <c r="H64">
        <v>38.049999999999997</v>
      </c>
      <c r="I64" t="s">
        <v>53</v>
      </c>
    </row>
    <row r="65" spans="1:9" x14ac:dyDescent="0.45">
      <c r="A65">
        <v>64</v>
      </c>
      <c r="B65" t="s">
        <v>128</v>
      </c>
      <c r="C65" t="s">
        <v>89</v>
      </c>
      <c r="D65" t="s">
        <v>50</v>
      </c>
      <c r="E65" t="s">
        <v>71</v>
      </c>
      <c r="F65" t="s">
        <v>63</v>
      </c>
      <c r="G65">
        <v>13.51</v>
      </c>
      <c r="H65">
        <v>6.85</v>
      </c>
      <c r="I65" t="s">
        <v>53</v>
      </c>
    </row>
    <row r="66" spans="1:9" x14ac:dyDescent="0.45">
      <c r="A66">
        <v>65</v>
      </c>
      <c r="B66" t="s">
        <v>129</v>
      </c>
      <c r="C66" t="s">
        <v>55</v>
      </c>
      <c r="D66" t="s">
        <v>50</v>
      </c>
      <c r="E66" t="s">
        <v>51</v>
      </c>
      <c r="F66" t="s">
        <v>63</v>
      </c>
      <c r="G66">
        <v>27.45</v>
      </c>
      <c r="H66">
        <v>13.29</v>
      </c>
      <c r="I66" t="s">
        <v>53</v>
      </c>
    </row>
    <row r="67" spans="1:9" x14ac:dyDescent="0.45">
      <c r="A67">
        <v>66</v>
      </c>
      <c r="B67" t="s">
        <v>130</v>
      </c>
      <c r="C67" t="s">
        <v>49</v>
      </c>
      <c r="D67" t="s">
        <v>50</v>
      </c>
      <c r="E67" t="s">
        <v>71</v>
      </c>
      <c r="F67" t="s">
        <v>52</v>
      </c>
      <c r="G67">
        <v>24.13</v>
      </c>
      <c r="H67">
        <v>13.58</v>
      </c>
      <c r="I67" t="s">
        <v>53</v>
      </c>
    </row>
    <row r="68" spans="1:9" x14ac:dyDescent="0.45">
      <c r="A68">
        <v>67</v>
      </c>
      <c r="B68" t="s">
        <v>131</v>
      </c>
      <c r="C68" t="s">
        <v>55</v>
      </c>
      <c r="D68" t="s">
        <v>50</v>
      </c>
      <c r="E68" t="s">
        <v>62</v>
      </c>
      <c r="F68" t="s">
        <v>77</v>
      </c>
      <c r="G68">
        <v>67.37</v>
      </c>
      <c r="H68">
        <v>29.8</v>
      </c>
      <c r="I68" t="s">
        <v>53</v>
      </c>
    </row>
    <row r="69" spans="1:9" x14ac:dyDescent="0.45">
      <c r="A69">
        <v>68</v>
      </c>
      <c r="B69" t="s">
        <v>132</v>
      </c>
      <c r="C69" t="s">
        <v>89</v>
      </c>
      <c r="D69" t="s">
        <v>50</v>
      </c>
      <c r="E69" t="s">
        <v>62</v>
      </c>
      <c r="F69" t="s">
        <v>63</v>
      </c>
      <c r="G69">
        <v>47.27</v>
      </c>
      <c r="H69">
        <v>30.28</v>
      </c>
      <c r="I69" t="s">
        <v>53</v>
      </c>
    </row>
    <row r="70" spans="1:9" x14ac:dyDescent="0.45">
      <c r="A70">
        <v>69</v>
      </c>
      <c r="B70" t="s">
        <v>133</v>
      </c>
      <c r="C70" t="s">
        <v>65</v>
      </c>
      <c r="D70" t="s">
        <v>50</v>
      </c>
      <c r="E70" t="s">
        <v>56</v>
      </c>
      <c r="F70" t="s">
        <v>63</v>
      </c>
      <c r="G70">
        <v>49.98</v>
      </c>
      <c r="H70">
        <v>21.11</v>
      </c>
      <c r="I70" t="s">
        <v>53</v>
      </c>
    </row>
    <row r="71" spans="1:9" x14ac:dyDescent="0.45">
      <c r="A71">
        <v>70</v>
      </c>
      <c r="B71" t="s">
        <v>134</v>
      </c>
      <c r="C71" t="s">
        <v>49</v>
      </c>
      <c r="D71" t="s">
        <v>50</v>
      </c>
      <c r="E71" t="s">
        <v>56</v>
      </c>
      <c r="F71" t="s">
        <v>72</v>
      </c>
      <c r="G71">
        <v>66.33</v>
      </c>
      <c r="H71">
        <v>46.17</v>
      </c>
      <c r="I71" t="s">
        <v>53</v>
      </c>
    </row>
    <row r="72" spans="1:9" x14ac:dyDescent="0.45">
      <c r="A72">
        <v>71</v>
      </c>
      <c r="B72" t="s">
        <v>135</v>
      </c>
      <c r="C72" t="s">
        <v>61</v>
      </c>
      <c r="D72" t="s">
        <v>50</v>
      </c>
      <c r="E72" t="s">
        <v>69</v>
      </c>
      <c r="F72" t="s">
        <v>58</v>
      </c>
      <c r="G72">
        <v>80.760000000000005</v>
      </c>
      <c r="H72">
        <v>51.01</v>
      </c>
      <c r="I72" t="s">
        <v>53</v>
      </c>
    </row>
    <row r="73" spans="1:9" x14ac:dyDescent="0.45">
      <c r="A73">
        <v>72</v>
      </c>
      <c r="B73" t="s">
        <v>136</v>
      </c>
      <c r="C73" t="s">
        <v>49</v>
      </c>
      <c r="D73" t="s">
        <v>50</v>
      </c>
      <c r="E73" t="s">
        <v>69</v>
      </c>
      <c r="F73" t="s">
        <v>63</v>
      </c>
      <c r="G73">
        <v>72.8</v>
      </c>
      <c r="H73">
        <v>33.46</v>
      </c>
      <c r="I73" t="s">
        <v>53</v>
      </c>
    </row>
    <row r="74" spans="1:9" x14ac:dyDescent="0.45">
      <c r="A74">
        <v>73</v>
      </c>
      <c r="B74" t="s">
        <v>137</v>
      </c>
      <c r="C74" t="s">
        <v>89</v>
      </c>
      <c r="D74" t="s">
        <v>50</v>
      </c>
      <c r="E74" t="s">
        <v>71</v>
      </c>
      <c r="F74" t="s">
        <v>77</v>
      </c>
      <c r="G74">
        <v>53.25</v>
      </c>
      <c r="H74">
        <v>21.39</v>
      </c>
      <c r="I74" t="s">
        <v>53</v>
      </c>
    </row>
    <row r="75" spans="1:9" x14ac:dyDescent="0.45">
      <c r="A75">
        <v>74</v>
      </c>
      <c r="B75" t="s">
        <v>138</v>
      </c>
      <c r="C75" t="s">
        <v>89</v>
      </c>
      <c r="D75" t="s">
        <v>50</v>
      </c>
      <c r="E75" t="s">
        <v>69</v>
      </c>
      <c r="F75" t="s">
        <v>77</v>
      </c>
      <c r="G75">
        <v>40.94</v>
      </c>
      <c r="H75">
        <v>26.39</v>
      </c>
      <c r="I75" t="s">
        <v>53</v>
      </c>
    </row>
    <row r="76" spans="1:9" x14ac:dyDescent="0.45">
      <c r="A76">
        <v>75</v>
      </c>
      <c r="B76" t="s">
        <v>139</v>
      </c>
      <c r="C76" t="s">
        <v>89</v>
      </c>
      <c r="D76" t="s">
        <v>50</v>
      </c>
      <c r="E76" t="s">
        <v>51</v>
      </c>
      <c r="F76" t="s">
        <v>63</v>
      </c>
      <c r="G76">
        <v>52.83</v>
      </c>
      <c r="H76">
        <v>32.33</v>
      </c>
      <c r="I76" t="s">
        <v>53</v>
      </c>
    </row>
    <row r="77" spans="1:9" x14ac:dyDescent="0.45">
      <c r="A77">
        <v>76</v>
      </c>
      <c r="B77" t="s">
        <v>140</v>
      </c>
      <c r="C77" t="s">
        <v>61</v>
      </c>
      <c r="D77" t="s">
        <v>50</v>
      </c>
      <c r="E77" t="s">
        <v>62</v>
      </c>
      <c r="F77" t="s">
        <v>72</v>
      </c>
      <c r="G77">
        <v>51.7</v>
      </c>
      <c r="H77">
        <v>31.99</v>
      </c>
      <c r="I77" t="s">
        <v>53</v>
      </c>
    </row>
    <row r="78" spans="1:9" x14ac:dyDescent="0.45">
      <c r="A78">
        <v>77</v>
      </c>
      <c r="B78" t="s">
        <v>141</v>
      </c>
      <c r="C78" t="s">
        <v>49</v>
      </c>
      <c r="D78" t="s">
        <v>50</v>
      </c>
      <c r="E78" t="s">
        <v>71</v>
      </c>
      <c r="F78" t="s">
        <v>77</v>
      </c>
      <c r="G78">
        <v>52.38</v>
      </c>
      <c r="H78">
        <v>33.07</v>
      </c>
      <c r="I78" t="s">
        <v>53</v>
      </c>
    </row>
    <row r="79" spans="1:9" x14ac:dyDescent="0.45">
      <c r="A79">
        <v>78</v>
      </c>
      <c r="B79" t="s">
        <v>142</v>
      </c>
      <c r="C79" t="s">
        <v>65</v>
      </c>
      <c r="D79" t="s">
        <v>50</v>
      </c>
      <c r="E79" t="s">
        <v>51</v>
      </c>
      <c r="F79" t="s">
        <v>578</v>
      </c>
      <c r="G79">
        <v>59.21</v>
      </c>
      <c r="H79">
        <v>25</v>
      </c>
      <c r="I79" t="s">
        <v>53</v>
      </c>
    </row>
    <row r="80" spans="1:9" x14ac:dyDescent="0.45">
      <c r="A80">
        <v>79</v>
      </c>
      <c r="B80" t="s">
        <v>143</v>
      </c>
      <c r="C80" t="s">
        <v>61</v>
      </c>
      <c r="D80" t="s">
        <v>50</v>
      </c>
      <c r="E80" t="s">
        <v>69</v>
      </c>
      <c r="F80" t="s">
        <v>72</v>
      </c>
      <c r="G80">
        <v>63.22</v>
      </c>
      <c r="H80">
        <v>32.090000000000003</v>
      </c>
      <c r="I80" t="s">
        <v>53</v>
      </c>
    </row>
    <row r="81" spans="1:9" x14ac:dyDescent="0.45">
      <c r="A81">
        <v>80</v>
      </c>
      <c r="B81" t="s">
        <v>144</v>
      </c>
      <c r="C81" t="s">
        <v>49</v>
      </c>
      <c r="D81" t="s">
        <v>50</v>
      </c>
      <c r="E81" t="s">
        <v>71</v>
      </c>
      <c r="F81" t="s">
        <v>52</v>
      </c>
      <c r="G81">
        <v>31.86</v>
      </c>
      <c r="H81">
        <v>13.85</v>
      </c>
      <c r="I81" t="s">
        <v>53</v>
      </c>
    </row>
    <row r="82" spans="1:9" x14ac:dyDescent="0.45">
      <c r="A82">
        <v>81</v>
      </c>
      <c r="B82" t="s">
        <v>145</v>
      </c>
      <c r="C82" t="s">
        <v>89</v>
      </c>
      <c r="D82" t="s">
        <v>50</v>
      </c>
      <c r="E82" t="s">
        <v>71</v>
      </c>
      <c r="F82" t="s">
        <v>58</v>
      </c>
      <c r="G82">
        <v>29.63</v>
      </c>
      <c r="H82">
        <v>19.52</v>
      </c>
      <c r="I82" t="s">
        <v>53</v>
      </c>
    </row>
    <row r="83" spans="1:9" x14ac:dyDescent="0.45">
      <c r="A83">
        <v>82</v>
      </c>
      <c r="B83" t="s">
        <v>146</v>
      </c>
      <c r="C83" t="s">
        <v>49</v>
      </c>
      <c r="D83" t="s">
        <v>50</v>
      </c>
      <c r="E83" t="s">
        <v>51</v>
      </c>
      <c r="F83" t="s">
        <v>52</v>
      </c>
      <c r="G83">
        <v>32.21</v>
      </c>
      <c r="H83">
        <v>18.91</v>
      </c>
      <c r="I83" t="s">
        <v>53</v>
      </c>
    </row>
    <row r="84" spans="1:9" x14ac:dyDescent="0.45">
      <c r="A84">
        <v>83</v>
      </c>
      <c r="B84" t="s">
        <v>147</v>
      </c>
      <c r="C84" t="s">
        <v>55</v>
      </c>
      <c r="D84" t="s">
        <v>50</v>
      </c>
      <c r="E84" t="s">
        <v>62</v>
      </c>
      <c r="F84" t="s">
        <v>77</v>
      </c>
      <c r="G84">
        <v>57.8</v>
      </c>
      <c r="H84">
        <v>28.86</v>
      </c>
      <c r="I84" t="s">
        <v>53</v>
      </c>
    </row>
    <row r="85" spans="1:9" x14ac:dyDescent="0.45">
      <c r="A85">
        <v>84</v>
      </c>
      <c r="B85" t="s">
        <v>148</v>
      </c>
      <c r="C85" t="s">
        <v>65</v>
      </c>
      <c r="D85" t="s">
        <v>50</v>
      </c>
      <c r="E85" t="s">
        <v>62</v>
      </c>
      <c r="F85" t="s">
        <v>63</v>
      </c>
      <c r="G85">
        <v>31.84</v>
      </c>
      <c r="H85">
        <v>13.34</v>
      </c>
      <c r="I85" t="s">
        <v>53</v>
      </c>
    </row>
    <row r="86" spans="1:9" x14ac:dyDescent="0.45">
      <c r="A86">
        <v>85</v>
      </c>
      <c r="B86" t="s">
        <v>149</v>
      </c>
      <c r="C86" t="s">
        <v>49</v>
      </c>
      <c r="D86" t="s">
        <v>50</v>
      </c>
      <c r="E86" t="s">
        <v>69</v>
      </c>
      <c r="F86" t="s">
        <v>77</v>
      </c>
      <c r="G86">
        <v>37.35</v>
      </c>
      <c r="H86">
        <v>18.420000000000002</v>
      </c>
      <c r="I86" t="s">
        <v>53</v>
      </c>
    </row>
    <row r="87" spans="1:9" x14ac:dyDescent="0.45">
      <c r="A87">
        <v>86</v>
      </c>
      <c r="B87" t="s">
        <v>150</v>
      </c>
      <c r="C87" t="s">
        <v>89</v>
      </c>
      <c r="D87" t="s">
        <v>50</v>
      </c>
      <c r="E87" t="s">
        <v>56</v>
      </c>
      <c r="F87" t="s">
        <v>58</v>
      </c>
      <c r="G87">
        <v>41.26</v>
      </c>
      <c r="H87">
        <v>20.53</v>
      </c>
      <c r="I87" t="s">
        <v>53</v>
      </c>
    </row>
    <row r="88" spans="1:9" x14ac:dyDescent="0.45">
      <c r="A88">
        <v>87</v>
      </c>
      <c r="B88" t="s">
        <v>151</v>
      </c>
      <c r="C88" t="s">
        <v>49</v>
      </c>
      <c r="D88" t="s">
        <v>50</v>
      </c>
      <c r="E88" t="s">
        <v>56</v>
      </c>
      <c r="F88" t="s">
        <v>63</v>
      </c>
      <c r="G88">
        <v>53.32</v>
      </c>
      <c r="H88">
        <v>33</v>
      </c>
      <c r="I88" t="s">
        <v>53</v>
      </c>
    </row>
    <row r="89" spans="1:9" x14ac:dyDescent="0.45">
      <c r="A89">
        <v>88</v>
      </c>
      <c r="B89" t="s">
        <v>152</v>
      </c>
      <c r="C89" t="s">
        <v>89</v>
      </c>
      <c r="D89" t="s">
        <v>50</v>
      </c>
      <c r="E89" t="s">
        <v>69</v>
      </c>
      <c r="F89" t="s">
        <v>72</v>
      </c>
      <c r="G89">
        <v>29.81</v>
      </c>
      <c r="H89">
        <v>17.63</v>
      </c>
      <c r="I89" t="s">
        <v>53</v>
      </c>
    </row>
    <row r="90" spans="1:9" x14ac:dyDescent="0.45">
      <c r="A90">
        <v>89</v>
      </c>
      <c r="B90" t="s">
        <v>153</v>
      </c>
      <c r="C90" t="s">
        <v>65</v>
      </c>
      <c r="D90" t="s">
        <v>50</v>
      </c>
      <c r="E90" t="s">
        <v>69</v>
      </c>
      <c r="F90" t="s">
        <v>52</v>
      </c>
      <c r="G90">
        <v>45.12</v>
      </c>
      <c r="H90">
        <v>30.06</v>
      </c>
      <c r="I90" t="s">
        <v>53</v>
      </c>
    </row>
    <row r="91" spans="1:9" x14ac:dyDescent="0.45">
      <c r="A91">
        <v>90</v>
      </c>
      <c r="B91" t="s">
        <v>154</v>
      </c>
      <c r="C91" t="s">
        <v>65</v>
      </c>
      <c r="D91" t="s">
        <v>50</v>
      </c>
      <c r="E91" t="s">
        <v>62</v>
      </c>
      <c r="F91" t="s">
        <v>72</v>
      </c>
      <c r="G91">
        <v>31.67</v>
      </c>
      <c r="H91">
        <v>17.149999999999999</v>
      </c>
      <c r="I91" t="s">
        <v>53</v>
      </c>
    </row>
    <row r="92" spans="1:9" x14ac:dyDescent="0.45">
      <c r="A92">
        <v>91</v>
      </c>
      <c r="B92" t="s">
        <v>155</v>
      </c>
      <c r="C92" t="s">
        <v>89</v>
      </c>
      <c r="D92" t="s">
        <v>50</v>
      </c>
      <c r="E92" t="s">
        <v>51</v>
      </c>
      <c r="F92" t="s">
        <v>77</v>
      </c>
      <c r="G92">
        <v>33.950000000000003</v>
      </c>
      <c r="H92">
        <v>14.8</v>
      </c>
      <c r="I92" t="s">
        <v>53</v>
      </c>
    </row>
    <row r="93" spans="1:9" x14ac:dyDescent="0.45">
      <c r="A93">
        <v>92</v>
      </c>
      <c r="B93" t="s">
        <v>156</v>
      </c>
      <c r="C93" t="s">
        <v>65</v>
      </c>
      <c r="D93" t="s">
        <v>50</v>
      </c>
      <c r="E93" t="s">
        <v>71</v>
      </c>
      <c r="F93" t="s">
        <v>77</v>
      </c>
      <c r="G93">
        <v>40.25</v>
      </c>
      <c r="H93">
        <v>24.71</v>
      </c>
      <c r="I93" t="s">
        <v>53</v>
      </c>
    </row>
    <row r="94" spans="1:9" x14ac:dyDescent="0.45">
      <c r="A94">
        <v>93</v>
      </c>
      <c r="B94" t="s">
        <v>157</v>
      </c>
      <c r="C94" t="s">
        <v>61</v>
      </c>
      <c r="D94" t="s">
        <v>50</v>
      </c>
      <c r="E94" t="s">
        <v>71</v>
      </c>
      <c r="F94" t="s">
        <v>63</v>
      </c>
      <c r="G94">
        <v>39.18</v>
      </c>
      <c r="H94">
        <v>24.61</v>
      </c>
      <c r="I94" t="s">
        <v>53</v>
      </c>
    </row>
    <row r="95" spans="1:9" x14ac:dyDescent="0.45">
      <c r="A95">
        <v>94</v>
      </c>
      <c r="B95" t="s">
        <v>158</v>
      </c>
      <c r="C95" t="s">
        <v>65</v>
      </c>
      <c r="D95" t="s">
        <v>50</v>
      </c>
      <c r="E95" t="s">
        <v>62</v>
      </c>
      <c r="F95" t="s">
        <v>63</v>
      </c>
      <c r="G95">
        <v>45.8</v>
      </c>
      <c r="H95">
        <v>26.03</v>
      </c>
      <c r="I95" t="s">
        <v>53</v>
      </c>
    </row>
    <row r="96" spans="1:9" x14ac:dyDescent="0.45">
      <c r="A96">
        <v>95</v>
      </c>
      <c r="B96" t="s">
        <v>159</v>
      </c>
      <c r="C96" t="s">
        <v>89</v>
      </c>
      <c r="D96" t="s">
        <v>50</v>
      </c>
      <c r="E96" t="s">
        <v>69</v>
      </c>
      <c r="F96" t="s">
        <v>72</v>
      </c>
      <c r="G96">
        <v>31.15</v>
      </c>
      <c r="H96">
        <v>19.66</v>
      </c>
      <c r="I96" t="s">
        <v>53</v>
      </c>
    </row>
    <row r="97" spans="1:9" x14ac:dyDescent="0.45">
      <c r="A97">
        <v>96</v>
      </c>
      <c r="B97" t="s">
        <v>160</v>
      </c>
      <c r="C97" t="s">
        <v>55</v>
      </c>
      <c r="D97" t="s">
        <v>50</v>
      </c>
      <c r="E97" t="s">
        <v>71</v>
      </c>
      <c r="F97" t="s">
        <v>58</v>
      </c>
      <c r="G97">
        <v>39.03</v>
      </c>
      <c r="H97">
        <v>21.39</v>
      </c>
      <c r="I97" t="s">
        <v>53</v>
      </c>
    </row>
    <row r="98" spans="1:9" x14ac:dyDescent="0.45">
      <c r="A98">
        <v>97</v>
      </c>
      <c r="B98" t="s">
        <v>161</v>
      </c>
      <c r="C98" t="s">
        <v>65</v>
      </c>
      <c r="D98" t="s">
        <v>50</v>
      </c>
      <c r="E98" t="s">
        <v>69</v>
      </c>
      <c r="F98" t="s">
        <v>52</v>
      </c>
      <c r="G98">
        <v>55.27</v>
      </c>
      <c r="H98">
        <v>30.78</v>
      </c>
      <c r="I98" t="s">
        <v>53</v>
      </c>
    </row>
    <row r="99" spans="1:9" x14ac:dyDescent="0.45">
      <c r="A99">
        <v>98</v>
      </c>
      <c r="B99" t="s">
        <v>162</v>
      </c>
      <c r="C99" t="s">
        <v>65</v>
      </c>
      <c r="D99" t="s">
        <v>50</v>
      </c>
      <c r="E99" t="s">
        <v>71</v>
      </c>
      <c r="F99" t="s">
        <v>63</v>
      </c>
      <c r="G99">
        <v>78.52</v>
      </c>
      <c r="H99">
        <v>41.48</v>
      </c>
      <c r="I99" t="s">
        <v>53</v>
      </c>
    </row>
    <row r="100" spans="1:9" x14ac:dyDescent="0.45">
      <c r="A100">
        <v>99</v>
      </c>
      <c r="B100" t="s">
        <v>163</v>
      </c>
      <c r="C100" t="s">
        <v>55</v>
      </c>
      <c r="D100" t="s">
        <v>50</v>
      </c>
      <c r="E100" t="s">
        <v>56</v>
      </c>
      <c r="F100" t="s">
        <v>77</v>
      </c>
      <c r="G100">
        <v>59.78</v>
      </c>
      <c r="H100">
        <v>24.37</v>
      </c>
      <c r="I100" t="s">
        <v>53</v>
      </c>
    </row>
    <row r="101" spans="1:9" x14ac:dyDescent="0.45">
      <c r="A101">
        <v>100</v>
      </c>
      <c r="B101" t="s">
        <v>164</v>
      </c>
      <c r="C101" t="s">
        <v>49</v>
      </c>
      <c r="D101" t="s">
        <v>50</v>
      </c>
      <c r="E101" t="s">
        <v>56</v>
      </c>
      <c r="F101" t="s">
        <v>58</v>
      </c>
      <c r="G101">
        <v>56.44</v>
      </c>
      <c r="H101">
        <v>24.4</v>
      </c>
      <c r="I101" t="s">
        <v>53</v>
      </c>
    </row>
    <row r="102" spans="1:9" x14ac:dyDescent="0.45">
      <c r="A102">
        <v>101</v>
      </c>
      <c r="B102" t="s">
        <v>165</v>
      </c>
      <c r="C102" t="s">
        <v>55</v>
      </c>
      <c r="D102" t="s">
        <v>50</v>
      </c>
      <c r="E102" t="s">
        <v>51</v>
      </c>
      <c r="F102" t="s">
        <v>72</v>
      </c>
      <c r="G102">
        <v>58.11</v>
      </c>
      <c r="H102">
        <v>23.79</v>
      </c>
      <c r="I102" t="s">
        <v>53</v>
      </c>
    </row>
    <row r="103" spans="1:9" x14ac:dyDescent="0.45">
      <c r="A103">
        <v>102</v>
      </c>
      <c r="B103" t="s">
        <v>166</v>
      </c>
      <c r="C103" t="s">
        <v>55</v>
      </c>
      <c r="D103" t="s">
        <v>50</v>
      </c>
      <c r="E103" t="s">
        <v>51</v>
      </c>
      <c r="F103" t="s">
        <v>52</v>
      </c>
      <c r="G103">
        <v>43.06</v>
      </c>
      <c r="H103">
        <v>25.45</v>
      </c>
      <c r="I103" t="s">
        <v>53</v>
      </c>
    </row>
    <row r="104" spans="1:9" x14ac:dyDescent="0.45">
      <c r="A104">
        <v>103</v>
      </c>
      <c r="B104" t="s">
        <v>167</v>
      </c>
      <c r="C104" t="s">
        <v>55</v>
      </c>
      <c r="D104" t="s">
        <v>50</v>
      </c>
      <c r="E104" t="s">
        <v>62</v>
      </c>
      <c r="F104" t="s">
        <v>52</v>
      </c>
      <c r="G104">
        <v>57</v>
      </c>
      <c r="H104">
        <v>28.18</v>
      </c>
      <c r="I104" t="s">
        <v>53</v>
      </c>
    </row>
    <row r="105" spans="1:9" x14ac:dyDescent="0.45">
      <c r="A105">
        <v>104</v>
      </c>
      <c r="B105" t="s">
        <v>168</v>
      </c>
      <c r="C105" t="s">
        <v>65</v>
      </c>
      <c r="D105" t="s">
        <v>50</v>
      </c>
      <c r="E105" t="s">
        <v>51</v>
      </c>
      <c r="F105" t="s">
        <v>52</v>
      </c>
      <c r="G105">
        <v>73.78</v>
      </c>
      <c r="H105">
        <v>40.770000000000003</v>
      </c>
      <c r="I105" t="s">
        <v>53</v>
      </c>
    </row>
    <row r="106" spans="1:9" x14ac:dyDescent="0.45">
      <c r="A106">
        <v>105</v>
      </c>
      <c r="B106" t="s">
        <v>169</v>
      </c>
      <c r="C106" t="s">
        <v>55</v>
      </c>
      <c r="D106" t="s">
        <v>50</v>
      </c>
      <c r="E106" t="s">
        <v>71</v>
      </c>
      <c r="F106" t="s">
        <v>52</v>
      </c>
      <c r="G106">
        <v>36.9</v>
      </c>
      <c r="H106">
        <v>24.81</v>
      </c>
      <c r="I106" t="s">
        <v>53</v>
      </c>
    </row>
    <row r="107" spans="1:9" x14ac:dyDescent="0.45">
      <c r="A107">
        <v>106</v>
      </c>
      <c r="B107" t="s">
        <v>170</v>
      </c>
      <c r="C107" t="s">
        <v>55</v>
      </c>
      <c r="D107" t="s">
        <v>50</v>
      </c>
      <c r="E107" t="s">
        <v>62</v>
      </c>
      <c r="F107" t="s">
        <v>77</v>
      </c>
      <c r="G107">
        <v>40.75</v>
      </c>
      <c r="H107">
        <v>19.350000000000001</v>
      </c>
      <c r="I107" t="s">
        <v>53</v>
      </c>
    </row>
    <row r="108" spans="1:9" x14ac:dyDescent="0.45">
      <c r="A108">
        <v>107</v>
      </c>
      <c r="B108" t="s">
        <v>171</v>
      </c>
      <c r="C108" t="s">
        <v>65</v>
      </c>
      <c r="D108" t="s">
        <v>50</v>
      </c>
      <c r="E108" t="s">
        <v>69</v>
      </c>
      <c r="F108" t="s">
        <v>52</v>
      </c>
      <c r="G108">
        <v>55.06</v>
      </c>
      <c r="H108">
        <v>28.8</v>
      </c>
      <c r="I108" t="s">
        <v>53</v>
      </c>
    </row>
    <row r="109" spans="1:9" x14ac:dyDescent="0.45">
      <c r="A109">
        <v>108</v>
      </c>
      <c r="B109" t="s">
        <v>172</v>
      </c>
      <c r="C109" t="s">
        <v>61</v>
      </c>
      <c r="D109" t="s">
        <v>50</v>
      </c>
      <c r="E109" t="s">
        <v>51</v>
      </c>
      <c r="F109" t="s">
        <v>52</v>
      </c>
      <c r="G109">
        <v>48.19</v>
      </c>
      <c r="H109">
        <v>30.2</v>
      </c>
      <c r="I109" t="s">
        <v>53</v>
      </c>
    </row>
    <row r="110" spans="1:9" x14ac:dyDescent="0.45">
      <c r="A110">
        <v>109</v>
      </c>
      <c r="B110" t="s">
        <v>173</v>
      </c>
      <c r="C110" t="s">
        <v>49</v>
      </c>
      <c r="D110" t="s">
        <v>50</v>
      </c>
      <c r="E110" t="s">
        <v>69</v>
      </c>
      <c r="F110" t="s">
        <v>63</v>
      </c>
      <c r="G110">
        <v>45.27</v>
      </c>
      <c r="H110">
        <v>21.22</v>
      </c>
      <c r="I110" t="s">
        <v>53</v>
      </c>
    </row>
    <row r="111" spans="1:9" x14ac:dyDescent="0.45">
      <c r="A111">
        <v>110</v>
      </c>
      <c r="B111" t="s">
        <v>174</v>
      </c>
      <c r="C111" t="s">
        <v>49</v>
      </c>
      <c r="D111" t="s">
        <v>50</v>
      </c>
      <c r="E111" t="s">
        <v>62</v>
      </c>
      <c r="F111" t="s">
        <v>63</v>
      </c>
      <c r="G111">
        <v>58.7</v>
      </c>
      <c r="H111">
        <v>24.84</v>
      </c>
      <c r="I111" t="s">
        <v>53</v>
      </c>
    </row>
    <row r="112" spans="1:9" x14ac:dyDescent="0.45">
      <c r="A112">
        <v>111</v>
      </c>
      <c r="B112" t="s">
        <v>175</v>
      </c>
      <c r="C112" t="s">
        <v>61</v>
      </c>
      <c r="D112" t="s">
        <v>50</v>
      </c>
      <c r="E112" t="s">
        <v>56</v>
      </c>
      <c r="F112" t="s">
        <v>77</v>
      </c>
      <c r="G112">
        <v>60.36</v>
      </c>
      <c r="H112">
        <v>29.39</v>
      </c>
      <c r="I112" t="s">
        <v>53</v>
      </c>
    </row>
    <row r="113" spans="1:9" x14ac:dyDescent="0.45">
      <c r="A113">
        <v>112</v>
      </c>
      <c r="B113" t="s">
        <v>176</v>
      </c>
      <c r="C113" t="s">
        <v>89</v>
      </c>
      <c r="D113" t="s">
        <v>50</v>
      </c>
      <c r="E113" t="s">
        <v>71</v>
      </c>
      <c r="F113" t="s">
        <v>77</v>
      </c>
      <c r="G113">
        <v>61.2</v>
      </c>
      <c r="H113">
        <v>27.44</v>
      </c>
      <c r="I113" t="s">
        <v>53</v>
      </c>
    </row>
    <row r="114" spans="1:9" x14ac:dyDescent="0.45">
      <c r="A114">
        <v>113</v>
      </c>
      <c r="B114" t="s">
        <v>177</v>
      </c>
      <c r="C114" t="s">
        <v>49</v>
      </c>
      <c r="D114" t="s">
        <v>50</v>
      </c>
      <c r="E114" t="s">
        <v>56</v>
      </c>
      <c r="F114" t="s">
        <v>77</v>
      </c>
      <c r="G114">
        <v>39.18</v>
      </c>
      <c r="H114">
        <v>26.6</v>
      </c>
      <c r="I114" t="s">
        <v>53</v>
      </c>
    </row>
    <row r="115" spans="1:9" x14ac:dyDescent="0.45">
      <c r="A115">
        <v>114</v>
      </c>
      <c r="B115" t="s">
        <v>178</v>
      </c>
      <c r="C115" t="s">
        <v>65</v>
      </c>
      <c r="D115" t="s">
        <v>50</v>
      </c>
      <c r="E115" t="s">
        <v>56</v>
      </c>
      <c r="F115" t="s">
        <v>52</v>
      </c>
      <c r="G115">
        <v>21.53</v>
      </c>
      <c r="H115">
        <v>13.83</v>
      </c>
      <c r="I115" t="s">
        <v>53</v>
      </c>
    </row>
    <row r="116" spans="1:9" x14ac:dyDescent="0.45">
      <c r="A116">
        <v>115</v>
      </c>
      <c r="B116" t="s">
        <v>179</v>
      </c>
      <c r="C116" t="s">
        <v>89</v>
      </c>
      <c r="D116" t="s">
        <v>50</v>
      </c>
      <c r="E116" t="s">
        <v>51</v>
      </c>
      <c r="F116" t="s">
        <v>58</v>
      </c>
      <c r="G116">
        <v>62.27</v>
      </c>
      <c r="H116">
        <v>36.74</v>
      </c>
      <c r="I116" t="s">
        <v>53</v>
      </c>
    </row>
    <row r="117" spans="1:9" x14ac:dyDescent="0.45">
      <c r="A117">
        <v>116</v>
      </c>
      <c r="B117" t="s">
        <v>180</v>
      </c>
      <c r="C117" t="s">
        <v>61</v>
      </c>
      <c r="D117" t="s">
        <v>50</v>
      </c>
      <c r="E117" t="s">
        <v>51</v>
      </c>
      <c r="F117" t="s">
        <v>63</v>
      </c>
      <c r="G117">
        <v>74.81</v>
      </c>
      <c r="H117">
        <v>49.48</v>
      </c>
      <c r="I117" t="s">
        <v>53</v>
      </c>
    </row>
    <row r="118" spans="1:9" x14ac:dyDescent="0.45">
      <c r="A118">
        <v>117</v>
      </c>
      <c r="B118" t="s">
        <v>181</v>
      </c>
      <c r="C118" t="s">
        <v>49</v>
      </c>
      <c r="D118" t="s">
        <v>50</v>
      </c>
      <c r="E118" t="s">
        <v>69</v>
      </c>
      <c r="F118" t="s">
        <v>63</v>
      </c>
      <c r="G118">
        <v>56.06</v>
      </c>
      <c r="H118">
        <v>35.94</v>
      </c>
      <c r="I118" t="s">
        <v>53</v>
      </c>
    </row>
    <row r="119" spans="1:9" x14ac:dyDescent="0.45">
      <c r="A119">
        <v>118</v>
      </c>
      <c r="B119" t="s">
        <v>182</v>
      </c>
      <c r="C119" t="s">
        <v>55</v>
      </c>
      <c r="D119" t="s">
        <v>50</v>
      </c>
      <c r="E119" t="s">
        <v>62</v>
      </c>
      <c r="F119" t="s">
        <v>63</v>
      </c>
      <c r="G119">
        <v>46.99</v>
      </c>
      <c r="H119">
        <v>21.43</v>
      </c>
      <c r="I119" t="s">
        <v>53</v>
      </c>
    </row>
    <row r="120" spans="1:9" x14ac:dyDescent="0.45">
      <c r="A120">
        <v>119</v>
      </c>
      <c r="B120" t="s">
        <v>183</v>
      </c>
      <c r="C120" t="s">
        <v>49</v>
      </c>
      <c r="D120" t="s">
        <v>50</v>
      </c>
      <c r="E120" t="s">
        <v>62</v>
      </c>
      <c r="F120" t="s">
        <v>77</v>
      </c>
      <c r="G120">
        <v>27.34</v>
      </c>
      <c r="H120">
        <v>18.260000000000002</v>
      </c>
      <c r="I120" t="s">
        <v>53</v>
      </c>
    </row>
    <row r="121" spans="1:9" x14ac:dyDescent="0.45">
      <c r="A121">
        <v>120</v>
      </c>
      <c r="B121" t="s">
        <v>184</v>
      </c>
      <c r="C121" t="s">
        <v>89</v>
      </c>
      <c r="D121" t="s">
        <v>50</v>
      </c>
      <c r="E121" t="s">
        <v>51</v>
      </c>
      <c r="F121" t="s">
        <v>52</v>
      </c>
      <c r="G121">
        <v>25.7</v>
      </c>
      <c r="H121">
        <v>14.44</v>
      </c>
      <c r="I121" t="s">
        <v>53</v>
      </c>
    </row>
    <row r="122" spans="1:9" x14ac:dyDescent="0.45">
      <c r="A122">
        <v>121</v>
      </c>
      <c r="B122" t="s">
        <v>185</v>
      </c>
      <c r="C122" t="s">
        <v>65</v>
      </c>
      <c r="D122" t="s">
        <v>50</v>
      </c>
      <c r="E122" t="s">
        <v>71</v>
      </c>
      <c r="F122" t="s">
        <v>578</v>
      </c>
      <c r="G122">
        <v>47.91</v>
      </c>
      <c r="H122">
        <v>30.77</v>
      </c>
      <c r="I122" t="s">
        <v>53</v>
      </c>
    </row>
    <row r="123" spans="1:9" x14ac:dyDescent="0.45">
      <c r="A123">
        <v>122</v>
      </c>
      <c r="B123" t="s">
        <v>186</v>
      </c>
      <c r="C123" t="s">
        <v>61</v>
      </c>
      <c r="D123" t="s">
        <v>50</v>
      </c>
      <c r="E123" t="s">
        <v>51</v>
      </c>
      <c r="F123" t="s">
        <v>58</v>
      </c>
      <c r="G123">
        <v>24.8</v>
      </c>
      <c r="H123">
        <v>16.59</v>
      </c>
      <c r="I123" t="s">
        <v>53</v>
      </c>
    </row>
    <row r="124" spans="1:9" x14ac:dyDescent="0.45">
      <c r="A124">
        <v>123</v>
      </c>
      <c r="B124" t="s">
        <v>187</v>
      </c>
      <c r="C124" t="s">
        <v>89</v>
      </c>
      <c r="D124" t="s">
        <v>50</v>
      </c>
      <c r="E124" t="s">
        <v>56</v>
      </c>
      <c r="F124" t="s">
        <v>52</v>
      </c>
      <c r="G124">
        <v>61.51</v>
      </c>
      <c r="H124">
        <v>30.47</v>
      </c>
      <c r="I124" t="s">
        <v>53</v>
      </c>
    </row>
    <row r="125" spans="1:9" x14ac:dyDescent="0.45">
      <c r="A125">
        <v>124</v>
      </c>
      <c r="B125" t="s">
        <v>188</v>
      </c>
      <c r="C125" t="s">
        <v>89</v>
      </c>
      <c r="D125" t="s">
        <v>50</v>
      </c>
      <c r="E125" t="s">
        <v>56</v>
      </c>
      <c r="F125" t="s">
        <v>52</v>
      </c>
      <c r="G125">
        <v>55.04</v>
      </c>
      <c r="H125">
        <v>23.83</v>
      </c>
      <c r="I125" t="s">
        <v>53</v>
      </c>
    </row>
    <row r="126" spans="1:9" x14ac:dyDescent="0.45">
      <c r="A126">
        <v>125</v>
      </c>
      <c r="B126" t="s">
        <v>189</v>
      </c>
      <c r="C126" t="s">
        <v>65</v>
      </c>
      <c r="D126" t="s">
        <v>50</v>
      </c>
      <c r="E126" t="s">
        <v>51</v>
      </c>
      <c r="F126" t="s">
        <v>578</v>
      </c>
      <c r="G126">
        <v>61.27</v>
      </c>
      <c r="H126">
        <v>28.7</v>
      </c>
      <c r="I126" t="s">
        <v>53</v>
      </c>
    </row>
    <row r="127" spans="1:9" x14ac:dyDescent="0.45">
      <c r="A127">
        <v>126</v>
      </c>
      <c r="B127" t="s">
        <v>190</v>
      </c>
      <c r="C127" t="s">
        <v>65</v>
      </c>
      <c r="D127" t="s">
        <v>50</v>
      </c>
      <c r="E127" t="s">
        <v>51</v>
      </c>
      <c r="F127" t="s">
        <v>77</v>
      </c>
      <c r="G127">
        <v>55.03</v>
      </c>
      <c r="H127">
        <v>29.06</v>
      </c>
      <c r="I127" t="s">
        <v>53</v>
      </c>
    </row>
    <row r="128" spans="1:9" x14ac:dyDescent="0.45">
      <c r="A128">
        <v>127</v>
      </c>
      <c r="B128" t="s">
        <v>191</v>
      </c>
      <c r="C128" t="s">
        <v>61</v>
      </c>
      <c r="D128" t="s">
        <v>50</v>
      </c>
      <c r="E128" t="s">
        <v>69</v>
      </c>
      <c r="F128" t="s">
        <v>58</v>
      </c>
      <c r="G128">
        <v>53.67</v>
      </c>
      <c r="H128">
        <v>34.64</v>
      </c>
      <c r="I128" t="s">
        <v>53</v>
      </c>
    </row>
    <row r="129" spans="1:9" x14ac:dyDescent="0.45">
      <c r="A129">
        <v>128</v>
      </c>
      <c r="B129" t="s">
        <v>192</v>
      </c>
      <c r="C129" t="s">
        <v>55</v>
      </c>
      <c r="D129" t="s">
        <v>50</v>
      </c>
      <c r="E129" t="s">
        <v>51</v>
      </c>
      <c r="F129" t="s">
        <v>58</v>
      </c>
      <c r="G129">
        <v>44.9</v>
      </c>
      <c r="H129">
        <v>29.55</v>
      </c>
      <c r="I129" t="s">
        <v>53</v>
      </c>
    </row>
    <row r="130" spans="1:9" x14ac:dyDescent="0.45">
      <c r="A130">
        <v>129</v>
      </c>
      <c r="B130" t="s">
        <v>193</v>
      </c>
      <c r="C130" t="s">
        <v>61</v>
      </c>
      <c r="D130" t="s">
        <v>50</v>
      </c>
      <c r="E130" t="s">
        <v>69</v>
      </c>
      <c r="F130" t="s">
        <v>77</v>
      </c>
      <c r="G130">
        <v>60.68</v>
      </c>
      <c r="H130">
        <v>24.4</v>
      </c>
      <c r="I130" t="s">
        <v>53</v>
      </c>
    </row>
    <row r="131" spans="1:9" x14ac:dyDescent="0.45">
      <c r="A131">
        <v>130</v>
      </c>
      <c r="B131" t="s">
        <v>194</v>
      </c>
      <c r="C131" t="s">
        <v>89</v>
      </c>
      <c r="D131" t="s">
        <v>50</v>
      </c>
      <c r="E131" t="s">
        <v>71</v>
      </c>
      <c r="F131" t="s">
        <v>72</v>
      </c>
      <c r="G131">
        <v>49.12</v>
      </c>
      <c r="H131">
        <v>27.17</v>
      </c>
      <c r="I131" t="s">
        <v>53</v>
      </c>
    </row>
    <row r="132" spans="1:9" x14ac:dyDescent="0.45">
      <c r="A132">
        <v>131</v>
      </c>
      <c r="B132" t="s">
        <v>195</v>
      </c>
      <c r="C132" t="s">
        <v>89</v>
      </c>
      <c r="D132" t="s">
        <v>50</v>
      </c>
      <c r="E132" t="s">
        <v>71</v>
      </c>
      <c r="F132" t="s">
        <v>52</v>
      </c>
      <c r="G132">
        <v>66.63</v>
      </c>
      <c r="H132">
        <v>35</v>
      </c>
      <c r="I132" t="s">
        <v>53</v>
      </c>
    </row>
    <row r="133" spans="1:9" x14ac:dyDescent="0.45">
      <c r="A133">
        <v>132</v>
      </c>
      <c r="B133" t="s">
        <v>196</v>
      </c>
      <c r="C133" t="s">
        <v>65</v>
      </c>
      <c r="D133" t="s">
        <v>50</v>
      </c>
      <c r="E133" t="s">
        <v>71</v>
      </c>
      <c r="F133" t="s">
        <v>77</v>
      </c>
      <c r="G133">
        <v>46.9</v>
      </c>
      <c r="H133">
        <v>21.89</v>
      </c>
      <c r="I133" t="s">
        <v>53</v>
      </c>
    </row>
    <row r="134" spans="1:9" x14ac:dyDescent="0.45">
      <c r="A134">
        <v>133</v>
      </c>
      <c r="B134" t="s">
        <v>197</v>
      </c>
      <c r="C134" t="s">
        <v>55</v>
      </c>
      <c r="D134" t="s">
        <v>50</v>
      </c>
      <c r="E134" t="s">
        <v>62</v>
      </c>
      <c r="F134" t="s">
        <v>58</v>
      </c>
      <c r="G134">
        <v>53.05</v>
      </c>
      <c r="H134">
        <v>23.13</v>
      </c>
      <c r="I134" t="s">
        <v>53</v>
      </c>
    </row>
    <row r="135" spans="1:9" x14ac:dyDescent="0.45">
      <c r="A135">
        <v>134</v>
      </c>
      <c r="B135" t="s">
        <v>198</v>
      </c>
      <c r="C135" t="s">
        <v>61</v>
      </c>
      <c r="D135" t="s">
        <v>50</v>
      </c>
      <c r="E135" t="s">
        <v>62</v>
      </c>
      <c r="F135" t="s">
        <v>58</v>
      </c>
      <c r="G135">
        <v>61.75</v>
      </c>
      <c r="H135">
        <v>30.95</v>
      </c>
      <c r="I135" t="s">
        <v>53</v>
      </c>
    </row>
    <row r="136" spans="1:9" x14ac:dyDescent="0.45">
      <c r="A136">
        <v>135</v>
      </c>
      <c r="B136" t="s">
        <v>199</v>
      </c>
      <c r="C136" t="s">
        <v>65</v>
      </c>
      <c r="D136" t="s">
        <v>50</v>
      </c>
      <c r="E136" t="s">
        <v>62</v>
      </c>
      <c r="F136" t="s">
        <v>72</v>
      </c>
      <c r="G136">
        <v>42.47</v>
      </c>
      <c r="H136">
        <v>29</v>
      </c>
      <c r="I136" t="s">
        <v>53</v>
      </c>
    </row>
    <row r="137" spans="1:9" x14ac:dyDescent="0.45">
      <c r="A137">
        <v>136</v>
      </c>
      <c r="B137" t="s">
        <v>200</v>
      </c>
      <c r="C137" t="s">
        <v>61</v>
      </c>
      <c r="D137" t="s">
        <v>50</v>
      </c>
      <c r="E137" t="s">
        <v>69</v>
      </c>
      <c r="F137" t="s">
        <v>77</v>
      </c>
      <c r="G137">
        <v>46.8</v>
      </c>
      <c r="H137">
        <v>23.26</v>
      </c>
      <c r="I137" t="s">
        <v>53</v>
      </c>
    </row>
    <row r="138" spans="1:9" x14ac:dyDescent="0.45">
      <c r="A138">
        <v>137</v>
      </c>
      <c r="B138" t="s">
        <v>201</v>
      </c>
      <c r="C138" t="s">
        <v>61</v>
      </c>
      <c r="D138" t="s">
        <v>50</v>
      </c>
      <c r="E138" t="s">
        <v>56</v>
      </c>
      <c r="F138" t="s">
        <v>58</v>
      </c>
      <c r="G138">
        <v>46.52</v>
      </c>
      <c r="H138">
        <v>25.85</v>
      </c>
      <c r="I138" t="s">
        <v>53</v>
      </c>
    </row>
    <row r="139" spans="1:9" x14ac:dyDescent="0.45">
      <c r="A139">
        <v>138</v>
      </c>
      <c r="B139" t="s">
        <v>202</v>
      </c>
      <c r="C139" t="s">
        <v>65</v>
      </c>
      <c r="D139" t="s">
        <v>50</v>
      </c>
      <c r="E139" t="s">
        <v>56</v>
      </c>
      <c r="F139" t="s">
        <v>52</v>
      </c>
      <c r="G139">
        <v>49.21</v>
      </c>
      <c r="H139">
        <v>30.06</v>
      </c>
      <c r="I139" t="s">
        <v>53</v>
      </c>
    </row>
    <row r="140" spans="1:9" x14ac:dyDescent="0.45">
      <c r="A140">
        <v>139</v>
      </c>
      <c r="B140" t="s">
        <v>203</v>
      </c>
      <c r="C140" t="s">
        <v>55</v>
      </c>
      <c r="D140" t="s">
        <v>50</v>
      </c>
      <c r="E140" t="s">
        <v>51</v>
      </c>
      <c r="F140" t="s">
        <v>72</v>
      </c>
      <c r="G140">
        <v>33.590000000000003</v>
      </c>
      <c r="H140">
        <v>17.100000000000001</v>
      </c>
      <c r="I140" t="s">
        <v>53</v>
      </c>
    </row>
    <row r="141" spans="1:9" x14ac:dyDescent="0.45">
      <c r="A141">
        <v>140</v>
      </c>
      <c r="B141" t="s">
        <v>204</v>
      </c>
      <c r="C141" t="s">
        <v>49</v>
      </c>
      <c r="D141" t="s">
        <v>50</v>
      </c>
      <c r="E141" t="s">
        <v>69</v>
      </c>
      <c r="F141" t="s">
        <v>58</v>
      </c>
      <c r="G141">
        <v>52.08</v>
      </c>
      <c r="H141">
        <v>36.020000000000003</v>
      </c>
      <c r="I141" t="s">
        <v>53</v>
      </c>
    </row>
    <row r="142" spans="1:9" x14ac:dyDescent="0.45">
      <c r="A142">
        <v>141</v>
      </c>
      <c r="B142" t="s">
        <v>205</v>
      </c>
      <c r="C142" t="s">
        <v>49</v>
      </c>
      <c r="D142" t="s">
        <v>50</v>
      </c>
      <c r="E142" t="s">
        <v>62</v>
      </c>
      <c r="F142" t="s">
        <v>77</v>
      </c>
      <c r="G142">
        <v>39.159999999999997</v>
      </c>
      <c r="H142">
        <v>26.97</v>
      </c>
      <c r="I142" t="s">
        <v>53</v>
      </c>
    </row>
    <row r="143" spans="1:9" x14ac:dyDescent="0.45">
      <c r="A143">
        <v>142</v>
      </c>
      <c r="B143" t="s">
        <v>206</v>
      </c>
      <c r="C143" t="s">
        <v>49</v>
      </c>
      <c r="D143" t="s">
        <v>50</v>
      </c>
      <c r="E143" t="s">
        <v>56</v>
      </c>
      <c r="F143" t="s">
        <v>52</v>
      </c>
      <c r="G143">
        <v>67.290000000000006</v>
      </c>
      <c r="H143">
        <v>32</v>
      </c>
      <c r="I143" t="s">
        <v>53</v>
      </c>
    </row>
    <row r="144" spans="1:9" x14ac:dyDescent="0.45">
      <c r="A144">
        <v>143</v>
      </c>
      <c r="B144" t="s">
        <v>207</v>
      </c>
      <c r="C144" t="s">
        <v>89</v>
      </c>
      <c r="D144" t="s">
        <v>50</v>
      </c>
      <c r="E144" t="s">
        <v>51</v>
      </c>
      <c r="F144" t="s">
        <v>52</v>
      </c>
      <c r="G144">
        <v>39.75</v>
      </c>
      <c r="H144">
        <v>21.83</v>
      </c>
      <c r="I144" t="s">
        <v>53</v>
      </c>
    </row>
    <row r="145" spans="1:9" x14ac:dyDescent="0.45">
      <c r="A145">
        <v>144</v>
      </c>
      <c r="B145" t="s">
        <v>208</v>
      </c>
      <c r="C145" t="s">
        <v>61</v>
      </c>
      <c r="D145" t="s">
        <v>50</v>
      </c>
      <c r="E145" t="s">
        <v>62</v>
      </c>
      <c r="F145" t="s">
        <v>72</v>
      </c>
      <c r="G145">
        <v>41.84</v>
      </c>
      <c r="H145">
        <v>20.51</v>
      </c>
      <c r="I145" t="s">
        <v>53</v>
      </c>
    </row>
    <row r="146" spans="1:9" x14ac:dyDescent="0.45">
      <c r="A146">
        <v>145</v>
      </c>
      <c r="B146" t="s">
        <v>209</v>
      </c>
      <c r="C146" t="s">
        <v>65</v>
      </c>
      <c r="D146" t="s">
        <v>50</v>
      </c>
      <c r="E146" t="s">
        <v>71</v>
      </c>
      <c r="F146" t="s">
        <v>72</v>
      </c>
      <c r="G146">
        <v>58.25</v>
      </c>
      <c r="H146">
        <v>28.28</v>
      </c>
      <c r="I146" t="s">
        <v>53</v>
      </c>
    </row>
    <row r="147" spans="1:9" x14ac:dyDescent="0.45">
      <c r="A147">
        <v>146</v>
      </c>
      <c r="B147" t="s">
        <v>210</v>
      </c>
      <c r="C147" t="s">
        <v>65</v>
      </c>
      <c r="D147" t="s">
        <v>50</v>
      </c>
      <c r="E147" t="s">
        <v>56</v>
      </c>
      <c r="F147" t="s">
        <v>52</v>
      </c>
      <c r="G147">
        <v>81.06</v>
      </c>
      <c r="H147">
        <v>33.32</v>
      </c>
      <c r="I147" t="s">
        <v>53</v>
      </c>
    </row>
    <row r="148" spans="1:9" x14ac:dyDescent="0.45">
      <c r="A148">
        <v>147</v>
      </c>
      <c r="B148" t="s">
        <v>211</v>
      </c>
      <c r="C148" t="s">
        <v>65</v>
      </c>
      <c r="D148" t="s">
        <v>50</v>
      </c>
      <c r="E148" t="s">
        <v>71</v>
      </c>
      <c r="F148" t="s">
        <v>578</v>
      </c>
      <c r="G148">
        <v>52.91</v>
      </c>
      <c r="H148">
        <v>30.84</v>
      </c>
      <c r="I148" t="s">
        <v>53</v>
      </c>
    </row>
    <row r="149" spans="1:9" x14ac:dyDescent="0.45">
      <c r="A149">
        <v>148</v>
      </c>
      <c r="B149" t="s">
        <v>212</v>
      </c>
      <c r="C149" t="s">
        <v>55</v>
      </c>
      <c r="D149" t="s">
        <v>50</v>
      </c>
      <c r="E149" t="s">
        <v>62</v>
      </c>
      <c r="F149" t="s">
        <v>52</v>
      </c>
      <c r="G149">
        <v>36.69</v>
      </c>
      <c r="H149">
        <v>20.21</v>
      </c>
      <c r="I149" t="s">
        <v>53</v>
      </c>
    </row>
    <row r="150" spans="1:9" x14ac:dyDescent="0.45">
      <c r="A150">
        <v>149</v>
      </c>
      <c r="B150" t="s">
        <v>213</v>
      </c>
      <c r="C150" t="s">
        <v>61</v>
      </c>
      <c r="D150" t="s">
        <v>50</v>
      </c>
      <c r="E150" t="s">
        <v>51</v>
      </c>
      <c r="F150" t="s">
        <v>72</v>
      </c>
      <c r="G150">
        <v>42.24</v>
      </c>
      <c r="H150">
        <v>17.55</v>
      </c>
      <c r="I150" t="s">
        <v>53</v>
      </c>
    </row>
    <row r="151" spans="1:9" x14ac:dyDescent="0.45">
      <c r="A151">
        <v>150</v>
      </c>
      <c r="B151" t="s">
        <v>214</v>
      </c>
      <c r="C151" t="s">
        <v>55</v>
      </c>
      <c r="D151" t="s">
        <v>50</v>
      </c>
      <c r="E151" t="s">
        <v>51</v>
      </c>
      <c r="F151" t="s">
        <v>77</v>
      </c>
      <c r="G151">
        <v>50.04</v>
      </c>
      <c r="H151">
        <v>24.2</v>
      </c>
      <c r="I151" t="s">
        <v>53</v>
      </c>
    </row>
    <row r="152" spans="1:9" x14ac:dyDescent="0.45">
      <c r="A152">
        <v>151</v>
      </c>
      <c r="B152" t="s">
        <v>215</v>
      </c>
      <c r="C152" t="s">
        <v>61</v>
      </c>
      <c r="D152" t="s">
        <v>50</v>
      </c>
      <c r="E152" t="s">
        <v>56</v>
      </c>
      <c r="F152" t="s">
        <v>72</v>
      </c>
      <c r="G152">
        <v>36.47</v>
      </c>
      <c r="H152">
        <v>24.53</v>
      </c>
      <c r="I152" t="s">
        <v>53</v>
      </c>
    </row>
    <row r="153" spans="1:9" x14ac:dyDescent="0.45">
      <c r="A153">
        <v>152</v>
      </c>
      <c r="B153" t="s">
        <v>216</v>
      </c>
      <c r="C153" t="s">
        <v>89</v>
      </c>
      <c r="D153" t="s">
        <v>50</v>
      </c>
      <c r="E153" t="s">
        <v>71</v>
      </c>
      <c r="F153" t="s">
        <v>77</v>
      </c>
      <c r="G153">
        <v>61.7</v>
      </c>
      <c r="H153">
        <v>29.11</v>
      </c>
      <c r="I153" t="s">
        <v>53</v>
      </c>
    </row>
    <row r="154" spans="1:9" x14ac:dyDescent="0.45">
      <c r="A154">
        <v>153</v>
      </c>
      <c r="B154" t="s">
        <v>217</v>
      </c>
      <c r="C154" t="s">
        <v>65</v>
      </c>
      <c r="D154" t="s">
        <v>50</v>
      </c>
      <c r="E154" t="s">
        <v>69</v>
      </c>
      <c r="F154" t="s">
        <v>63</v>
      </c>
      <c r="G154">
        <v>52.36</v>
      </c>
      <c r="H154">
        <v>23.22</v>
      </c>
      <c r="I154" t="s">
        <v>53</v>
      </c>
    </row>
    <row r="155" spans="1:9" x14ac:dyDescent="0.45">
      <c r="A155">
        <v>154</v>
      </c>
      <c r="B155" t="s">
        <v>218</v>
      </c>
      <c r="C155" t="s">
        <v>89</v>
      </c>
      <c r="D155" t="s">
        <v>50</v>
      </c>
      <c r="E155" t="s">
        <v>69</v>
      </c>
      <c r="F155" t="s">
        <v>58</v>
      </c>
      <c r="G155">
        <v>53.74</v>
      </c>
      <c r="H155">
        <v>29.39</v>
      </c>
      <c r="I155" t="s">
        <v>53</v>
      </c>
    </row>
    <row r="156" spans="1:9" x14ac:dyDescent="0.45">
      <c r="A156">
        <v>155</v>
      </c>
      <c r="B156" t="s">
        <v>219</v>
      </c>
      <c r="C156" t="s">
        <v>49</v>
      </c>
      <c r="D156" t="s">
        <v>50</v>
      </c>
      <c r="E156" t="s">
        <v>69</v>
      </c>
      <c r="F156" t="s">
        <v>77</v>
      </c>
      <c r="G156">
        <v>46.07</v>
      </c>
      <c r="H156">
        <v>32.049999999999997</v>
      </c>
      <c r="I156" t="s">
        <v>53</v>
      </c>
    </row>
    <row r="157" spans="1:9" x14ac:dyDescent="0.45">
      <c r="A157">
        <v>156</v>
      </c>
      <c r="B157" t="s">
        <v>220</v>
      </c>
      <c r="C157" t="s">
        <v>49</v>
      </c>
      <c r="D157" t="s">
        <v>50</v>
      </c>
      <c r="E157" t="s">
        <v>71</v>
      </c>
      <c r="F157" t="s">
        <v>52</v>
      </c>
      <c r="G157">
        <v>55.52</v>
      </c>
      <c r="H157">
        <v>26.24</v>
      </c>
      <c r="I157" t="s">
        <v>53</v>
      </c>
    </row>
    <row r="158" spans="1:9" x14ac:dyDescent="0.45">
      <c r="A158">
        <v>157</v>
      </c>
      <c r="B158" t="s">
        <v>221</v>
      </c>
      <c r="C158" t="s">
        <v>89</v>
      </c>
      <c r="D158" t="s">
        <v>50</v>
      </c>
      <c r="E158" t="s">
        <v>71</v>
      </c>
      <c r="F158" t="s">
        <v>63</v>
      </c>
      <c r="G158">
        <v>41.56</v>
      </c>
      <c r="H158">
        <v>25</v>
      </c>
      <c r="I158" t="s">
        <v>53</v>
      </c>
    </row>
    <row r="159" spans="1:9" x14ac:dyDescent="0.45">
      <c r="A159">
        <v>158</v>
      </c>
      <c r="B159" t="s">
        <v>222</v>
      </c>
      <c r="C159" t="s">
        <v>49</v>
      </c>
      <c r="D159" t="s">
        <v>50</v>
      </c>
      <c r="E159" t="s">
        <v>71</v>
      </c>
      <c r="F159" t="s">
        <v>58</v>
      </c>
      <c r="G159">
        <v>45.15</v>
      </c>
      <c r="H159">
        <v>28.38</v>
      </c>
      <c r="I159" t="s">
        <v>53</v>
      </c>
    </row>
    <row r="160" spans="1:9" x14ac:dyDescent="0.45">
      <c r="A160">
        <v>159</v>
      </c>
      <c r="B160" t="s">
        <v>223</v>
      </c>
      <c r="C160" t="s">
        <v>61</v>
      </c>
      <c r="D160" t="s">
        <v>50</v>
      </c>
      <c r="E160" t="s">
        <v>62</v>
      </c>
      <c r="F160" t="s">
        <v>52</v>
      </c>
      <c r="G160">
        <v>33.590000000000003</v>
      </c>
      <c r="H160">
        <v>15.83</v>
      </c>
      <c r="I160" t="s">
        <v>53</v>
      </c>
    </row>
    <row r="161" spans="1:9" x14ac:dyDescent="0.45">
      <c r="A161">
        <v>160</v>
      </c>
      <c r="B161" t="s">
        <v>224</v>
      </c>
      <c r="C161" t="s">
        <v>89</v>
      </c>
      <c r="D161" t="s">
        <v>50</v>
      </c>
      <c r="E161" t="s">
        <v>51</v>
      </c>
      <c r="F161" t="s">
        <v>72</v>
      </c>
      <c r="G161">
        <v>59.38</v>
      </c>
      <c r="H161">
        <v>36.72</v>
      </c>
      <c r="I161" t="s">
        <v>53</v>
      </c>
    </row>
    <row r="162" spans="1:9" x14ac:dyDescent="0.45">
      <c r="A162">
        <v>161</v>
      </c>
      <c r="B162" t="s">
        <v>225</v>
      </c>
      <c r="C162" t="s">
        <v>55</v>
      </c>
      <c r="D162" t="s">
        <v>50</v>
      </c>
      <c r="E162" t="s">
        <v>56</v>
      </c>
      <c r="F162" t="s">
        <v>52</v>
      </c>
      <c r="G162">
        <v>45.75</v>
      </c>
      <c r="H162">
        <v>23.35</v>
      </c>
      <c r="I162" t="s">
        <v>53</v>
      </c>
    </row>
    <row r="163" spans="1:9" x14ac:dyDescent="0.45">
      <c r="A163">
        <v>162</v>
      </c>
      <c r="B163" t="s">
        <v>226</v>
      </c>
      <c r="C163" t="s">
        <v>89</v>
      </c>
      <c r="D163" t="s">
        <v>50</v>
      </c>
      <c r="E163" t="s">
        <v>51</v>
      </c>
      <c r="F163" t="s">
        <v>72</v>
      </c>
      <c r="G163">
        <v>66.5</v>
      </c>
      <c r="H163">
        <v>39.21</v>
      </c>
      <c r="I163" t="s">
        <v>53</v>
      </c>
    </row>
    <row r="164" spans="1:9" x14ac:dyDescent="0.45">
      <c r="A164">
        <v>163</v>
      </c>
      <c r="B164" t="s">
        <v>227</v>
      </c>
      <c r="C164" t="s">
        <v>89</v>
      </c>
      <c r="D164" t="s">
        <v>50</v>
      </c>
      <c r="E164" t="s">
        <v>62</v>
      </c>
      <c r="F164" t="s">
        <v>77</v>
      </c>
      <c r="G164">
        <v>76.959999999999994</v>
      </c>
      <c r="H164">
        <v>45.41</v>
      </c>
      <c r="I164" t="s">
        <v>53</v>
      </c>
    </row>
    <row r="165" spans="1:9" x14ac:dyDescent="0.45">
      <c r="A165">
        <v>164</v>
      </c>
      <c r="B165" t="s">
        <v>228</v>
      </c>
      <c r="C165" t="s">
        <v>49</v>
      </c>
      <c r="D165" t="s">
        <v>50</v>
      </c>
      <c r="E165" t="s">
        <v>62</v>
      </c>
      <c r="F165" t="s">
        <v>63</v>
      </c>
      <c r="G165">
        <v>22.96</v>
      </c>
      <c r="H165">
        <v>12.87</v>
      </c>
      <c r="I165" t="s">
        <v>53</v>
      </c>
    </row>
    <row r="166" spans="1:9" x14ac:dyDescent="0.45">
      <c r="A166">
        <v>165</v>
      </c>
      <c r="B166" t="s">
        <v>229</v>
      </c>
      <c r="C166" t="s">
        <v>65</v>
      </c>
      <c r="D166" t="s">
        <v>50</v>
      </c>
      <c r="E166" t="s">
        <v>51</v>
      </c>
      <c r="F166" t="s">
        <v>72</v>
      </c>
      <c r="G166">
        <v>42.67</v>
      </c>
      <c r="H166">
        <v>18.22</v>
      </c>
      <c r="I166" t="s">
        <v>53</v>
      </c>
    </row>
    <row r="167" spans="1:9" x14ac:dyDescent="0.45">
      <c r="A167">
        <v>166</v>
      </c>
      <c r="B167" t="s">
        <v>230</v>
      </c>
      <c r="C167" t="s">
        <v>65</v>
      </c>
      <c r="D167" t="s">
        <v>50</v>
      </c>
      <c r="E167" t="s">
        <v>71</v>
      </c>
      <c r="F167" t="s">
        <v>72</v>
      </c>
      <c r="G167">
        <v>65.260000000000005</v>
      </c>
      <c r="H167">
        <v>42.46</v>
      </c>
      <c r="I167" t="s">
        <v>53</v>
      </c>
    </row>
    <row r="168" spans="1:9" x14ac:dyDescent="0.45">
      <c r="A168">
        <v>167</v>
      </c>
      <c r="B168" t="s">
        <v>231</v>
      </c>
      <c r="C168" t="s">
        <v>65</v>
      </c>
      <c r="D168" t="s">
        <v>50</v>
      </c>
      <c r="E168" t="s">
        <v>62</v>
      </c>
      <c r="F168" t="s">
        <v>52</v>
      </c>
      <c r="G168">
        <v>70.55</v>
      </c>
      <c r="H168">
        <v>35.01</v>
      </c>
      <c r="I168" t="s">
        <v>53</v>
      </c>
    </row>
    <row r="169" spans="1:9" x14ac:dyDescent="0.45">
      <c r="A169">
        <v>168</v>
      </c>
      <c r="B169" t="s">
        <v>232</v>
      </c>
      <c r="C169" t="s">
        <v>55</v>
      </c>
      <c r="D169" t="s">
        <v>50</v>
      </c>
      <c r="E169" t="s">
        <v>69</v>
      </c>
      <c r="F169" t="s">
        <v>63</v>
      </c>
      <c r="G169">
        <v>54.74</v>
      </c>
      <c r="H169">
        <v>24.96</v>
      </c>
      <c r="I169" t="s">
        <v>53</v>
      </c>
    </row>
    <row r="170" spans="1:9" x14ac:dyDescent="0.45">
      <c r="A170">
        <v>169</v>
      </c>
      <c r="B170" t="s">
        <v>233</v>
      </c>
      <c r="C170" t="s">
        <v>89</v>
      </c>
      <c r="D170" t="s">
        <v>50</v>
      </c>
      <c r="E170" t="s">
        <v>69</v>
      </c>
      <c r="F170" t="s">
        <v>58</v>
      </c>
      <c r="G170">
        <v>32.94</v>
      </c>
      <c r="H170">
        <v>13.58</v>
      </c>
      <c r="I170" t="s">
        <v>53</v>
      </c>
    </row>
    <row r="171" spans="1:9" x14ac:dyDescent="0.45">
      <c r="A171">
        <v>170</v>
      </c>
      <c r="B171" t="s">
        <v>234</v>
      </c>
      <c r="C171" t="s">
        <v>49</v>
      </c>
      <c r="D171" t="s">
        <v>50</v>
      </c>
      <c r="E171" t="s">
        <v>62</v>
      </c>
      <c r="F171" t="s">
        <v>58</v>
      </c>
      <c r="G171">
        <v>51.27</v>
      </c>
      <c r="H171">
        <v>29.6</v>
      </c>
      <c r="I171" t="s">
        <v>53</v>
      </c>
    </row>
    <row r="172" spans="1:9" x14ac:dyDescent="0.45">
      <c r="A172">
        <v>171</v>
      </c>
      <c r="B172" t="s">
        <v>235</v>
      </c>
      <c r="C172" t="s">
        <v>49</v>
      </c>
      <c r="D172" t="s">
        <v>50</v>
      </c>
      <c r="E172" t="s">
        <v>71</v>
      </c>
      <c r="F172" t="s">
        <v>52</v>
      </c>
      <c r="G172">
        <v>30.26</v>
      </c>
      <c r="H172">
        <v>18.25</v>
      </c>
      <c r="I172" t="s">
        <v>53</v>
      </c>
    </row>
    <row r="173" spans="1:9" x14ac:dyDescent="0.45">
      <c r="A173">
        <v>172</v>
      </c>
      <c r="B173" t="s">
        <v>236</v>
      </c>
      <c r="C173" t="s">
        <v>65</v>
      </c>
      <c r="D173" t="s">
        <v>50</v>
      </c>
      <c r="E173" t="s">
        <v>56</v>
      </c>
      <c r="F173" t="s">
        <v>72</v>
      </c>
      <c r="G173">
        <v>41.7</v>
      </c>
      <c r="H173">
        <v>16.89</v>
      </c>
      <c r="I173" t="s">
        <v>53</v>
      </c>
    </row>
    <row r="174" spans="1:9" x14ac:dyDescent="0.45">
      <c r="A174">
        <v>173</v>
      </c>
      <c r="B174" t="s">
        <v>237</v>
      </c>
      <c r="C174" t="s">
        <v>49</v>
      </c>
      <c r="D174" t="s">
        <v>50</v>
      </c>
      <c r="E174" t="s">
        <v>56</v>
      </c>
      <c r="F174" t="s">
        <v>72</v>
      </c>
      <c r="G174">
        <v>49.74</v>
      </c>
      <c r="H174">
        <v>27.54</v>
      </c>
      <c r="I174" t="s">
        <v>53</v>
      </c>
    </row>
    <row r="175" spans="1:9" x14ac:dyDescent="0.45">
      <c r="A175">
        <v>174</v>
      </c>
      <c r="B175" t="s">
        <v>238</v>
      </c>
      <c r="C175" t="s">
        <v>89</v>
      </c>
      <c r="D175" t="s">
        <v>50</v>
      </c>
      <c r="E175" t="s">
        <v>69</v>
      </c>
      <c r="F175" t="s">
        <v>58</v>
      </c>
      <c r="G175">
        <v>26.41</v>
      </c>
      <c r="H175">
        <v>12.36</v>
      </c>
      <c r="I175" t="s">
        <v>53</v>
      </c>
    </row>
    <row r="176" spans="1:9" x14ac:dyDescent="0.45">
      <c r="A176">
        <v>175</v>
      </c>
      <c r="B176" t="s">
        <v>239</v>
      </c>
      <c r="C176" t="s">
        <v>55</v>
      </c>
      <c r="D176" t="s">
        <v>50</v>
      </c>
      <c r="E176" t="s">
        <v>71</v>
      </c>
      <c r="F176" t="s">
        <v>77</v>
      </c>
      <c r="G176">
        <v>49.16</v>
      </c>
      <c r="H176">
        <v>29.18</v>
      </c>
      <c r="I176" t="s">
        <v>53</v>
      </c>
    </row>
    <row r="177" spans="1:9" x14ac:dyDescent="0.45">
      <c r="A177">
        <v>176</v>
      </c>
      <c r="B177" t="s">
        <v>240</v>
      </c>
      <c r="C177" t="s">
        <v>49</v>
      </c>
      <c r="D177" t="s">
        <v>50</v>
      </c>
      <c r="E177" t="s">
        <v>56</v>
      </c>
      <c r="F177" t="s">
        <v>52</v>
      </c>
      <c r="G177">
        <v>27.94</v>
      </c>
      <c r="H177">
        <v>12.64</v>
      </c>
      <c r="I177" t="s">
        <v>53</v>
      </c>
    </row>
    <row r="178" spans="1:9" x14ac:dyDescent="0.45">
      <c r="A178">
        <v>177</v>
      </c>
      <c r="B178" t="s">
        <v>241</v>
      </c>
      <c r="C178" t="s">
        <v>89</v>
      </c>
      <c r="D178" t="s">
        <v>50</v>
      </c>
      <c r="E178" t="s">
        <v>51</v>
      </c>
      <c r="F178" t="s">
        <v>52</v>
      </c>
      <c r="G178">
        <v>42.66</v>
      </c>
      <c r="H178">
        <v>25.91</v>
      </c>
      <c r="I178" t="s">
        <v>53</v>
      </c>
    </row>
    <row r="179" spans="1:9" x14ac:dyDescent="0.45">
      <c r="A179">
        <v>178</v>
      </c>
      <c r="B179" t="s">
        <v>242</v>
      </c>
      <c r="C179" t="s">
        <v>61</v>
      </c>
      <c r="D179" t="s">
        <v>50</v>
      </c>
      <c r="E179" t="s">
        <v>71</v>
      </c>
      <c r="F179" t="s">
        <v>77</v>
      </c>
      <c r="G179">
        <v>39.340000000000003</v>
      </c>
      <c r="H179">
        <v>20.3</v>
      </c>
      <c r="I179" t="s">
        <v>53</v>
      </c>
    </row>
    <row r="180" spans="1:9" x14ac:dyDescent="0.45">
      <c r="A180">
        <v>179</v>
      </c>
      <c r="B180" t="s">
        <v>243</v>
      </c>
      <c r="C180" t="s">
        <v>55</v>
      </c>
      <c r="D180" t="s">
        <v>50</v>
      </c>
      <c r="E180" t="s">
        <v>62</v>
      </c>
      <c r="F180" t="s">
        <v>77</v>
      </c>
      <c r="G180">
        <v>44.59</v>
      </c>
      <c r="H180">
        <v>30.37</v>
      </c>
      <c r="I180" t="s">
        <v>53</v>
      </c>
    </row>
    <row r="181" spans="1:9" x14ac:dyDescent="0.45">
      <c r="A181">
        <v>180</v>
      </c>
      <c r="B181" t="s">
        <v>244</v>
      </c>
      <c r="C181" t="s">
        <v>65</v>
      </c>
      <c r="D181" t="s">
        <v>50</v>
      </c>
      <c r="E181" t="s">
        <v>62</v>
      </c>
      <c r="F181" t="s">
        <v>72</v>
      </c>
      <c r="G181">
        <v>38.81</v>
      </c>
      <c r="H181">
        <v>17.13</v>
      </c>
      <c r="I181" t="s">
        <v>53</v>
      </c>
    </row>
    <row r="182" spans="1:9" x14ac:dyDescent="0.45">
      <c r="A182">
        <v>181</v>
      </c>
      <c r="B182" t="s">
        <v>245</v>
      </c>
      <c r="C182" t="s">
        <v>65</v>
      </c>
      <c r="D182" t="s">
        <v>50</v>
      </c>
      <c r="E182" t="s">
        <v>71</v>
      </c>
      <c r="F182" t="s">
        <v>578</v>
      </c>
      <c r="G182">
        <v>52.18</v>
      </c>
      <c r="H182">
        <v>26.21</v>
      </c>
      <c r="I182" t="s">
        <v>53</v>
      </c>
    </row>
    <row r="183" spans="1:9" x14ac:dyDescent="0.45">
      <c r="A183">
        <v>182</v>
      </c>
      <c r="B183" t="s">
        <v>246</v>
      </c>
      <c r="C183" t="s">
        <v>89</v>
      </c>
      <c r="D183" t="s">
        <v>50</v>
      </c>
      <c r="E183" t="s">
        <v>69</v>
      </c>
      <c r="F183" t="s">
        <v>52</v>
      </c>
      <c r="G183">
        <v>78.63</v>
      </c>
      <c r="H183">
        <v>34.130000000000003</v>
      </c>
      <c r="I183" t="s">
        <v>53</v>
      </c>
    </row>
    <row r="184" spans="1:9" x14ac:dyDescent="0.45">
      <c r="A184">
        <v>183</v>
      </c>
      <c r="B184" t="s">
        <v>247</v>
      </c>
      <c r="C184" t="s">
        <v>89</v>
      </c>
      <c r="D184" t="s">
        <v>50</v>
      </c>
      <c r="E184" t="s">
        <v>56</v>
      </c>
      <c r="F184" t="s">
        <v>72</v>
      </c>
      <c r="G184">
        <v>47.87</v>
      </c>
      <c r="H184">
        <v>32.43</v>
      </c>
      <c r="I184" t="s">
        <v>53</v>
      </c>
    </row>
    <row r="185" spans="1:9" x14ac:dyDescent="0.45">
      <c r="A185">
        <v>184</v>
      </c>
      <c r="B185" t="s">
        <v>248</v>
      </c>
      <c r="C185" t="s">
        <v>61</v>
      </c>
      <c r="D185" t="s">
        <v>50</v>
      </c>
      <c r="E185" t="s">
        <v>51</v>
      </c>
      <c r="F185" t="s">
        <v>72</v>
      </c>
      <c r="G185">
        <v>44.08</v>
      </c>
      <c r="H185">
        <v>29.23</v>
      </c>
      <c r="I185" t="s">
        <v>53</v>
      </c>
    </row>
    <row r="186" spans="1:9" x14ac:dyDescent="0.45">
      <c r="A186">
        <v>185</v>
      </c>
      <c r="B186" t="s">
        <v>249</v>
      </c>
      <c r="C186" t="s">
        <v>61</v>
      </c>
      <c r="D186" t="s">
        <v>50</v>
      </c>
      <c r="E186" t="s">
        <v>51</v>
      </c>
      <c r="F186" t="s">
        <v>72</v>
      </c>
      <c r="G186">
        <v>47.73</v>
      </c>
      <c r="H186">
        <v>22.79</v>
      </c>
      <c r="I186" t="s">
        <v>53</v>
      </c>
    </row>
    <row r="187" spans="1:9" x14ac:dyDescent="0.45">
      <c r="A187">
        <v>186</v>
      </c>
      <c r="B187" t="s">
        <v>250</v>
      </c>
      <c r="C187" t="s">
        <v>65</v>
      </c>
      <c r="D187" t="s">
        <v>50</v>
      </c>
      <c r="E187" t="s">
        <v>51</v>
      </c>
      <c r="F187" t="s">
        <v>578</v>
      </c>
      <c r="G187">
        <v>59.35</v>
      </c>
      <c r="H187">
        <v>35.49</v>
      </c>
      <c r="I187" t="s">
        <v>53</v>
      </c>
    </row>
    <row r="188" spans="1:9" x14ac:dyDescent="0.45">
      <c r="A188">
        <v>187</v>
      </c>
      <c r="B188" t="s">
        <v>251</v>
      </c>
      <c r="C188" t="s">
        <v>61</v>
      </c>
      <c r="D188" t="s">
        <v>50</v>
      </c>
      <c r="E188" t="s">
        <v>62</v>
      </c>
      <c r="F188" t="s">
        <v>63</v>
      </c>
      <c r="G188">
        <v>30.19</v>
      </c>
      <c r="H188">
        <v>19.48</v>
      </c>
      <c r="I188" t="s">
        <v>53</v>
      </c>
    </row>
    <row r="189" spans="1:9" x14ac:dyDescent="0.45">
      <c r="A189">
        <v>188</v>
      </c>
      <c r="B189" t="s">
        <v>252</v>
      </c>
      <c r="C189" t="s">
        <v>65</v>
      </c>
      <c r="D189" t="s">
        <v>50</v>
      </c>
      <c r="E189" t="s">
        <v>51</v>
      </c>
      <c r="F189" t="s">
        <v>63</v>
      </c>
      <c r="G189">
        <v>55.01</v>
      </c>
      <c r="H189">
        <v>31.17</v>
      </c>
      <c r="I189" t="s">
        <v>53</v>
      </c>
    </row>
    <row r="190" spans="1:9" x14ac:dyDescent="0.45">
      <c r="A190">
        <v>189</v>
      </c>
      <c r="B190" t="s">
        <v>253</v>
      </c>
      <c r="C190" t="s">
        <v>89</v>
      </c>
      <c r="D190" t="s">
        <v>50</v>
      </c>
      <c r="E190" t="s">
        <v>62</v>
      </c>
      <c r="F190" t="s">
        <v>77</v>
      </c>
      <c r="G190">
        <v>48.12</v>
      </c>
      <c r="H190">
        <v>26.89</v>
      </c>
      <c r="I190" t="s">
        <v>53</v>
      </c>
    </row>
    <row r="191" spans="1:9" x14ac:dyDescent="0.45">
      <c r="A191">
        <v>190</v>
      </c>
      <c r="B191" t="s">
        <v>254</v>
      </c>
      <c r="C191" t="s">
        <v>49</v>
      </c>
      <c r="D191" t="s">
        <v>50</v>
      </c>
      <c r="E191" t="s">
        <v>69</v>
      </c>
      <c r="F191" t="s">
        <v>77</v>
      </c>
      <c r="G191">
        <v>49.41</v>
      </c>
      <c r="H191">
        <v>23.35</v>
      </c>
      <c r="I191" t="s">
        <v>53</v>
      </c>
    </row>
    <row r="192" spans="1:9" x14ac:dyDescent="0.45">
      <c r="A192">
        <v>191</v>
      </c>
      <c r="B192" t="s">
        <v>255</v>
      </c>
      <c r="C192" t="s">
        <v>49</v>
      </c>
      <c r="D192" t="s">
        <v>50</v>
      </c>
      <c r="E192" t="s">
        <v>62</v>
      </c>
      <c r="F192" t="s">
        <v>77</v>
      </c>
      <c r="G192">
        <v>60.52</v>
      </c>
      <c r="H192">
        <v>25.9</v>
      </c>
      <c r="I192" t="s">
        <v>53</v>
      </c>
    </row>
    <row r="193" spans="1:9" x14ac:dyDescent="0.45">
      <c r="A193">
        <v>192</v>
      </c>
      <c r="B193" t="s">
        <v>256</v>
      </c>
      <c r="C193" t="s">
        <v>49</v>
      </c>
      <c r="D193" t="s">
        <v>50</v>
      </c>
      <c r="E193" t="s">
        <v>51</v>
      </c>
      <c r="F193" t="s">
        <v>72</v>
      </c>
      <c r="G193">
        <v>62.48</v>
      </c>
      <c r="H193">
        <v>41.81</v>
      </c>
      <c r="I193" t="s">
        <v>53</v>
      </c>
    </row>
    <row r="194" spans="1:9" x14ac:dyDescent="0.45">
      <c r="A194">
        <v>193</v>
      </c>
      <c r="B194" t="s">
        <v>257</v>
      </c>
      <c r="C194" t="s">
        <v>55</v>
      </c>
      <c r="D194" t="s">
        <v>50</v>
      </c>
      <c r="E194" t="s">
        <v>62</v>
      </c>
      <c r="F194" t="s">
        <v>58</v>
      </c>
      <c r="G194">
        <v>50.52</v>
      </c>
      <c r="H194">
        <v>33.85</v>
      </c>
      <c r="I194" t="s">
        <v>53</v>
      </c>
    </row>
    <row r="195" spans="1:9" x14ac:dyDescent="0.45">
      <c r="A195">
        <v>194</v>
      </c>
      <c r="B195" t="s">
        <v>258</v>
      </c>
      <c r="C195" t="s">
        <v>89</v>
      </c>
      <c r="D195" t="s">
        <v>50</v>
      </c>
      <c r="E195" t="s">
        <v>56</v>
      </c>
      <c r="F195" t="s">
        <v>63</v>
      </c>
      <c r="G195">
        <v>64.11</v>
      </c>
      <c r="H195">
        <v>37.82</v>
      </c>
      <c r="I195" t="s">
        <v>53</v>
      </c>
    </row>
    <row r="196" spans="1:9" x14ac:dyDescent="0.45">
      <c r="A196">
        <v>195</v>
      </c>
      <c r="B196" t="s">
        <v>259</v>
      </c>
      <c r="C196" t="s">
        <v>55</v>
      </c>
      <c r="D196" t="s">
        <v>50</v>
      </c>
      <c r="E196" t="s">
        <v>71</v>
      </c>
      <c r="F196" t="s">
        <v>58</v>
      </c>
      <c r="G196">
        <v>16.690000000000001</v>
      </c>
      <c r="H196">
        <v>8.3699999999999992</v>
      </c>
      <c r="I196" t="s">
        <v>53</v>
      </c>
    </row>
    <row r="197" spans="1:9" x14ac:dyDescent="0.45">
      <c r="A197">
        <v>196</v>
      </c>
      <c r="B197" t="s">
        <v>260</v>
      </c>
      <c r="C197" t="s">
        <v>61</v>
      </c>
      <c r="D197" t="s">
        <v>50</v>
      </c>
      <c r="E197" t="s">
        <v>56</v>
      </c>
      <c r="F197" t="s">
        <v>52</v>
      </c>
      <c r="G197">
        <v>59.41</v>
      </c>
      <c r="H197">
        <v>29.99</v>
      </c>
      <c r="I197" t="s">
        <v>53</v>
      </c>
    </row>
    <row r="198" spans="1:9" x14ac:dyDescent="0.45">
      <c r="A198">
        <v>197</v>
      </c>
      <c r="B198" t="s">
        <v>261</v>
      </c>
      <c r="C198" t="s">
        <v>65</v>
      </c>
      <c r="D198" t="s">
        <v>50</v>
      </c>
      <c r="E198" t="s">
        <v>71</v>
      </c>
      <c r="F198" t="s">
        <v>578</v>
      </c>
      <c r="G198">
        <v>66.680000000000007</v>
      </c>
      <c r="H198">
        <v>41.19</v>
      </c>
      <c r="I198" t="s">
        <v>53</v>
      </c>
    </row>
    <row r="199" spans="1:9" x14ac:dyDescent="0.45">
      <c r="A199">
        <v>198</v>
      </c>
      <c r="B199" t="s">
        <v>262</v>
      </c>
      <c r="C199" t="s">
        <v>49</v>
      </c>
      <c r="D199" t="s">
        <v>50</v>
      </c>
      <c r="E199" t="s">
        <v>62</v>
      </c>
      <c r="F199" t="s">
        <v>52</v>
      </c>
      <c r="G199">
        <v>14.64</v>
      </c>
      <c r="H199">
        <v>9.8000000000000007</v>
      </c>
      <c r="I199" t="s">
        <v>53</v>
      </c>
    </row>
    <row r="200" spans="1:9" x14ac:dyDescent="0.45">
      <c r="A200">
        <v>199</v>
      </c>
      <c r="B200" t="s">
        <v>263</v>
      </c>
      <c r="C200" t="s">
        <v>49</v>
      </c>
      <c r="D200" t="s">
        <v>50</v>
      </c>
      <c r="E200" t="s">
        <v>51</v>
      </c>
      <c r="F200" t="s">
        <v>52</v>
      </c>
      <c r="G200">
        <v>36.479999999999997</v>
      </c>
      <c r="H200">
        <v>24.3</v>
      </c>
      <c r="I200" t="s">
        <v>53</v>
      </c>
    </row>
    <row r="201" spans="1:9" x14ac:dyDescent="0.45">
      <c r="A201">
        <v>200</v>
      </c>
      <c r="B201" t="s">
        <v>264</v>
      </c>
      <c r="C201" t="s">
        <v>89</v>
      </c>
      <c r="D201" t="s">
        <v>50</v>
      </c>
      <c r="E201" t="s">
        <v>71</v>
      </c>
      <c r="F201" t="s">
        <v>52</v>
      </c>
      <c r="G201">
        <v>46.41</v>
      </c>
      <c r="H201">
        <v>29.42</v>
      </c>
      <c r="I201" t="s">
        <v>53</v>
      </c>
    </row>
    <row r="202" spans="1:9" x14ac:dyDescent="0.45">
      <c r="A202">
        <v>201</v>
      </c>
      <c r="B202" t="s">
        <v>265</v>
      </c>
      <c r="C202" t="s">
        <v>55</v>
      </c>
      <c r="D202" t="s">
        <v>50</v>
      </c>
      <c r="E202" t="s">
        <v>56</v>
      </c>
      <c r="F202" t="s">
        <v>72</v>
      </c>
      <c r="G202">
        <v>45.62</v>
      </c>
      <c r="H202">
        <v>27.03</v>
      </c>
      <c r="I202" t="s">
        <v>53</v>
      </c>
    </row>
    <row r="203" spans="1:9" x14ac:dyDescent="0.45">
      <c r="A203">
        <v>202</v>
      </c>
      <c r="B203" t="s">
        <v>266</v>
      </c>
      <c r="C203" t="s">
        <v>55</v>
      </c>
      <c r="D203" t="s">
        <v>50</v>
      </c>
      <c r="E203" t="s">
        <v>51</v>
      </c>
      <c r="F203" t="s">
        <v>58</v>
      </c>
      <c r="G203">
        <v>41.88</v>
      </c>
      <c r="H203">
        <v>17.809999999999999</v>
      </c>
      <c r="I203" t="s">
        <v>53</v>
      </c>
    </row>
    <row r="204" spans="1:9" x14ac:dyDescent="0.45">
      <c r="A204">
        <v>203</v>
      </c>
      <c r="B204" t="s">
        <v>267</v>
      </c>
      <c r="C204" t="s">
        <v>49</v>
      </c>
      <c r="D204" t="s">
        <v>50</v>
      </c>
      <c r="E204" t="s">
        <v>56</v>
      </c>
      <c r="F204" t="s">
        <v>72</v>
      </c>
      <c r="G204">
        <v>52.1</v>
      </c>
      <c r="H204">
        <v>23.37</v>
      </c>
      <c r="I204" t="s">
        <v>53</v>
      </c>
    </row>
    <row r="205" spans="1:9" x14ac:dyDescent="0.45">
      <c r="A205">
        <v>204</v>
      </c>
      <c r="B205" t="s">
        <v>268</v>
      </c>
      <c r="C205" t="s">
        <v>49</v>
      </c>
      <c r="D205" t="s">
        <v>50</v>
      </c>
      <c r="E205" t="s">
        <v>56</v>
      </c>
      <c r="F205" t="s">
        <v>77</v>
      </c>
      <c r="G205">
        <v>39.200000000000003</v>
      </c>
      <c r="H205">
        <v>26.25</v>
      </c>
      <c r="I205" t="s">
        <v>53</v>
      </c>
    </row>
    <row r="206" spans="1:9" x14ac:dyDescent="0.45">
      <c r="A206">
        <v>205</v>
      </c>
      <c r="B206" t="s">
        <v>269</v>
      </c>
      <c r="C206" t="s">
        <v>61</v>
      </c>
      <c r="D206" t="s">
        <v>50</v>
      </c>
      <c r="E206" t="s">
        <v>51</v>
      </c>
      <c r="F206" t="s">
        <v>77</v>
      </c>
      <c r="G206">
        <v>24.05</v>
      </c>
      <c r="H206">
        <v>14</v>
      </c>
      <c r="I206" t="s">
        <v>53</v>
      </c>
    </row>
    <row r="207" spans="1:9" x14ac:dyDescent="0.45">
      <c r="A207">
        <v>206</v>
      </c>
      <c r="B207" t="s">
        <v>270</v>
      </c>
      <c r="C207" t="s">
        <v>61</v>
      </c>
      <c r="D207" t="s">
        <v>50</v>
      </c>
      <c r="E207" t="s">
        <v>62</v>
      </c>
      <c r="F207" t="s">
        <v>58</v>
      </c>
      <c r="G207">
        <v>63.03</v>
      </c>
      <c r="H207">
        <v>25.39</v>
      </c>
      <c r="I207" t="s">
        <v>53</v>
      </c>
    </row>
    <row r="208" spans="1:9" x14ac:dyDescent="0.45">
      <c r="A208">
        <v>207</v>
      </c>
      <c r="B208" t="s">
        <v>271</v>
      </c>
      <c r="C208" t="s">
        <v>55</v>
      </c>
      <c r="D208" t="s">
        <v>50</v>
      </c>
      <c r="E208" t="s">
        <v>69</v>
      </c>
      <c r="F208" t="s">
        <v>52</v>
      </c>
      <c r="G208">
        <v>67.98</v>
      </c>
      <c r="H208">
        <v>29.26</v>
      </c>
      <c r="I208" t="s">
        <v>53</v>
      </c>
    </row>
    <row r="209" spans="1:9" x14ac:dyDescent="0.45">
      <c r="A209">
        <v>208</v>
      </c>
      <c r="B209" t="s">
        <v>272</v>
      </c>
      <c r="C209" t="s">
        <v>55</v>
      </c>
      <c r="D209" t="s">
        <v>50</v>
      </c>
      <c r="E209" t="s">
        <v>51</v>
      </c>
      <c r="F209" t="s">
        <v>63</v>
      </c>
      <c r="G209">
        <v>37.450000000000003</v>
      </c>
      <c r="H209">
        <v>22.43</v>
      </c>
      <c r="I209" t="s">
        <v>53</v>
      </c>
    </row>
    <row r="210" spans="1:9" x14ac:dyDescent="0.45">
      <c r="A210">
        <v>209</v>
      </c>
      <c r="B210" t="s">
        <v>273</v>
      </c>
      <c r="C210" t="s">
        <v>65</v>
      </c>
      <c r="D210" t="s">
        <v>50</v>
      </c>
      <c r="E210" t="s">
        <v>51</v>
      </c>
      <c r="F210" t="s">
        <v>72</v>
      </c>
      <c r="G210">
        <v>32.409999999999997</v>
      </c>
      <c r="H210">
        <v>13.01</v>
      </c>
      <c r="I210" t="s">
        <v>53</v>
      </c>
    </row>
    <row r="211" spans="1:9" x14ac:dyDescent="0.45">
      <c r="A211">
        <v>210</v>
      </c>
      <c r="B211" t="s">
        <v>274</v>
      </c>
      <c r="C211" t="s">
        <v>89</v>
      </c>
      <c r="D211" t="s">
        <v>50</v>
      </c>
      <c r="E211" t="s">
        <v>62</v>
      </c>
      <c r="F211" t="s">
        <v>58</v>
      </c>
      <c r="G211">
        <v>57.32</v>
      </c>
      <c r="H211">
        <v>25.69</v>
      </c>
      <c r="I211" t="s">
        <v>53</v>
      </c>
    </row>
    <row r="212" spans="1:9" x14ac:dyDescent="0.45">
      <c r="A212">
        <v>211</v>
      </c>
      <c r="B212" t="s">
        <v>275</v>
      </c>
      <c r="C212" t="s">
        <v>65</v>
      </c>
      <c r="D212" t="s">
        <v>50</v>
      </c>
      <c r="E212" t="s">
        <v>62</v>
      </c>
      <c r="F212" t="s">
        <v>52</v>
      </c>
      <c r="G212">
        <v>43.5</v>
      </c>
      <c r="H212">
        <v>24.56</v>
      </c>
      <c r="I212" t="s">
        <v>53</v>
      </c>
    </row>
    <row r="213" spans="1:9" x14ac:dyDescent="0.45">
      <c r="A213">
        <v>212</v>
      </c>
      <c r="B213" t="s">
        <v>276</v>
      </c>
      <c r="C213" t="s">
        <v>55</v>
      </c>
      <c r="D213" t="s">
        <v>50</v>
      </c>
      <c r="E213" t="s">
        <v>51</v>
      </c>
      <c r="F213" t="s">
        <v>77</v>
      </c>
      <c r="G213">
        <v>74.13</v>
      </c>
      <c r="H213">
        <v>45.04</v>
      </c>
      <c r="I213" t="s">
        <v>53</v>
      </c>
    </row>
    <row r="214" spans="1:9" x14ac:dyDescent="0.45">
      <c r="A214">
        <v>213</v>
      </c>
      <c r="B214" t="s">
        <v>277</v>
      </c>
      <c r="C214" t="s">
        <v>55</v>
      </c>
      <c r="D214" t="s">
        <v>50</v>
      </c>
      <c r="E214" t="s">
        <v>71</v>
      </c>
      <c r="F214" t="s">
        <v>52</v>
      </c>
      <c r="G214">
        <v>57.31</v>
      </c>
      <c r="H214">
        <v>34.130000000000003</v>
      </c>
      <c r="I214" t="s">
        <v>53</v>
      </c>
    </row>
    <row r="215" spans="1:9" x14ac:dyDescent="0.45">
      <c r="A215">
        <v>214</v>
      </c>
      <c r="B215" t="s">
        <v>278</v>
      </c>
      <c r="C215" t="s">
        <v>61</v>
      </c>
      <c r="D215" t="s">
        <v>50</v>
      </c>
      <c r="E215" t="s">
        <v>62</v>
      </c>
      <c r="F215" t="s">
        <v>52</v>
      </c>
      <c r="G215">
        <v>59.07</v>
      </c>
      <c r="H215">
        <v>27.6</v>
      </c>
      <c r="I215" t="s">
        <v>53</v>
      </c>
    </row>
    <row r="216" spans="1:9" x14ac:dyDescent="0.45">
      <c r="A216">
        <v>215</v>
      </c>
      <c r="B216" t="s">
        <v>279</v>
      </c>
      <c r="C216" t="s">
        <v>61</v>
      </c>
      <c r="D216" t="s">
        <v>50</v>
      </c>
      <c r="E216" t="s">
        <v>51</v>
      </c>
      <c r="F216" t="s">
        <v>72</v>
      </c>
      <c r="G216">
        <v>37.11</v>
      </c>
      <c r="H216">
        <v>22.77</v>
      </c>
      <c r="I216" t="s">
        <v>53</v>
      </c>
    </row>
    <row r="217" spans="1:9" x14ac:dyDescent="0.45">
      <c r="A217">
        <v>216</v>
      </c>
      <c r="B217" t="s">
        <v>280</v>
      </c>
      <c r="C217" t="s">
        <v>65</v>
      </c>
      <c r="D217" t="s">
        <v>50</v>
      </c>
      <c r="E217" t="s">
        <v>62</v>
      </c>
      <c r="F217" t="s">
        <v>77</v>
      </c>
      <c r="G217">
        <v>48.86</v>
      </c>
      <c r="H217">
        <v>23.02</v>
      </c>
      <c r="I217" t="s">
        <v>53</v>
      </c>
    </row>
    <row r="218" spans="1:9" x14ac:dyDescent="0.45">
      <c r="A218">
        <v>217</v>
      </c>
      <c r="B218" t="s">
        <v>281</v>
      </c>
      <c r="C218" t="s">
        <v>55</v>
      </c>
      <c r="D218" t="s">
        <v>50</v>
      </c>
      <c r="E218" t="s">
        <v>56</v>
      </c>
      <c r="F218" t="s">
        <v>77</v>
      </c>
      <c r="G218">
        <v>52.12</v>
      </c>
      <c r="H218">
        <v>25.94</v>
      </c>
      <c r="I218" t="s">
        <v>53</v>
      </c>
    </row>
    <row r="219" spans="1:9" x14ac:dyDescent="0.45">
      <c r="A219">
        <v>218</v>
      </c>
      <c r="B219" t="s">
        <v>282</v>
      </c>
      <c r="C219" t="s">
        <v>55</v>
      </c>
      <c r="D219" t="s">
        <v>50</v>
      </c>
      <c r="E219" t="s">
        <v>69</v>
      </c>
      <c r="F219" t="s">
        <v>52</v>
      </c>
      <c r="G219">
        <v>48.73</v>
      </c>
      <c r="H219">
        <v>30.4</v>
      </c>
      <c r="I219" t="s">
        <v>53</v>
      </c>
    </row>
    <row r="220" spans="1:9" x14ac:dyDescent="0.45">
      <c r="A220">
        <v>219</v>
      </c>
      <c r="B220" t="s">
        <v>283</v>
      </c>
      <c r="C220" t="s">
        <v>65</v>
      </c>
      <c r="D220" t="s">
        <v>50</v>
      </c>
      <c r="E220" t="s">
        <v>62</v>
      </c>
      <c r="F220" t="s">
        <v>72</v>
      </c>
      <c r="G220">
        <v>49.76</v>
      </c>
      <c r="H220">
        <v>29.6</v>
      </c>
      <c r="I220" t="s">
        <v>53</v>
      </c>
    </row>
    <row r="221" spans="1:9" x14ac:dyDescent="0.45">
      <c r="A221">
        <v>220</v>
      </c>
      <c r="B221" t="s">
        <v>284</v>
      </c>
      <c r="C221" t="s">
        <v>89</v>
      </c>
      <c r="D221" t="s">
        <v>50</v>
      </c>
      <c r="E221" t="s">
        <v>69</v>
      </c>
      <c r="F221" t="s">
        <v>72</v>
      </c>
      <c r="G221">
        <v>52.6</v>
      </c>
      <c r="H221">
        <v>34.44</v>
      </c>
      <c r="I221" t="s">
        <v>53</v>
      </c>
    </row>
    <row r="222" spans="1:9" x14ac:dyDescent="0.45">
      <c r="A222">
        <v>221</v>
      </c>
      <c r="B222" t="s">
        <v>285</v>
      </c>
      <c r="C222" t="s">
        <v>55</v>
      </c>
      <c r="D222" t="s">
        <v>50</v>
      </c>
      <c r="E222" t="s">
        <v>71</v>
      </c>
      <c r="F222" t="s">
        <v>63</v>
      </c>
      <c r="G222">
        <v>53.7</v>
      </c>
      <c r="H222">
        <v>32.07</v>
      </c>
      <c r="I222" t="s">
        <v>53</v>
      </c>
    </row>
    <row r="223" spans="1:9" x14ac:dyDescent="0.45">
      <c r="A223">
        <v>222</v>
      </c>
      <c r="B223" t="s">
        <v>286</v>
      </c>
      <c r="C223" t="s">
        <v>49</v>
      </c>
      <c r="D223" t="s">
        <v>50</v>
      </c>
      <c r="E223" t="s">
        <v>71</v>
      </c>
      <c r="F223" t="s">
        <v>63</v>
      </c>
      <c r="G223">
        <v>57.19</v>
      </c>
      <c r="H223">
        <v>32.630000000000003</v>
      </c>
      <c r="I223" t="s">
        <v>53</v>
      </c>
    </row>
    <row r="224" spans="1:9" x14ac:dyDescent="0.45">
      <c r="A224">
        <v>223</v>
      </c>
      <c r="B224" t="s">
        <v>287</v>
      </c>
      <c r="C224" t="s">
        <v>61</v>
      </c>
      <c r="D224" t="s">
        <v>50</v>
      </c>
      <c r="E224" t="s">
        <v>51</v>
      </c>
      <c r="F224" t="s">
        <v>72</v>
      </c>
      <c r="G224">
        <v>57.36</v>
      </c>
      <c r="H224">
        <v>24.56</v>
      </c>
      <c r="I224" t="s">
        <v>53</v>
      </c>
    </row>
    <row r="225" spans="1:9" x14ac:dyDescent="0.45">
      <c r="A225">
        <v>224</v>
      </c>
      <c r="B225" t="s">
        <v>288</v>
      </c>
      <c r="C225" t="s">
        <v>49</v>
      </c>
      <c r="D225" t="s">
        <v>50</v>
      </c>
      <c r="E225" t="s">
        <v>69</v>
      </c>
      <c r="F225" t="s">
        <v>72</v>
      </c>
      <c r="G225">
        <v>75.400000000000006</v>
      </c>
      <c r="H225">
        <v>38.479999999999997</v>
      </c>
      <c r="I225" t="s">
        <v>53</v>
      </c>
    </row>
    <row r="226" spans="1:9" x14ac:dyDescent="0.45">
      <c r="A226">
        <v>225</v>
      </c>
      <c r="B226" t="s">
        <v>289</v>
      </c>
      <c r="C226" t="s">
        <v>65</v>
      </c>
      <c r="D226" t="s">
        <v>50</v>
      </c>
      <c r="E226" t="s">
        <v>56</v>
      </c>
      <c r="F226" t="s">
        <v>77</v>
      </c>
      <c r="G226">
        <v>58.11</v>
      </c>
      <c r="H226">
        <v>27.87</v>
      </c>
      <c r="I226" t="s">
        <v>53</v>
      </c>
    </row>
    <row r="227" spans="1:9" x14ac:dyDescent="0.45">
      <c r="A227">
        <v>226</v>
      </c>
      <c r="B227" t="s">
        <v>290</v>
      </c>
      <c r="C227" t="s">
        <v>89</v>
      </c>
      <c r="D227" t="s">
        <v>50</v>
      </c>
      <c r="E227" t="s">
        <v>51</v>
      </c>
      <c r="F227" t="s">
        <v>52</v>
      </c>
      <c r="G227">
        <v>39.78</v>
      </c>
      <c r="H227">
        <v>18.82</v>
      </c>
      <c r="I227" t="s">
        <v>53</v>
      </c>
    </row>
    <row r="228" spans="1:9" x14ac:dyDescent="0.45">
      <c r="A228">
        <v>227</v>
      </c>
      <c r="B228" t="s">
        <v>291</v>
      </c>
      <c r="C228" t="s">
        <v>55</v>
      </c>
      <c r="D228" t="s">
        <v>50</v>
      </c>
      <c r="E228" t="s">
        <v>56</v>
      </c>
      <c r="F228" t="s">
        <v>52</v>
      </c>
      <c r="G228">
        <v>57.51</v>
      </c>
      <c r="H228">
        <v>39.79</v>
      </c>
      <c r="I228" t="s">
        <v>53</v>
      </c>
    </row>
    <row r="229" spans="1:9" x14ac:dyDescent="0.45">
      <c r="A229">
        <v>228</v>
      </c>
      <c r="B229" t="s">
        <v>292</v>
      </c>
      <c r="C229" t="s">
        <v>61</v>
      </c>
      <c r="D229" t="s">
        <v>50</v>
      </c>
      <c r="E229" t="s">
        <v>62</v>
      </c>
      <c r="F229" t="s">
        <v>72</v>
      </c>
      <c r="G229">
        <v>46.89</v>
      </c>
      <c r="H229">
        <v>24.29</v>
      </c>
      <c r="I229" t="s">
        <v>53</v>
      </c>
    </row>
    <row r="230" spans="1:9" x14ac:dyDescent="0.45">
      <c r="A230">
        <v>229</v>
      </c>
      <c r="B230" t="s">
        <v>293</v>
      </c>
      <c r="C230" t="s">
        <v>65</v>
      </c>
      <c r="D230" t="s">
        <v>50</v>
      </c>
      <c r="E230" t="s">
        <v>69</v>
      </c>
      <c r="F230" t="s">
        <v>52</v>
      </c>
      <c r="G230">
        <v>45.58</v>
      </c>
      <c r="H230">
        <v>30.43</v>
      </c>
      <c r="I230" t="s">
        <v>53</v>
      </c>
    </row>
    <row r="231" spans="1:9" x14ac:dyDescent="0.45">
      <c r="A231">
        <v>230</v>
      </c>
      <c r="B231" t="s">
        <v>294</v>
      </c>
      <c r="C231" t="s">
        <v>89</v>
      </c>
      <c r="D231" t="s">
        <v>50</v>
      </c>
      <c r="E231" t="s">
        <v>56</v>
      </c>
      <c r="F231" t="s">
        <v>77</v>
      </c>
      <c r="G231">
        <v>48.3</v>
      </c>
      <c r="H231">
        <v>28.47</v>
      </c>
      <c r="I231" t="s">
        <v>53</v>
      </c>
    </row>
    <row r="232" spans="1:9" x14ac:dyDescent="0.45">
      <c r="A232">
        <v>231</v>
      </c>
      <c r="B232" t="s">
        <v>295</v>
      </c>
      <c r="C232" t="s">
        <v>65</v>
      </c>
      <c r="D232" t="s">
        <v>50</v>
      </c>
      <c r="E232" t="s">
        <v>62</v>
      </c>
      <c r="F232" t="s">
        <v>52</v>
      </c>
      <c r="G232">
        <v>44.06</v>
      </c>
      <c r="H232">
        <v>28.13</v>
      </c>
      <c r="I232" t="s">
        <v>53</v>
      </c>
    </row>
    <row r="233" spans="1:9" x14ac:dyDescent="0.45">
      <c r="A233">
        <v>232</v>
      </c>
      <c r="B233" t="s">
        <v>296</v>
      </c>
      <c r="C233" t="s">
        <v>65</v>
      </c>
      <c r="D233" t="s">
        <v>50</v>
      </c>
      <c r="E233" t="s">
        <v>71</v>
      </c>
      <c r="F233" t="s">
        <v>77</v>
      </c>
      <c r="G233">
        <v>49.34</v>
      </c>
      <c r="H233">
        <v>27.18</v>
      </c>
      <c r="I233" t="s">
        <v>53</v>
      </c>
    </row>
    <row r="234" spans="1:9" x14ac:dyDescent="0.45">
      <c r="A234">
        <v>233</v>
      </c>
      <c r="B234" t="s">
        <v>297</v>
      </c>
      <c r="C234" t="s">
        <v>65</v>
      </c>
      <c r="D234" t="s">
        <v>50</v>
      </c>
      <c r="E234" t="s">
        <v>71</v>
      </c>
      <c r="F234" t="s">
        <v>52</v>
      </c>
      <c r="G234">
        <v>38.68</v>
      </c>
      <c r="H234">
        <v>22.17</v>
      </c>
      <c r="I234" t="s">
        <v>53</v>
      </c>
    </row>
    <row r="235" spans="1:9" x14ac:dyDescent="0.45">
      <c r="A235">
        <v>234</v>
      </c>
      <c r="B235" t="s">
        <v>298</v>
      </c>
      <c r="C235" t="s">
        <v>55</v>
      </c>
      <c r="D235" t="s">
        <v>50</v>
      </c>
      <c r="E235" t="s">
        <v>62</v>
      </c>
      <c r="F235" t="s">
        <v>52</v>
      </c>
      <c r="G235">
        <v>80</v>
      </c>
      <c r="H235">
        <v>43.82</v>
      </c>
      <c r="I235" t="s">
        <v>53</v>
      </c>
    </row>
    <row r="236" spans="1:9" x14ac:dyDescent="0.45">
      <c r="A236">
        <v>235</v>
      </c>
      <c r="B236" t="s">
        <v>299</v>
      </c>
      <c r="C236" t="s">
        <v>89</v>
      </c>
      <c r="D236" t="s">
        <v>50</v>
      </c>
      <c r="E236" t="s">
        <v>71</v>
      </c>
      <c r="F236" t="s">
        <v>63</v>
      </c>
      <c r="G236">
        <v>23.68</v>
      </c>
      <c r="H236">
        <v>10.86</v>
      </c>
      <c r="I236" t="s">
        <v>53</v>
      </c>
    </row>
    <row r="237" spans="1:9" x14ac:dyDescent="0.45">
      <c r="A237">
        <v>236</v>
      </c>
      <c r="B237" t="s">
        <v>300</v>
      </c>
      <c r="C237" t="s">
        <v>65</v>
      </c>
      <c r="D237" t="s">
        <v>50</v>
      </c>
      <c r="E237" t="s">
        <v>71</v>
      </c>
      <c r="F237" t="s">
        <v>77</v>
      </c>
      <c r="G237">
        <v>62.93</v>
      </c>
      <c r="H237">
        <v>38.81</v>
      </c>
      <c r="I237" t="s">
        <v>53</v>
      </c>
    </row>
    <row r="238" spans="1:9" x14ac:dyDescent="0.45">
      <c r="A238">
        <v>237</v>
      </c>
      <c r="B238" t="s">
        <v>301</v>
      </c>
      <c r="C238" t="s">
        <v>49</v>
      </c>
      <c r="D238" t="s">
        <v>50</v>
      </c>
      <c r="E238" t="s">
        <v>51</v>
      </c>
      <c r="F238" t="s">
        <v>58</v>
      </c>
      <c r="G238">
        <v>64.08</v>
      </c>
      <c r="H238">
        <v>31.03</v>
      </c>
      <c r="I238" t="s">
        <v>53</v>
      </c>
    </row>
    <row r="239" spans="1:9" x14ac:dyDescent="0.45">
      <c r="A239">
        <v>238</v>
      </c>
      <c r="B239" t="s">
        <v>302</v>
      </c>
      <c r="C239" t="s">
        <v>55</v>
      </c>
      <c r="D239" t="s">
        <v>50</v>
      </c>
      <c r="E239" t="s">
        <v>71</v>
      </c>
      <c r="F239" t="s">
        <v>77</v>
      </c>
      <c r="G239">
        <v>85.9</v>
      </c>
      <c r="H239">
        <v>34.99</v>
      </c>
      <c r="I239" t="s">
        <v>53</v>
      </c>
    </row>
    <row r="240" spans="1:9" x14ac:dyDescent="0.45">
      <c r="A240">
        <v>239</v>
      </c>
      <c r="B240" t="s">
        <v>303</v>
      </c>
      <c r="C240" t="s">
        <v>61</v>
      </c>
      <c r="D240" t="s">
        <v>50</v>
      </c>
      <c r="E240" t="s">
        <v>51</v>
      </c>
      <c r="F240" t="s">
        <v>58</v>
      </c>
      <c r="G240">
        <v>66.989999999999995</v>
      </c>
      <c r="H240">
        <v>39.770000000000003</v>
      </c>
      <c r="I240" t="s">
        <v>53</v>
      </c>
    </row>
    <row r="241" spans="1:9" x14ac:dyDescent="0.45">
      <c r="A241">
        <v>240</v>
      </c>
      <c r="B241" t="s">
        <v>304</v>
      </c>
      <c r="C241" t="s">
        <v>61</v>
      </c>
      <c r="D241" t="s">
        <v>50</v>
      </c>
      <c r="E241" t="s">
        <v>62</v>
      </c>
      <c r="F241" t="s">
        <v>63</v>
      </c>
      <c r="G241">
        <v>38.14</v>
      </c>
      <c r="H241">
        <v>17.28</v>
      </c>
      <c r="I241" t="s">
        <v>53</v>
      </c>
    </row>
    <row r="242" spans="1:9" x14ac:dyDescent="0.45">
      <c r="A242">
        <v>241</v>
      </c>
      <c r="B242" t="s">
        <v>305</v>
      </c>
      <c r="C242" t="s">
        <v>61</v>
      </c>
      <c r="D242" t="s">
        <v>50</v>
      </c>
      <c r="E242" t="s">
        <v>71</v>
      </c>
      <c r="F242" t="s">
        <v>72</v>
      </c>
      <c r="G242">
        <v>29.82</v>
      </c>
      <c r="H242">
        <v>20.34</v>
      </c>
      <c r="I242" t="s">
        <v>53</v>
      </c>
    </row>
    <row r="243" spans="1:9" x14ac:dyDescent="0.45">
      <c r="A243">
        <v>242</v>
      </c>
      <c r="B243" t="s">
        <v>306</v>
      </c>
      <c r="C243" t="s">
        <v>65</v>
      </c>
      <c r="D243" t="s">
        <v>50</v>
      </c>
      <c r="E243" t="s">
        <v>71</v>
      </c>
      <c r="F243" t="s">
        <v>77</v>
      </c>
      <c r="G243">
        <v>51.25</v>
      </c>
      <c r="H243">
        <v>35.17</v>
      </c>
      <c r="I243" t="s">
        <v>53</v>
      </c>
    </row>
    <row r="244" spans="1:9" x14ac:dyDescent="0.45">
      <c r="A244">
        <v>243</v>
      </c>
      <c r="B244" t="s">
        <v>307</v>
      </c>
      <c r="C244" t="s">
        <v>89</v>
      </c>
      <c r="D244" t="s">
        <v>50</v>
      </c>
      <c r="E244" t="s">
        <v>71</v>
      </c>
      <c r="F244" t="s">
        <v>52</v>
      </c>
      <c r="G244">
        <v>37.06</v>
      </c>
      <c r="H244">
        <v>25</v>
      </c>
      <c r="I244" t="s">
        <v>53</v>
      </c>
    </row>
    <row r="245" spans="1:9" x14ac:dyDescent="0.45">
      <c r="A245">
        <v>244</v>
      </c>
      <c r="B245" t="s">
        <v>308</v>
      </c>
      <c r="C245" t="s">
        <v>65</v>
      </c>
      <c r="D245" t="s">
        <v>50</v>
      </c>
      <c r="E245" t="s">
        <v>69</v>
      </c>
      <c r="F245" t="s">
        <v>72</v>
      </c>
      <c r="G245">
        <v>59.32</v>
      </c>
      <c r="H245">
        <v>30.32</v>
      </c>
      <c r="I245" t="s">
        <v>53</v>
      </c>
    </row>
    <row r="246" spans="1:9" x14ac:dyDescent="0.45">
      <c r="A246">
        <v>245</v>
      </c>
      <c r="B246" t="s">
        <v>309</v>
      </c>
      <c r="C246" t="s">
        <v>49</v>
      </c>
      <c r="D246" t="s">
        <v>50</v>
      </c>
      <c r="E246" t="s">
        <v>62</v>
      </c>
      <c r="F246" t="s">
        <v>72</v>
      </c>
      <c r="G246">
        <v>24.91</v>
      </c>
      <c r="H246">
        <v>10.08</v>
      </c>
      <c r="I246" t="s">
        <v>53</v>
      </c>
    </row>
    <row r="247" spans="1:9" x14ac:dyDescent="0.45">
      <c r="A247">
        <v>246</v>
      </c>
      <c r="B247" t="s">
        <v>310</v>
      </c>
      <c r="C247" t="s">
        <v>49</v>
      </c>
      <c r="D247" t="s">
        <v>50</v>
      </c>
      <c r="E247" t="s">
        <v>56</v>
      </c>
      <c r="F247" t="s">
        <v>77</v>
      </c>
      <c r="G247">
        <v>28.98</v>
      </c>
      <c r="H247">
        <v>19.66</v>
      </c>
      <c r="I247" t="s">
        <v>53</v>
      </c>
    </row>
    <row r="248" spans="1:9" x14ac:dyDescent="0.45">
      <c r="A248">
        <v>247</v>
      </c>
      <c r="B248" t="s">
        <v>311</v>
      </c>
      <c r="C248" t="s">
        <v>61</v>
      </c>
      <c r="D248" t="s">
        <v>50</v>
      </c>
      <c r="E248" t="s">
        <v>71</v>
      </c>
      <c r="F248" t="s">
        <v>72</v>
      </c>
      <c r="G248">
        <v>58.86</v>
      </c>
      <c r="H248">
        <v>31.1</v>
      </c>
      <c r="I248" t="s">
        <v>53</v>
      </c>
    </row>
    <row r="249" spans="1:9" x14ac:dyDescent="0.45">
      <c r="A249">
        <v>248</v>
      </c>
      <c r="B249" t="s">
        <v>312</v>
      </c>
      <c r="C249" t="s">
        <v>55</v>
      </c>
      <c r="D249" t="s">
        <v>50</v>
      </c>
      <c r="E249" t="s">
        <v>56</v>
      </c>
      <c r="F249" t="s">
        <v>58</v>
      </c>
      <c r="G249">
        <v>36.79</v>
      </c>
      <c r="H249">
        <v>25.38</v>
      </c>
      <c r="I249" t="s">
        <v>53</v>
      </c>
    </row>
    <row r="250" spans="1:9" x14ac:dyDescent="0.45">
      <c r="A250">
        <v>249</v>
      </c>
      <c r="B250" t="s">
        <v>313</v>
      </c>
      <c r="C250" t="s">
        <v>89</v>
      </c>
      <c r="D250" t="s">
        <v>50</v>
      </c>
      <c r="E250" t="s">
        <v>56</v>
      </c>
      <c r="F250" t="s">
        <v>58</v>
      </c>
      <c r="G250">
        <v>28.42</v>
      </c>
      <c r="H250">
        <v>19.579999999999998</v>
      </c>
      <c r="I250" t="s">
        <v>53</v>
      </c>
    </row>
    <row r="251" spans="1:9" x14ac:dyDescent="0.45">
      <c r="A251">
        <v>250</v>
      </c>
      <c r="B251" t="s">
        <v>314</v>
      </c>
      <c r="C251" t="s">
        <v>65</v>
      </c>
      <c r="D251" t="s">
        <v>50</v>
      </c>
      <c r="E251" t="s">
        <v>69</v>
      </c>
      <c r="F251" t="s">
        <v>63</v>
      </c>
      <c r="G251">
        <v>68.22</v>
      </c>
      <c r="H251">
        <v>44.75</v>
      </c>
      <c r="I251" t="s">
        <v>53</v>
      </c>
    </row>
    <row r="252" spans="1:9" x14ac:dyDescent="0.45">
      <c r="A252">
        <v>251</v>
      </c>
      <c r="B252" t="s">
        <v>315</v>
      </c>
      <c r="C252" t="s">
        <v>55</v>
      </c>
      <c r="D252" t="s">
        <v>50</v>
      </c>
      <c r="E252" t="s">
        <v>51</v>
      </c>
      <c r="F252" t="s">
        <v>52</v>
      </c>
      <c r="G252">
        <v>36.880000000000003</v>
      </c>
      <c r="H252">
        <v>18.010000000000002</v>
      </c>
      <c r="I252" t="s">
        <v>53</v>
      </c>
    </row>
    <row r="253" spans="1:9" x14ac:dyDescent="0.45">
      <c r="A253">
        <v>252</v>
      </c>
      <c r="B253" t="s">
        <v>316</v>
      </c>
      <c r="C253" t="s">
        <v>55</v>
      </c>
      <c r="D253" t="s">
        <v>50</v>
      </c>
      <c r="E253" t="s">
        <v>71</v>
      </c>
      <c r="F253" t="s">
        <v>52</v>
      </c>
      <c r="G253">
        <v>51.17</v>
      </c>
      <c r="H253">
        <v>26.38</v>
      </c>
      <c r="I253" t="s">
        <v>53</v>
      </c>
    </row>
    <row r="254" spans="1:9" x14ac:dyDescent="0.45">
      <c r="A254">
        <v>253</v>
      </c>
      <c r="B254" t="s">
        <v>317</v>
      </c>
      <c r="C254" t="s">
        <v>55</v>
      </c>
      <c r="D254" t="s">
        <v>50</v>
      </c>
      <c r="E254" t="s">
        <v>71</v>
      </c>
      <c r="F254" t="s">
        <v>58</v>
      </c>
      <c r="G254">
        <v>50.55</v>
      </c>
      <c r="H254">
        <v>33.130000000000003</v>
      </c>
      <c r="I254" t="s">
        <v>53</v>
      </c>
    </row>
    <row r="255" spans="1:9" x14ac:dyDescent="0.45">
      <c r="A255">
        <v>254</v>
      </c>
      <c r="B255" t="s">
        <v>318</v>
      </c>
      <c r="C255" t="s">
        <v>65</v>
      </c>
      <c r="D255" t="s">
        <v>50</v>
      </c>
      <c r="E255" t="s">
        <v>71</v>
      </c>
      <c r="F255" t="s">
        <v>578</v>
      </c>
      <c r="G255">
        <v>47.44</v>
      </c>
      <c r="H255">
        <v>23.49</v>
      </c>
      <c r="I255" t="s">
        <v>53</v>
      </c>
    </row>
    <row r="256" spans="1:9" x14ac:dyDescent="0.45">
      <c r="A256">
        <v>255</v>
      </c>
      <c r="B256" t="s">
        <v>319</v>
      </c>
      <c r="C256" t="s">
        <v>61</v>
      </c>
      <c r="D256" t="s">
        <v>50</v>
      </c>
      <c r="E256" t="s">
        <v>69</v>
      </c>
      <c r="F256" t="s">
        <v>58</v>
      </c>
      <c r="G256">
        <v>51</v>
      </c>
      <c r="H256">
        <v>22.99</v>
      </c>
      <c r="I256" t="s">
        <v>53</v>
      </c>
    </row>
    <row r="257" spans="1:9" x14ac:dyDescent="0.45">
      <c r="A257">
        <v>256</v>
      </c>
      <c r="B257" t="s">
        <v>320</v>
      </c>
      <c r="C257" t="s">
        <v>89</v>
      </c>
      <c r="D257" t="s">
        <v>50</v>
      </c>
      <c r="E257" t="s">
        <v>62</v>
      </c>
      <c r="F257" t="s">
        <v>72</v>
      </c>
      <c r="G257">
        <v>38.409999999999997</v>
      </c>
      <c r="H257">
        <v>21.78</v>
      </c>
      <c r="I257" t="s">
        <v>53</v>
      </c>
    </row>
    <row r="258" spans="1:9" x14ac:dyDescent="0.45">
      <c r="A258">
        <v>257</v>
      </c>
      <c r="B258" t="s">
        <v>321</v>
      </c>
      <c r="C258" t="s">
        <v>65</v>
      </c>
      <c r="D258" t="s">
        <v>50</v>
      </c>
      <c r="E258" t="s">
        <v>62</v>
      </c>
      <c r="F258" t="s">
        <v>72</v>
      </c>
      <c r="G258">
        <v>77.900000000000006</v>
      </c>
      <c r="H258">
        <v>53.04</v>
      </c>
      <c r="I258" t="s">
        <v>53</v>
      </c>
    </row>
    <row r="259" spans="1:9" x14ac:dyDescent="0.45">
      <c r="A259">
        <v>258</v>
      </c>
      <c r="B259" t="s">
        <v>322</v>
      </c>
      <c r="C259" t="s">
        <v>65</v>
      </c>
      <c r="D259" t="s">
        <v>50</v>
      </c>
      <c r="E259" t="s">
        <v>69</v>
      </c>
      <c r="F259" t="s">
        <v>52</v>
      </c>
      <c r="G259">
        <v>31.48</v>
      </c>
      <c r="H259">
        <v>19.170000000000002</v>
      </c>
      <c r="I259" t="s">
        <v>53</v>
      </c>
    </row>
    <row r="260" spans="1:9" x14ac:dyDescent="0.45">
      <c r="A260">
        <v>259</v>
      </c>
      <c r="B260" t="s">
        <v>323</v>
      </c>
      <c r="C260" t="s">
        <v>61</v>
      </c>
      <c r="D260" t="s">
        <v>50</v>
      </c>
      <c r="E260" t="s">
        <v>56</v>
      </c>
      <c r="F260" t="s">
        <v>52</v>
      </c>
      <c r="G260">
        <v>35.729999999999997</v>
      </c>
      <c r="H260">
        <v>20.399999999999999</v>
      </c>
      <c r="I260" t="s">
        <v>53</v>
      </c>
    </row>
    <row r="261" spans="1:9" x14ac:dyDescent="0.45">
      <c r="A261">
        <v>260</v>
      </c>
      <c r="B261" t="s">
        <v>324</v>
      </c>
      <c r="C261" t="s">
        <v>49</v>
      </c>
      <c r="D261" t="s">
        <v>50</v>
      </c>
      <c r="E261" t="s">
        <v>56</v>
      </c>
      <c r="F261" t="s">
        <v>77</v>
      </c>
      <c r="G261">
        <v>64.28</v>
      </c>
      <c r="H261">
        <v>27.59</v>
      </c>
      <c r="I261" t="s">
        <v>53</v>
      </c>
    </row>
    <row r="262" spans="1:9" x14ac:dyDescent="0.45">
      <c r="A262">
        <v>261</v>
      </c>
      <c r="B262" t="s">
        <v>325</v>
      </c>
      <c r="C262" t="s">
        <v>55</v>
      </c>
      <c r="D262" t="s">
        <v>50</v>
      </c>
      <c r="E262" t="s">
        <v>56</v>
      </c>
      <c r="F262" t="s">
        <v>63</v>
      </c>
      <c r="G262">
        <v>46.1</v>
      </c>
      <c r="H262">
        <v>26.95</v>
      </c>
      <c r="I262" t="s">
        <v>53</v>
      </c>
    </row>
    <row r="263" spans="1:9" x14ac:dyDescent="0.45">
      <c r="A263">
        <v>262</v>
      </c>
      <c r="B263" t="s">
        <v>326</v>
      </c>
      <c r="C263" t="s">
        <v>89</v>
      </c>
      <c r="D263" t="s">
        <v>50</v>
      </c>
      <c r="E263" t="s">
        <v>69</v>
      </c>
      <c r="F263" t="s">
        <v>77</v>
      </c>
      <c r="G263">
        <v>52.94</v>
      </c>
      <c r="H263">
        <v>36.9</v>
      </c>
      <c r="I263" t="s">
        <v>53</v>
      </c>
    </row>
    <row r="264" spans="1:9" x14ac:dyDescent="0.45">
      <c r="A264">
        <v>263</v>
      </c>
      <c r="B264" t="s">
        <v>327</v>
      </c>
      <c r="C264" t="s">
        <v>65</v>
      </c>
      <c r="D264" t="s">
        <v>50</v>
      </c>
      <c r="E264" t="s">
        <v>56</v>
      </c>
      <c r="F264" t="s">
        <v>77</v>
      </c>
      <c r="G264">
        <v>42.48</v>
      </c>
      <c r="H264">
        <v>18.78</v>
      </c>
      <c r="I264" t="s">
        <v>53</v>
      </c>
    </row>
    <row r="265" spans="1:9" x14ac:dyDescent="0.45">
      <c r="A265">
        <v>264</v>
      </c>
      <c r="B265" t="s">
        <v>328</v>
      </c>
      <c r="C265" t="s">
        <v>55</v>
      </c>
      <c r="D265" t="s">
        <v>50</v>
      </c>
      <c r="E265" t="s">
        <v>56</v>
      </c>
      <c r="F265" t="s">
        <v>63</v>
      </c>
      <c r="G265">
        <v>55.01</v>
      </c>
      <c r="H265">
        <v>30.56</v>
      </c>
      <c r="I265" t="s">
        <v>53</v>
      </c>
    </row>
    <row r="266" spans="1:9" x14ac:dyDescent="0.45">
      <c r="A266">
        <v>265</v>
      </c>
      <c r="B266" t="s">
        <v>329</v>
      </c>
      <c r="C266" t="s">
        <v>65</v>
      </c>
      <c r="D266" t="s">
        <v>50</v>
      </c>
      <c r="E266" t="s">
        <v>51</v>
      </c>
      <c r="F266" t="s">
        <v>52</v>
      </c>
      <c r="G266">
        <v>55.25</v>
      </c>
      <c r="H266">
        <v>36.64</v>
      </c>
      <c r="I266" t="s">
        <v>53</v>
      </c>
    </row>
    <row r="267" spans="1:9" x14ac:dyDescent="0.45">
      <c r="A267">
        <v>266</v>
      </c>
      <c r="B267" t="s">
        <v>330</v>
      </c>
      <c r="C267" t="s">
        <v>61</v>
      </c>
      <c r="D267" t="s">
        <v>50</v>
      </c>
      <c r="E267" t="s">
        <v>51</v>
      </c>
      <c r="F267" t="s">
        <v>72</v>
      </c>
      <c r="G267">
        <v>61.67</v>
      </c>
      <c r="H267">
        <v>38.369999999999997</v>
      </c>
      <c r="I267" t="s">
        <v>53</v>
      </c>
    </row>
    <row r="268" spans="1:9" x14ac:dyDescent="0.45">
      <c r="A268">
        <v>267</v>
      </c>
      <c r="B268" t="s">
        <v>331</v>
      </c>
      <c r="C268" t="s">
        <v>89</v>
      </c>
      <c r="D268" t="s">
        <v>50</v>
      </c>
      <c r="E268" t="s">
        <v>51</v>
      </c>
      <c r="F268" t="s">
        <v>72</v>
      </c>
      <c r="G268">
        <v>53.91</v>
      </c>
      <c r="H268">
        <v>32.840000000000003</v>
      </c>
      <c r="I268" t="s">
        <v>53</v>
      </c>
    </row>
    <row r="269" spans="1:9" x14ac:dyDescent="0.45">
      <c r="A269">
        <v>268</v>
      </c>
      <c r="B269" t="s">
        <v>332</v>
      </c>
      <c r="C269" t="s">
        <v>89</v>
      </c>
      <c r="D269" t="s">
        <v>50</v>
      </c>
      <c r="E269" t="s">
        <v>71</v>
      </c>
      <c r="F269" t="s">
        <v>52</v>
      </c>
      <c r="G269">
        <v>49.59</v>
      </c>
      <c r="H269">
        <v>30.29</v>
      </c>
      <c r="I269" t="s">
        <v>53</v>
      </c>
    </row>
    <row r="270" spans="1:9" x14ac:dyDescent="0.45">
      <c r="A270">
        <v>269</v>
      </c>
      <c r="B270" t="s">
        <v>333</v>
      </c>
      <c r="C270" t="s">
        <v>49</v>
      </c>
      <c r="D270" t="s">
        <v>50</v>
      </c>
      <c r="E270" t="s">
        <v>69</v>
      </c>
      <c r="F270" t="s">
        <v>77</v>
      </c>
      <c r="G270">
        <v>77.59</v>
      </c>
      <c r="H270">
        <v>39.4</v>
      </c>
      <c r="I270" t="s">
        <v>53</v>
      </c>
    </row>
    <row r="271" spans="1:9" x14ac:dyDescent="0.45">
      <c r="A271">
        <v>270</v>
      </c>
      <c r="B271" t="s">
        <v>334</v>
      </c>
      <c r="C271" t="s">
        <v>55</v>
      </c>
      <c r="D271" t="s">
        <v>50</v>
      </c>
      <c r="E271" t="s">
        <v>56</v>
      </c>
      <c r="F271" t="s">
        <v>52</v>
      </c>
      <c r="G271">
        <v>70.459999999999994</v>
      </c>
      <c r="H271">
        <v>34.39</v>
      </c>
      <c r="I271" t="s">
        <v>53</v>
      </c>
    </row>
    <row r="272" spans="1:9" x14ac:dyDescent="0.45">
      <c r="A272">
        <v>271</v>
      </c>
      <c r="B272" t="s">
        <v>335</v>
      </c>
      <c r="C272" t="s">
        <v>65</v>
      </c>
      <c r="D272" t="s">
        <v>50</v>
      </c>
      <c r="E272" t="s">
        <v>56</v>
      </c>
      <c r="F272" t="s">
        <v>72</v>
      </c>
      <c r="G272">
        <v>54.28</v>
      </c>
      <c r="H272">
        <v>34.89</v>
      </c>
      <c r="I272" t="s">
        <v>53</v>
      </c>
    </row>
    <row r="273" spans="1:9" x14ac:dyDescent="0.45">
      <c r="A273">
        <v>272</v>
      </c>
      <c r="B273" t="s">
        <v>336</v>
      </c>
      <c r="C273" t="s">
        <v>65</v>
      </c>
      <c r="D273" t="s">
        <v>50</v>
      </c>
      <c r="E273" t="s">
        <v>56</v>
      </c>
      <c r="F273" t="s">
        <v>63</v>
      </c>
      <c r="G273">
        <v>74.17</v>
      </c>
      <c r="H273">
        <v>47.69</v>
      </c>
      <c r="I273" t="s">
        <v>53</v>
      </c>
    </row>
    <row r="274" spans="1:9" x14ac:dyDescent="0.45">
      <c r="A274">
        <v>273</v>
      </c>
      <c r="B274" t="s">
        <v>337</v>
      </c>
      <c r="C274" t="s">
        <v>55</v>
      </c>
      <c r="D274" t="s">
        <v>50</v>
      </c>
      <c r="E274" t="s">
        <v>56</v>
      </c>
      <c r="F274" t="s">
        <v>63</v>
      </c>
      <c r="G274">
        <v>50.72</v>
      </c>
      <c r="H274">
        <v>33.479999999999997</v>
      </c>
      <c r="I274" t="s">
        <v>53</v>
      </c>
    </row>
    <row r="275" spans="1:9" x14ac:dyDescent="0.45">
      <c r="A275">
        <v>274</v>
      </c>
      <c r="B275" t="s">
        <v>338</v>
      </c>
      <c r="C275" t="s">
        <v>89</v>
      </c>
      <c r="D275" t="s">
        <v>50</v>
      </c>
      <c r="E275" t="s">
        <v>69</v>
      </c>
      <c r="F275" t="s">
        <v>58</v>
      </c>
      <c r="G275">
        <v>48.38</v>
      </c>
      <c r="H275">
        <v>32.61</v>
      </c>
      <c r="I275" t="s">
        <v>53</v>
      </c>
    </row>
    <row r="276" spans="1:9" x14ac:dyDescent="0.45">
      <c r="A276">
        <v>275</v>
      </c>
      <c r="B276" t="s">
        <v>339</v>
      </c>
      <c r="C276" t="s">
        <v>55</v>
      </c>
      <c r="D276" t="s">
        <v>50</v>
      </c>
      <c r="E276" t="s">
        <v>69</v>
      </c>
      <c r="F276" t="s">
        <v>58</v>
      </c>
      <c r="G276">
        <v>52.11</v>
      </c>
      <c r="H276">
        <v>28.84</v>
      </c>
      <c r="I276" t="s">
        <v>53</v>
      </c>
    </row>
    <row r="277" spans="1:9" x14ac:dyDescent="0.45">
      <c r="A277">
        <v>276</v>
      </c>
      <c r="B277" t="s">
        <v>340</v>
      </c>
      <c r="C277" t="s">
        <v>55</v>
      </c>
      <c r="D277" t="s">
        <v>50</v>
      </c>
      <c r="E277" t="s">
        <v>69</v>
      </c>
      <c r="F277" t="s">
        <v>63</v>
      </c>
      <c r="G277">
        <v>64.44</v>
      </c>
      <c r="H277">
        <v>35.47</v>
      </c>
      <c r="I277" t="s">
        <v>53</v>
      </c>
    </row>
    <row r="278" spans="1:9" x14ac:dyDescent="0.45">
      <c r="A278">
        <v>277</v>
      </c>
      <c r="B278" t="s">
        <v>341</v>
      </c>
      <c r="C278" t="s">
        <v>55</v>
      </c>
      <c r="D278" t="s">
        <v>50</v>
      </c>
      <c r="E278" t="s">
        <v>62</v>
      </c>
      <c r="F278" t="s">
        <v>72</v>
      </c>
      <c r="G278">
        <v>43.92</v>
      </c>
      <c r="H278">
        <v>28.09</v>
      </c>
      <c r="I278" t="s">
        <v>53</v>
      </c>
    </row>
    <row r="279" spans="1:9" x14ac:dyDescent="0.45">
      <c r="A279">
        <v>278</v>
      </c>
      <c r="B279" t="s">
        <v>342</v>
      </c>
      <c r="C279" t="s">
        <v>55</v>
      </c>
      <c r="D279" t="s">
        <v>50</v>
      </c>
      <c r="E279" t="s">
        <v>69</v>
      </c>
      <c r="F279" t="s">
        <v>63</v>
      </c>
      <c r="G279">
        <v>50.41</v>
      </c>
      <c r="H279">
        <v>29.99</v>
      </c>
      <c r="I279" t="s">
        <v>53</v>
      </c>
    </row>
    <row r="280" spans="1:9" x14ac:dyDescent="0.45">
      <c r="A280">
        <v>279</v>
      </c>
      <c r="B280" t="s">
        <v>343</v>
      </c>
      <c r="C280" t="s">
        <v>89</v>
      </c>
      <c r="D280" t="s">
        <v>50</v>
      </c>
      <c r="E280" t="s">
        <v>71</v>
      </c>
      <c r="F280" t="s">
        <v>52</v>
      </c>
      <c r="G280">
        <v>51.58</v>
      </c>
      <c r="H280">
        <v>31.49</v>
      </c>
      <c r="I280" t="s">
        <v>53</v>
      </c>
    </row>
    <row r="281" spans="1:9" x14ac:dyDescent="0.45">
      <c r="A281">
        <v>280</v>
      </c>
      <c r="B281" t="s">
        <v>344</v>
      </c>
      <c r="C281" t="s">
        <v>55</v>
      </c>
      <c r="D281" t="s">
        <v>50</v>
      </c>
      <c r="E281" t="s">
        <v>51</v>
      </c>
      <c r="F281" t="s">
        <v>77</v>
      </c>
      <c r="G281">
        <v>44.14</v>
      </c>
      <c r="H281">
        <v>28.19</v>
      </c>
      <c r="I281" t="s">
        <v>53</v>
      </c>
    </row>
    <row r="282" spans="1:9" x14ac:dyDescent="0.45">
      <c r="A282">
        <v>281</v>
      </c>
      <c r="B282" t="s">
        <v>345</v>
      </c>
      <c r="C282" t="s">
        <v>61</v>
      </c>
      <c r="D282" t="s">
        <v>50</v>
      </c>
      <c r="E282" t="s">
        <v>62</v>
      </c>
      <c r="F282" t="s">
        <v>63</v>
      </c>
      <c r="G282">
        <v>65.94</v>
      </c>
      <c r="H282">
        <v>43.98</v>
      </c>
      <c r="I282" t="s">
        <v>53</v>
      </c>
    </row>
    <row r="283" spans="1:9" x14ac:dyDescent="0.45">
      <c r="A283">
        <v>282</v>
      </c>
      <c r="B283" t="s">
        <v>346</v>
      </c>
      <c r="C283" t="s">
        <v>61</v>
      </c>
      <c r="D283" t="s">
        <v>50</v>
      </c>
      <c r="E283" t="s">
        <v>69</v>
      </c>
      <c r="F283" t="s">
        <v>58</v>
      </c>
      <c r="G283">
        <v>52.12</v>
      </c>
      <c r="H283">
        <v>26.13</v>
      </c>
      <c r="I283" t="s">
        <v>53</v>
      </c>
    </row>
    <row r="284" spans="1:9" x14ac:dyDescent="0.45">
      <c r="A284">
        <v>283</v>
      </c>
      <c r="B284" t="s">
        <v>347</v>
      </c>
      <c r="C284" t="s">
        <v>65</v>
      </c>
      <c r="D284" t="s">
        <v>50</v>
      </c>
      <c r="E284" t="s">
        <v>69</v>
      </c>
      <c r="F284" t="s">
        <v>63</v>
      </c>
      <c r="G284">
        <v>39.619999999999997</v>
      </c>
      <c r="H284">
        <v>20.309999999999999</v>
      </c>
      <c r="I284" t="s">
        <v>53</v>
      </c>
    </row>
    <row r="285" spans="1:9" x14ac:dyDescent="0.45">
      <c r="A285">
        <v>284</v>
      </c>
      <c r="B285" t="s">
        <v>348</v>
      </c>
      <c r="C285" t="s">
        <v>65</v>
      </c>
      <c r="D285" t="s">
        <v>50</v>
      </c>
      <c r="E285" t="s">
        <v>56</v>
      </c>
      <c r="F285" t="s">
        <v>578</v>
      </c>
      <c r="G285">
        <v>81.790000000000006</v>
      </c>
      <c r="H285">
        <v>35.020000000000003</v>
      </c>
      <c r="I285" t="s">
        <v>53</v>
      </c>
    </row>
    <row r="286" spans="1:9" x14ac:dyDescent="0.45">
      <c r="A286">
        <v>285</v>
      </c>
      <c r="B286" t="s">
        <v>349</v>
      </c>
      <c r="C286" t="s">
        <v>49</v>
      </c>
      <c r="D286" t="s">
        <v>50</v>
      </c>
      <c r="E286" t="s">
        <v>69</v>
      </c>
      <c r="F286" t="s">
        <v>77</v>
      </c>
      <c r="G286">
        <v>40.630000000000003</v>
      </c>
      <c r="H286">
        <v>23.3</v>
      </c>
      <c r="I286" t="s">
        <v>53</v>
      </c>
    </row>
    <row r="287" spans="1:9" x14ac:dyDescent="0.45">
      <c r="A287">
        <v>286</v>
      </c>
      <c r="B287" t="s">
        <v>350</v>
      </c>
      <c r="C287" t="s">
        <v>65</v>
      </c>
      <c r="D287" t="s">
        <v>50</v>
      </c>
      <c r="E287" t="s">
        <v>62</v>
      </c>
      <c r="F287" t="s">
        <v>52</v>
      </c>
      <c r="G287">
        <v>58.91</v>
      </c>
      <c r="H287">
        <v>24.2</v>
      </c>
      <c r="I287" t="s">
        <v>53</v>
      </c>
    </row>
    <row r="288" spans="1:9" x14ac:dyDescent="0.45">
      <c r="A288">
        <v>287</v>
      </c>
      <c r="B288" t="s">
        <v>351</v>
      </c>
      <c r="C288" t="s">
        <v>89</v>
      </c>
      <c r="D288" t="s">
        <v>50</v>
      </c>
      <c r="E288" t="s">
        <v>62</v>
      </c>
      <c r="F288" t="s">
        <v>58</v>
      </c>
      <c r="G288">
        <v>60.34</v>
      </c>
      <c r="H288">
        <v>32.56</v>
      </c>
      <c r="I288" t="s">
        <v>53</v>
      </c>
    </row>
    <row r="289" spans="1:9" x14ac:dyDescent="0.45">
      <c r="A289">
        <v>288</v>
      </c>
      <c r="B289" t="s">
        <v>352</v>
      </c>
      <c r="C289" t="s">
        <v>55</v>
      </c>
      <c r="D289" t="s">
        <v>50</v>
      </c>
      <c r="E289" t="s">
        <v>71</v>
      </c>
      <c r="F289" t="s">
        <v>63</v>
      </c>
      <c r="G289">
        <v>57.11</v>
      </c>
      <c r="H289">
        <v>32.14</v>
      </c>
      <c r="I289" t="s">
        <v>53</v>
      </c>
    </row>
    <row r="290" spans="1:9" x14ac:dyDescent="0.45">
      <c r="A290">
        <v>289</v>
      </c>
      <c r="B290" t="s">
        <v>353</v>
      </c>
      <c r="C290" t="s">
        <v>49</v>
      </c>
      <c r="D290" t="s">
        <v>50</v>
      </c>
      <c r="E290" t="s">
        <v>56</v>
      </c>
      <c r="F290" t="s">
        <v>77</v>
      </c>
      <c r="G290">
        <v>41.51</v>
      </c>
      <c r="H290">
        <v>20.170000000000002</v>
      </c>
      <c r="I290" t="s">
        <v>53</v>
      </c>
    </row>
    <row r="291" spans="1:9" x14ac:dyDescent="0.45">
      <c r="A291">
        <v>290</v>
      </c>
      <c r="B291" t="s">
        <v>354</v>
      </c>
      <c r="C291" t="s">
        <v>89</v>
      </c>
      <c r="D291" t="s">
        <v>50</v>
      </c>
      <c r="E291" t="s">
        <v>62</v>
      </c>
      <c r="F291" t="s">
        <v>58</v>
      </c>
      <c r="G291">
        <v>50.86</v>
      </c>
      <c r="H291">
        <v>29.36</v>
      </c>
      <c r="I291" t="s">
        <v>53</v>
      </c>
    </row>
    <row r="292" spans="1:9" x14ac:dyDescent="0.45">
      <c r="A292">
        <v>291</v>
      </c>
      <c r="B292" t="s">
        <v>355</v>
      </c>
      <c r="C292" t="s">
        <v>65</v>
      </c>
      <c r="D292" t="s">
        <v>50</v>
      </c>
      <c r="E292" t="s">
        <v>51</v>
      </c>
      <c r="F292" t="s">
        <v>77</v>
      </c>
      <c r="G292">
        <v>59.56</v>
      </c>
      <c r="H292">
        <v>24.37</v>
      </c>
      <c r="I292" t="s">
        <v>53</v>
      </c>
    </row>
    <row r="293" spans="1:9" x14ac:dyDescent="0.45">
      <c r="A293">
        <v>292</v>
      </c>
      <c r="B293" t="s">
        <v>356</v>
      </c>
      <c r="C293" t="s">
        <v>55</v>
      </c>
      <c r="D293" t="s">
        <v>50</v>
      </c>
      <c r="E293" t="s">
        <v>56</v>
      </c>
      <c r="F293" t="s">
        <v>77</v>
      </c>
      <c r="G293">
        <v>40.119999999999997</v>
      </c>
      <c r="H293">
        <v>16.5</v>
      </c>
      <c r="I293" t="s">
        <v>53</v>
      </c>
    </row>
    <row r="294" spans="1:9" x14ac:dyDescent="0.45">
      <c r="A294">
        <v>293</v>
      </c>
      <c r="B294" t="s">
        <v>357</v>
      </c>
      <c r="C294" t="s">
        <v>65</v>
      </c>
      <c r="D294" t="s">
        <v>50</v>
      </c>
      <c r="E294" t="s">
        <v>62</v>
      </c>
      <c r="F294" t="s">
        <v>77</v>
      </c>
      <c r="G294">
        <v>40.770000000000003</v>
      </c>
      <c r="H294">
        <v>26.37</v>
      </c>
      <c r="I294" t="s">
        <v>53</v>
      </c>
    </row>
    <row r="295" spans="1:9" x14ac:dyDescent="0.45">
      <c r="A295">
        <v>294</v>
      </c>
      <c r="B295" t="s">
        <v>358</v>
      </c>
      <c r="C295" t="s">
        <v>65</v>
      </c>
      <c r="D295" t="s">
        <v>50</v>
      </c>
      <c r="E295" t="s">
        <v>51</v>
      </c>
      <c r="F295" t="s">
        <v>77</v>
      </c>
      <c r="G295">
        <v>56.69</v>
      </c>
      <c r="H295">
        <v>28.8</v>
      </c>
      <c r="I295" t="s">
        <v>53</v>
      </c>
    </row>
    <row r="296" spans="1:9" x14ac:dyDescent="0.45">
      <c r="A296">
        <v>295</v>
      </c>
      <c r="B296" t="s">
        <v>359</v>
      </c>
      <c r="C296" t="s">
        <v>61</v>
      </c>
      <c r="D296" t="s">
        <v>50</v>
      </c>
      <c r="E296" t="s">
        <v>71</v>
      </c>
      <c r="F296" t="s">
        <v>72</v>
      </c>
      <c r="G296">
        <v>48.73</v>
      </c>
      <c r="H296">
        <v>21.35</v>
      </c>
      <c r="I296" t="s">
        <v>53</v>
      </c>
    </row>
    <row r="297" spans="1:9" x14ac:dyDescent="0.45">
      <c r="A297">
        <v>296</v>
      </c>
      <c r="B297" t="s">
        <v>360</v>
      </c>
      <c r="C297" t="s">
        <v>49</v>
      </c>
      <c r="D297" t="s">
        <v>50</v>
      </c>
      <c r="E297" t="s">
        <v>71</v>
      </c>
      <c r="F297" t="s">
        <v>63</v>
      </c>
      <c r="G297">
        <v>67.069999999999993</v>
      </c>
      <c r="H297">
        <v>37.340000000000003</v>
      </c>
      <c r="I297" t="s">
        <v>53</v>
      </c>
    </row>
    <row r="298" spans="1:9" x14ac:dyDescent="0.45">
      <c r="A298">
        <v>297</v>
      </c>
      <c r="B298" t="s">
        <v>361</v>
      </c>
      <c r="C298" t="s">
        <v>65</v>
      </c>
      <c r="D298" t="s">
        <v>50</v>
      </c>
      <c r="E298" t="s">
        <v>62</v>
      </c>
      <c r="F298" t="s">
        <v>578</v>
      </c>
      <c r="G298">
        <v>65.17</v>
      </c>
      <c r="H298">
        <v>41.12</v>
      </c>
      <c r="I298" t="s">
        <v>53</v>
      </c>
    </row>
    <row r="299" spans="1:9" x14ac:dyDescent="0.45">
      <c r="A299">
        <v>298</v>
      </c>
      <c r="B299" t="s">
        <v>362</v>
      </c>
      <c r="C299" t="s">
        <v>65</v>
      </c>
      <c r="D299" t="s">
        <v>50</v>
      </c>
      <c r="E299" t="s">
        <v>71</v>
      </c>
      <c r="F299" t="s">
        <v>77</v>
      </c>
      <c r="G299">
        <v>33.94</v>
      </c>
      <c r="H299">
        <v>15.77</v>
      </c>
      <c r="I299" t="s">
        <v>53</v>
      </c>
    </row>
    <row r="300" spans="1:9" x14ac:dyDescent="0.45">
      <c r="A300">
        <v>299</v>
      </c>
      <c r="B300" t="s">
        <v>363</v>
      </c>
      <c r="C300" t="s">
        <v>49</v>
      </c>
      <c r="D300" t="s">
        <v>50</v>
      </c>
      <c r="E300" t="s">
        <v>69</v>
      </c>
      <c r="F300" t="s">
        <v>52</v>
      </c>
      <c r="G300">
        <v>52.65</v>
      </c>
      <c r="H300">
        <v>30.9</v>
      </c>
      <c r="I300" t="s">
        <v>53</v>
      </c>
    </row>
    <row r="301" spans="1:9" x14ac:dyDescent="0.45">
      <c r="A301">
        <v>300</v>
      </c>
      <c r="B301" t="s">
        <v>364</v>
      </c>
      <c r="C301" t="s">
        <v>65</v>
      </c>
      <c r="D301" t="s">
        <v>50</v>
      </c>
      <c r="E301" t="s">
        <v>71</v>
      </c>
      <c r="F301" t="s">
        <v>52</v>
      </c>
      <c r="G301">
        <v>48.88</v>
      </c>
      <c r="H301">
        <v>20.8</v>
      </c>
      <c r="I301" t="s">
        <v>53</v>
      </c>
    </row>
    <row r="302" spans="1:9" x14ac:dyDescent="0.45">
      <c r="A302">
        <v>301</v>
      </c>
      <c r="B302" t="s">
        <v>365</v>
      </c>
      <c r="C302" t="s">
        <v>49</v>
      </c>
      <c r="D302" t="s">
        <v>50</v>
      </c>
      <c r="E302" t="s">
        <v>69</v>
      </c>
      <c r="F302" t="s">
        <v>63</v>
      </c>
      <c r="G302">
        <v>48.72</v>
      </c>
      <c r="H302">
        <v>20.239999999999998</v>
      </c>
      <c r="I302" t="s">
        <v>53</v>
      </c>
    </row>
    <row r="303" spans="1:9" x14ac:dyDescent="0.45">
      <c r="A303">
        <v>302</v>
      </c>
      <c r="B303" t="s">
        <v>366</v>
      </c>
      <c r="C303" t="s">
        <v>55</v>
      </c>
      <c r="D303" t="s">
        <v>50</v>
      </c>
      <c r="E303" t="s">
        <v>51</v>
      </c>
      <c r="F303" t="s">
        <v>77</v>
      </c>
      <c r="G303">
        <v>43.4</v>
      </c>
      <c r="H303">
        <v>24.28</v>
      </c>
      <c r="I303" t="s">
        <v>53</v>
      </c>
    </row>
    <row r="304" spans="1:9" x14ac:dyDescent="0.45">
      <c r="A304">
        <v>303</v>
      </c>
      <c r="B304" t="s">
        <v>367</v>
      </c>
      <c r="C304" t="s">
        <v>89</v>
      </c>
      <c r="D304" t="s">
        <v>50</v>
      </c>
      <c r="E304" t="s">
        <v>51</v>
      </c>
      <c r="F304" t="s">
        <v>58</v>
      </c>
      <c r="G304">
        <v>56.58</v>
      </c>
      <c r="H304">
        <v>31.81</v>
      </c>
      <c r="I304" t="s">
        <v>53</v>
      </c>
    </row>
    <row r="305" spans="1:9" x14ac:dyDescent="0.45">
      <c r="A305">
        <v>304</v>
      </c>
      <c r="B305" t="s">
        <v>368</v>
      </c>
      <c r="C305" t="s">
        <v>55</v>
      </c>
      <c r="D305" t="s">
        <v>50</v>
      </c>
      <c r="E305" t="s">
        <v>71</v>
      </c>
      <c r="F305" t="s">
        <v>58</v>
      </c>
      <c r="G305">
        <v>54.88</v>
      </c>
      <c r="H305">
        <v>32.450000000000003</v>
      </c>
      <c r="I305" t="s">
        <v>53</v>
      </c>
    </row>
    <row r="306" spans="1:9" x14ac:dyDescent="0.45">
      <c r="A306">
        <v>305</v>
      </c>
      <c r="B306" t="s">
        <v>369</v>
      </c>
      <c r="C306" t="s">
        <v>61</v>
      </c>
      <c r="D306" t="s">
        <v>50</v>
      </c>
      <c r="E306" t="s">
        <v>62</v>
      </c>
      <c r="F306" t="s">
        <v>72</v>
      </c>
      <c r="G306">
        <v>60.79</v>
      </c>
      <c r="H306">
        <v>37.56</v>
      </c>
      <c r="I306" t="s">
        <v>53</v>
      </c>
    </row>
    <row r="307" spans="1:9" x14ac:dyDescent="0.45">
      <c r="A307">
        <v>306</v>
      </c>
      <c r="B307" t="s">
        <v>370</v>
      </c>
      <c r="C307" t="s">
        <v>89</v>
      </c>
      <c r="D307" t="s">
        <v>50</v>
      </c>
      <c r="E307" t="s">
        <v>51</v>
      </c>
      <c r="F307" t="s">
        <v>77</v>
      </c>
      <c r="G307">
        <v>74.67</v>
      </c>
      <c r="H307">
        <v>51.73</v>
      </c>
      <c r="I307" t="s">
        <v>53</v>
      </c>
    </row>
    <row r="308" spans="1:9" x14ac:dyDescent="0.45">
      <c r="A308">
        <v>307</v>
      </c>
      <c r="B308" t="s">
        <v>371</v>
      </c>
      <c r="C308" t="s">
        <v>55</v>
      </c>
      <c r="D308" t="s">
        <v>50</v>
      </c>
      <c r="E308" t="s">
        <v>56</v>
      </c>
      <c r="F308" t="s">
        <v>52</v>
      </c>
      <c r="G308">
        <v>66.87</v>
      </c>
      <c r="H308">
        <v>37.11</v>
      </c>
      <c r="I308" t="s">
        <v>53</v>
      </c>
    </row>
    <row r="309" spans="1:9" x14ac:dyDescent="0.45">
      <c r="A309">
        <v>308</v>
      </c>
      <c r="B309" t="s">
        <v>372</v>
      </c>
      <c r="C309" t="s">
        <v>61</v>
      </c>
      <c r="D309" t="s">
        <v>50</v>
      </c>
      <c r="E309" t="s">
        <v>69</v>
      </c>
      <c r="F309" t="s">
        <v>72</v>
      </c>
      <c r="G309">
        <v>43.27</v>
      </c>
      <c r="H309">
        <v>21.5</v>
      </c>
      <c r="I309" t="s">
        <v>53</v>
      </c>
    </row>
    <row r="310" spans="1:9" x14ac:dyDescent="0.45">
      <c r="A310">
        <v>309</v>
      </c>
      <c r="B310" t="s">
        <v>373</v>
      </c>
      <c r="C310" t="s">
        <v>49</v>
      </c>
      <c r="D310" t="s">
        <v>50</v>
      </c>
      <c r="E310" t="s">
        <v>69</v>
      </c>
      <c r="F310" t="s">
        <v>63</v>
      </c>
      <c r="G310">
        <v>42.14</v>
      </c>
      <c r="H310">
        <v>26.91</v>
      </c>
      <c r="I310" t="s">
        <v>53</v>
      </c>
    </row>
    <row r="311" spans="1:9" x14ac:dyDescent="0.45">
      <c r="A311">
        <v>310</v>
      </c>
      <c r="B311" t="s">
        <v>374</v>
      </c>
      <c r="C311" t="s">
        <v>61</v>
      </c>
      <c r="D311" t="s">
        <v>50</v>
      </c>
      <c r="E311" t="s">
        <v>51</v>
      </c>
      <c r="F311" t="s">
        <v>72</v>
      </c>
      <c r="G311">
        <v>72.099999999999994</v>
      </c>
      <c r="H311">
        <v>34.700000000000003</v>
      </c>
      <c r="I311" t="s">
        <v>53</v>
      </c>
    </row>
    <row r="312" spans="1:9" x14ac:dyDescent="0.45">
      <c r="A312">
        <v>311</v>
      </c>
      <c r="B312" t="s">
        <v>375</v>
      </c>
      <c r="C312" t="s">
        <v>49</v>
      </c>
      <c r="D312" t="s">
        <v>50</v>
      </c>
      <c r="E312" t="s">
        <v>56</v>
      </c>
      <c r="F312" t="s">
        <v>58</v>
      </c>
      <c r="G312">
        <v>43.38</v>
      </c>
      <c r="H312">
        <v>23.06</v>
      </c>
      <c r="I312" t="s">
        <v>53</v>
      </c>
    </row>
    <row r="313" spans="1:9" x14ac:dyDescent="0.45">
      <c r="A313">
        <v>312</v>
      </c>
      <c r="B313" t="s">
        <v>376</v>
      </c>
      <c r="C313" t="s">
        <v>49</v>
      </c>
      <c r="D313" t="s">
        <v>50</v>
      </c>
      <c r="E313" t="s">
        <v>69</v>
      </c>
      <c r="F313" t="s">
        <v>58</v>
      </c>
      <c r="G313">
        <v>43.84</v>
      </c>
      <c r="H313">
        <v>18.57</v>
      </c>
      <c r="I313" t="s">
        <v>53</v>
      </c>
    </row>
    <row r="314" spans="1:9" x14ac:dyDescent="0.45">
      <c r="A314">
        <v>313</v>
      </c>
      <c r="B314" t="s">
        <v>377</v>
      </c>
      <c r="C314" t="s">
        <v>89</v>
      </c>
      <c r="D314" t="s">
        <v>50</v>
      </c>
      <c r="E314" t="s">
        <v>69</v>
      </c>
      <c r="F314" t="s">
        <v>72</v>
      </c>
      <c r="G314">
        <v>35.69</v>
      </c>
      <c r="H314">
        <v>14.55</v>
      </c>
      <c r="I314" t="s">
        <v>53</v>
      </c>
    </row>
    <row r="315" spans="1:9" x14ac:dyDescent="0.45">
      <c r="A315">
        <v>314</v>
      </c>
      <c r="B315" t="s">
        <v>378</v>
      </c>
      <c r="C315" t="s">
        <v>89</v>
      </c>
      <c r="D315" t="s">
        <v>50</v>
      </c>
      <c r="E315" t="s">
        <v>51</v>
      </c>
      <c r="F315" t="s">
        <v>63</v>
      </c>
      <c r="G315">
        <v>56.29</v>
      </c>
      <c r="H315">
        <v>38.770000000000003</v>
      </c>
      <c r="I315" t="s">
        <v>53</v>
      </c>
    </row>
    <row r="316" spans="1:9" x14ac:dyDescent="0.45">
      <c r="A316">
        <v>315</v>
      </c>
      <c r="B316" t="s">
        <v>379</v>
      </c>
      <c r="C316" t="s">
        <v>55</v>
      </c>
      <c r="D316" t="s">
        <v>50</v>
      </c>
      <c r="E316" t="s">
        <v>62</v>
      </c>
      <c r="F316" t="s">
        <v>52</v>
      </c>
      <c r="G316">
        <v>67.02</v>
      </c>
      <c r="H316">
        <v>43.62</v>
      </c>
      <c r="I316" t="s">
        <v>53</v>
      </c>
    </row>
    <row r="317" spans="1:9" x14ac:dyDescent="0.45">
      <c r="A317">
        <v>316</v>
      </c>
      <c r="B317" t="s">
        <v>380</v>
      </c>
      <c r="C317" t="s">
        <v>55</v>
      </c>
      <c r="D317" t="s">
        <v>50</v>
      </c>
      <c r="E317" t="s">
        <v>69</v>
      </c>
      <c r="F317" t="s">
        <v>77</v>
      </c>
      <c r="G317">
        <v>45.73</v>
      </c>
      <c r="H317">
        <v>27.84</v>
      </c>
      <c r="I317" t="s">
        <v>53</v>
      </c>
    </row>
    <row r="318" spans="1:9" x14ac:dyDescent="0.45">
      <c r="A318">
        <v>317</v>
      </c>
      <c r="B318" t="s">
        <v>381</v>
      </c>
      <c r="C318" t="s">
        <v>89</v>
      </c>
      <c r="D318" t="s">
        <v>50</v>
      </c>
      <c r="E318" t="s">
        <v>71</v>
      </c>
      <c r="F318" t="s">
        <v>58</v>
      </c>
      <c r="G318">
        <v>62.63</v>
      </c>
      <c r="H318">
        <v>32.74</v>
      </c>
      <c r="I318" t="s">
        <v>53</v>
      </c>
    </row>
    <row r="319" spans="1:9" x14ac:dyDescent="0.45">
      <c r="A319">
        <v>318</v>
      </c>
      <c r="B319" t="s">
        <v>382</v>
      </c>
      <c r="C319" t="s">
        <v>55</v>
      </c>
      <c r="D319" t="s">
        <v>50</v>
      </c>
      <c r="E319" t="s">
        <v>56</v>
      </c>
      <c r="F319" t="s">
        <v>52</v>
      </c>
      <c r="G319">
        <v>37.549999999999997</v>
      </c>
      <c r="H319">
        <v>16.97</v>
      </c>
      <c r="I319" t="s">
        <v>53</v>
      </c>
    </row>
    <row r="320" spans="1:9" x14ac:dyDescent="0.45">
      <c r="A320">
        <v>319</v>
      </c>
      <c r="B320" t="s">
        <v>383</v>
      </c>
      <c r="C320" t="s">
        <v>49</v>
      </c>
      <c r="D320" t="s">
        <v>50</v>
      </c>
      <c r="E320" t="s">
        <v>69</v>
      </c>
      <c r="F320" t="s">
        <v>63</v>
      </c>
      <c r="G320">
        <v>24.05</v>
      </c>
      <c r="H320">
        <v>10.75</v>
      </c>
      <c r="I320" t="s">
        <v>53</v>
      </c>
    </row>
    <row r="321" spans="1:9" x14ac:dyDescent="0.45">
      <c r="A321">
        <v>320</v>
      </c>
      <c r="B321" t="s">
        <v>384</v>
      </c>
      <c r="C321" t="s">
        <v>49</v>
      </c>
      <c r="D321" t="s">
        <v>50</v>
      </c>
      <c r="E321" t="s">
        <v>62</v>
      </c>
      <c r="F321" t="s">
        <v>52</v>
      </c>
      <c r="G321">
        <v>74.260000000000005</v>
      </c>
      <c r="H321">
        <v>35.28</v>
      </c>
      <c r="I321" t="s">
        <v>53</v>
      </c>
    </row>
    <row r="322" spans="1:9" x14ac:dyDescent="0.45">
      <c r="A322">
        <v>321</v>
      </c>
      <c r="B322" t="s">
        <v>385</v>
      </c>
      <c r="C322" t="s">
        <v>61</v>
      </c>
      <c r="D322" t="s">
        <v>50</v>
      </c>
      <c r="E322" t="s">
        <v>56</v>
      </c>
      <c r="F322" t="s">
        <v>77</v>
      </c>
      <c r="G322">
        <v>58.09</v>
      </c>
      <c r="H322">
        <v>32.81</v>
      </c>
      <c r="I322" t="s">
        <v>53</v>
      </c>
    </row>
    <row r="323" spans="1:9" x14ac:dyDescent="0.45">
      <c r="A323">
        <v>322</v>
      </c>
      <c r="B323" t="s">
        <v>386</v>
      </c>
      <c r="C323" t="s">
        <v>49</v>
      </c>
      <c r="D323" t="s">
        <v>50</v>
      </c>
      <c r="E323" t="s">
        <v>71</v>
      </c>
      <c r="F323" t="s">
        <v>52</v>
      </c>
      <c r="G323">
        <v>44.45</v>
      </c>
      <c r="H323">
        <v>27.31</v>
      </c>
      <c r="I323" t="s">
        <v>53</v>
      </c>
    </row>
    <row r="324" spans="1:9" x14ac:dyDescent="0.45">
      <c r="A324">
        <v>323</v>
      </c>
      <c r="B324" t="s">
        <v>387</v>
      </c>
      <c r="C324" t="s">
        <v>55</v>
      </c>
      <c r="D324" t="s">
        <v>50</v>
      </c>
      <c r="E324" t="s">
        <v>62</v>
      </c>
      <c r="F324" t="s">
        <v>77</v>
      </c>
      <c r="G324">
        <v>62.34</v>
      </c>
      <c r="H324">
        <v>37.28</v>
      </c>
      <c r="I324" t="s">
        <v>53</v>
      </c>
    </row>
    <row r="325" spans="1:9" x14ac:dyDescent="0.45">
      <c r="A325">
        <v>324</v>
      </c>
      <c r="B325" t="s">
        <v>388</v>
      </c>
      <c r="C325" t="s">
        <v>55</v>
      </c>
      <c r="D325" t="s">
        <v>50</v>
      </c>
      <c r="E325" t="s">
        <v>51</v>
      </c>
      <c r="F325" t="s">
        <v>52</v>
      </c>
      <c r="G325">
        <v>60.31</v>
      </c>
      <c r="H325">
        <v>29.19</v>
      </c>
      <c r="I325" t="s">
        <v>53</v>
      </c>
    </row>
    <row r="326" spans="1:9" x14ac:dyDescent="0.45">
      <c r="A326">
        <v>325</v>
      </c>
      <c r="B326" t="s">
        <v>389</v>
      </c>
      <c r="C326" t="s">
        <v>65</v>
      </c>
      <c r="D326" t="s">
        <v>50</v>
      </c>
      <c r="E326" t="s">
        <v>69</v>
      </c>
      <c r="F326" t="s">
        <v>578</v>
      </c>
      <c r="G326">
        <v>39.78</v>
      </c>
      <c r="H326">
        <v>27.31</v>
      </c>
      <c r="I326" t="s">
        <v>53</v>
      </c>
    </row>
    <row r="327" spans="1:9" x14ac:dyDescent="0.45">
      <c r="A327">
        <v>326</v>
      </c>
      <c r="B327" t="s">
        <v>390</v>
      </c>
      <c r="C327" t="s">
        <v>49</v>
      </c>
      <c r="D327" t="s">
        <v>50</v>
      </c>
      <c r="E327" t="s">
        <v>56</v>
      </c>
      <c r="F327" t="s">
        <v>52</v>
      </c>
      <c r="G327">
        <v>56.7</v>
      </c>
      <c r="H327">
        <v>35.229999999999997</v>
      </c>
      <c r="I327" t="s">
        <v>53</v>
      </c>
    </row>
    <row r="328" spans="1:9" x14ac:dyDescent="0.45">
      <c r="A328">
        <v>327</v>
      </c>
      <c r="B328" t="s">
        <v>391</v>
      </c>
      <c r="C328" t="s">
        <v>49</v>
      </c>
      <c r="D328" t="s">
        <v>50</v>
      </c>
      <c r="E328" t="s">
        <v>51</v>
      </c>
      <c r="F328" t="s">
        <v>63</v>
      </c>
      <c r="G328">
        <v>74.239999999999995</v>
      </c>
      <c r="H328">
        <v>42.04</v>
      </c>
      <c r="I328" t="s">
        <v>53</v>
      </c>
    </row>
    <row r="329" spans="1:9" x14ac:dyDescent="0.45">
      <c r="A329">
        <v>328</v>
      </c>
      <c r="B329" t="s">
        <v>392</v>
      </c>
      <c r="C329" t="s">
        <v>49</v>
      </c>
      <c r="D329" t="s">
        <v>50</v>
      </c>
      <c r="E329" t="s">
        <v>56</v>
      </c>
      <c r="F329" t="s">
        <v>77</v>
      </c>
      <c r="G329">
        <v>39.83</v>
      </c>
      <c r="H329">
        <v>23.24</v>
      </c>
      <c r="I329" t="s">
        <v>53</v>
      </c>
    </row>
    <row r="330" spans="1:9" x14ac:dyDescent="0.45">
      <c r="A330">
        <v>329</v>
      </c>
      <c r="B330" t="s">
        <v>393</v>
      </c>
      <c r="C330" t="s">
        <v>89</v>
      </c>
      <c r="D330" t="s">
        <v>50</v>
      </c>
      <c r="E330" t="s">
        <v>62</v>
      </c>
      <c r="F330" t="s">
        <v>77</v>
      </c>
      <c r="G330">
        <v>43.09</v>
      </c>
      <c r="H330">
        <v>22.66</v>
      </c>
      <c r="I330" t="s">
        <v>53</v>
      </c>
    </row>
    <row r="331" spans="1:9" x14ac:dyDescent="0.45">
      <c r="A331">
        <v>330</v>
      </c>
      <c r="B331" t="s">
        <v>394</v>
      </c>
      <c r="C331" t="s">
        <v>89</v>
      </c>
      <c r="D331" t="s">
        <v>50</v>
      </c>
      <c r="E331" t="s">
        <v>62</v>
      </c>
      <c r="F331" t="s">
        <v>77</v>
      </c>
      <c r="G331">
        <v>33.94</v>
      </c>
      <c r="H331">
        <v>16.100000000000001</v>
      </c>
      <c r="I331" t="s">
        <v>53</v>
      </c>
    </row>
    <row r="332" spans="1:9" x14ac:dyDescent="0.45">
      <c r="A332">
        <v>331</v>
      </c>
      <c r="B332" t="s">
        <v>395</v>
      </c>
      <c r="C332" t="s">
        <v>61</v>
      </c>
      <c r="D332" t="s">
        <v>50</v>
      </c>
      <c r="E332" t="s">
        <v>71</v>
      </c>
      <c r="F332" t="s">
        <v>72</v>
      </c>
      <c r="G332">
        <v>53.34</v>
      </c>
      <c r="H332">
        <v>27.03</v>
      </c>
      <c r="I332" t="s">
        <v>53</v>
      </c>
    </row>
    <row r="333" spans="1:9" x14ac:dyDescent="0.45">
      <c r="A333">
        <v>332</v>
      </c>
      <c r="B333" t="s">
        <v>396</v>
      </c>
      <c r="C333" t="s">
        <v>49</v>
      </c>
      <c r="D333" t="s">
        <v>50</v>
      </c>
      <c r="E333" t="s">
        <v>62</v>
      </c>
      <c r="F333" t="s">
        <v>58</v>
      </c>
      <c r="G333">
        <v>65.88</v>
      </c>
      <c r="H333">
        <v>41.33</v>
      </c>
      <c r="I333" t="s">
        <v>53</v>
      </c>
    </row>
    <row r="334" spans="1:9" x14ac:dyDescent="0.45">
      <c r="A334">
        <v>333</v>
      </c>
      <c r="B334" t="s">
        <v>397</v>
      </c>
      <c r="C334" t="s">
        <v>61</v>
      </c>
      <c r="D334" t="s">
        <v>50</v>
      </c>
      <c r="E334" t="s">
        <v>69</v>
      </c>
      <c r="F334" t="s">
        <v>52</v>
      </c>
      <c r="G334">
        <v>46.04</v>
      </c>
      <c r="H334">
        <v>18.61</v>
      </c>
      <c r="I334" t="s">
        <v>53</v>
      </c>
    </row>
    <row r="335" spans="1:9" x14ac:dyDescent="0.45">
      <c r="A335">
        <v>334</v>
      </c>
      <c r="B335" t="s">
        <v>398</v>
      </c>
      <c r="C335" t="s">
        <v>49</v>
      </c>
      <c r="D335" t="s">
        <v>50</v>
      </c>
      <c r="E335" t="s">
        <v>71</v>
      </c>
      <c r="F335" t="s">
        <v>63</v>
      </c>
      <c r="G335">
        <v>20.82</v>
      </c>
      <c r="H335">
        <v>9.0500000000000007</v>
      </c>
      <c r="I335" t="s">
        <v>53</v>
      </c>
    </row>
    <row r="336" spans="1:9" x14ac:dyDescent="0.45">
      <c r="A336">
        <v>335</v>
      </c>
      <c r="B336" t="s">
        <v>399</v>
      </c>
      <c r="C336" t="s">
        <v>65</v>
      </c>
      <c r="D336" t="s">
        <v>50</v>
      </c>
      <c r="E336" t="s">
        <v>62</v>
      </c>
      <c r="F336" t="s">
        <v>63</v>
      </c>
      <c r="G336">
        <v>45.97</v>
      </c>
      <c r="H336">
        <v>19.02</v>
      </c>
      <c r="I336" t="s">
        <v>53</v>
      </c>
    </row>
    <row r="337" spans="1:9" x14ac:dyDescent="0.45">
      <c r="A337">
        <v>336</v>
      </c>
      <c r="B337" t="s">
        <v>400</v>
      </c>
      <c r="C337" t="s">
        <v>55</v>
      </c>
      <c r="D337" t="s">
        <v>50</v>
      </c>
      <c r="E337" t="s">
        <v>71</v>
      </c>
      <c r="F337" t="s">
        <v>58</v>
      </c>
      <c r="G337">
        <v>51.22</v>
      </c>
      <c r="H337">
        <v>21.11</v>
      </c>
      <c r="I337" t="s">
        <v>53</v>
      </c>
    </row>
    <row r="338" spans="1:9" x14ac:dyDescent="0.45">
      <c r="A338">
        <v>337</v>
      </c>
      <c r="B338" t="s">
        <v>401</v>
      </c>
      <c r="C338" t="s">
        <v>89</v>
      </c>
      <c r="D338" t="s">
        <v>50</v>
      </c>
      <c r="E338" t="s">
        <v>69</v>
      </c>
      <c r="F338" t="s">
        <v>63</v>
      </c>
      <c r="G338">
        <v>71.72</v>
      </c>
      <c r="H338">
        <v>47.09</v>
      </c>
      <c r="I338" t="s">
        <v>53</v>
      </c>
    </row>
    <row r="339" spans="1:9" x14ac:dyDescent="0.45">
      <c r="A339">
        <v>338</v>
      </c>
      <c r="B339" t="s">
        <v>402</v>
      </c>
      <c r="C339" t="s">
        <v>89</v>
      </c>
      <c r="D339" t="s">
        <v>50</v>
      </c>
      <c r="E339" t="s">
        <v>56</v>
      </c>
      <c r="F339" t="s">
        <v>63</v>
      </c>
      <c r="G339">
        <v>33.39</v>
      </c>
      <c r="H339">
        <v>20.399999999999999</v>
      </c>
      <c r="I339" t="s">
        <v>53</v>
      </c>
    </row>
    <row r="340" spans="1:9" x14ac:dyDescent="0.45">
      <c r="A340">
        <v>339</v>
      </c>
      <c r="B340" t="s">
        <v>403</v>
      </c>
      <c r="C340" t="s">
        <v>55</v>
      </c>
      <c r="D340" t="s">
        <v>50</v>
      </c>
      <c r="E340" t="s">
        <v>69</v>
      </c>
      <c r="F340" t="s">
        <v>52</v>
      </c>
      <c r="G340">
        <v>30.35</v>
      </c>
      <c r="H340">
        <v>16.46</v>
      </c>
      <c r="I340" t="s">
        <v>53</v>
      </c>
    </row>
    <row r="341" spans="1:9" x14ac:dyDescent="0.45">
      <c r="A341">
        <v>340</v>
      </c>
      <c r="B341" t="s">
        <v>404</v>
      </c>
      <c r="C341" t="s">
        <v>65</v>
      </c>
      <c r="D341" t="s">
        <v>50</v>
      </c>
      <c r="E341" t="s">
        <v>71</v>
      </c>
      <c r="F341" t="s">
        <v>77</v>
      </c>
      <c r="G341">
        <v>60.83</v>
      </c>
      <c r="H341">
        <v>26.12</v>
      </c>
      <c r="I341" t="s">
        <v>53</v>
      </c>
    </row>
    <row r="342" spans="1:9" x14ac:dyDescent="0.45">
      <c r="A342">
        <v>341</v>
      </c>
      <c r="B342" t="s">
        <v>405</v>
      </c>
      <c r="C342" t="s">
        <v>89</v>
      </c>
      <c r="D342" t="s">
        <v>50</v>
      </c>
      <c r="E342" t="s">
        <v>71</v>
      </c>
      <c r="F342" t="s">
        <v>58</v>
      </c>
      <c r="G342">
        <v>51.4</v>
      </c>
      <c r="H342">
        <v>28.14</v>
      </c>
      <c r="I342" t="s">
        <v>53</v>
      </c>
    </row>
    <row r="343" spans="1:9" x14ac:dyDescent="0.45">
      <c r="A343">
        <v>342</v>
      </c>
      <c r="B343" t="s">
        <v>406</v>
      </c>
      <c r="C343" t="s">
        <v>89</v>
      </c>
      <c r="D343" t="s">
        <v>50</v>
      </c>
      <c r="E343" t="s">
        <v>56</v>
      </c>
      <c r="F343" t="s">
        <v>77</v>
      </c>
      <c r="G343">
        <v>34.35</v>
      </c>
      <c r="H343">
        <v>18.62</v>
      </c>
      <c r="I343" t="s">
        <v>53</v>
      </c>
    </row>
    <row r="344" spans="1:9" x14ac:dyDescent="0.45">
      <c r="A344">
        <v>343</v>
      </c>
      <c r="B344" t="s">
        <v>407</v>
      </c>
      <c r="C344" t="s">
        <v>55</v>
      </c>
      <c r="D344" t="s">
        <v>50</v>
      </c>
      <c r="E344" t="s">
        <v>56</v>
      </c>
      <c r="F344" t="s">
        <v>72</v>
      </c>
      <c r="G344">
        <v>34.39</v>
      </c>
      <c r="H344">
        <v>15.54</v>
      </c>
      <c r="I344" t="s">
        <v>53</v>
      </c>
    </row>
    <row r="345" spans="1:9" x14ac:dyDescent="0.45">
      <c r="A345">
        <v>344</v>
      </c>
      <c r="B345" t="s">
        <v>408</v>
      </c>
      <c r="C345" t="s">
        <v>55</v>
      </c>
      <c r="D345" t="s">
        <v>50</v>
      </c>
      <c r="E345" t="s">
        <v>62</v>
      </c>
      <c r="F345" t="s">
        <v>58</v>
      </c>
      <c r="G345">
        <v>42.1</v>
      </c>
      <c r="H345">
        <v>22.32</v>
      </c>
      <c r="I345" t="s">
        <v>53</v>
      </c>
    </row>
    <row r="346" spans="1:9" x14ac:dyDescent="0.45">
      <c r="A346">
        <v>345</v>
      </c>
      <c r="B346" t="s">
        <v>409</v>
      </c>
      <c r="C346" t="s">
        <v>55</v>
      </c>
      <c r="D346" t="s">
        <v>50</v>
      </c>
      <c r="E346" t="s">
        <v>69</v>
      </c>
      <c r="F346" t="s">
        <v>52</v>
      </c>
      <c r="G346">
        <v>46.36</v>
      </c>
      <c r="H346">
        <v>24.09</v>
      </c>
      <c r="I346" t="s">
        <v>53</v>
      </c>
    </row>
    <row r="347" spans="1:9" x14ac:dyDescent="0.45">
      <c r="A347">
        <v>346</v>
      </c>
      <c r="B347" t="s">
        <v>410</v>
      </c>
      <c r="C347" t="s">
        <v>61</v>
      </c>
      <c r="D347" t="s">
        <v>50</v>
      </c>
      <c r="E347" t="s">
        <v>51</v>
      </c>
      <c r="F347" t="s">
        <v>58</v>
      </c>
      <c r="G347">
        <v>15.31</v>
      </c>
      <c r="H347">
        <v>8.9499999999999993</v>
      </c>
      <c r="I347" t="s">
        <v>53</v>
      </c>
    </row>
    <row r="348" spans="1:9" x14ac:dyDescent="0.45">
      <c r="A348">
        <v>347</v>
      </c>
      <c r="B348" t="s">
        <v>411</v>
      </c>
      <c r="C348" t="s">
        <v>55</v>
      </c>
      <c r="D348" t="s">
        <v>50</v>
      </c>
      <c r="E348" t="s">
        <v>62</v>
      </c>
      <c r="F348" t="s">
        <v>77</v>
      </c>
      <c r="G348">
        <v>59.92</v>
      </c>
      <c r="H348">
        <v>35.380000000000003</v>
      </c>
      <c r="I348" t="s">
        <v>53</v>
      </c>
    </row>
    <row r="349" spans="1:9" x14ac:dyDescent="0.45">
      <c r="A349">
        <v>348</v>
      </c>
      <c r="B349" t="s">
        <v>412</v>
      </c>
      <c r="C349" t="s">
        <v>89</v>
      </c>
      <c r="D349" t="s">
        <v>50</v>
      </c>
      <c r="E349" t="s">
        <v>51</v>
      </c>
      <c r="F349" t="s">
        <v>52</v>
      </c>
      <c r="G349">
        <v>34.47</v>
      </c>
      <c r="H349">
        <v>14.26</v>
      </c>
      <c r="I349" t="s">
        <v>53</v>
      </c>
    </row>
    <row r="350" spans="1:9" x14ac:dyDescent="0.45">
      <c r="A350">
        <v>349</v>
      </c>
      <c r="B350" t="s">
        <v>413</v>
      </c>
      <c r="C350" t="s">
        <v>65</v>
      </c>
      <c r="D350" t="s">
        <v>50</v>
      </c>
      <c r="E350" t="s">
        <v>51</v>
      </c>
      <c r="F350" t="s">
        <v>578</v>
      </c>
      <c r="G350">
        <v>46.72</v>
      </c>
      <c r="H350">
        <v>23.94</v>
      </c>
      <c r="I350" t="s">
        <v>53</v>
      </c>
    </row>
    <row r="351" spans="1:9" x14ac:dyDescent="0.45">
      <c r="A351">
        <v>350</v>
      </c>
      <c r="B351" t="s">
        <v>414</v>
      </c>
      <c r="C351" t="s">
        <v>89</v>
      </c>
      <c r="D351" t="s">
        <v>50</v>
      </c>
      <c r="E351" t="s">
        <v>69</v>
      </c>
      <c r="F351" t="s">
        <v>77</v>
      </c>
      <c r="G351">
        <v>27.62</v>
      </c>
      <c r="H351">
        <v>16.23</v>
      </c>
      <c r="I351" t="s">
        <v>53</v>
      </c>
    </row>
    <row r="352" spans="1:9" x14ac:dyDescent="0.45">
      <c r="A352">
        <v>351</v>
      </c>
      <c r="B352" t="s">
        <v>415</v>
      </c>
      <c r="C352" t="s">
        <v>61</v>
      </c>
      <c r="D352" t="s">
        <v>50</v>
      </c>
      <c r="E352" t="s">
        <v>51</v>
      </c>
      <c r="F352" t="s">
        <v>72</v>
      </c>
      <c r="G352">
        <v>46.11</v>
      </c>
      <c r="H352">
        <v>25.4</v>
      </c>
      <c r="I352" t="s">
        <v>53</v>
      </c>
    </row>
    <row r="353" spans="1:9" x14ac:dyDescent="0.45">
      <c r="A353">
        <v>352</v>
      </c>
      <c r="B353" t="s">
        <v>416</v>
      </c>
      <c r="C353" t="s">
        <v>89</v>
      </c>
      <c r="D353" t="s">
        <v>50</v>
      </c>
      <c r="E353" t="s">
        <v>51</v>
      </c>
      <c r="F353" t="s">
        <v>52</v>
      </c>
      <c r="G353">
        <v>61.12</v>
      </c>
      <c r="H353">
        <v>40.15</v>
      </c>
      <c r="I353" t="s">
        <v>53</v>
      </c>
    </row>
    <row r="354" spans="1:9" x14ac:dyDescent="0.45">
      <c r="A354">
        <v>353</v>
      </c>
      <c r="B354" t="s">
        <v>417</v>
      </c>
      <c r="C354" t="s">
        <v>61</v>
      </c>
      <c r="D354" t="s">
        <v>50</v>
      </c>
      <c r="E354" t="s">
        <v>56</v>
      </c>
      <c r="F354" t="s">
        <v>77</v>
      </c>
      <c r="G354">
        <v>69.540000000000006</v>
      </c>
      <c r="H354">
        <v>41.56</v>
      </c>
      <c r="I354" t="s">
        <v>53</v>
      </c>
    </row>
    <row r="355" spans="1:9" x14ac:dyDescent="0.45">
      <c r="A355">
        <v>354</v>
      </c>
      <c r="B355" t="s">
        <v>418</v>
      </c>
      <c r="C355" t="s">
        <v>55</v>
      </c>
      <c r="D355" t="s">
        <v>50</v>
      </c>
      <c r="E355" t="s">
        <v>71</v>
      </c>
      <c r="F355" t="s">
        <v>52</v>
      </c>
      <c r="G355">
        <v>52.42</v>
      </c>
      <c r="H355">
        <v>23.53</v>
      </c>
      <c r="I355" t="s">
        <v>53</v>
      </c>
    </row>
    <row r="356" spans="1:9" x14ac:dyDescent="0.45">
      <c r="A356">
        <v>355</v>
      </c>
      <c r="B356" t="s">
        <v>419</v>
      </c>
      <c r="C356" t="s">
        <v>61</v>
      </c>
      <c r="D356" t="s">
        <v>50</v>
      </c>
      <c r="E356" t="s">
        <v>71</v>
      </c>
      <c r="F356" t="s">
        <v>58</v>
      </c>
      <c r="G356">
        <v>21.38</v>
      </c>
      <c r="H356">
        <v>9</v>
      </c>
      <c r="I356" t="s">
        <v>53</v>
      </c>
    </row>
    <row r="357" spans="1:9" x14ac:dyDescent="0.45">
      <c r="A357">
        <v>356</v>
      </c>
      <c r="B357" t="s">
        <v>420</v>
      </c>
      <c r="C357" t="s">
        <v>89</v>
      </c>
      <c r="D357" t="s">
        <v>50</v>
      </c>
      <c r="E357" t="s">
        <v>71</v>
      </c>
      <c r="F357" t="s">
        <v>58</v>
      </c>
      <c r="G357">
        <v>72.41</v>
      </c>
      <c r="H357">
        <v>42.92</v>
      </c>
      <c r="I357" t="s">
        <v>53</v>
      </c>
    </row>
    <row r="358" spans="1:9" x14ac:dyDescent="0.45">
      <c r="A358">
        <v>357</v>
      </c>
      <c r="B358" t="s">
        <v>421</v>
      </c>
      <c r="C358" t="s">
        <v>89</v>
      </c>
      <c r="D358" t="s">
        <v>50</v>
      </c>
      <c r="E358" t="s">
        <v>51</v>
      </c>
      <c r="F358" t="s">
        <v>58</v>
      </c>
      <c r="G358">
        <v>56.91</v>
      </c>
      <c r="H358">
        <v>23.22</v>
      </c>
      <c r="I358" t="s">
        <v>53</v>
      </c>
    </row>
    <row r="359" spans="1:9" x14ac:dyDescent="0.45">
      <c r="A359">
        <v>358</v>
      </c>
      <c r="B359" t="s">
        <v>422</v>
      </c>
      <c r="C359" t="s">
        <v>89</v>
      </c>
      <c r="D359" t="s">
        <v>50</v>
      </c>
      <c r="E359" t="s">
        <v>62</v>
      </c>
      <c r="F359" t="s">
        <v>72</v>
      </c>
      <c r="G359">
        <v>71.86</v>
      </c>
      <c r="H359">
        <v>41.37</v>
      </c>
      <c r="I359" t="s">
        <v>53</v>
      </c>
    </row>
    <row r="360" spans="1:9" x14ac:dyDescent="0.45">
      <c r="A360">
        <v>359</v>
      </c>
      <c r="B360" t="s">
        <v>423</v>
      </c>
      <c r="C360" t="s">
        <v>65</v>
      </c>
      <c r="D360" t="s">
        <v>50</v>
      </c>
      <c r="E360" t="s">
        <v>62</v>
      </c>
      <c r="F360" t="s">
        <v>63</v>
      </c>
      <c r="G360">
        <v>74.28</v>
      </c>
      <c r="H360">
        <v>50.66</v>
      </c>
      <c r="I360" t="s">
        <v>53</v>
      </c>
    </row>
    <row r="361" spans="1:9" x14ac:dyDescent="0.45">
      <c r="A361">
        <v>360</v>
      </c>
      <c r="B361" t="s">
        <v>424</v>
      </c>
      <c r="C361" t="s">
        <v>55</v>
      </c>
      <c r="D361" t="s">
        <v>50</v>
      </c>
      <c r="E361" t="s">
        <v>51</v>
      </c>
      <c r="F361" t="s">
        <v>63</v>
      </c>
      <c r="G361">
        <v>69.48</v>
      </c>
      <c r="H361">
        <v>39.79</v>
      </c>
      <c r="I361" t="s">
        <v>53</v>
      </c>
    </row>
    <row r="362" spans="1:9" x14ac:dyDescent="0.45">
      <c r="A362">
        <v>361</v>
      </c>
      <c r="B362" t="s">
        <v>425</v>
      </c>
      <c r="C362" t="s">
        <v>89</v>
      </c>
      <c r="D362" t="s">
        <v>50</v>
      </c>
      <c r="E362" t="s">
        <v>56</v>
      </c>
      <c r="F362" t="s">
        <v>63</v>
      </c>
      <c r="G362">
        <v>51.76</v>
      </c>
      <c r="H362">
        <v>26.73</v>
      </c>
      <c r="I362" t="s">
        <v>53</v>
      </c>
    </row>
    <row r="363" spans="1:9" x14ac:dyDescent="0.45">
      <c r="A363">
        <v>362</v>
      </c>
      <c r="B363" t="s">
        <v>426</v>
      </c>
      <c r="C363" t="s">
        <v>89</v>
      </c>
      <c r="D363" t="s">
        <v>50</v>
      </c>
      <c r="E363" t="s">
        <v>56</v>
      </c>
      <c r="F363" t="s">
        <v>72</v>
      </c>
      <c r="G363">
        <v>32.64</v>
      </c>
      <c r="H363">
        <v>19.36</v>
      </c>
      <c r="I363" t="s">
        <v>53</v>
      </c>
    </row>
    <row r="364" spans="1:9" x14ac:dyDescent="0.45">
      <c r="A364">
        <v>363</v>
      </c>
      <c r="B364" t="s">
        <v>427</v>
      </c>
      <c r="C364" t="s">
        <v>49</v>
      </c>
      <c r="D364" t="s">
        <v>50</v>
      </c>
      <c r="E364" t="s">
        <v>69</v>
      </c>
      <c r="F364" t="s">
        <v>63</v>
      </c>
      <c r="G364">
        <v>43.64</v>
      </c>
      <c r="H364">
        <v>23.46</v>
      </c>
      <c r="I364" t="s">
        <v>53</v>
      </c>
    </row>
    <row r="365" spans="1:9" x14ac:dyDescent="0.45">
      <c r="A365">
        <v>364</v>
      </c>
      <c r="B365" t="s">
        <v>428</v>
      </c>
      <c r="C365" t="s">
        <v>49</v>
      </c>
      <c r="D365" t="s">
        <v>50</v>
      </c>
      <c r="E365" t="s">
        <v>56</v>
      </c>
      <c r="F365" t="s">
        <v>77</v>
      </c>
      <c r="G365">
        <v>36.340000000000003</v>
      </c>
      <c r="H365">
        <v>20.48</v>
      </c>
      <c r="I365" t="s">
        <v>53</v>
      </c>
    </row>
    <row r="366" spans="1:9" x14ac:dyDescent="0.45">
      <c r="A366">
        <v>365</v>
      </c>
      <c r="B366" t="s">
        <v>429</v>
      </c>
      <c r="C366" t="s">
        <v>55</v>
      </c>
      <c r="D366" t="s">
        <v>50</v>
      </c>
      <c r="E366" t="s">
        <v>51</v>
      </c>
      <c r="F366" t="s">
        <v>77</v>
      </c>
      <c r="G366">
        <v>67.760000000000005</v>
      </c>
      <c r="H366">
        <v>46.24</v>
      </c>
      <c r="I366" t="s">
        <v>53</v>
      </c>
    </row>
    <row r="367" spans="1:9" x14ac:dyDescent="0.45">
      <c r="A367">
        <v>366</v>
      </c>
      <c r="B367" t="s">
        <v>430</v>
      </c>
      <c r="C367" t="s">
        <v>61</v>
      </c>
      <c r="D367" t="s">
        <v>50</v>
      </c>
      <c r="E367" t="s">
        <v>56</v>
      </c>
      <c r="F367" t="s">
        <v>77</v>
      </c>
      <c r="G367">
        <v>58.34</v>
      </c>
      <c r="H367">
        <v>30.09</v>
      </c>
      <c r="I367" t="s">
        <v>53</v>
      </c>
    </row>
    <row r="368" spans="1:9" x14ac:dyDescent="0.45">
      <c r="A368">
        <v>367</v>
      </c>
      <c r="B368" t="s">
        <v>431</v>
      </c>
      <c r="C368" t="s">
        <v>49</v>
      </c>
      <c r="D368" t="s">
        <v>50</v>
      </c>
      <c r="E368" t="s">
        <v>51</v>
      </c>
      <c r="F368" t="s">
        <v>63</v>
      </c>
      <c r="G368">
        <v>51.38</v>
      </c>
      <c r="H368">
        <v>35.369999999999997</v>
      </c>
      <c r="I368" t="s">
        <v>53</v>
      </c>
    </row>
    <row r="369" spans="1:9" x14ac:dyDescent="0.45">
      <c r="A369">
        <v>368</v>
      </c>
      <c r="B369" t="s">
        <v>432</v>
      </c>
      <c r="C369" t="s">
        <v>55</v>
      </c>
      <c r="D369" t="s">
        <v>50</v>
      </c>
      <c r="E369" t="s">
        <v>51</v>
      </c>
      <c r="F369" t="s">
        <v>72</v>
      </c>
      <c r="G369">
        <v>53.48</v>
      </c>
      <c r="H369">
        <v>35.92</v>
      </c>
      <c r="I369" t="s">
        <v>53</v>
      </c>
    </row>
    <row r="370" spans="1:9" x14ac:dyDescent="0.45">
      <c r="A370">
        <v>369</v>
      </c>
      <c r="B370" t="s">
        <v>433</v>
      </c>
      <c r="C370" t="s">
        <v>49</v>
      </c>
      <c r="D370" t="s">
        <v>50</v>
      </c>
      <c r="E370" t="s">
        <v>51</v>
      </c>
      <c r="F370" t="s">
        <v>58</v>
      </c>
      <c r="G370">
        <v>43.04</v>
      </c>
      <c r="H370">
        <v>19.739999999999998</v>
      </c>
      <c r="I370" t="s">
        <v>53</v>
      </c>
    </row>
    <row r="371" spans="1:9" x14ac:dyDescent="0.45">
      <c r="A371">
        <v>370</v>
      </c>
      <c r="B371" t="s">
        <v>434</v>
      </c>
      <c r="C371" t="s">
        <v>55</v>
      </c>
      <c r="D371" t="s">
        <v>50</v>
      </c>
      <c r="E371" t="s">
        <v>62</v>
      </c>
      <c r="F371" t="s">
        <v>77</v>
      </c>
      <c r="G371">
        <v>50.34</v>
      </c>
      <c r="H371">
        <v>21.18</v>
      </c>
      <c r="I371" t="s">
        <v>53</v>
      </c>
    </row>
    <row r="372" spans="1:9" x14ac:dyDescent="0.45">
      <c r="A372">
        <v>371</v>
      </c>
      <c r="B372" t="s">
        <v>435</v>
      </c>
      <c r="C372" t="s">
        <v>55</v>
      </c>
      <c r="D372" t="s">
        <v>50</v>
      </c>
      <c r="E372" t="s">
        <v>56</v>
      </c>
      <c r="F372" t="s">
        <v>58</v>
      </c>
      <c r="G372">
        <v>63.82</v>
      </c>
      <c r="H372">
        <v>27.46</v>
      </c>
      <c r="I372" t="s">
        <v>53</v>
      </c>
    </row>
    <row r="373" spans="1:9" x14ac:dyDescent="0.45">
      <c r="A373">
        <v>372</v>
      </c>
      <c r="B373" t="s">
        <v>436</v>
      </c>
      <c r="C373" t="s">
        <v>61</v>
      </c>
      <c r="D373" t="s">
        <v>50</v>
      </c>
      <c r="E373" t="s">
        <v>62</v>
      </c>
      <c r="F373" t="s">
        <v>52</v>
      </c>
      <c r="G373">
        <v>63.79</v>
      </c>
      <c r="H373">
        <v>25.86</v>
      </c>
      <c r="I373" t="s">
        <v>53</v>
      </c>
    </row>
    <row r="374" spans="1:9" x14ac:dyDescent="0.45">
      <c r="A374">
        <v>373</v>
      </c>
      <c r="B374" t="s">
        <v>437</v>
      </c>
      <c r="C374" t="s">
        <v>65</v>
      </c>
      <c r="D374" t="s">
        <v>50</v>
      </c>
      <c r="E374" t="s">
        <v>71</v>
      </c>
      <c r="F374" t="s">
        <v>52</v>
      </c>
      <c r="G374">
        <v>44.12</v>
      </c>
      <c r="H374">
        <v>18.899999999999999</v>
      </c>
      <c r="I374" t="s">
        <v>53</v>
      </c>
    </row>
    <row r="375" spans="1:9" x14ac:dyDescent="0.45">
      <c r="A375">
        <v>374</v>
      </c>
      <c r="B375" t="s">
        <v>438</v>
      </c>
      <c r="C375" t="s">
        <v>89</v>
      </c>
      <c r="D375" t="s">
        <v>50</v>
      </c>
      <c r="E375" t="s">
        <v>71</v>
      </c>
      <c r="F375" t="s">
        <v>58</v>
      </c>
      <c r="G375">
        <v>43.43</v>
      </c>
      <c r="H375">
        <v>26.27</v>
      </c>
      <c r="I375" t="s">
        <v>53</v>
      </c>
    </row>
    <row r="376" spans="1:9" x14ac:dyDescent="0.45">
      <c r="A376">
        <v>375</v>
      </c>
      <c r="B376" t="s">
        <v>439</v>
      </c>
      <c r="C376" t="s">
        <v>65</v>
      </c>
      <c r="D376" t="s">
        <v>50</v>
      </c>
      <c r="E376" t="s">
        <v>71</v>
      </c>
      <c r="F376" t="s">
        <v>52</v>
      </c>
      <c r="G376">
        <v>42.67</v>
      </c>
      <c r="H376">
        <v>17.98</v>
      </c>
      <c r="I376" t="s">
        <v>53</v>
      </c>
    </row>
    <row r="377" spans="1:9" x14ac:dyDescent="0.45">
      <c r="A377">
        <v>376</v>
      </c>
      <c r="B377" t="s">
        <v>440</v>
      </c>
      <c r="C377" t="s">
        <v>89</v>
      </c>
      <c r="D377" t="s">
        <v>50</v>
      </c>
      <c r="E377" t="s">
        <v>71</v>
      </c>
      <c r="F377" t="s">
        <v>52</v>
      </c>
      <c r="G377">
        <v>38.520000000000003</v>
      </c>
      <c r="H377">
        <v>19.09</v>
      </c>
      <c r="I377" t="s">
        <v>53</v>
      </c>
    </row>
    <row r="378" spans="1:9" x14ac:dyDescent="0.45">
      <c r="A378">
        <v>377</v>
      </c>
      <c r="B378" t="s">
        <v>441</v>
      </c>
      <c r="C378" t="s">
        <v>65</v>
      </c>
      <c r="D378" t="s">
        <v>50</v>
      </c>
      <c r="E378" t="s">
        <v>56</v>
      </c>
      <c r="F378" t="s">
        <v>72</v>
      </c>
      <c r="G378">
        <v>42.5</v>
      </c>
      <c r="H378">
        <v>27.77</v>
      </c>
      <c r="I378" t="s">
        <v>53</v>
      </c>
    </row>
    <row r="379" spans="1:9" x14ac:dyDescent="0.45">
      <c r="A379">
        <v>378</v>
      </c>
      <c r="B379" t="s">
        <v>442</v>
      </c>
      <c r="C379" t="s">
        <v>61</v>
      </c>
      <c r="D379" t="s">
        <v>50</v>
      </c>
      <c r="E379" t="s">
        <v>71</v>
      </c>
      <c r="F379" t="s">
        <v>63</v>
      </c>
      <c r="G379">
        <v>62.39</v>
      </c>
      <c r="H379">
        <v>25.39</v>
      </c>
      <c r="I379" t="s">
        <v>53</v>
      </c>
    </row>
    <row r="380" spans="1:9" x14ac:dyDescent="0.45">
      <c r="A380">
        <v>379</v>
      </c>
      <c r="B380" t="s">
        <v>443</v>
      </c>
      <c r="C380" t="s">
        <v>61</v>
      </c>
      <c r="D380" t="s">
        <v>50</v>
      </c>
      <c r="E380" t="s">
        <v>56</v>
      </c>
      <c r="F380" t="s">
        <v>72</v>
      </c>
      <c r="G380">
        <v>70.819999999999993</v>
      </c>
      <c r="H380">
        <v>45.63</v>
      </c>
      <c r="I380" t="s">
        <v>53</v>
      </c>
    </row>
    <row r="381" spans="1:9" x14ac:dyDescent="0.45">
      <c r="A381">
        <v>380</v>
      </c>
      <c r="B381" t="s">
        <v>444</v>
      </c>
      <c r="C381" t="s">
        <v>89</v>
      </c>
      <c r="D381" t="s">
        <v>50</v>
      </c>
      <c r="E381" t="s">
        <v>56</v>
      </c>
      <c r="F381" t="s">
        <v>63</v>
      </c>
      <c r="G381">
        <v>59.84</v>
      </c>
      <c r="H381">
        <v>29</v>
      </c>
      <c r="I381" t="s">
        <v>53</v>
      </c>
    </row>
    <row r="382" spans="1:9" x14ac:dyDescent="0.45">
      <c r="A382">
        <v>381</v>
      </c>
      <c r="B382" t="s">
        <v>445</v>
      </c>
      <c r="C382" t="s">
        <v>55</v>
      </c>
      <c r="D382" t="s">
        <v>50</v>
      </c>
      <c r="E382" t="s">
        <v>56</v>
      </c>
      <c r="F382" t="s">
        <v>52</v>
      </c>
      <c r="G382">
        <v>35.590000000000003</v>
      </c>
      <c r="H382">
        <v>15.5</v>
      </c>
      <c r="I382" t="s">
        <v>53</v>
      </c>
    </row>
    <row r="383" spans="1:9" x14ac:dyDescent="0.45">
      <c r="A383">
        <v>382</v>
      </c>
      <c r="B383" t="s">
        <v>446</v>
      </c>
      <c r="C383" t="s">
        <v>49</v>
      </c>
      <c r="D383" t="s">
        <v>50</v>
      </c>
      <c r="E383" t="s">
        <v>51</v>
      </c>
      <c r="F383" t="s">
        <v>52</v>
      </c>
      <c r="G383">
        <v>62.52</v>
      </c>
      <c r="H383">
        <v>38.08</v>
      </c>
      <c r="I383" t="s">
        <v>53</v>
      </c>
    </row>
    <row r="384" spans="1:9" x14ac:dyDescent="0.45">
      <c r="A384">
        <v>383</v>
      </c>
      <c r="B384" t="s">
        <v>447</v>
      </c>
      <c r="C384" t="s">
        <v>89</v>
      </c>
      <c r="D384" t="s">
        <v>50</v>
      </c>
      <c r="E384" t="s">
        <v>71</v>
      </c>
      <c r="F384" t="s">
        <v>72</v>
      </c>
      <c r="G384">
        <v>66.38</v>
      </c>
      <c r="H384">
        <v>39.08</v>
      </c>
      <c r="I384" t="s">
        <v>53</v>
      </c>
    </row>
    <row r="385" spans="1:9" x14ac:dyDescent="0.45">
      <c r="A385">
        <v>384</v>
      </c>
      <c r="B385" t="s">
        <v>448</v>
      </c>
      <c r="C385" t="s">
        <v>89</v>
      </c>
      <c r="D385" t="s">
        <v>50</v>
      </c>
      <c r="E385" t="s">
        <v>71</v>
      </c>
      <c r="F385" t="s">
        <v>52</v>
      </c>
      <c r="G385">
        <v>58.94</v>
      </c>
      <c r="H385">
        <v>39.090000000000003</v>
      </c>
      <c r="I385" t="s">
        <v>53</v>
      </c>
    </row>
    <row r="386" spans="1:9" x14ac:dyDescent="0.45">
      <c r="A386">
        <v>385</v>
      </c>
      <c r="B386" t="s">
        <v>449</v>
      </c>
      <c r="C386" t="s">
        <v>61</v>
      </c>
      <c r="D386" t="s">
        <v>50</v>
      </c>
      <c r="E386" t="s">
        <v>69</v>
      </c>
      <c r="F386" t="s">
        <v>63</v>
      </c>
      <c r="G386">
        <v>63.23</v>
      </c>
      <c r="H386">
        <v>39.24</v>
      </c>
      <c r="I386" t="s">
        <v>53</v>
      </c>
    </row>
    <row r="387" spans="1:9" x14ac:dyDescent="0.45">
      <c r="A387">
        <v>386</v>
      </c>
      <c r="B387" t="s">
        <v>450</v>
      </c>
      <c r="C387" t="s">
        <v>49</v>
      </c>
      <c r="D387" t="s">
        <v>50</v>
      </c>
      <c r="E387" t="s">
        <v>51</v>
      </c>
      <c r="F387" t="s">
        <v>72</v>
      </c>
      <c r="G387">
        <v>51.38</v>
      </c>
      <c r="H387">
        <v>32.94</v>
      </c>
      <c r="I387" t="s">
        <v>53</v>
      </c>
    </row>
    <row r="388" spans="1:9" x14ac:dyDescent="0.45">
      <c r="A388">
        <v>387</v>
      </c>
      <c r="B388" t="s">
        <v>451</v>
      </c>
      <c r="C388" t="s">
        <v>89</v>
      </c>
      <c r="D388" t="s">
        <v>50</v>
      </c>
      <c r="E388" t="s">
        <v>51</v>
      </c>
      <c r="F388" t="s">
        <v>63</v>
      </c>
      <c r="G388">
        <v>38.06</v>
      </c>
      <c r="H388">
        <v>18.440000000000001</v>
      </c>
      <c r="I388" t="s">
        <v>53</v>
      </c>
    </row>
    <row r="389" spans="1:9" x14ac:dyDescent="0.45">
      <c r="A389">
        <v>388</v>
      </c>
      <c r="B389" t="s">
        <v>452</v>
      </c>
      <c r="C389" t="s">
        <v>49</v>
      </c>
      <c r="D389" t="s">
        <v>50</v>
      </c>
      <c r="E389" t="s">
        <v>71</v>
      </c>
      <c r="F389" t="s">
        <v>52</v>
      </c>
      <c r="G389">
        <v>34.229999999999997</v>
      </c>
      <c r="H389">
        <v>15.51</v>
      </c>
      <c r="I389" t="s">
        <v>53</v>
      </c>
    </row>
    <row r="390" spans="1:9" x14ac:dyDescent="0.45">
      <c r="A390">
        <v>389</v>
      </c>
      <c r="B390" t="s">
        <v>453</v>
      </c>
      <c r="C390" t="s">
        <v>89</v>
      </c>
      <c r="D390" t="s">
        <v>50</v>
      </c>
      <c r="E390" t="s">
        <v>71</v>
      </c>
      <c r="F390" t="s">
        <v>58</v>
      </c>
      <c r="G390">
        <v>54.76</v>
      </c>
      <c r="H390">
        <v>34.24</v>
      </c>
      <c r="I390" t="s">
        <v>53</v>
      </c>
    </row>
    <row r="391" spans="1:9" x14ac:dyDescent="0.45">
      <c r="A391">
        <v>390</v>
      </c>
      <c r="B391" t="s">
        <v>454</v>
      </c>
      <c r="C391" t="s">
        <v>65</v>
      </c>
      <c r="D391" t="s">
        <v>50</v>
      </c>
      <c r="E391" t="s">
        <v>62</v>
      </c>
      <c r="F391" t="s">
        <v>578</v>
      </c>
      <c r="G391">
        <v>59.33</v>
      </c>
      <c r="H391">
        <v>38.090000000000003</v>
      </c>
      <c r="I391" t="s">
        <v>53</v>
      </c>
    </row>
    <row r="392" spans="1:9" x14ac:dyDescent="0.45">
      <c r="A392">
        <v>391</v>
      </c>
      <c r="B392" t="s">
        <v>455</v>
      </c>
      <c r="C392" t="s">
        <v>49</v>
      </c>
      <c r="D392" t="s">
        <v>50</v>
      </c>
      <c r="E392" t="s">
        <v>69</v>
      </c>
      <c r="F392" t="s">
        <v>58</v>
      </c>
      <c r="G392">
        <v>59.77</v>
      </c>
      <c r="H392">
        <v>41.67</v>
      </c>
      <c r="I392" t="s">
        <v>53</v>
      </c>
    </row>
    <row r="393" spans="1:9" x14ac:dyDescent="0.45">
      <c r="A393">
        <v>392</v>
      </c>
      <c r="B393" t="s">
        <v>456</v>
      </c>
      <c r="C393" t="s">
        <v>65</v>
      </c>
      <c r="D393" t="s">
        <v>50</v>
      </c>
      <c r="E393" t="s">
        <v>71</v>
      </c>
      <c r="F393" t="s">
        <v>72</v>
      </c>
      <c r="G393">
        <v>75.47</v>
      </c>
      <c r="H393">
        <v>39.53</v>
      </c>
      <c r="I393" t="s">
        <v>53</v>
      </c>
    </row>
    <row r="394" spans="1:9" x14ac:dyDescent="0.45">
      <c r="A394">
        <v>393</v>
      </c>
      <c r="B394" t="s">
        <v>457</v>
      </c>
      <c r="C394" t="s">
        <v>89</v>
      </c>
      <c r="D394" t="s">
        <v>50</v>
      </c>
      <c r="E394" t="s">
        <v>51</v>
      </c>
      <c r="F394" t="s">
        <v>77</v>
      </c>
      <c r="G394">
        <v>52.88</v>
      </c>
      <c r="H394">
        <v>27.05</v>
      </c>
      <c r="I394" t="s">
        <v>53</v>
      </c>
    </row>
    <row r="395" spans="1:9" x14ac:dyDescent="0.45">
      <c r="A395">
        <v>394</v>
      </c>
      <c r="B395" t="s">
        <v>458</v>
      </c>
      <c r="C395" t="s">
        <v>55</v>
      </c>
      <c r="D395" t="s">
        <v>50</v>
      </c>
      <c r="E395" t="s">
        <v>69</v>
      </c>
      <c r="F395" t="s">
        <v>77</v>
      </c>
      <c r="G395">
        <v>52.58</v>
      </c>
      <c r="H395">
        <v>33.28</v>
      </c>
      <c r="I395" t="s">
        <v>53</v>
      </c>
    </row>
    <row r="396" spans="1:9" x14ac:dyDescent="0.45">
      <c r="A396">
        <v>395</v>
      </c>
      <c r="B396" t="s">
        <v>459</v>
      </c>
      <c r="C396" t="s">
        <v>49</v>
      </c>
      <c r="D396" t="s">
        <v>50</v>
      </c>
      <c r="E396" t="s">
        <v>71</v>
      </c>
      <c r="F396" t="s">
        <v>72</v>
      </c>
      <c r="G396">
        <v>42.31</v>
      </c>
      <c r="H396">
        <v>21.25</v>
      </c>
      <c r="I396" t="s">
        <v>53</v>
      </c>
    </row>
    <row r="397" spans="1:9" x14ac:dyDescent="0.45">
      <c r="A397">
        <v>396</v>
      </c>
      <c r="B397" t="s">
        <v>460</v>
      </c>
      <c r="C397" t="s">
        <v>55</v>
      </c>
      <c r="D397" t="s">
        <v>50</v>
      </c>
      <c r="E397" t="s">
        <v>62</v>
      </c>
      <c r="F397" t="s">
        <v>72</v>
      </c>
      <c r="G397">
        <v>51</v>
      </c>
      <c r="H397">
        <v>34.64</v>
      </c>
      <c r="I397" t="s">
        <v>53</v>
      </c>
    </row>
    <row r="398" spans="1:9" x14ac:dyDescent="0.45">
      <c r="A398">
        <v>397</v>
      </c>
      <c r="B398" t="s">
        <v>461</v>
      </c>
      <c r="C398" t="s">
        <v>49</v>
      </c>
      <c r="D398" t="s">
        <v>50</v>
      </c>
      <c r="E398" t="s">
        <v>71</v>
      </c>
      <c r="F398" t="s">
        <v>63</v>
      </c>
      <c r="G398">
        <v>26.48</v>
      </c>
      <c r="H398">
        <v>17.41</v>
      </c>
      <c r="I398" t="s">
        <v>53</v>
      </c>
    </row>
    <row r="399" spans="1:9" x14ac:dyDescent="0.45">
      <c r="A399">
        <v>398</v>
      </c>
      <c r="B399" t="s">
        <v>462</v>
      </c>
      <c r="C399" t="s">
        <v>89</v>
      </c>
      <c r="D399" t="s">
        <v>50</v>
      </c>
      <c r="E399" t="s">
        <v>69</v>
      </c>
      <c r="F399" t="s">
        <v>72</v>
      </c>
      <c r="G399">
        <v>71.150000000000006</v>
      </c>
      <c r="H399">
        <v>37.619999999999997</v>
      </c>
      <c r="I399" t="s">
        <v>53</v>
      </c>
    </row>
    <row r="400" spans="1:9" x14ac:dyDescent="0.45">
      <c r="A400">
        <v>399</v>
      </c>
      <c r="B400" t="s">
        <v>463</v>
      </c>
      <c r="C400" t="s">
        <v>65</v>
      </c>
      <c r="D400" t="s">
        <v>50</v>
      </c>
      <c r="E400" t="s">
        <v>51</v>
      </c>
      <c r="F400" t="s">
        <v>63</v>
      </c>
      <c r="G400">
        <v>61.6</v>
      </c>
      <c r="H400">
        <v>38.520000000000003</v>
      </c>
      <c r="I400" t="s">
        <v>53</v>
      </c>
    </row>
    <row r="401" spans="1:9" x14ac:dyDescent="0.45">
      <c r="A401">
        <v>400</v>
      </c>
      <c r="B401" t="s">
        <v>464</v>
      </c>
      <c r="C401" t="s">
        <v>61</v>
      </c>
      <c r="D401" t="s">
        <v>50</v>
      </c>
      <c r="E401" t="s">
        <v>71</v>
      </c>
      <c r="F401" t="s">
        <v>72</v>
      </c>
      <c r="G401">
        <v>29.68</v>
      </c>
      <c r="H401">
        <v>18.59</v>
      </c>
      <c r="I401" t="s">
        <v>53</v>
      </c>
    </row>
    <row r="402" spans="1:9" x14ac:dyDescent="0.45">
      <c r="A402">
        <v>401</v>
      </c>
      <c r="B402" t="s">
        <v>465</v>
      </c>
      <c r="C402" t="s">
        <v>49</v>
      </c>
      <c r="D402" t="s">
        <v>50</v>
      </c>
      <c r="E402" t="s">
        <v>62</v>
      </c>
      <c r="F402" t="s">
        <v>58</v>
      </c>
      <c r="G402">
        <v>30.83</v>
      </c>
      <c r="H402">
        <v>13.29</v>
      </c>
      <c r="I402" t="s">
        <v>53</v>
      </c>
    </row>
    <row r="403" spans="1:9" x14ac:dyDescent="0.45">
      <c r="A403">
        <v>402</v>
      </c>
      <c r="B403" t="s">
        <v>466</v>
      </c>
      <c r="C403" t="s">
        <v>89</v>
      </c>
      <c r="D403" t="s">
        <v>50</v>
      </c>
      <c r="E403" t="s">
        <v>71</v>
      </c>
      <c r="F403" t="s">
        <v>52</v>
      </c>
      <c r="G403">
        <v>34.450000000000003</v>
      </c>
      <c r="H403">
        <v>23.11</v>
      </c>
      <c r="I403" t="s">
        <v>53</v>
      </c>
    </row>
    <row r="404" spans="1:9" x14ac:dyDescent="0.45">
      <c r="A404">
        <v>403</v>
      </c>
      <c r="B404" t="s">
        <v>467</v>
      </c>
      <c r="C404" t="s">
        <v>49</v>
      </c>
      <c r="D404" t="s">
        <v>50</v>
      </c>
      <c r="E404" t="s">
        <v>69</v>
      </c>
      <c r="F404" t="s">
        <v>72</v>
      </c>
      <c r="G404">
        <v>81.8</v>
      </c>
      <c r="H404">
        <v>45.12</v>
      </c>
      <c r="I404" t="s">
        <v>53</v>
      </c>
    </row>
    <row r="405" spans="1:9" x14ac:dyDescent="0.45">
      <c r="A405">
        <v>404</v>
      </c>
      <c r="B405" t="s">
        <v>468</v>
      </c>
      <c r="C405" t="s">
        <v>89</v>
      </c>
      <c r="D405" t="s">
        <v>50</v>
      </c>
      <c r="E405" t="s">
        <v>71</v>
      </c>
      <c r="F405" t="s">
        <v>72</v>
      </c>
      <c r="G405">
        <v>45.19</v>
      </c>
      <c r="H405">
        <v>29.28</v>
      </c>
      <c r="I405" t="s">
        <v>53</v>
      </c>
    </row>
    <row r="406" spans="1:9" x14ac:dyDescent="0.45">
      <c r="A406">
        <v>405</v>
      </c>
      <c r="B406" t="s">
        <v>469</v>
      </c>
      <c r="C406" t="s">
        <v>49</v>
      </c>
      <c r="D406" t="s">
        <v>50</v>
      </c>
      <c r="E406" t="s">
        <v>62</v>
      </c>
      <c r="F406" t="s">
        <v>58</v>
      </c>
      <c r="G406">
        <v>34.71</v>
      </c>
      <c r="H406">
        <v>17.22</v>
      </c>
      <c r="I406" t="s">
        <v>53</v>
      </c>
    </row>
    <row r="407" spans="1:9" x14ac:dyDescent="0.45">
      <c r="A407">
        <v>406</v>
      </c>
      <c r="B407" t="s">
        <v>470</v>
      </c>
      <c r="C407" t="s">
        <v>61</v>
      </c>
      <c r="D407" t="s">
        <v>50</v>
      </c>
      <c r="E407" t="s">
        <v>56</v>
      </c>
      <c r="F407" t="s">
        <v>52</v>
      </c>
      <c r="G407">
        <v>53.74</v>
      </c>
      <c r="H407">
        <v>35.93</v>
      </c>
      <c r="I407" t="s">
        <v>53</v>
      </c>
    </row>
    <row r="408" spans="1:9" x14ac:dyDescent="0.45">
      <c r="A408">
        <v>407</v>
      </c>
      <c r="B408" t="s">
        <v>471</v>
      </c>
      <c r="C408" t="s">
        <v>55</v>
      </c>
      <c r="D408" t="s">
        <v>50</v>
      </c>
      <c r="E408" t="s">
        <v>56</v>
      </c>
      <c r="F408" t="s">
        <v>52</v>
      </c>
      <c r="G408">
        <v>56.84</v>
      </c>
      <c r="H408">
        <v>29.37</v>
      </c>
      <c r="I408" t="s">
        <v>53</v>
      </c>
    </row>
    <row r="409" spans="1:9" x14ac:dyDescent="0.45">
      <c r="A409">
        <v>408</v>
      </c>
      <c r="B409" t="s">
        <v>472</v>
      </c>
      <c r="C409" t="s">
        <v>55</v>
      </c>
      <c r="D409" t="s">
        <v>50</v>
      </c>
      <c r="E409" t="s">
        <v>69</v>
      </c>
      <c r="F409" t="s">
        <v>52</v>
      </c>
      <c r="G409">
        <v>37.17</v>
      </c>
      <c r="H409">
        <v>14.99</v>
      </c>
      <c r="I409" t="s">
        <v>53</v>
      </c>
    </row>
    <row r="410" spans="1:9" x14ac:dyDescent="0.45">
      <c r="A410">
        <v>409</v>
      </c>
      <c r="B410" t="s">
        <v>473</v>
      </c>
      <c r="C410" t="s">
        <v>65</v>
      </c>
      <c r="D410" t="s">
        <v>50</v>
      </c>
      <c r="E410" t="s">
        <v>69</v>
      </c>
      <c r="F410" t="s">
        <v>578</v>
      </c>
      <c r="G410">
        <v>47.84</v>
      </c>
      <c r="H410">
        <v>32.130000000000003</v>
      </c>
      <c r="I410" t="s">
        <v>53</v>
      </c>
    </row>
    <row r="411" spans="1:9" x14ac:dyDescent="0.45">
      <c r="A411">
        <v>410</v>
      </c>
      <c r="B411" t="s">
        <v>474</v>
      </c>
      <c r="C411" t="s">
        <v>89</v>
      </c>
      <c r="D411" t="s">
        <v>50</v>
      </c>
      <c r="E411" t="s">
        <v>56</v>
      </c>
      <c r="F411" t="s">
        <v>63</v>
      </c>
      <c r="G411">
        <v>47.47</v>
      </c>
      <c r="H411">
        <v>20.29</v>
      </c>
      <c r="I411" t="s">
        <v>53</v>
      </c>
    </row>
    <row r="412" spans="1:9" x14ac:dyDescent="0.45">
      <c r="A412">
        <v>411</v>
      </c>
      <c r="B412" t="s">
        <v>475</v>
      </c>
      <c r="C412" t="s">
        <v>89</v>
      </c>
      <c r="D412" t="s">
        <v>50</v>
      </c>
      <c r="E412" t="s">
        <v>51</v>
      </c>
      <c r="F412" t="s">
        <v>77</v>
      </c>
      <c r="G412">
        <v>43.94</v>
      </c>
      <c r="H412">
        <v>21.79</v>
      </c>
      <c r="I412" t="s">
        <v>53</v>
      </c>
    </row>
    <row r="413" spans="1:9" x14ac:dyDescent="0.45">
      <c r="A413">
        <v>412</v>
      </c>
      <c r="B413" t="s">
        <v>476</v>
      </c>
      <c r="C413" t="s">
        <v>65</v>
      </c>
      <c r="D413" t="s">
        <v>50</v>
      </c>
      <c r="E413" t="s">
        <v>71</v>
      </c>
      <c r="F413" t="s">
        <v>63</v>
      </c>
      <c r="G413">
        <v>60.33</v>
      </c>
      <c r="H413">
        <v>41.33</v>
      </c>
      <c r="I413" t="s">
        <v>53</v>
      </c>
    </row>
    <row r="414" spans="1:9" x14ac:dyDescent="0.45">
      <c r="A414">
        <v>413</v>
      </c>
      <c r="B414" t="s">
        <v>477</v>
      </c>
      <c r="C414" t="s">
        <v>65</v>
      </c>
      <c r="D414" t="s">
        <v>50</v>
      </c>
      <c r="E414" t="s">
        <v>71</v>
      </c>
      <c r="F414" t="s">
        <v>72</v>
      </c>
      <c r="G414">
        <v>76.150000000000006</v>
      </c>
      <c r="H414">
        <v>52.18</v>
      </c>
      <c r="I414" t="s">
        <v>53</v>
      </c>
    </row>
    <row r="415" spans="1:9" x14ac:dyDescent="0.45">
      <c r="A415">
        <v>414</v>
      </c>
      <c r="B415" t="s">
        <v>478</v>
      </c>
      <c r="C415" t="s">
        <v>89</v>
      </c>
      <c r="D415" t="s">
        <v>50</v>
      </c>
      <c r="E415" t="s">
        <v>62</v>
      </c>
      <c r="F415" t="s">
        <v>77</v>
      </c>
      <c r="G415">
        <v>35.200000000000003</v>
      </c>
      <c r="H415">
        <v>20.14</v>
      </c>
      <c r="I415" t="s">
        <v>53</v>
      </c>
    </row>
    <row r="416" spans="1:9" x14ac:dyDescent="0.45">
      <c r="A416">
        <v>415</v>
      </c>
      <c r="B416" t="s">
        <v>479</v>
      </c>
      <c r="C416" t="s">
        <v>61</v>
      </c>
      <c r="D416" t="s">
        <v>50</v>
      </c>
      <c r="E416" t="s">
        <v>56</v>
      </c>
      <c r="F416" t="s">
        <v>77</v>
      </c>
      <c r="G416">
        <v>28.73</v>
      </c>
      <c r="H416">
        <v>16.940000000000001</v>
      </c>
      <c r="I416" t="s">
        <v>53</v>
      </c>
    </row>
    <row r="417" spans="1:9" x14ac:dyDescent="0.45">
      <c r="A417">
        <v>416</v>
      </c>
      <c r="B417" t="s">
        <v>480</v>
      </c>
      <c r="C417" t="s">
        <v>61</v>
      </c>
      <c r="D417" t="s">
        <v>50</v>
      </c>
      <c r="E417" t="s">
        <v>56</v>
      </c>
      <c r="F417" t="s">
        <v>58</v>
      </c>
      <c r="G417">
        <v>53.46</v>
      </c>
      <c r="H417">
        <v>28.58</v>
      </c>
      <c r="I417" t="s">
        <v>53</v>
      </c>
    </row>
    <row r="418" spans="1:9" x14ac:dyDescent="0.45">
      <c r="A418">
        <v>417</v>
      </c>
      <c r="B418" t="s">
        <v>481</v>
      </c>
      <c r="C418" t="s">
        <v>65</v>
      </c>
      <c r="D418" t="s">
        <v>50</v>
      </c>
      <c r="E418" t="s">
        <v>56</v>
      </c>
      <c r="F418" t="s">
        <v>63</v>
      </c>
      <c r="G418">
        <v>38.42</v>
      </c>
      <c r="H418">
        <v>18.75</v>
      </c>
      <c r="I418" t="s">
        <v>53</v>
      </c>
    </row>
    <row r="419" spans="1:9" x14ac:dyDescent="0.45">
      <c r="A419">
        <v>418</v>
      </c>
      <c r="B419" t="s">
        <v>482</v>
      </c>
      <c r="C419" t="s">
        <v>65</v>
      </c>
      <c r="D419" t="s">
        <v>50</v>
      </c>
      <c r="E419" t="s">
        <v>62</v>
      </c>
      <c r="F419" t="s">
        <v>52</v>
      </c>
      <c r="G419">
        <v>31.84</v>
      </c>
      <c r="H419">
        <v>15.88</v>
      </c>
      <c r="I419" t="s">
        <v>53</v>
      </c>
    </row>
    <row r="420" spans="1:9" x14ac:dyDescent="0.45">
      <c r="A420">
        <v>419</v>
      </c>
      <c r="B420" t="s">
        <v>483</v>
      </c>
      <c r="C420" t="s">
        <v>49</v>
      </c>
      <c r="D420" t="s">
        <v>50</v>
      </c>
      <c r="E420" t="s">
        <v>62</v>
      </c>
      <c r="F420" t="s">
        <v>72</v>
      </c>
      <c r="G420">
        <v>50.34</v>
      </c>
      <c r="H420">
        <v>30.29</v>
      </c>
      <c r="I420" t="s">
        <v>53</v>
      </c>
    </row>
    <row r="421" spans="1:9" x14ac:dyDescent="0.45">
      <c r="A421">
        <v>420</v>
      </c>
      <c r="B421" t="s">
        <v>484</v>
      </c>
      <c r="C421" t="s">
        <v>65</v>
      </c>
      <c r="D421" t="s">
        <v>50</v>
      </c>
      <c r="E421" t="s">
        <v>51</v>
      </c>
      <c r="F421" t="s">
        <v>52</v>
      </c>
      <c r="G421">
        <v>72.58</v>
      </c>
      <c r="H421">
        <v>45.41</v>
      </c>
      <c r="I421" t="s">
        <v>53</v>
      </c>
    </row>
    <row r="422" spans="1:9" x14ac:dyDescent="0.45">
      <c r="A422">
        <v>421</v>
      </c>
      <c r="B422" t="s">
        <v>485</v>
      </c>
      <c r="C422" t="s">
        <v>89</v>
      </c>
      <c r="D422" t="s">
        <v>50</v>
      </c>
      <c r="E422" t="s">
        <v>51</v>
      </c>
      <c r="F422" t="s">
        <v>77</v>
      </c>
      <c r="G422">
        <v>50.89</v>
      </c>
      <c r="H422">
        <v>32.44</v>
      </c>
      <c r="I422" t="s">
        <v>53</v>
      </c>
    </row>
    <row r="423" spans="1:9" x14ac:dyDescent="0.45">
      <c r="A423">
        <v>422</v>
      </c>
      <c r="B423" t="s">
        <v>486</v>
      </c>
      <c r="C423" t="s">
        <v>89</v>
      </c>
      <c r="D423" t="s">
        <v>50</v>
      </c>
      <c r="E423" t="s">
        <v>51</v>
      </c>
      <c r="F423" t="s">
        <v>63</v>
      </c>
      <c r="G423">
        <v>55.91</v>
      </c>
      <c r="H423">
        <v>35.61</v>
      </c>
      <c r="I423" t="s">
        <v>53</v>
      </c>
    </row>
    <row r="424" spans="1:9" x14ac:dyDescent="0.45">
      <c r="A424">
        <v>423</v>
      </c>
      <c r="B424" t="s">
        <v>487</v>
      </c>
      <c r="C424" t="s">
        <v>55</v>
      </c>
      <c r="D424" t="s">
        <v>50</v>
      </c>
      <c r="E424" t="s">
        <v>71</v>
      </c>
      <c r="F424" t="s">
        <v>72</v>
      </c>
      <c r="G424">
        <v>41.64</v>
      </c>
      <c r="H424">
        <v>17.8</v>
      </c>
      <c r="I424" t="s">
        <v>53</v>
      </c>
    </row>
    <row r="425" spans="1:9" x14ac:dyDescent="0.45">
      <c r="A425">
        <v>424</v>
      </c>
      <c r="B425" t="s">
        <v>488</v>
      </c>
      <c r="C425" t="s">
        <v>49</v>
      </c>
      <c r="D425" t="s">
        <v>50</v>
      </c>
      <c r="E425" t="s">
        <v>62</v>
      </c>
      <c r="F425" t="s">
        <v>58</v>
      </c>
      <c r="G425">
        <v>55.39</v>
      </c>
      <c r="H425">
        <v>30.37</v>
      </c>
      <c r="I425" t="s">
        <v>53</v>
      </c>
    </row>
    <row r="426" spans="1:9" x14ac:dyDescent="0.45">
      <c r="A426">
        <v>425</v>
      </c>
      <c r="B426" t="s">
        <v>489</v>
      </c>
      <c r="C426" t="s">
        <v>89</v>
      </c>
      <c r="D426" t="s">
        <v>50</v>
      </c>
      <c r="E426" t="s">
        <v>69</v>
      </c>
      <c r="F426" t="s">
        <v>52</v>
      </c>
      <c r="G426">
        <v>53.99</v>
      </c>
      <c r="H426">
        <v>22.53</v>
      </c>
      <c r="I426" t="s">
        <v>53</v>
      </c>
    </row>
    <row r="427" spans="1:9" x14ac:dyDescent="0.45">
      <c r="A427">
        <v>426</v>
      </c>
      <c r="B427" t="s">
        <v>490</v>
      </c>
      <c r="C427" t="s">
        <v>49</v>
      </c>
      <c r="D427" t="s">
        <v>50</v>
      </c>
      <c r="E427" t="s">
        <v>71</v>
      </c>
      <c r="F427" t="s">
        <v>63</v>
      </c>
      <c r="G427">
        <v>51.97</v>
      </c>
      <c r="H427">
        <v>29.36</v>
      </c>
      <c r="I427" t="s">
        <v>53</v>
      </c>
    </row>
    <row r="428" spans="1:9" x14ac:dyDescent="0.45">
      <c r="A428">
        <v>427</v>
      </c>
      <c r="B428" t="s">
        <v>491</v>
      </c>
      <c r="C428" t="s">
        <v>89</v>
      </c>
      <c r="D428" t="s">
        <v>50</v>
      </c>
      <c r="E428" t="s">
        <v>71</v>
      </c>
      <c r="F428" t="s">
        <v>58</v>
      </c>
      <c r="G428">
        <v>36.01</v>
      </c>
      <c r="H428">
        <v>19.170000000000002</v>
      </c>
      <c r="I428" t="s">
        <v>53</v>
      </c>
    </row>
    <row r="429" spans="1:9" x14ac:dyDescent="0.45">
      <c r="A429">
        <v>428</v>
      </c>
      <c r="B429" t="s">
        <v>492</v>
      </c>
      <c r="C429" t="s">
        <v>65</v>
      </c>
      <c r="D429" t="s">
        <v>50</v>
      </c>
      <c r="E429" t="s">
        <v>62</v>
      </c>
      <c r="F429" t="s">
        <v>63</v>
      </c>
      <c r="G429">
        <v>61.22</v>
      </c>
      <c r="H429">
        <v>40.79</v>
      </c>
      <c r="I429" t="s">
        <v>53</v>
      </c>
    </row>
    <row r="430" spans="1:9" x14ac:dyDescent="0.45">
      <c r="A430">
        <v>429</v>
      </c>
      <c r="B430" t="s">
        <v>493</v>
      </c>
      <c r="C430" t="s">
        <v>55</v>
      </c>
      <c r="D430" t="s">
        <v>50</v>
      </c>
      <c r="E430" t="s">
        <v>56</v>
      </c>
      <c r="F430" t="s">
        <v>72</v>
      </c>
      <c r="G430">
        <v>43.34</v>
      </c>
      <c r="H430">
        <v>21.9</v>
      </c>
      <c r="I430" t="s">
        <v>53</v>
      </c>
    </row>
    <row r="431" spans="1:9" x14ac:dyDescent="0.45">
      <c r="A431">
        <v>430</v>
      </c>
      <c r="B431" t="s">
        <v>494</v>
      </c>
      <c r="C431" t="s">
        <v>89</v>
      </c>
      <c r="D431" t="s">
        <v>50</v>
      </c>
      <c r="E431" t="s">
        <v>51</v>
      </c>
      <c r="F431" t="s">
        <v>77</v>
      </c>
      <c r="G431">
        <v>33.979999999999997</v>
      </c>
      <c r="H431">
        <v>14.79</v>
      </c>
      <c r="I431" t="s">
        <v>53</v>
      </c>
    </row>
    <row r="432" spans="1:9" x14ac:dyDescent="0.45">
      <c r="A432">
        <v>431</v>
      </c>
      <c r="B432" t="s">
        <v>495</v>
      </c>
      <c r="C432" t="s">
        <v>65</v>
      </c>
      <c r="D432" t="s">
        <v>50</v>
      </c>
      <c r="E432" t="s">
        <v>62</v>
      </c>
      <c r="F432" t="s">
        <v>578</v>
      </c>
      <c r="G432">
        <v>30.41</v>
      </c>
      <c r="H432">
        <v>13.47</v>
      </c>
      <c r="I432" t="s">
        <v>53</v>
      </c>
    </row>
    <row r="433" spans="1:9" x14ac:dyDescent="0.45">
      <c r="A433">
        <v>432</v>
      </c>
      <c r="B433" t="s">
        <v>496</v>
      </c>
      <c r="C433" t="s">
        <v>55</v>
      </c>
      <c r="D433" t="s">
        <v>50</v>
      </c>
      <c r="E433" t="s">
        <v>62</v>
      </c>
      <c r="F433" t="s">
        <v>63</v>
      </c>
      <c r="G433">
        <v>52.39</v>
      </c>
      <c r="H433">
        <v>32.92</v>
      </c>
      <c r="I433" t="s">
        <v>53</v>
      </c>
    </row>
    <row r="434" spans="1:9" x14ac:dyDescent="0.45">
      <c r="A434">
        <v>433</v>
      </c>
      <c r="B434" t="s">
        <v>497</v>
      </c>
      <c r="C434" t="s">
        <v>61</v>
      </c>
      <c r="D434" t="s">
        <v>50</v>
      </c>
      <c r="E434" t="s">
        <v>69</v>
      </c>
      <c r="F434" t="s">
        <v>77</v>
      </c>
      <c r="G434">
        <v>60.12</v>
      </c>
      <c r="H434">
        <v>35.200000000000003</v>
      </c>
      <c r="I434" t="s">
        <v>53</v>
      </c>
    </row>
    <row r="435" spans="1:9" x14ac:dyDescent="0.45">
      <c r="A435">
        <v>434</v>
      </c>
      <c r="B435" t="s">
        <v>498</v>
      </c>
      <c r="C435" t="s">
        <v>55</v>
      </c>
      <c r="D435" t="s">
        <v>50</v>
      </c>
      <c r="E435" t="s">
        <v>62</v>
      </c>
      <c r="F435" t="s">
        <v>77</v>
      </c>
      <c r="G435">
        <v>43.14</v>
      </c>
      <c r="H435">
        <v>18.559999999999999</v>
      </c>
      <c r="I435" t="s">
        <v>53</v>
      </c>
    </row>
    <row r="436" spans="1:9" x14ac:dyDescent="0.45">
      <c r="A436">
        <v>435</v>
      </c>
      <c r="B436" t="s">
        <v>499</v>
      </c>
      <c r="C436" t="s">
        <v>61</v>
      </c>
      <c r="D436" t="s">
        <v>50</v>
      </c>
      <c r="E436" t="s">
        <v>62</v>
      </c>
      <c r="F436" t="s">
        <v>58</v>
      </c>
      <c r="G436">
        <v>64.5</v>
      </c>
      <c r="H436">
        <v>27.43</v>
      </c>
      <c r="I436" t="s">
        <v>53</v>
      </c>
    </row>
    <row r="437" spans="1:9" x14ac:dyDescent="0.45">
      <c r="A437">
        <v>436</v>
      </c>
      <c r="B437" t="s">
        <v>500</v>
      </c>
      <c r="C437" t="s">
        <v>65</v>
      </c>
      <c r="D437" t="s">
        <v>50</v>
      </c>
      <c r="E437" t="s">
        <v>62</v>
      </c>
      <c r="F437" t="s">
        <v>72</v>
      </c>
      <c r="G437">
        <v>49.81</v>
      </c>
      <c r="H437">
        <v>30.4</v>
      </c>
      <c r="I437" t="s">
        <v>53</v>
      </c>
    </row>
    <row r="438" spans="1:9" x14ac:dyDescent="0.45">
      <c r="A438">
        <v>437</v>
      </c>
      <c r="B438" t="s">
        <v>501</v>
      </c>
      <c r="C438" t="s">
        <v>49</v>
      </c>
      <c r="D438" t="s">
        <v>50</v>
      </c>
      <c r="E438" t="s">
        <v>51</v>
      </c>
      <c r="F438" t="s">
        <v>72</v>
      </c>
      <c r="G438">
        <v>62.17</v>
      </c>
      <c r="H438">
        <v>26.23</v>
      </c>
      <c r="I438" t="s">
        <v>53</v>
      </c>
    </row>
    <row r="439" spans="1:9" x14ac:dyDescent="0.45">
      <c r="A439">
        <v>438</v>
      </c>
      <c r="B439" t="s">
        <v>502</v>
      </c>
      <c r="C439" t="s">
        <v>49</v>
      </c>
      <c r="D439" t="s">
        <v>50</v>
      </c>
      <c r="E439" t="s">
        <v>62</v>
      </c>
      <c r="F439" t="s">
        <v>77</v>
      </c>
      <c r="G439">
        <v>38.74</v>
      </c>
      <c r="H439">
        <v>25.05</v>
      </c>
      <c r="I439" t="s">
        <v>53</v>
      </c>
    </row>
    <row r="440" spans="1:9" x14ac:dyDescent="0.45">
      <c r="A440">
        <v>439</v>
      </c>
      <c r="B440" t="s">
        <v>503</v>
      </c>
      <c r="C440" t="s">
        <v>61</v>
      </c>
      <c r="D440" t="s">
        <v>50</v>
      </c>
      <c r="E440" t="s">
        <v>71</v>
      </c>
      <c r="F440" t="s">
        <v>63</v>
      </c>
      <c r="G440">
        <v>53.93</v>
      </c>
      <c r="H440">
        <v>33</v>
      </c>
      <c r="I440" t="s">
        <v>53</v>
      </c>
    </row>
    <row r="441" spans="1:9" x14ac:dyDescent="0.45">
      <c r="A441">
        <v>440</v>
      </c>
      <c r="B441" t="s">
        <v>504</v>
      </c>
      <c r="C441" t="s">
        <v>65</v>
      </c>
      <c r="D441" t="s">
        <v>50</v>
      </c>
      <c r="E441" t="s">
        <v>69</v>
      </c>
      <c r="F441" t="s">
        <v>63</v>
      </c>
      <c r="G441">
        <v>52.08</v>
      </c>
      <c r="H441">
        <v>22.1</v>
      </c>
      <c r="I441" t="s">
        <v>53</v>
      </c>
    </row>
    <row r="442" spans="1:9" x14ac:dyDescent="0.45">
      <c r="A442">
        <v>441</v>
      </c>
      <c r="B442" t="s">
        <v>505</v>
      </c>
      <c r="C442" t="s">
        <v>49</v>
      </c>
      <c r="D442" t="s">
        <v>50</v>
      </c>
      <c r="E442" t="s">
        <v>69</v>
      </c>
      <c r="F442" t="s">
        <v>72</v>
      </c>
      <c r="G442">
        <v>36.99</v>
      </c>
      <c r="H442">
        <v>15.74</v>
      </c>
      <c r="I442" t="s">
        <v>53</v>
      </c>
    </row>
    <row r="443" spans="1:9" x14ac:dyDescent="0.45">
      <c r="A443">
        <v>442</v>
      </c>
      <c r="B443" t="s">
        <v>506</v>
      </c>
      <c r="C443" t="s">
        <v>49</v>
      </c>
      <c r="D443" t="s">
        <v>50</v>
      </c>
      <c r="E443" t="s">
        <v>56</v>
      </c>
      <c r="F443" t="s">
        <v>77</v>
      </c>
      <c r="G443">
        <v>53.27</v>
      </c>
      <c r="H443">
        <v>37.08</v>
      </c>
      <c r="I443" t="s">
        <v>53</v>
      </c>
    </row>
    <row r="444" spans="1:9" x14ac:dyDescent="0.45">
      <c r="A444">
        <v>443</v>
      </c>
      <c r="B444" t="s">
        <v>507</v>
      </c>
      <c r="C444" t="s">
        <v>89</v>
      </c>
      <c r="D444" t="s">
        <v>50</v>
      </c>
      <c r="E444" t="s">
        <v>71</v>
      </c>
      <c r="F444" t="s">
        <v>52</v>
      </c>
      <c r="G444">
        <v>23.13</v>
      </c>
      <c r="H444">
        <v>11.85</v>
      </c>
      <c r="I444" t="s">
        <v>53</v>
      </c>
    </row>
    <row r="445" spans="1:9" x14ac:dyDescent="0.45">
      <c r="A445">
        <v>444</v>
      </c>
      <c r="B445" t="s">
        <v>508</v>
      </c>
      <c r="C445" t="s">
        <v>49</v>
      </c>
      <c r="D445" t="s">
        <v>50</v>
      </c>
      <c r="E445" t="s">
        <v>71</v>
      </c>
      <c r="F445" t="s">
        <v>58</v>
      </c>
      <c r="G445">
        <v>61.78</v>
      </c>
      <c r="H445">
        <v>31.58</v>
      </c>
      <c r="I445" t="s">
        <v>53</v>
      </c>
    </row>
    <row r="446" spans="1:9" x14ac:dyDescent="0.45">
      <c r="A446">
        <v>445</v>
      </c>
      <c r="B446" t="s">
        <v>509</v>
      </c>
      <c r="C446" t="s">
        <v>89</v>
      </c>
      <c r="D446" t="s">
        <v>50</v>
      </c>
      <c r="E446" t="s">
        <v>56</v>
      </c>
      <c r="F446" t="s">
        <v>52</v>
      </c>
      <c r="G446">
        <v>52.28</v>
      </c>
      <c r="H446">
        <v>33.659999999999997</v>
      </c>
      <c r="I446" t="s">
        <v>53</v>
      </c>
    </row>
    <row r="447" spans="1:9" x14ac:dyDescent="0.45">
      <c r="A447">
        <v>446</v>
      </c>
      <c r="B447" t="s">
        <v>510</v>
      </c>
      <c r="C447" t="s">
        <v>55</v>
      </c>
      <c r="D447" t="s">
        <v>50</v>
      </c>
      <c r="E447" t="s">
        <v>71</v>
      </c>
      <c r="F447" t="s">
        <v>72</v>
      </c>
      <c r="G447">
        <v>55.14</v>
      </c>
      <c r="H447">
        <v>37.729999999999997</v>
      </c>
      <c r="I447" t="s">
        <v>53</v>
      </c>
    </row>
    <row r="448" spans="1:9" x14ac:dyDescent="0.45">
      <c r="A448">
        <v>447</v>
      </c>
      <c r="B448" t="s">
        <v>511</v>
      </c>
      <c r="C448" t="s">
        <v>49</v>
      </c>
      <c r="D448" t="s">
        <v>50</v>
      </c>
      <c r="E448" t="s">
        <v>51</v>
      </c>
      <c r="F448" t="s">
        <v>72</v>
      </c>
      <c r="G448">
        <v>47.66</v>
      </c>
      <c r="H448">
        <v>33.159999999999997</v>
      </c>
      <c r="I448" t="s">
        <v>53</v>
      </c>
    </row>
    <row r="449" spans="1:9" x14ac:dyDescent="0.45">
      <c r="A449">
        <v>448</v>
      </c>
      <c r="B449" t="s">
        <v>512</v>
      </c>
      <c r="C449" t="s">
        <v>49</v>
      </c>
      <c r="D449" t="s">
        <v>50</v>
      </c>
      <c r="E449" t="s">
        <v>56</v>
      </c>
      <c r="F449" t="s">
        <v>52</v>
      </c>
      <c r="G449">
        <v>75.62</v>
      </c>
      <c r="H449">
        <v>47.34</v>
      </c>
      <c r="I449" t="s">
        <v>53</v>
      </c>
    </row>
    <row r="450" spans="1:9" x14ac:dyDescent="0.45">
      <c r="A450">
        <v>449</v>
      </c>
      <c r="B450" t="s">
        <v>513</v>
      </c>
      <c r="C450" t="s">
        <v>89</v>
      </c>
      <c r="D450" t="s">
        <v>50</v>
      </c>
      <c r="E450" t="s">
        <v>51</v>
      </c>
      <c r="F450" t="s">
        <v>72</v>
      </c>
      <c r="G450">
        <v>46.9</v>
      </c>
      <c r="H450">
        <v>24.05</v>
      </c>
      <c r="I450" t="s">
        <v>53</v>
      </c>
    </row>
    <row r="451" spans="1:9" x14ac:dyDescent="0.45">
      <c r="A451">
        <v>450</v>
      </c>
      <c r="B451" t="s">
        <v>514</v>
      </c>
      <c r="C451" t="s">
        <v>89</v>
      </c>
      <c r="D451" t="s">
        <v>50</v>
      </c>
      <c r="E451" t="s">
        <v>56</v>
      </c>
      <c r="F451" t="s">
        <v>63</v>
      </c>
      <c r="G451">
        <v>50.85</v>
      </c>
      <c r="H451">
        <v>21.61</v>
      </c>
      <c r="I451" t="s">
        <v>53</v>
      </c>
    </row>
    <row r="452" spans="1:9" x14ac:dyDescent="0.45">
      <c r="A452">
        <v>451</v>
      </c>
      <c r="B452" t="s">
        <v>515</v>
      </c>
      <c r="C452" t="s">
        <v>55</v>
      </c>
      <c r="D452" t="s">
        <v>50</v>
      </c>
      <c r="E452" t="s">
        <v>69</v>
      </c>
      <c r="F452" t="s">
        <v>58</v>
      </c>
      <c r="G452">
        <v>37.799999999999997</v>
      </c>
      <c r="H452">
        <v>23.93</v>
      </c>
      <c r="I452" t="s">
        <v>53</v>
      </c>
    </row>
    <row r="453" spans="1:9" x14ac:dyDescent="0.45">
      <c r="A453">
        <v>452</v>
      </c>
      <c r="B453" t="s">
        <v>516</v>
      </c>
      <c r="C453" t="s">
        <v>49</v>
      </c>
      <c r="D453" t="s">
        <v>50</v>
      </c>
      <c r="E453" t="s">
        <v>69</v>
      </c>
      <c r="F453" t="s">
        <v>77</v>
      </c>
      <c r="G453">
        <v>30.85</v>
      </c>
      <c r="H453">
        <v>17.510000000000002</v>
      </c>
      <c r="I453" t="s">
        <v>53</v>
      </c>
    </row>
    <row r="454" spans="1:9" x14ac:dyDescent="0.45">
      <c r="A454">
        <v>453</v>
      </c>
      <c r="B454" t="s">
        <v>517</v>
      </c>
      <c r="C454" t="s">
        <v>55</v>
      </c>
      <c r="D454" t="s">
        <v>50</v>
      </c>
      <c r="E454" t="s">
        <v>62</v>
      </c>
      <c r="F454" t="s">
        <v>77</v>
      </c>
      <c r="G454">
        <v>32.049999999999997</v>
      </c>
      <c r="H454">
        <v>16.899999999999999</v>
      </c>
      <c r="I454" t="s">
        <v>53</v>
      </c>
    </row>
    <row r="455" spans="1:9" x14ac:dyDescent="0.45">
      <c r="A455">
        <v>454</v>
      </c>
      <c r="B455" t="s">
        <v>518</v>
      </c>
      <c r="C455" t="s">
        <v>89</v>
      </c>
      <c r="D455" t="s">
        <v>50</v>
      </c>
      <c r="E455" t="s">
        <v>71</v>
      </c>
      <c r="F455" t="s">
        <v>72</v>
      </c>
      <c r="G455">
        <v>35.159999999999997</v>
      </c>
      <c r="H455">
        <v>23.62</v>
      </c>
      <c r="I455" t="s">
        <v>53</v>
      </c>
    </row>
    <row r="456" spans="1:9" x14ac:dyDescent="0.45">
      <c r="A456">
        <v>455</v>
      </c>
      <c r="B456" t="s">
        <v>519</v>
      </c>
      <c r="C456" t="s">
        <v>61</v>
      </c>
      <c r="D456" t="s">
        <v>50</v>
      </c>
      <c r="E456" t="s">
        <v>56</v>
      </c>
      <c r="F456" t="s">
        <v>72</v>
      </c>
      <c r="G456">
        <v>48.03</v>
      </c>
      <c r="H456">
        <v>20.81</v>
      </c>
      <c r="I456" t="s">
        <v>53</v>
      </c>
    </row>
    <row r="457" spans="1:9" x14ac:dyDescent="0.45">
      <c r="A457">
        <v>456</v>
      </c>
      <c r="B457" t="s">
        <v>520</v>
      </c>
      <c r="C457" t="s">
        <v>49</v>
      </c>
      <c r="D457" t="s">
        <v>50</v>
      </c>
      <c r="E457" t="s">
        <v>62</v>
      </c>
      <c r="F457" t="s">
        <v>63</v>
      </c>
      <c r="G457">
        <v>39.090000000000003</v>
      </c>
      <c r="H457">
        <v>21.41</v>
      </c>
      <c r="I457" t="s">
        <v>53</v>
      </c>
    </row>
    <row r="458" spans="1:9" x14ac:dyDescent="0.45">
      <c r="A458">
        <v>457</v>
      </c>
      <c r="B458" t="s">
        <v>521</v>
      </c>
      <c r="C458" t="s">
        <v>55</v>
      </c>
      <c r="D458" t="s">
        <v>50</v>
      </c>
      <c r="E458" t="s">
        <v>71</v>
      </c>
      <c r="F458" t="s">
        <v>63</v>
      </c>
      <c r="G458">
        <v>31.61</v>
      </c>
      <c r="H458">
        <v>12.75</v>
      </c>
      <c r="I458" t="s">
        <v>53</v>
      </c>
    </row>
    <row r="459" spans="1:9" x14ac:dyDescent="0.45">
      <c r="A459">
        <v>458</v>
      </c>
      <c r="B459" t="s">
        <v>522</v>
      </c>
      <c r="C459" t="s">
        <v>89</v>
      </c>
      <c r="D459" t="s">
        <v>50</v>
      </c>
      <c r="E459" t="s">
        <v>56</v>
      </c>
      <c r="F459" t="s">
        <v>52</v>
      </c>
      <c r="G459">
        <v>53.35</v>
      </c>
      <c r="H459">
        <v>28.84</v>
      </c>
      <c r="I459" t="s">
        <v>53</v>
      </c>
    </row>
    <row r="460" spans="1:9" x14ac:dyDescent="0.45">
      <c r="A460">
        <v>459</v>
      </c>
      <c r="B460" t="s">
        <v>523</v>
      </c>
      <c r="C460" t="s">
        <v>49</v>
      </c>
      <c r="D460" t="s">
        <v>50</v>
      </c>
      <c r="E460" t="s">
        <v>51</v>
      </c>
      <c r="F460" t="s">
        <v>77</v>
      </c>
      <c r="G460">
        <v>75.17</v>
      </c>
      <c r="H460">
        <v>31.34</v>
      </c>
      <c r="I460" t="s">
        <v>53</v>
      </c>
    </row>
    <row r="461" spans="1:9" x14ac:dyDescent="0.45">
      <c r="A461">
        <v>460</v>
      </c>
      <c r="B461" t="s">
        <v>524</v>
      </c>
      <c r="C461" t="s">
        <v>55</v>
      </c>
      <c r="D461" t="s">
        <v>50</v>
      </c>
      <c r="E461" t="s">
        <v>71</v>
      </c>
      <c r="F461" t="s">
        <v>63</v>
      </c>
      <c r="G461">
        <v>48.64</v>
      </c>
      <c r="H461">
        <v>21.19</v>
      </c>
      <c r="I461" t="s">
        <v>53</v>
      </c>
    </row>
    <row r="462" spans="1:9" x14ac:dyDescent="0.45">
      <c r="A462">
        <v>461</v>
      </c>
      <c r="B462" t="s">
        <v>525</v>
      </c>
      <c r="C462" t="s">
        <v>55</v>
      </c>
      <c r="D462" t="s">
        <v>50</v>
      </c>
      <c r="E462" t="s">
        <v>51</v>
      </c>
      <c r="F462" t="s">
        <v>63</v>
      </c>
      <c r="G462">
        <v>54.91</v>
      </c>
      <c r="H462">
        <v>23.9</v>
      </c>
      <c r="I462" t="s">
        <v>53</v>
      </c>
    </row>
    <row r="463" spans="1:9" x14ac:dyDescent="0.45">
      <c r="A463">
        <v>462</v>
      </c>
      <c r="B463" t="s">
        <v>526</v>
      </c>
      <c r="C463" t="s">
        <v>89</v>
      </c>
      <c r="D463" t="s">
        <v>50</v>
      </c>
      <c r="E463" t="s">
        <v>56</v>
      </c>
      <c r="F463" t="s">
        <v>77</v>
      </c>
      <c r="G463">
        <v>28.58</v>
      </c>
      <c r="H463">
        <v>17</v>
      </c>
      <c r="I463" t="s">
        <v>53</v>
      </c>
    </row>
    <row r="464" spans="1:9" x14ac:dyDescent="0.45">
      <c r="A464">
        <v>463</v>
      </c>
      <c r="B464" t="s">
        <v>527</v>
      </c>
      <c r="C464" t="s">
        <v>49</v>
      </c>
      <c r="D464" t="s">
        <v>50</v>
      </c>
      <c r="E464" t="s">
        <v>62</v>
      </c>
      <c r="F464" t="s">
        <v>52</v>
      </c>
      <c r="G464">
        <v>70.56</v>
      </c>
      <c r="H464">
        <v>44.02</v>
      </c>
      <c r="I464" t="s">
        <v>53</v>
      </c>
    </row>
    <row r="465" spans="1:9" x14ac:dyDescent="0.45">
      <c r="A465">
        <v>464</v>
      </c>
      <c r="B465" t="s">
        <v>528</v>
      </c>
      <c r="C465" t="s">
        <v>65</v>
      </c>
      <c r="D465" t="s">
        <v>50</v>
      </c>
      <c r="E465" t="s">
        <v>56</v>
      </c>
      <c r="F465" t="s">
        <v>77</v>
      </c>
      <c r="G465">
        <v>59.58</v>
      </c>
      <c r="H465">
        <v>34.26</v>
      </c>
      <c r="I465" t="s">
        <v>53</v>
      </c>
    </row>
    <row r="466" spans="1:9" x14ac:dyDescent="0.45">
      <c r="A466">
        <v>465</v>
      </c>
      <c r="B466" t="s">
        <v>529</v>
      </c>
      <c r="C466" t="s">
        <v>89</v>
      </c>
      <c r="D466" t="s">
        <v>50</v>
      </c>
      <c r="E466" t="s">
        <v>51</v>
      </c>
      <c r="F466" t="s">
        <v>52</v>
      </c>
      <c r="G466">
        <v>28.98</v>
      </c>
      <c r="H466">
        <v>19.96</v>
      </c>
      <c r="I466" t="s">
        <v>53</v>
      </c>
    </row>
    <row r="467" spans="1:9" x14ac:dyDescent="0.45">
      <c r="A467">
        <v>466</v>
      </c>
      <c r="B467" t="s">
        <v>530</v>
      </c>
      <c r="C467" t="s">
        <v>55</v>
      </c>
      <c r="D467" t="s">
        <v>50</v>
      </c>
      <c r="E467" t="s">
        <v>69</v>
      </c>
      <c r="F467" t="s">
        <v>58</v>
      </c>
      <c r="G467">
        <v>59.9</v>
      </c>
      <c r="H467">
        <v>30.7</v>
      </c>
      <c r="I467" t="s">
        <v>53</v>
      </c>
    </row>
    <row r="468" spans="1:9" x14ac:dyDescent="0.45">
      <c r="A468">
        <v>467</v>
      </c>
      <c r="B468" t="s">
        <v>531</v>
      </c>
      <c r="C468" t="s">
        <v>61</v>
      </c>
      <c r="D468" t="s">
        <v>50</v>
      </c>
      <c r="E468" t="s">
        <v>71</v>
      </c>
      <c r="F468" t="s">
        <v>63</v>
      </c>
      <c r="G468">
        <v>39.22</v>
      </c>
      <c r="H468">
        <v>19.05</v>
      </c>
      <c r="I468" t="s">
        <v>53</v>
      </c>
    </row>
    <row r="469" spans="1:9" x14ac:dyDescent="0.45">
      <c r="A469">
        <v>468</v>
      </c>
      <c r="B469" t="s">
        <v>532</v>
      </c>
      <c r="C469" t="s">
        <v>89</v>
      </c>
      <c r="D469" t="s">
        <v>50</v>
      </c>
      <c r="E469" t="s">
        <v>69</v>
      </c>
      <c r="F469" t="s">
        <v>58</v>
      </c>
      <c r="G469">
        <v>51.8</v>
      </c>
      <c r="H469">
        <v>34.22</v>
      </c>
      <c r="I469" t="s">
        <v>53</v>
      </c>
    </row>
    <row r="470" spans="1:9" x14ac:dyDescent="0.45">
      <c r="A470">
        <v>469</v>
      </c>
      <c r="B470" t="s">
        <v>533</v>
      </c>
      <c r="C470" t="s">
        <v>49</v>
      </c>
      <c r="D470" t="s">
        <v>50</v>
      </c>
      <c r="E470" t="s">
        <v>69</v>
      </c>
      <c r="F470" t="s">
        <v>72</v>
      </c>
      <c r="G470">
        <v>64.08</v>
      </c>
      <c r="H470">
        <v>29.93</v>
      </c>
      <c r="I470" t="s">
        <v>53</v>
      </c>
    </row>
    <row r="471" spans="1:9" x14ac:dyDescent="0.45">
      <c r="A471">
        <v>470</v>
      </c>
      <c r="B471" t="s">
        <v>534</v>
      </c>
      <c r="C471" t="s">
        <v>89</v>
      </c>
      <c r="D471" t="s">
        <v>50</v>
      </c>
      <c r="E471" t="s">
        <v>56</v>
      </c>
      <c r="F471" t="s">
        <v>58</v>
      </c>
      <c r="G471">
        <v>67.73</v>
      </c>
      <c r="H471">
        <v>46.66</v>
      </c>
      <c r="I471" t="s">
        <v>53</v>
      </c>
    </row>
    <row r="472" spans="1:9" x14ac:dyDescent="0.45">
      <c r="A472">
        <v>471</v>
      </c>
      <c r="B472" t="s">
        <v>535</v>
      </c>
      <c r="C472" t="s">
        <v>55</v>
      </c>
      <c r="D472" t="s">
        <v>50</v>
      </c>
      <c r="E472" t="s">
        <v>71</v>
      </c>
      <c r="F472" t="s">
        <v>72</v>
      </c>
      <c r="G472">
        <v>40.92</v>
      </c>
      <c r="H472">
        <v>16.52</v>
      </c>
      <c r="I472" t="s">
        <v>53</v>
      </c>
    </row>
    <row r="473" spans="1:9" x14ac:dyDescent="0.45">
      <c r="A473">
        <v>472</v>
      </c>
      <c r="B473" t="s">
        <v>536</v>
      </c>
      <c r="C473" t="s">
        <v>61</v>
      </c>
      <c r="D473" t="s">
        <v>50</v>
      </c>
      <c r="E473" t="s">
        <v>56</v>
      </c>
      <c r="F473" t="s">
        <v>58</v>
      </c>
      <c r="G473">
        <v>59.9</v>
      </c>
      <c r="H473">
        <v>41.39</v>
      </c>
      <c r="I473" t="s">
        <v>53</v>
      </c>
    </row>
    <row r="474" spans="1:9" x14ac:dyDescent="0.45">
      <c r="A474">
        <v>473</v>
      </c>
      <c r="B474" t="s">
        <v>537</v>
      </c>
      <c r="C474" t="s">
        <v>49</v>
      </c>
      <c r="D474" t="s">
        <v>50</v>
      </c>
      <c r="E474" t="s">
        <v>62</v>
      </c>
      <c r="F474" t="s">
        <v>63</v>
      </c>
      <c r="G474">
        <v>57.98</v>
      </c>
      <c r="H474">
        <v>23.94</v>
      </c>
      <c r="I474" t="s">
        <v>53</v>
      </c>
    </row>
    <row r="475" spans="1:9" x14ac:dyDescent="0.45">
      <c r="A475">
        <v>474</v>
      </c>
      <c r="B475" t="s">
        <v>538</v>
      </c>
      <c r="C475" t="s">
        <v>65</v>
      </c>
      <c r="D475" t="s">
        <v>50</v>
      </c>
      <c r="E475" t="s">
        <v>69</v>
      </c>
      <c r="F475" t="s">
        <v>77</v>
      </c>
      <c r="G475">
        <v>68.47</v>
      </c>
      <c r="H475">
        <v>45.69</v>
      </c>
      <c r="I475" t="s">
        <v>53</v>
      </c>
    </row>
    <row r="476" spans="1:9" x14ac:dyDescent="0.45">
      <c r="A476">
        <v>475</v>
      </c>
      <c r="B476" t="s">
        <v>539</v>
      </c>
      <c r="C476" t="s">
        <v>49</v>
      </c>
      <c r="D476" t="s">
        <v>50</v>
      </c>
      <c r="E476" t="s">
        <v>69</v>
      </c>
      <c r="F476" t="s">
        <v>52</v>
      </c>
      <c r="G476">
        <v>39.69</v>
      </c>
      <c r="H476">
        <v>22.16</v>
      </c>
      <c r="I476" t="s">
        <v>53</v>
      </c>
    </row>
    <row r="477" spans="1:9" x14ac:dyDescent="0.45">
      <c r="A477">
        <v>476</v>
      </c>
      <c r="B477" t="s">
        <v>540</v>
      </c>
      <c r="C477" t="s">
        <v>65</v>
      </c>
      <c r="D477" t="s">
        <v>50</v>
      </c>
      <c r="E477" t="s">
        <v>71</v>
      </c>
      <c r="F477" t="s">
        <v>52</v>
      </c>
      <c r="G477">
        <v>42.72</v>
      </c>
      <c r="H477">
        <v>29.81</v>
      </c>
      <c r="I477" t="s">
        <v>53</v>
      </c>
    </row>
    <row r="478" spans="1:9" x14ac:dyDescent="0.45">
      <c r="A478">
        <v>477</v>
      </c>
      <c r="B478" t="s">
        <v>541</v>
      </c>
      <c r="C478" t="s">
        <v>65</v>
      </c>
      <c r="D478" t="s">
        <v>50</v>
      </c>
      <c r="E478" t="s">
        <v>69</v>
      </c>
      <c r="F478" t="s">
        <v>52</v>
      </c>
      <c r="G478">
        <v>38.9</v>
      </c>
      <c r="H478">
        <v>16.420000000000002</v>
      </c>
      <c r="I478" t="s">
        <v>53</v>
      </c>
    </row>
    <row r="479" spans="1:9" x14ac:dyDescent="0.45">
      <c r="A479">
        <v>478</v>
      </c>
      <c r="B479" t="s">
        <v>542</v>
      </c>
      <c r="C479" t="s">
        <v>55</v>
      </c>
      <c r="D479" t="s">
        <v>50</v>
      </c>
      <c r="E479" t="s">
        <v>62</v>
      </c>
      <c r="F479" t="s">
        <v>58</v>
      </c>
      <c r="G479">
        <v>66.52</v>
      </c>
      <c r="H479">
        <v>37.659999999999997</v>
      </c>
      <c r="I479" t="s">
        <v>53</v>
      </c>
    </row>
    <row r="480" spans="1:9" x14ac:dyDescent="0.45">
      <c r="A480">
        <v>479</v>
      </c>
      <c r="B480" t="s">
        <v>543</v>
      </c>
      <c r="C480" t="s">
        <v>49</v>
      </c>
      <c r="D480" t="s">
        <v>50</v>
      </c>
      <c r="E480" t="s">
        <v>62</v>
      </c>
      <c r="F480" t="s">
        <v>52</v>
      </c>
      <c r="G480">
        <v>47.42</v>
      </c>
      <c r="H480">
        <v>32.76</v>
      </c>
      <c r="I480" t="s">
        <v>53</v>
      </c>
    </row>
    <row r="481" spans="1:9" x14ac:dyDescent="0.45">
      <c r="A481">
        <v>480</v>
      </c>
      <c r="B481" t="s">
        <v>544</v>
      </c>
      <c r="C481" t="s">
        <v>49</v>
      </c>
      <c r="D481" t="s">
        <v>50</v>
      </c>
      <c r="E481" t="s">
        <v>71</v>
      </c>
      <c r="F481" t="s">
        <v>58</v>
      </c>
      <c r="G481">
        <v>51.63</v>
      </c>
      <c r="H481">
        <v>28.75</v>
      </c>
      <c r="I481" t="s">
        <v>53</v>
      </c>
    </row>
    <row r="482" spans="1:9" x14ac:dyDescent="0.45">
      <c r="A482">
        <v>481</v>
      </c>
      <c r="B482" t="s">
        <v>545</v>
      </c>
      <c r="C482" t="s">
        <v>65</v>
      </c>
      <c r="D482" t="s">
        <v>50</v>
      </c>
      <c r="E482" t="s">
        <v>62</v>
      </c>
      <c r="F482" t="s">
        <v>72</v>
      </c>
      <c r="G482">
        <v>54.87</v>
      </c>
      <c r="H482">
        <v>32.31</v>
      </c>
      <c r="I482" t="s">
        <v>53</v>
      </c>
    </row>
    <row r="483" spans="1:9" x14ac:dyDescent="0.45">
      <c r="A483">
        <v>482</v>
      </c>
      <c r="B483" t="s">
        <v>546</v>
      </c>
      <c r="C483" t="s">
        <v>49</v>
      </c>
      <c r="D483" t="s">
        <v>50</v>
      </c>
      <c r="E483" t="s">
        <v>62</v>
      </c>
      <c r="F483" t="s">
        <v>58</v>
      </c>
      <c r="G483">
        <v>47.59</v>
      </c>
      <c r="H483">
        <v>28.97</v>
      </c>
      <c r="I483" t="s">
        <v>53</v>
      </c>
    </row>
    <row r="484" spans="1:9" x14ac:dyDescent="0.45">
      <c r="A484">
        <v>483</v>
      </c>
      <c r="B484" t="s">
        <v>547</v>
      </c>
      <c r="C484" t="s">
        <v>55</v>
      </c>
      <c r="D484" t="s">
        <v>50</v>
      </c>
      <c r="E484" t="s">
        <v>69</v>
      </c>
      <c r="F484" t="s">
        <v>52</v>
      </c>
      <c r="G484">
        <v>60.89</v>
      </c>
      <c r="H484">
        <v>32.659999999999997</v>
      </c>
      <c r="I484" t="s">
        <v>53</v>
      </c>
    </row>
    <row r="485" spans="1:9" x14ac:dyDescent="0.45">
      <c r="A485">
        <v>484</v>
      </c>
      <c r="B485" t="s">
        <v>548</v>
      </c>
      <c r="C485" t="s">
        <v>61</v>
      </c>
      <c r="D485" t="s">
        <v>50</v>
      </c>
      <c r="E485" t="s">
        <v>51</v>
      </c>
      <c r="F485" t="s">
        <v>63</v>
      </c>
      <c r="G485">
        <v>38.49</v>
      </c>
      <c r="H485">
        <v>22.64</v>
      </c>
      <c r="I485" t="s">
        <v>53</v>
      </c>
    </row>
    <row r="486" spans="1:9" x14ac:dyDescent="0.45">
      <c r="A486">
        <v>485</v>
      </c>
      <c r="B486" t="s">
        <v>549</v>
      </c>
      <c r="C486" t="s">
        <v>65</v>
      </c>
      <c r="D486" t="s">
        <v>50</v>
      </c>
      <c r="E486" t="s">
        <v>62</v>
      </c>
      <c r="F486" t="s">
        <v>63</v>
      </c>
      <c r="G486">
        <v>56.2</v>
      </c>
      <c r="H486">
        <v>32.33</v>
      </c>
      <c r="I486" t="s">
        <v>53</v>
      </c>
    </row>
    <row r="487" spans="1:9" x14ac:dyDescent="0.45">
      <c r="A487">
        <v>486</v>
      </c>
      <c r="B487" t="s">
        <v>550</v>
      </c>
      <c r="C487" t="s">
        <v>55</v>
      </c>
      <c r="D487" t="s">
        <v>50</v>
      </c>
      <c r="E487" t="s">
        <v>71</v>
      </c>
      <c r="F487" t="s">
        <v>63</v>
      </c>
      <c r="G487">
        <v>68.03</v>
      </c>
      <c r="H487">
        <v>45.6</v>
      </c>
      <c r="I487" t="s">
        <v>53</v>
      </c>
    </row>
    <row r="488" spans="1:9" x14ac:dyDescent="0.45">
      <c r="A488">
        <v>487</v>
      </c>
      <c r="B488" t="s">
        <v>551</v>
      </c>
      <c r="C488" t="s">
        <v>65</v>
      </c>
      <c r="D488" t="s">
        <v>50</v>
      </c>
      <c r="E488" t="s">
        <v>71</v>
      </c>
      <c r="F488" t="s">
        <v>63</v>
      </c>
      <c r="G488">
        <v>49.84</v>
      </c>
      <c r="H488">
        <v>20.62</v>
      </c>
      <c r="I488" t="s">
        <v>53</v>
      </c>
    </row>
    <row r="489" spans="1:9" x14ac:dyDescent="0.45">
      <c r="A489">
        <v>488</v>
      </c>
      <c r="B489" t="s">
        <v>552</v>
      </c>
      <c r="C489" t="s">
        <v>89</v>
      </c>
      <c r="D489" t="s">
        <v>50</v>
      </c>
      <c r="E489" t="s">
        <v>69</v>
      </c>
      <c r="F489" t="s">
        <v>63</v>
      </c>
      <c r="G489">
        <v>50.68</v>
      </c>
      <c r="H489">
        <v>24.54</v>
      </c>
      <c r="I489" t="s">
        <v>53</v>
      </c>
    </row>
    <row r="490" spans="1:9" x14ac:dyDescent="0.45">
      <c r="A490">
        <v>489</v>
      </c>
      <c r="B490" t="s">
        <v>553</v>
      </c>
      <c r="C490" t="s">
        <v>55</v>
      </c>
      <c r="D490" t="s">
        <v>50</v>
      </c>
      <c r="E490" t="s">
        <v>69</v>
      </c>
      <c r="F490" t="s">
        <v>58</v>
      </c>
      <c r="G490">
        <v>44.21</v>
      </c>
      <c r="H490">
        <v>30.29</v>
      </c>
      <c r="I490" t="s">
        <v>53</v>
      </c>
    </row>
    <row r="491" spans="1:9" x14ac:dyDescent="0.45">
      <c r="A491">
        <v>490</v>
      </c>
      <c r="B491" t="s">
        <v>554</v>
      </c>
      <c r="C491" t="s">
        <v>65</v>
      </c>
      <c r="D491" t="s">
        <v>50</v>
      </c>
      <c r="E491" t="s">
        <v>71</v>
      </c>
      <c r="F491" t="s">
        <v>578</v>
      </c>
      <c r="G491">
        <v>39.42</v>
      </c>
      <c r="H491">
        <v>26.3</v>
      </c>
      <c r="I491" t="s">
        <v>53</v>
      </c>
    </row>
    <row r="492" spans="1:9" x14ac:dyDescent="0.45">
      <c r="A492">
        <v>491</v>
      </c>
      <c r="B492" t="s">
        <v>555</v>
      </c>
      <c r="C492" t="s">
        <v>55</v>
      </c>
      <c r="D492" t="s">
        <v>50</v>
      </c>
      <c r="E492" t="s">
        <v>51</v>
      </c>
      <c r="F492" t="s">
        <v>72</v>
      </c>
      <c r="G492">
        <v>22.66</v>
      </c>
      <c r="H492">
        <v>12.16</v>
      </c>
      <c r="I492" t="s">
        <v>53</v>
      </c>
    </row>
    <row r="493" spans="1:9" x14ac:dyDescent="0.45">
      <c r="A493">
        <v>492</v>
      </c>
      <c r="B493" t="s">
        <v>556</v>
      </c>
      <c r="C493" t="s">
        <v>61</v>
      </c>
      <c r="D493" t="s">
        <v>50</v>
      </c>
      <c r="E493" t="s">
        <v>51</v>
      </c>
      <c r="F493" t="s">
        <v>58</v>
      </c>
      <c r="G493">
        <v>37.119999999999997</v>
      </c>
      <c r="H493">
        <v>21.75</v>
      </c>
      <c r="I493" t="s">
        <v>53</v>
      </c>
    </row>
    <row r="494" spans="1:9" x14ac:dyDescent="0.45">
      <c r="A494">
        <v>493</v>
      </c>
      <c r="B494" t="s">
        <v>557</v>
      </c>
      <c r="C494" t="s">
        <v>61</v>
      </c>
      <c r="D494" t="s">
        <v>50</v>
      </c>
      <c r="E494" t="s">
        <v>62</v>
      </c>
      <c r="F494" t="s">
        <v>77</v>
      </c>
      <c r="G494">
        <v>57.37</v>
      </c>
      <c r="H494">
        <v>27.72</v>
      </c>
      <c r="I494" t="s">
        <v>53</v>
      </c>
    </row>
    <row r="495" spans="1:9" x14ac:dyDescent="0.45">
      <c r="A495">
        <v>494</v>
      </c>
      <c r="B495" t="s">
        <v>558</v>
      </c>
      <c r="C495" t="s">
        <v>55</v>
      </c>
      <c r="D495" t="s">
        <v>50</v>
      </c>
      <c r="E495" t="s">
        <v>69</v>
      </c>
      <c r="F495" t="s">
        <v>52</v>
      </c>
      <c r="G495">
        <v>53.52</v>
      </c>
      <c r="H495">
        <v>24.43</v>
      </c>
      <c r="I495" t="s">
        <v>53</v>
      </c>
    </row>
    <row r="496" spans="1:9" x14ac:dyDescent="0.45">
      <c r="A496">
        <v>495</v>
      </c>
      <c r="B496" t="s">
        <v>559</v>
      </c>
      <c r="C496" t="s">
        <v>49</v>
      </c>
      <c r="D496" t="s">
        <v>50</v>
      </c>
      <c r="E496" t="s">
        <v>62</v>
      </c>
      <c r="F496" t="s">
        <v>77</v>
      </c>
      <c r="G496">
        <v>36.65</v>
      </c>
      <c r="H496">
        <v>19.760000000000002</v>
      </c>
      <c r="I496" t="s">
        <v>53</v>
      </c>
    </row>
    <row r="497" spans="1:9" x14ac:dyDescent="0.45">
      <c r="A497">
        <v>496</v>
      </c>
      <c r="B497" t="s">
        <v>560</v>
      </c>
      <c r="C497" t="s">
        <v>61</v>
      </c>
      <c r="D497" t="s">
        <v>50</v>
      </c>
      <c r="E497" t="s">
        <v>71</v>
      </c>
      <c r="F497" t="s">
        <v>52</v>
      </c>
      <c r="G497">
        <v>54.61</v>
      </c>
      <c r="H497">
        <v>27.63</v>
      </c>
      <c r="I497" t="s">
        <v>53</v>
      </c>
    </row>
    <row r="498" spans="1:9" x14ac:dyDescent="0.45">
      <c r="A498">
        <v>497</v>
      </c>
      <c r="B498" t="s">
        <v>561</v>
      </c>
      <c r="C498" t="s">
        <v>49</v>
      </c>
      <c r="D498" t="s">
        <v>50</v>
      </c>
      <c r="E498" t="s">
        <v>71</v>
      </c>
      <c r="F498" t="s">
        <v>72</v>
      </c>
      <c r="G498">
        <v>36.049999999999997</v>
      </c>
      <c r="H498">
        <v>20.73</v>
      </c>
      <c r="I498" t="s">
        <v>53</v>
      </c>
    </row>
    <row r="499" spans="1:9" x14ac:dyDescent="0.45">
      <c r="A499">
        <v>498</v>
      </c>
      <c r="B499" t="s">
        <v>562</v>
      </c>
      <c r="C499" t="s">
        <v>55</v>
      </c>
      <c r="D499" t="s">
        <v>50</v>
      </c>
      <c r="E499" t="s">
        <v>56</v>
      </c>
      <c r="F499" t="s">
        <v>72</v>
      </c>
      <c r="G499">
        <v>38.33</v>
      </c>
      <c r="H499">
        <v>16.23</v>
      </c>
      <c r="I499" t="s">
        <v>53</v>
      </c>
    </row>
    <row r="500" spans="1:9" x14ac:dyDescent="0.45">
      <c r="A500">
        <v>499</v>
      </c>
      <c r="B500" t="s">
        <v>563</v>
      </c>
      <c r="C500" t="s">
        <v>89</v>
      </c>
      <c r="D500" t="s">
        <v>50</v>
      </c>
      <c r="E500" t="s">
        <v>51</v>
      </c>
      <c r="F500" t="s">
        <v>63</v>
      </c>
      <c r="G500">
        <v>30.07</v>
      </c>
      <c r="H500">
        <v>20.82</v>
      </c>
      <c r="I500" t="s">
        <v>53</v>
      </c>
    </row>
    <row r="501" spans="1:9" x14ac:dyDescent="0.45">
      <c r="A501">
        <v>500</v>
      </c>
      <c r="B501" t="s">
        <v>564</v>
      </c>
      <c r="C501" t="s">
        <v>49</v>
      </c>
      <c r="D501" t="s">
        <v>50</v>
      </c>
      <c r="E501" t="s">
        <v>56</v>
      </c>
      <c r="F501" t="s">
        <v>77</v>
      </c>
      <c r="G501">
        <v>38.03</v>
      </c>
      <c r="H501">
        <v>26.46</v>
      </c>
      <c r="I501" t="s">
        <v>53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474BF-39B3-4805-A307-BAF2793B1AFB}">
  <dimension ref="A1:O906"/>
  <sheetViews>
    <sheetView topLeftCell="A2" workbookViewId="0">
      <selection activeCell="O3" sqref="O3"/>
    </sheetView>
  </sheetViews>
  <sheetFormatPr defaultRowHeight="14.25" x14ac:dyDescent="0.45"/>
  <cols>
    <col min="2" max="2" width="10.73046875" customWidth="1"/>
    <col min="3" max="3" width="13.59765625" customWidth="1"/>
    <col min="4" max="4" width="15.3984375" customWidth="1"/>
    <col min="5" max="5" width="10.265625" style="1" customWidth="1"/>
    <col min="6" max="6" width="15" customWidth="1"/>
    <col min="7" max="8" width="11.6640625" customWidth="1"/>
    <col min="11" max="11" width="12.3984375" style="10" customWidth="1"/>
    <col min="12" max="12" width="9.06640625" style="1"/>
    <col min="13" max="13" width="14.86328125" customWidth="1"/>
    <col min="14" max="14" width="13.73046875" customWidth="1"/>
  </cols>
  <sheetData>
    <row r="1" spans="1:15" x14ac:dyDescent="0.45">
      <c r="A1" t="s">
        <v>565</v>
      </c>
      <c r="B1" t="s">
        <v>4</v>
      </c>
      <c r="C1" t="s">
        <v>566</v>
      </c>
      <c r="D1" t="s">
        <v>567</v>
      </c>
      <c r="E1" s="1" t="s">
        <v>568</v>
      </c>
      <c r="F1" t="s">
        <v>24</v>
      </c>
      <c r="G1" t="s">
        <v>25</v>
      </c>
      <c r="H1" t="s">
        <v>587</v>
      </c>
      <c r="I1" t="s">
        <v>579</v>
      </c>
      <c r="J1" t="s">
        <v>634</v>
      </c>
      <c r="K1" s="10" t="s">
        <v>26</v>
      </c>
      <c r="L1" s="1" t="s">
        <v>643</v>
      </c>
      <c r="M1" t="s">
        <v>644</v>
      </c>
      <c r="N1" t="s">
        <v>645</v>
      </c>
      <c r="O1" t="s">
        <v>41</v>
      </c>
    </row>
    <row r="2" spans="1:15" x14ac:dyDescent="0.45">
      <c r="A2">
        <v>10</v>
      </c>
      <c r="B2" t="s">
        <v>21</v>
      </c>
      <c r="C2">
        <v>0</v>
      </c>
      <c r="D2">
        <v>299.7</v>
      </c>
      <c r="E2" s="1">
        <v>45798</v>
      </c>
      <c r="F2">
        <v>195</v>
      </c>
      <c r="G2" t="s">
        <v>28</v>
      </c>
      <c r="H2" t="str">
        <f>TEXT(sales[[#This Row],[sale_date]],"dddd")</f>
        <v>Wednesday</v>
      </c>
      <c r="I2">
        <f>_xlfn.XLOOKUP(A2,salesitems[sale_id],salesitems[revenue],0)</f>
        <v>59.92</v>
      </c>
      <c r="J2">
        <v>1</v>
      </c>
      <c r="K2" s="10" t="str">
        <f>_xlfn.XLOOKUP(F2,customers[customer_id],customers[age_range])</f>
        <v>56-65</v>
      </c>
      <c r="L2" s="1">
        <f>_xlfn.XLOOKUP(F2,customers[customer_id],customers[signup_date])</f>
        <v>45716</v>
      </c>
      <c r="M2">
        <f>sales[[#This Row],[sale_date]]-sales[[#This Row],[sighnup_date]]</f>
        <v>82</v>
      </c>
      <c r="N2" t="str">
        <f t="shared" ref="N2:N65" si="0">IF(M2&lt;0,"data issue",IF(M2&lt;=90,"new customer","existing customer"))</f>
        <v>new customer</v>
      </c>
      <c r="O2" t="str">
        <f>_xlfn.XLOOKUP(A2,salesitems[sale_id],salesitems[category])</f>
        <v>T-Shirts</v>
      </c>
    </row>
    <row r="3" spans="1:15" x14ac:dyDescent="0.45">
      <c r="A3">
        <v>100</v>
      </c>
      <c r="B3" t="s">
        <v>15</v>
      </c>
      <c r="C3">
        <v>0</v>
      </c>
      <c r="D3">
        <v>681.05</v>
      </c>
      <c r="E3" s="1">
        <v>45768</v>
      </c>
      <c r="F3">
        <v>518</v>
      </c>
      <c r="G3" t="s">
        <v>36</v>
      </c>
      <c r="H3" t="str">
        <f>TEXT(sales[[#This Row],[sale_date]],"dddd")</f>
        <v>Monday</v>
      </c>
      <c r="I3">
        <f>_xlfn.XLOOKUP(A3,salesitems[sale_id],salesitems[revenue],0)</f>
        <v>261.39999999999998</v>
      </c>
      <c r="J3">
        <v>1</v>
      </c>
      <c r="K3" s="10" t="str">
        <f>_xlfn.XLOOKUP(F3,customers[customer_id],customers[age_range])</f>
        <v>46-55</v>
      </c>
      <c r="L3" s="1">
        <f>_xlfn.XLOOKUP(F3,customers[customer_id],customers[signup_date])</f>
        <v>45745</v>
      </c>
      <c r="M3">
        <f>sales[[#This Row],[sale_date]]-sales[[#This Row],[sighnup_date]]</f>
        <v>23</v>
      </c>
      <c r="N3" t="str">
        <f t="shared" si="0"/>
        <v>new customer</v>
      </c>
      <c r="O3" t="str">
        <f>_xlfn.XLOOKUP(A3,salesitems[sale_id],salesitems[category])</f>
        <v>Sleepwear</v>
      </c>
    </row>
    <row r="4" spans="1:15" x14ac:dyDescent="0.45">
      <c r="A4">
        <v>1000</v>
      </c>
      <c r="B4" t="s">
        <v>21</v>
      </c>
      <c r="C4">
        <v>0</v>
      </c>
      <c r="D4">
        <v>324.5</v>
      </c>
      <c r="E4" s="1">
        <v>45797</v>
      </c>
      <c r="F4">
        <v>439</v>
      </c>
      <c r="G4" t="s">
        <v>36</v>
      </c>
      <c r="H4" t="str">
        <f>TEXT(sales[[#This Row],[sale_date]],"dddd")</f>
        <v>Tuesday</v>
      </c>
      <c r="I4">
        <f>_xlfn.XLOOKUP(A4,salesitems[sale_id],salesitems[revenue],0)</f>
        <v>91.5</v>
      </c>
      <c r="J4">
        <v>1</v>
      </c>
      <c r="K4" s="10" t="str">
        <f>_xlfn.XLOOKUP(F4,customers[customer_id],customers[age_range])</f>
        <v>36-45</v>
      </c>
      <c r="L4" s="1">
        <f>_xlfn.XLOOKUP(F4,customers[customer_id],customers[signup_date])</f>
        <v>45788</v>
      </c>
      <c r="M4">
        <f>sales[[#This Row],[sale_date]]-sales[[#This Row],[sighnup_date]]</f>
        <v>9</v>
      </c>
      <c r="N4" t="str">
        <f t="shared" si="0"/>
        <v>new customer</v>
      </c>
      <c r="O4" t="str">
        <f>_xlfn.XLOOKUP(A4,salesitems[sale_id],salesitems[category])</f>
        <v>T-Shirts</v>
      </c>
    </row>
    <row r="5" spans="1:15" x14ac:dyDescent="0.45">
      <c r="A5">
        <v>1001</v>
      </c>
      <c r="B5" t="s">
        <v>21</v>
      </c>
      <c r="C5">
        <v>0</v>
      </c>
      <c r="D5">
        <v>287.85000000000002</v>
      </c>
      <c r="E5" s="1">
        <v>45752</v>
      </c>
      <c r="F5">
        <v>349</v>
      </c>
      <c r="G5" t="s">
        <v>36</v>
      </c>
      <c r="H5" t="str">
        <f>TEXT(sales[[#This Row],[sale_date]],"dddd")</f>
        <v>Saturday</v>
      </c>
      <c r="I5">
        <f>_xlfn.XLOOKUP(A5,salesitems[sale_id],salesitems[revenue],0)</f>
        <v>192.32999999999998</v>
      </c>
      <c r="J5">
        <v>1</v>
      </c>
      <c r="K5" s="10" t="str">
        <f>_xlfn.XLOOKUP(F5,customers[customer_id],customers[age_range])</f>
        <v>26-35</v>
      </c>
      <c r="L5" s="1">
        <f>_xlfn.XLOOKUP(F5,customers[customer_id],customers[signup_date])</f>
        <v>45736</v>
      </c>
      <c r="M5">
        <f>sales[[#This Row],[sale_date]]-sales[[#This Row],[sighnup_date]]</f>
        <v>16</v>
      </c>
      <c r="N5" t="str">
        <f t="shared" si="0"/>
        <v>new customer</v>
      </c>
      <c r="O5" t="str">
        <f>_xlfn.XLOOKUP(A5,salesitems[sale_id],salesitems[category])</f>
        <v>Sleepwear</v>
      </c>
    </row>
    <row r="6" spans="1:15" x14ac:dyDescent="0.45">
      <c r="A6">
        <v>1003</v>
      </c>
      <c r="B6" t="s">
        <v>15</v>
      </c>
      <c r="C6">
        <v>0</v>
      </c>
      <c r="D6">
        <v>430.64</v>
      </c>
      <c r="E6" s="1">
        <v>45814</v>
      </c>
      <c r="F6">
        <v>727</v>
      </c>
      <c r="G6" t="s">
        <v>38</v>
      </c>
      <c r="H6" t="str">
        <f>TEXT(sales[[#This Row],[sale_date]],"dddd")</f>
        <v>Friday</v>
      </c>
      <c r="I6">
        <f>_xlfn.XLOOKUP(A6,salesitems[sale_id],salesitems[revenue],0)</f>
        <v>218.44</v>
      </c>
      <c r="J6">
        <v>1</v>
      </c>
      <c r="K6" s="10" t="str">
        <f>_xlfn.XLOOKUP(F6,customers[customer_id],customers[age_range])</f>
        <v>26-35</v>
      </c>
      <c r="L6" s="1">
        <f>_xlfn.XLOOKUP(F6,customers[customer_id],customers[signup_date])</f>
        <v>45725</v>
      </c>
      <c r="M6">
        <f>sales[[#This Row],[sale_date]]-sales[[#This Row],[sighnup_date]]</f>
        <v>89</v>
      </c>
      <c r="N6" t="str">
        <f t="shared" si="0"/>
        <v>new customer</v>
      </c>
      <c r="O6" t="str">
        <f>_xlfn.XLOOKUP(A6,salesitems[sale_id],salesitems[category])</f>
        <v>Pants</v>
      </c>
    </row>
    <row r="7" spans="1:15" x14ac:dyDescent="0.45">
      <c r="A7">
        <v>1004</v>
      </c>
      <c r="B7" t="s">
        <v>15</v>
      </c>
      <c r="C7">
        <v>0</v>
      </c>
      <c r="D7">
        <v>104.73</v>
      </c>
      <c r="E7" s="1">
        <v>45774</v>
      </c>
      <c r="F7">
        <v>983</v>
      </c>
      <c r="G7" t="s">
        <v>36</v>
      </c>
      <c r="H7" t="str">
        <f>TEXT(sales[[#This Row],[sale_date]],"dddd")</f>
        <v>Sunday</v>
      </c>
      <c r="I7">
        <f>_xlfn.XLOOKUP(A7,salesitems[sale_id],salesitems[revenue],0)</f>
        <v>53.48</v>
      </c>
      <c r="J7">
        <v>1</v>
      </c>
      <c r="K7" s="10" t="str">
        <f>_xlfn.XLOOKUP(F7,customers[customer_id],customers[age_range])</f>
        <v>36-45</v>
      </c>
      <c r="L7" s="1">
        <f>_xlfn.XLOOKUP(F7,customers[customer_id],customers[signup_date])</f>
        <v>45768</v>
      </c>
      <c r="M7">
        <f>sales[[#This Row],[sale_date]]-sales[[#This Row],[sighnup_date]]</f>
        <v>6</v>
      </c>
      <c r="N7" t="str">
        <f t="shared" si="0"/>
        <v>new customer</v>
      </c>
      <c r="O7" t="str">
        <f>_xlfn.XLOOKUP(A7,salesitems[sale_id],salesitems[category])</f>
        <v>T-Shirts</v>
      </c>
    </row>
    <row r="8" spans="1:15" x14ac:dyDescent="0.45">
      <c r="A8">
        <v>1006</v>
      </c>
      <c r="B8" t="s">
        <v>21</v>
      </c>
      <c r="C8">
        <v>0</v>
      </c>
      <c r="D8">
        <v>249.21</v>
      </c>
      <c r="E8" s="1">
        <v>45782</v>
      </c>
      <c r="F8">
        <v>309</v>
      </c>
      <c r="G8" t="s">
        <v>34</v>
      </c>
      <c r="H8" t="str">
        <f>TEXT(sales[[#This Row],[sale_date]],"dddd")</f>
        <v>Monday</v>
      </c>
      <c r="I8">
        <f>_xlfn.XLOOKUP(A8,salesitems[sale_id],salesitems[revenue],0)</f>
        <v>53.7</v>
      </c>
      <c r="J8">
        <v>1</v>
      </c>
      <c r="K8" s="10" t="str">
        <f>_xlfn.XLOOKUP(F8,customers[customer_id],customers[age_range])</f>
        <v>46-55</v>
      </c>
      <c r="L8" s="1">
        <f>_xlfn.XLOOKUP(F8,customers[customer_id],customers[signup_date])</f>
        <v>45765</v>
      </c>
      <c r="M8">
        <f>sales[[#This Row],[sale_date]]-sales[[#This Row],[sighnup_date]]</f>
        <v>17</v>
      </c>
      <c r="N8" t="str">
        <f t="shared" si="0"/>
        <v>new customer</v>
      </c>
      <c r="O8" t="str">
        <f>_xlfn.XLOOKUP(A8,salesitems[sale_id],salesitems[category])</f>
        <v>T-Shirts</v>
      </c>
    </row>
    <row r="9" spans="1:15" x14ac:dyDescent="0.45">
      <c r="A9">
        <v>1007</v>
      </c>
      <c r="B9" t="s">
        <v>15</v>
      </c>
      <c r="C9">
        <v>0</v>
      </c>
      <c r="D9">
        <v>437.52</v>
      </c>
      <c r="E9" s="1">
        <v>45763</v>
      </c>
      <c r="F9">
        <v>53</v>
      </c>
      <c r="G9" t="s">
        <v>33</v>
      </c>
      <c r="H9" t="str">
        <f>TEXT(sales[[#This Row],[sale_date]],"dddd")</f>
        <v>Wednesday</v>
      </c>
      <c r="I9">
        <f>_xlfn.XLOOKUP(A9,salesitems[sale_id],salesitems[revenue],0)</f>
        <v>174.27</v>
      </c>
      <c r="J9">
        <v>1</v>
      </c>
      <c r="K9" s="10" t="str">
        <f>_xlfn.XLOOKUP(F9,customers[customer_id],customers[age_range])</f>
        <v>46-55</v>
      </c>
      <c r="L9" s="1">
        <f>_xlfn.XLOOKUP(F9,customers[customer_id],customers[signup_date])</f>
        <v>45789</v>
      </c>
      <c r="M9">
        <f>sales[[#This Row],[sale_date]]-sales[[#This Row],[sighnup_date]]</f>
        <v>-26</v>
      </c>
      <c r="N9" t="str">
        <f t="shared" si="0"/>
        <v>data issue</v>
      </c>
      <c r="O9" t="str">
        <f>_xlfn.XLOOKUP(A9,salesitems[sale_id],salesitems[category])</f>
        <v>Pants</v>
      </c>
    </row>
    <row r="10" spans="1:15" x14ac:dyDescent="0.45">
      <c r="A10">
        <v>1008</v>
      </c>
      <c r="B10" t="s">
        <v>15</v>
      </c>
      <c r="C10">
        <v>0</v>
      </c>
      <c r="D10">
        <v>386.92</v>
      </c>
      <c r="E10" s="1">
        <v>45801</v>
      </c>
      <c r="F10">
        <v>593</v>
      </c>
      <c r="G10" t="s">
        <v>28</v>
      </c>
      <c r="H10" t="str">
        <f>TEXT(sales[[#This Row],[sale_date]],"dddd")</f>
        <v>Saturday</v>
      </c>
      <c r="I10">
        <f>_xlfn.XLOOKUP(A10,salesitems[sale_id],salesitems[revenue],0)</f>
        <v>210.6</v>
      </c>
      <c r="J10">
        <v>1</v>
      </c>
      <c r="K10" s="10" t="str">
        <f>_xlfn.XLOOKUP(F10,customers[customer_id],customers[age_range])</f>
        <v>26-35</v>
      </c>
      <c r="L10" s="1">
        <f>_xlfn.XLOOKUP(F10,customers[customer_id],customers[signup_date])</f>
        <v>45727</v>
      </c>
      <c r="M10">
        <f>sales[[#This Row],[sale_date]]-sales[[#This Row],[sighnup_date]]</f>
        <v>74</v>
      </c>
      <c r="N10" t="str">
        <f t="shared" si="0"/>
        <v>new customer</v>
      </c>
      <c r="O10" t="str">
        <f>_xlfn.XLOOKUP(A10,salesitems[sale_id],salesitems[category])</f>
        <v>Dresses</v>
      </c>
    </row>
    <row r="11" spans="1:15" x14ac:dyDescent="0.45">
      <c r="A11">
        <v>1011</v>
      </c>
      <c r="B11" t="s">
        <v>15</v>
      </c>
      <c r="C11">
        <v>0</v>
      </c>
      <c r="D11">
        <v>212.87</v>
      </c>
      <c r="E11" s="1">
        <v>45764</v>
      </c>
      <c r="F11">
        <v>161</v>
      </c>
      <c r="G11" t="s">
        <v>34</v>
      </c>
      <c r="H11" t="str">
        <f>TEXT(sales[[#This Row],[sale_date]],"dddd")</f>
        <v>Thursday</v>
      </c>
      <c r="I11">
        <f>_xlfn.XLOOKUP(A11,salesitems[sale_id],salesitems[revenue],0)</f>
        <v>80.239999999999995</v>
      </c>
      <c r="J11">
        <v>1</v>
      </c>
      <c r="K11" s="10" t="str">
        <f>_xlfn.XLOOKUP(F11,customers[customer_id],customers[age_range])</f>
        <v>36-45</v>
      </c>
      <c r="L11" s="1">
        <f>_xlfn.XLOOKUP(F11,customers[customer_id],customers[signup_date])</f>
        <v>45742</v>
      </c>
      <c r="M11">
        <f>sales[[#This Row],[sale_date]]-sales[[#This Row],[sighnup_date]]</f>
        <v>22</v>
      </c>
      <c r="N11" t="str">
        <f t="shared" si="0"/>
        <v>new customer</v>
      </c>
      <c r="O11" t="str">
        <f>_xlfn.XLOOKUP(A11,salesitems[sale_id],salesitems[category])</f>
        <v>T-Shirts</v>
      </c>
    </row>
    <row r="12" spans="1:15" x14ac:dyDescent="0.45">
      <c r="A12">
        <v>1013</v>
      </c>
      <c r="B12" t="s">
        <v>15</v>
      </c>
      <c r="C12">
        <v>0</v>
      </c>
      <c r="D12">
        <v>178.68</v>
      </c>
      <c r="E12" s="1">
        <v>45777</v>
      </c>
      <c r="F12">
        <v>296</v>
      </c>
      <c r="G12" t="s">
        <v>28</v>
      </c>
      <c r="H12" t="str">
        <f>TEXT(sales[[#This Row],[sale_date]],"dddd")</f>
        <v>Wednesday</v>
      </c>
      <c r="I12">
        <f>_xlfn.XLOOKUP(A12,salesitems[sale_id],salesitems[revenue],0)</f>
        <v>72.58</v>
      </c>
      <c r="J12">
        <v>1</v>
      </c>
      <c r="K12" s="10" t="str">
        <f>_xlfn.XLOOKUP(F12,customers[customer_id],customers[age_range])</f>
        <v>16-25</v>
      </c>
      <c r="L12" s="1">
        <f>_xlfn.XLOOKUP(F12,customers[customer_id],customers[signup_date])</f>
        <v>45810</v>
      </c>
      <c r="M12">
        <f>sales[[#This Row],[sale_date]]-sales[[#This Row],[sighnup_date]]</f>
        <v>-33</v>
      </c>
      <c r="N12" t="str">
        <f t="shared" si="0"/>
        <v>data issue</v>
      </c>
      <c r="O12" t="str">
        <f>_xlfn.XLOOKUP(A12,salesitems[sale_id],salesitems[category])</f>
        <v>Shoes</v>
      </c>
    </row>
    <row r="13" spans="1:15" x14ac:dyDescent="0.45">
      <c r="A13">
        <v>1014</v>
      </c>
      <c r="B13" t="s">
        <v>21</v>
      </c>
      <c r="C13">
        <v>0</v>
      </c>
      <c r="D13">
        <v>175.37</v>
      </c>
      <c r="E13" s="1">
        <v>45793</v>
      </c>
      <c r="F13">
        <v>578</v>
      </c>
      <c r="G13" t="s">
        <v>36</v>
      </c>
      <c r="H13" t="str">
        <f>TEXT(sales[[#This Row],[sale_date]],"dddd")</f>
        <v>Friday</v>
      </c>
      <c r="I13">
        <f>_xlfn.XLOOKUP(A13,salesitems[sale_id],salesitems[revenue],0)</f>
        <v>68.47</v>
      </c>
      <c r="J13">
        <v>1</v>
      </c>
      <c r="K13" s="10" t="str">
        <f>_xlfn.XLOOKUP(F13,customers[customer_id],customers[age_range])</f>
        <v>16-25</v>
      </c>
      <c r="L13" s="1">
        <f>_xlfn.XLOOKUP(F13,customers[customer_id],customers[signup_date])</f>
        <v>45750</v>
      </c>
      <c r="M13">
        <f>sales[[#This Row],[sale_date]]-sales[[#This Row],[sighnup_date]]</f>
        <v>43</v>
      </c>
      <c r="N13" t="str">
        <f t="shared" si="0"/>
        <v>new customer</v>
      </c>
      <c r="O13" t="str">
        <f>_xlfn.XLOOKUP(A13,salesitems[sale_id],salesitems[category])</f>
        <v>Shoes</v>
      </c>
    </row>
    <row r="14" spans="1:15" x14ac:dyDescent="0.45">
      <c r="A14">
        <v>1015</v>
      </c>
      <c r="B14" t="s">
        <v>15</v>
      </c>
      <c r="C14">
        <v>0</v>
      </c>
      <c r="D14">
        <v>355.88</v>
      </c>
      <c r="E14" s="1">
        <v>45804</v>
      </c>
      <c r="F14">
        <v>151</v>
      </c>
      <c r="G14" t="s">
        <v>34</v>
      </c>
      <c r="H14" t="str">
        <f>TEXT(sales[[#This Row],[sale_date]],"dddd")</f>
        <v>Tuesday</v>
      </c>
      <c r="I14">
        <f>_xlfn.XLOOKUP(A14,salesitems[sale_id],salesitems[revenue],0)</f>
        <v>203.64</v>
      </c>
      <c r="J14">
        <v>1</v>
      </c>
      <c r="K14" s="10" t="str">
        <f>_xlfn.XLOOKUP(F14,customers[customer_id],customers[age_range])</f>
        <v>56-65</v>
      </c>
      <c r="L14" s="1">
        <f>_xlfn.XLOOKUP(F14,customers[customer_id],customers[signup_date])</f>
        <v>45749</v>
      </c>
      <c r="M14">
        <f>sales[[#This Row],[sale_date]]-sales[[#This Row],[sighnup_date]]</f>
        <v>55</v>
      </c>
      <c r="N14" t="str">
        <f t="shared" si="0"/>
        <v>new customer</v>
      </c>
      <c r="O14" t="str">
        <f>_xlfn.XLOOKUP(A14,salesitems[sale_id],salesitems[category])</f>
        <v>Pants</v>
      </c>
    </row>
    <row r="15" spans="1:15" x14ac:dyDescent="0.45">
      <c r="A15">
        <v>1016</v>
      </c>
      <c r="B15" t="s">
        <v>21</v>
      </c>
      <c r="C15">
        <v>0</v>
      </c>
      <c r="D15">
        <v>288.61</v>
      </c>
      <c r="E15" s="1">
        <v>45769</v>
      </c>
      <c r="F15">
        <v>973</v>
      </c>
      <c r="G15" t="s">
        <v>33</v>
      </c>
      <c r="H15" t="str">
        <f>TEXT(sales[[#This Row],[sale_date]],"dddd")</f>
        <v>Tuesday</v>
      </c>
      <c r="I15">
        <f>_xlfn.XLOOKUP(A15,salesitems[sale_id],salesitems[revenue],0)</f>
        <v>99.52</v>
      </c>
      <c r="J15">
        <v>1</v>
      </c>
      <c r="K15" s="10" t="str">
        <f>_xlfn.XLOOKUP(F15,customers[customer_id],customers[age_range])</f>
        <v>56-65</v>
      </c>
      <c r="L15" s="1">
        <f>_xlfn.XLOOKUP(F15,customers[customer_id],customers[signup_date])</f>
        <v>45738</v>
      </c>
      <c r="M15">
        <f>sales[[#This Row],[sale_date]]-sales[[#This Row],[sighnup_date]]</f>
        <v>31</v>
      </c>
      <c r="N15" t="str">
        <f t="shared" si="0"/>
        <v>new customer</v>
      </c>
      <c r="O15" t="str">
        <f>_xlfn.XLOOKUP(A15,salesitems[sale_id],salesitems[category])</f>
        <v>Shoes</v>
      </c>
    </row>
    <row r="16" spans="1:15" x14ac:dyDescent="0.45">
      <c r="A16">
        <v>1017</v>
      </c>
      <c r="B16" t="s">
        <v>15</v>
      </c>
      <c r="C16">
        <v>0</v>
      </c>
      <c r="D16">
        <v>274.38</v>
      </c>
      <c r="E16" s="1">
        <v>45799</v>
      </c>
      <c r="F16">
        <v>613</v>
      </c>
      <c r="G16" t="s">
        <v>31</v>
      </c>
      <c r="H16" t="str">
        <f>TEXT(sales[[#This Row],[sale_date]],"dddd")</f>
        <v>Thursday</v>
      </c>
      <c r="I16">
        <f>_xlfn.XLOOKUP(A16,salesitems[sale_id],salesitems[revenue],0)</f>
        <v>144.09</v>
      </c>
      <c r="J16">
        <v>1</v>
      </c>
      <c r="K16" s="10" t="str">
        <f>_xlfn.XLOOKUP(F16,customers[customer_id],customers[age_range])</f>
        <v>16-25</v>
      </c>
      <c r="L16" s="1">
        <f>_xlfn.XLOOKUP(F16,customers[customer_id],customers[signup_date])</f>
        <v>45789</v>
      </c>
      <c r="M16">
        <f>sales[[#This Row],[sale_date]]-sales[[#This Row],[sighnup_date]]</f>
        <v>10</v>
      </c>
      <c r="N16" t="str">
        <f t="shared" si="0"/>
        <v>new customer</v>
      </c>
      <c r="O16" t="str">
        <f>_xlfn.XLOOKUP(A16,salesitems[sale_id],salesitems[category])</f>
        <v>Pants</v>
      </c>
    </row>
    <row r="17" spans="1:15" x14ac:dyDescent="0.45">
      <c r="A17">
        <v>1018</v>
      </c>
      <c r="B17" t="s">
        <v>21</v>
      </c>
      <c r="C17">
        <v>0</v>
      </c>
      <c r="D17">
        <v>272.08</v>
      </c>
      <c r="E17" s="1">
        <v>45793</v>
      </c>
      <c r="F17">
        <v>462</v>
      </c>
      <c r="G17" t="s">
        <v>33</v>
      </c>
      <c r="H17" t="str">
        <f>TEXT(sales[[#This Row],[sale_date]],"dddd")</f>
        <v>Friday</v>
      </c>
      <c r="I17">
        <f>_xlfn.XLOOKUP(A17,salesitems[sale_id],salesitems[revenue],0)</f>
        <v>87.68</v>
      </c>
      <c r="J17">
        <v>1</v>
      </c>
      <c r="K17" s="10" t="str">
        <f>_xlfn.XLOOKUP(F17,customers[customer_id],customers[age_range])</f>
        <v>36-45</v>
      </c>
      <c r="L17" s="1">
        <f>_xlfn.XLOOKUP(F17,customers[customer_id],customers[signup_date])</f>
        <v>45724</v>
      </c>
      <c r="M17">
        <f>sales[[#This Row],[sale_date]]-sales[[#This Row],[sighnup_date]]</f>
        <v>69</v>
      </c>
      <c r="N17" t="str">
        <f t="shared" si="0"/>
        <v>new customer</v>
      </c>
      <c r="O17" t="str">
        <f>_xlfn.XLOOKUP(A17,salesitems[sale_id],salesitems[category])</f>
        <v>Dresses</v>
      </c>
    </row>
    <row r="18" spans="1:15" x14ac:dyDescent="0.45">
      <c r="A18">
        <v>1019</v>
      </c>
      <c r="B18" t="s">
        <v>21</v>
      </c>
      <c r="C18">
        <v>1</v>
      </c>
      <c r="D18">
        <v>363.76</v>
      </c>
      <c r="E18" s="1">
        <v>45783</v>
      </c>
      <c r="F18">
        <v>43</v>
      </c>
      <c r="G18" t="s">
        <v>36</v>
      </c>
      <c r="H18" t="str">
        <f>TEXT(sales[[#This Row],[sale_date]],"dddd")</f>
        <v>Tuesday</v>
      </c>
      <c r="I18">
        <f>_xlfn.XLOOKUP(A18,salesitems[sale_id],salesitems[revenue],0)</f>
        <v>69.28</v>
      </c>
      <c r="J18">
        <v>1</v>
      </c>
      <c r="K18" s="10" t="str">
        <f>_xlfn.XLOOKUP(F18,customers[customer_id],customers[age_range])</f>
        <v>56-65</v>
      </c>
      <c r="L18" s="1">
        <f>_xlfn.XLOOKUP(F18,customers[customer_id],customers[signup_date])</f>
        <v>45754</v>
      </c>
      <c r="M18">
        <f>sales[[#This Row],[sale_date]]-sales[[#This Row],[sighnup_date]]</f>
        <v>29</v>
      </c>
      <c r="N18" t="str">
        <f t="shared" si="0"/>
        <v>new customer</v>
      </c>
      <c r="O18" t="str">
        <f>_xlfn.XLOOKUP(A18,salesitems[sale_id],salesitems[category])</f>
        <v>Pants</v>
      </c>
    </row>
    <row r="19" spans="1:15" x14ac:dyDescent="0.45">
      <c r="A19">
        <v>102</v>
      </c>
      <c r="B19" t="s">
        <v>15</v>
      </c>
      <c r="C19">
        <v>0</v>
      </c>
      <c r="D19">
        <v>289.57</v>
      </c>
      <c r="E19" s="1">
        <v>45822</v>
      </c>
      <c r="F19">
        <v>692</v>
      </c>
      <c r="G19" t="s">
        <v>28</v>
      </c>
      <c r="H19" t="str">
        <f>TEXT(sales[[#This Row],[sale_date]],"dddd")</f>
        <v>Saturday</v>
      </c>
      <c r="I19">
        <f>_xlfn.XLOOKUP(A19,salesitems[sale_id],salesitems[revenue],0)</f>
        <v>78.400000000000006</v>
      </c>
      <c r="J19">
        <v>1</v>
      </c>
      <c r="K19" s="10" t="str">
        <f>_xlfn.XLOOKUP(F19,customers[customer_id],customers[age_range])</f>
        <v>56-65</v>
      </c>
      <c r="L19" s="1">
        <f>_xlfn.XLOOKUP(F19,customers[customer_id],customers[signup_date])</f>
        <v>45782</v>
      </c>
      <c r="M19">
        <f>sales[[#This Row],[sale_date]]-sales[[#This Row],[sighnup_date]]</f>
        <v>40</v>
      </c>
      <c r="N19" t="str">
        <f t="shared" si="0"/>
        <v>new customer</v>
      </c>
      <c r="O19" t="str">
        <f>_xlfn.XLOOKUP(A19,salesitems[sale_id],salesitems[category])</f>
        <v>Dresses</v>
      </c>
    </row>
    <row r="20" spans="1:15" x14ac:dyDescent="0.45">
      <c r="A20">
        <v>1020</v>
      </c>
      <c r="B20" t="s">
        <v>21</v>
      </c>
      <c r="C20">
        <v>0</v>
      </c>
      <c r="D20">
        <v>423.57</v>
      </c>
      <c r="E20" s="1">
        <v>45794</v>
      </c>
      <c r="F20">
        <v>120</v>
      </c>
      <c r="G20" t="s">
        <v>36</v>
      </c>
      <c r="H20" t="str">
        <f>TEXT(sales[[#This Row],[sale_date]],"dddd")</f>
        <v>Saturday</v>
      </c>
      <c r="I20">
        <f>_xlfn.XLOOKUP(A20,salesitems[sale_id],salesitems[revenue],0)</f>
        <v>231.92</v>
      </c>
      <c r="J20">
        <v>1</v>
      </c>
      <c r="K20" s="10" t="str">
        <f>_xlfn.XLOOKUP(F20,customers[customer_id],customers[age_range])</f>
        <v>46-55</v>
      </c>
      <c r="L20" s="1">
        <f>_xlfn.XLOOKUP(F20,customers[customer_id],customers[signup_date])</f>
        <v>45773</v>
      </c>
      <c r="M20">
        <f>sales[[#This Row],[sale_date]]-sales[[#This Row],[sighnup_date]]</f>
        <v>21</v>
      </c>
      <c r="N20" t="str">
        <f t="shared" si="0"/>
        <v>new customer</v>
      </c>
      <c r="O20" t="str">
        <f>_xlfn.XLOOKUP(A20,salesitems[sale_id],salesitems[category])</f>
        <v>Dresses</v>
      </c>
    </row>
    <row r="21" spans="1:15" x14ac:dyDescent="0.45">
      <c r="A21">
        <v>1024</v>
      </c>
      <c r="B21" t="s">
        <v>15</v>
      </c>
      <c r="C21">
        <v>0</v>
      </c>
      <c r="D21">
        <v>391.65</v>
      </c>
      <c r="E21" s="1">
        <v>45762</v>
      </c>
      <c r="F21">
        <v>331</v>
      </c>
      <c r="G21" t="s">
        <v>34</v>
      </c>
      <c r="H21" t="str">
        <f>TEXT(sales[[#This Row],[sale_date]],"dddd")</f>
        <v>Tuesday</v>
      </c>
      <c r="I21">
        <f>_xlfn.XLOOKUP(A21,salesitems[sale_id],salesitems[revenue],0)</f>
        <v>208.4</v>
      </c>
      <c r="J21">
        <v>1</v>
      </c>
      <c r="K21" s="10" t="str">
        <f>_xlfn.XLOOKUP(F21,customers[customer_id],customers[age_range])</f>
        <v>56-65</v>
      </c>
      <c r="L21" s="1">
        <f>_xlfn.XLOOKUP(F21,customers[customer_id],customers[signup_date])</f>
        <v>45749</v>
      </c>
      <c r="M21">
        <f>sales[[#This Row],[sale_date]]-sales[[#This Row],[sighnup_date]]</f>
        <v>13</v>
      </c>
      <c r="N21" t="str">
        <f t="shared" si="0"/>
        <v>new customer</v>
      </c>
      <c r="O21" t="str">
        <f>_xlfn.XLOOKUP(A21,salesitems[sale_id],salesitems[category])</f>
        <v>Dresses</v>
      </c>
    </row>
    <row r="22" spans="1:15" x14ac:dyDescent="0.45">
      <c r="A22">
        <v>1025</v>
      </c>
      <c r="B22" t="s">
        <v>15</v>
      </c>
      <c r="C22">
        <v>0</v>
      </c>
      <c r="D22">
        <v>89.97</v>
      </c>
      <c r="E22" s="1">
        <v>45806</v>
      </c>
      <c r="F22">
        <v>318</v>
      </c>
      <c r="G22" t="s">
        <v>28</v>
      </c>
      <c r="H22" t="str">
        <f>TEXT(sales[[#This Row],[sale_date]],"dddd")</f>
        <v>Thursday</v>
      </c>
      <c r="I22">
        <f>_xlfn.XLOOKUP(A22,salesitems[sale_id],salesitems[revenue],0)</f>
        <v>50.55</v>
      </c>
      <c r="J22">
        <v>1</v>
      </c>
      <c r="K22" s="10" t="str">
        <f>_xlfn.XLOOKUP(F22,customers[customer_id],customers[age_range])</f>
        <v>46-55</v>
      </c>
      <c r="L22" s="1">
        <f>_xlfn.XLOOKUP(F22,customers[customer_id],customers[signup_date])</f>
        <v>45708</v>
      </c>
      <c r="M22">
        <f>sales[[#This Row],[sale_date]]-sales[[#This Row],[sighnup_date]]</f>
        <v>98</v>
      </c>
      <c r="N22" t="str">
        <f t="shared" si="0"/>
        <v>existing customer</v>
      </c>
      <c r="O22" t="str">
        <f>_xlfn.XLOOKUP(A22,salesitems[sale_id],salesitems[category])</f>
        <v>T-Shirts</v>
      </c>
    </row>
    <row r="23" spans="1:15" x14ac:dyDescent="0.45">
      <c r="A23">
        <v>1026</v>
      </c>
      <c r="B23" t="s">
        <v>21</v>
      </c>
      <c r="C23">
        <v>0</v>
      </c>
      <c r="D23">
        <v>218.4</v>
      </c>
      <c r="E23" s="1">
        <v>45796</v>
      </c>
      <c r="F23">
        <v>190</v>
      </c>
      <c r="G23" t="s">
        <v>33</v>
      </c>
      <c r="H23" t="str">
        <f>TEXT(sales[[#This Row],[sale_date]],"dddd")</f>
        <v>Monday</v>
      </c>
      <c r="I23">
        <f>_xlfn.XLOOKUP(A23,salesitems[sale_id],salesitems[revenue],0)</f>
        <v>63.68</v>
      </c>
      <c r="J23">
        <v>1</v>
      </c>
      <c r="K23" s="10" t="str">
        <f>_xlfn.XLOOKUP(F23,customers[customer_id],customers[age_range])</f>
        <v>26-35</v>
      </c>
      <c r="L23" s="1">
        <f>_xlfn.XLOOKUP(F23,customers[customer_id],customers[signup_date])</f>
        <v>45739</v>
      </c>
      <c r="M23">
        <f>sales[[#This Row],[sale_date]]-sales[[#This Row],[sighnup_date]]</f>
        <v>57</v>
      </c>
      <c r="N23" t="str">
        <f t="shared" si="0"/>
        <v>new customer</v>
      </c>
      <c r="O23" t="str">
        <f>_xlfn.XLOOKUP(A23,salesitems[sale_id],salesitems[category])</f>
        <v>Shoes</v>
      </c>
    </row>
    <row r="24" spans="1:15" x14ac:dyDescent="0.45">
      <c r="A24">
        <v>1028</v>
      </c>
      <c r="B24" t="s">
        <v>21</v>
      </c>
      <c r="C24">
        <v>0</v>
      </c>
      <c r="D24">
        <v>288.52</v>
      </c>
      <c r="E24" s="1">
        <v>45802</v>
      </c>
      <c r="F24">
        <v>475</v>
      </c>
      <c r="G24" t="s">
        <v>33</v>
      </c>
      <c r="H24" t="str">
        <f>TEXT(sales[[#This Row],[sale_date]],"dddd")</f>
        <v>Sunday</v>
      </c>
      <c r="I24">
        <f>_xlfn.XLOOKUP(A24,salesitems[sale_id],salesitems[revenue],0)</f>
        <v>135.96</v>
      </c>
      <c r="J24">
        <v>1</v>
      </c>
      <c r="K24" s="10" t="str">
        <f>_xlfn.XLOOKUP(F24,customers[customer_id],customers[age_range])</f>
        <v>26-35</v>
      </c>
      <c r="L24" s="1">
        <f>_xlfn.XLOOKUP(F24,customers[customer_id],customers[signup_date])</f>
        <v>45731</v>
      </c>
      <c r="M24">
        <f>sales[[#This Row],[sale_date]]-sales[[#This Row],[sighnup_date]]</f>
        <v>71</v>
      </c>
      <c r="N24" t="str">
        <f t="shared" si="0"/>
        <v>new customer</v>
      </c>
      <c r="O24" t="str">
        <f>_xlfn.XLOOKUP(A24,salesitems[sale_id],salesitems[category])</f>
        <v>T-Shirts</v>
      </c>
    </row>
    <row r="25" spans="1:15" x14ac:dyDescent="0.45">
      <c r="A25">
        <v>1029</v>
      </c>
      <c r="B25" t="s">
        <v>21</v>
      </c>
      <c r="C25">
        <v>0</v>
      </c>
      <c r="D25">
        <v>229.7</v>
      </c>
      <c r="E25" s="1">
        <v>45764</v>
      </c>
      <c r="F25">
        <v>554</v>
      </c>
      <c r="G25" t="s">
        <v>28</v>
      </c>
      <c r="H25" t="str">
        <f>TEXT(sales[[#This Row],[sale_date]],"dddd")</f>
        <v>Thursday</v>
      </c>
      <c r="I25">
        <f>_xlfn.XLOOKUP(A25,salesitems[sale_id],salesitems[revenue],0)</f>
        <v>29.81</v>
      </c>
      <c r="J25">
        <v>1</v>
      </c>
      <c r="K25" s="10" t="str">
        <f>_xlfn.XLOOKUP(F25,customers[customer_id],customers[age_range])</f>
        <v>56-65</v>
      </c>
      <c r="L25" s="1">
        <f>_xlfn.XLOOKUP(F25,customers[customer_id],customers[signup_date])</f>
        <v>45710</v>
      </c>
      <c r="M25">
        <f>sales[[#This Row],[sale_date]]-sales[[#This Row],[sighnup_date]]</f>
        <v>54</v>
      </c>
      <c r="N25" t="str">
        <f t="shared" si="0"/>
        <v>new customer</v>
      </c>
      <c r="O25" t="str">
        <f>_xlfn.XLOOKUP(A25,salesitems[sale_id],salesitems[category])</f>
        <v>Sleepwear</v>
      </c>
    </row>
    <row r="26" spans="1:15" x14ac:dyDescent="0.45">
      <c r="A26">
        <v>103</v>
      </c>
      <c r="B26" t="s">
        <v>21</v>
      </c>
      <c r="C26">
        <v>0</v>
      </c>
      <c r="D26">
        <v>452.53</v>
      </c>
      <c r="E26" s="1">
        <v>45821</v>
      </c>
      <c r="F26">
        <v>76</v>
      </c>
      <c r="G26" t="s">
        <v>36</v>
      </c>
      <c r="H26" t="str">
        <f>TEXT(sales[[#This Row],[sale_date]],"dddd")</f>
        <v>Friday</v>
      </c>
      <c r="I26">
        <f>_xlfn.XLOOKUP(A26,salesitems[sale_id],salesitems[revenue],0)</f>
        <v>48.34</v>
      </c>
      <c r="J26">
        <v>1</v>
      </c>
      <c r="K26" s="10" t="str">
        <f>_xlfn.XLOOKUP(F26,customers[customer_id],customers[age_range])</f>
        <v>56-65</v>
      </c>
      <c r="L26" s="1">
        <f>_xlfn.XLOOKUP(F26,customers[customer_id],customers[signup_date])</f>
        <v>45705</v>
      </c>
      <c r="M26">
        <f>sales[[#This Row],[sale_date]]-sales[[#This Row],[sighnup_date]]</f>
        <v>116</v>
      </c>
      <c r="N26" t="str">
        <f t="shared" si="0"/>
        <v>existing customer</v>
      </c>
      <c r="O26" t="str">
        <f>_xlfn.XLOOKUP(A26,salesitems[sale_id],salesitems[category])</f>
        <v>Dresses</v>
      </c>
    </row>
    <row r="27" spans="1:15" x14ac:dyDescent="0.45">
      <c r="A27">
        <v>1030</v>
      </c>
      <c r="B27" t="s">
        <v>15</v>
      </c>
      <c r="C27">
        <v>0</v>
      </c>
      <c r="D27">
        <v>261.25</v>
      </c>
      <c r="E27" s="1">
        <v>45824</v>
      </c>
      <c r="F27">
        <v>575</v>
      </c>
      <c r="G27" t="s">
        <v>31</v>
      </c>
      <c r="H27" t="str">
        <f>TEXT(sales[[#This Row],[sale_date]],"dddd")</f>
        <v>Monday</v>
      </c>
      <c r="I27">
        <f>_xlfn.XLOOKUP(A27,salesitems[sale_id],salesitems[revenue],0)</f>
        <v>137.25</v>
      </c>
      <c r="J27">
        <v>1</v>
      </c>
      <c r="K27" s="10" t="str">
        <f>_xlfn.XLOOKUP(F27,customers[customer_id],customers[age_range])</f>
        <v>26-35</v>
      </c>
      <c r="L27" s="1">
        <f>_xlfn.XLOOKUP(F27,customers[customer_id],customers[signup_date])</f>
        <v>45762</v>
      </c>
      <c r="M27">
        <f>sales[[#This Row],[sale_date]]-sales[[#This Row],[sighnup_date]]</f>
        <v>62</v>
      </c>
      <c r="N27" t="str">
        <f t="shared" si="0"/>
        <v>new customer</v>
      </c>
      <c r="O27" t="str">
        <f>_xlfn.XLOOKUP(A27,salesitems[sale_id],salesitems[category])</f>
        <v>T-Shirts</v>
      </c>
    </row>
    <row r="28" spans="1:15" x14ac:dyDescent="0.45">
      <c r="A28">
        <v>1031</v>
      </c>
      <c r="B28" t="s">
        <v>15</v>
      </c>
      <c r="C28">
        <v>0</v>
      </c>
      <c r="D28">
        <v>281.67</v>
      </c>
      <c r="E28" s="1">
        <v>45753</v>
      </c>
      <c r="F28">
        <v>896</v>
      </c>
      <c r="G28" t="s">
        <v>38</v>
      </c>
      <c r="H28" t="str">
        <f>TEXT(sales[[#This Row],[sale_date]],"dddd")</f>
        <v>Sunday</v>
      </c>
      <c r="I28">
        <f>_xlfn.XLOOKUP(A28,salesitems[sale_id],salesitems[revenue],0)</f>
        <v>102.36</v>
      </c>
      <c r="J28">
        <v>1</v>
      </c>
      <c r="K28" s="10" t="str">
        <f>_xlfn.XLOOKUP(F28,customers[customer_id],customers[age_range])</f>
        <v>46-55</v>
      </c>
      <c r="L28" s="1">
        <f>_xlfn.XLOOKUP(F28,customers[customer_id],customers[signup_date])</f>
        <v>45757</v>
      </c>
      <c r="M28">
        <f>sales[[#This Row],[sale_date]]-sales[[#This Row],[sighnup_date]]</f>
        <v>-4</v>
      </c>
      <c r="N28" t="str">
        <f t="shared" si="0"/>
        <v>data issue</v>
      </c>
      <c r="O28" t="str">
        <f>_xlfn.XLOOKUP(A28,salesitems[sale_id],salesitems[category])</f>
        <v>Shoes</v>
      </c>
    </row>
    <row r="29" spans="1:15" x14ac:dyDescent="0.45">
      <c r="A29">
        <v>1034</v>
      </c>
      <c r="B29" t="s">
        <v>15</v>
      </c>
      <c r="C29">
        <v>0</v>
      </c>
      <c r="D29">
        <v>192.63</v>
      </c>
      <c r="E29" s="1">
        <v>45808</v>
      </c>
      <c r="F29">
        <v>342</v>
      </c>
      <c r="G29" t="s">
        <v>31</v>
      </c>
      <c r="H29" t="str">
        <f>TEXT(sales[[#This Row],[sale_date]],"dddd")</f>
        <v>Saturday</v>
      </c>
      <c r="I29">
        <f>_xlfn.XLOOKUP(A29,salesitems[sale_id],salesitems[revenue],0)</f>
        <v>59.07</v>
      </c>
      <c r="J29">
        <v>1</v>
      </c>
      <c r="K29" s="10" t="str">
        <f>_xlfn.XLOOKUP(F29,customers[customer_id],customers[age_range])</f>
        <v>36-45</v>
      </c>
      <c r="L29" s="1">
        <f>_xlfn.XLOOKUP(F29,customers[customer_id],customers[signup_date])</f>
        <v>45771</v>
      </c>
      <c r="M29">
        <f>sales[[#This Row],[sale_date]]-sales[[#This Row],[sighnup_date]]</f>
        <v>37</v>
      </c>
      <c r="N29" t="str">
        <f t="shared" si="0"/>
        <v>new customer</v>
      </c>
      <c r="O29" t="str">
        <f>_xlfn.XLOOKUP(A29,salesitems[sale_id],salesitems[category])</f>
        <v>Pants</v>
      </c>
    </row>
    <row r="30" spans="1:15" x14ac:dyDescent="0.45">
      <c r="A30">
        <v>1035</v>
      </c>
      <c r="B30" t="s">
        <v>21</v>
      </c>
      <c r="C30">
        <v>0</v>
      </c>
      <c r="D30">
        <v>215.07</v>
      </c>
      <c r="E30" s="1">
        <v>45782</v>
      </c>
      <c r="F30">
        <v>857</v>
      </c>
      <c r="G30" t="s">
        <v>36</v>
      </c>
      <c r="H30" t="str">
        <f>TEXT(sales[[#This Row],[sale_date]],"dddd")</f>
        <v>Monday</v>
      </c>
      <c r="I30">
        <f>_xlfn.XLOOKUP(A30,salesitems[sale_id],salesitems[revenue],0)</f>
        <v>43.92</v>
      </c>
      <c r="J30">
        <v>1</v>
      </c>
      <c r="K30" s="10" t="str">
        <f>_xlfn.XLOOKUP(F30,customers[customer_id],customers[age_range])</f>
        <v>36-45</v>
      </c>
      <c r="L30" s="1">
        <f>_xlfn.XLOOKUP(F30,customers[customer_id],customers[signup_date])</f>
        <v>45768</v>
      </c>
      <c r="M30">
        <f>sales[[#This Row],[sale_date]]-sales[[#This Row],[sighnup_date]]</f>
        <v>14</v>
      </c>
      <c r="N30" t="str">
        <f t="shared" si="0"/>
        <v>new customer</v>
      </c>
      <c r="O30" t="str">
        <f>_xlfn.XLOOKUP(A30,salesitems[sale_id],salesitems[category])</f>
        <v>T-Shirts</v>
      </c>
    </row>
    <row r="31" spans="1:15" x14ac:dyDescent="0.45">
      <c r="A31">
        <v>1036</v>
      </c>
      <c r="B31" t="s">
        <v>21</v>
      </c>
      <c r="C31">
        <v>0</v>
      </c>
      <c r="D31">
        <v>199.55</v>
      </c>
      <c r="E31" s="1">
        <v>45821</v>
      </c>
      <c r="F31">
        <v>793</v>
      </c>
      <c r="G31" t="s">
        <v>33</v>
      </c>
      <c r="H31" t="str">
        <f>TEXT(sales[[#This Row],[sale_date]],"dddd")</f>
        <v>Friday</v>
      </c>
      <c r="I31">
        <f>_xlfn.XLOOKUP(A31,salesitems[sale_id],salesitems[revenue],0)</f>
        <v>57.19</v>
      </c>
      <c r="J31">
        <v>1</v>
      </c>
      <c r="K31" s="10" t="str">
        <f>_xlfn.XLOOKUP(F31,customers[customer_id],customers[age_range])</f>
        <v>36-45</v>
      </c>
      <c r="L31" s="1">
        <f>_xlfn.XLOOKUP(F31,customers[customer_id],customers[signup_date])</f>
        <v>45787</v>
      </c>
      <c r="M31">
        <f>sales[[#This Row],[sale_date]]-sales[[#This Row],[sighnup_date]]</f>
        <v>34</v>
      </c>
      <c r="N31" t="str">
        <f t="shared" si="0"/>
        <v>new customer</v>
      </c>
      <c r="O31" t="str">
        <f>_xlfn.XLOOKUP(A31,salesitems[sale_id],salesitems[category])</f>
        <v>Dresses</v>
      </c>
    </row>
    <row r="32" spans="1:15" x14ac:dyDescent="0.45">
      <c r="A32">
        <v>1038</v>
      </c>
      <c r="B32" t="s">
        <v>21</v>
      </c>
      <c r="C32">
        <v>0</v>
      </c>
      <c r="D32">
        <v>224.2</v>
      </c>
      <c r="E32" s="1">
        <v>45781</v>
      </c>
      <c r="F32">
        <v>203</v>
      </c>
      <c r="G32" t="s">
        <v>33</v>
      </c>
      <c r="H32" t="str">
        <f>TEXT(sales[[#This Row],[sale_date]],"dddd")</f>
        <v>Sunday</v>
      </c>
      <c r="I32">
        <f>_xlfn.XLOOKUP(A32,salesitems[sale_id],salesitems[revenue],0)</f>
        <v>113.16</v>
      </c>
      <c r="J32">
        <v>1</v>
      </c>
      <c r="K32" s="10" t="str">
        <f>_xlfn.XLOOKUP(F32,customers[customer_id],customers[age_range])</f>
        <v>46-55</v>
      </c>
      <c r="L32" s="1">
        <f>_xlfn.XLOOKUP(F32,customers[customer_id],customers[signup_date])</f>
        <v>45765</v>
      </c>
      <c r="M32">
        <f>sales[[#This Row],[sale_date]]-sales[[#This Row],[sighnup_date]]</f>
        <v>16</v>
      </c>
      <c r="N32" t="str">
        <f t="shared" si="0"/>
        <v>new customer</v>
      </c>
      <c r="O32" t="str">
        <f>_xlfn.XLOOKUP(A32,salesitems[sale_id],salesitems[category])</f>
        <v>Sleepwear</v>
      </c>
    </row>
    <row r="33" spans="1:15" x14ac:dyDescent="0.45">
      <c r="A33">
        <v>1039</v>
      </c>
      <c r="B33" t="s">
        <v>15</v>
      </c>
      <c r="C33">
        <v>0</v>
      </c>
      <c r="D33">
        <v>405.63</v>
      </c>
      <c r="E33" s="1">
        <v>45821</v>
      </c>
      <c r="F33">
        <v>460</v>
      </c>
      <c r="G33" t="s">
        <v>31</v>
      </c>
      <c r="H33" t="str">
        <f>TEXT(sales[[#This Row],[sale_date]],"dddd")</f>
        <v>Friday</v>
      </c>
      <c r="I33">
        <f>_xlfn.XLOOKUP(A33,salesitems[sale_id],salesitems[revenue],0)</f>
        <v>119.68</v>
      </c>
      <c r="J33">
        <v>1</v>
      </c>
      <c r="K33" s="10" t="str">
        <f>_xlfn.XLOOKUP(F33,customers[customer_id],customers[age_range])</f>
        <v>56-65</v>
      </c>
      <c r="L33" s="1">
        <f>_xlfn.XLOOKUP(F33,customers[customer_id],customers[signup_date])</f>
        <v>45712</v>
      </c>
      <c r="M33">
        <f>sales[[#This Row],[sale_date]]-sales[[#This Row],[sighnup_date]]</f>
        <v>109</v>
      </c>
      <c r="N33" t="str">
        <f t="shared" si="0"/>
        <v>existing customer</v>
      </c>
      <c r="O33" t="str">
        <f>_xlfn.XLOOKUP(A33,salesitems[sale_id],salesitems[category])</f>
        <v>Sleepwear</v>
      </c>
    </row>
    <row r="34" spans="1:15" x14ac:dyDescent="0.45">
      <c r="A34">
        <v>104</v>
      </c>
      <c r="B34" t="s">
        <v>15</v>
      </c>
      <c r="C34">
        <v>0</v>
      </c>
      <c r="D34">
        <v>555.25</v>
      </c>
      <c r="E34" s="1">
        <v>45767</v>
      </c>
      <c r="F34">
        <v>373</v>
      </c>
      <c r="G34" t="s">
        <v>34</v>
      </c>
      <c r="H34" t="str">
        <f>TEXT(sales[[#This Row],[sale_date]],"dddd")</f>
        <v>Sunday</v>
      </c>
      <c r="I34">
        <f>_xlfn.XLOOKUP(A34,salesitems[sale_id],salesitems[revenue],0)</f>
        <v>107.22</v>
      </c>
      <c r="J34">
        <v>1</v>
      </c>
      <c r="K34" s="10" t="str">
        <f>_xlfn.XLOOKUP(F34,customers[customer_id],customers[age_range])</f>
        <v>56-65</v>
      </c>
      <c r="L34" s="1">
        <f>_xlfn.XLOOKUP(F34,customers[customer_id],customers[signup_date])</f>
        <v>45713</v>
      </c>
      <c r="M34">
        <f>sales[[#This Row],[sale_date]]-sales[[#This Row],[sighnup_date]]</f>
        <v>54</v>
      </c>
      <c r="N34" t="str">
        <f t="shared" si="0"/>
        <v>new customer</v>
      </c>
      <c r="O34" t="str">
        <f>_xlfn.XLOOKUP(A34,salesitems[sale_id],salesitems[category])</f>
        <v>T-Shirts</v>
      </c>
    </row>
    <row r="35" spans="1:15" x14ac:dyDescent="0.45">
      <c r="A35">
        <v>1040</v>
      </c>
      <c r="B35" t="s">
        <v>15</v>
      </c>
      <c r="C35">
        <v>1</v>
      </c>
      <c r="D35">
        <v>277.8</v>
      </c>
      <c r="E35" s="1">
        <v>45793</v>
      </c>
      <c r="F35">
        <v>608</v>
      </c>
      <c r="G35" t="s">
        <v>28</v>
      </c>
      <c r="H35" t="str">
        <f>TEXT(sales[[#This Row],[sale_date]],"dddd")</f>
        <v>Friday</v>
      </c>
      <c r="I35">
        <f>_xlfn.XLOOKUP(A35,salesitems[sale_id],salesitems[revenue],0)</f>
        <v>94.82</v>
      </c>
      <c r="J35">
        <v>1</v>
      </c>
      <c r="K35" s="10" t="str">
        <f>_xlfn.XLOOKUP(F35,customers[customer_id],customers[age_range])</f>
        <v>26-35</v>
      </c>
      <c r="L35" s="1">
        <f>_xlfn.XLOOKUP(F35,customers[customer_id],customers[signup_date])</f>
        <v>45700</v>
      </c>
      <c r="M35">
        <f>sales[[#This Row],[sale_date]]-sales[[#This Row],[sighnup_date]]</f>
        <v>93</v>
      </c>
      <c r="N35" t="str">
        <f t="shared" si="0"/>
        <v>existing customer</v>
      </c>
      <c r="O35" t="str">
        <f>_xlfn.XLOOKUP(A35,salesitems[sale_id],salesitems[category])</f>
        <v>Sleepwear</v>
      </c>
    </row>
    <row r="36" spans="1:15" x14ac:dyDescent="0.45">
      <c r="A36">
        <v>1042</v>
      </c>
      <c r="B36" t="s">
        <v>15</v>
      </c>
      <c r="C36">
        <v>1</v>
      </c>
      <c r="D36">
        <v>45.5</v>
      </c>
      <c r="E36" s="1">
        <v>45790</v>
      </c>
      <c r="F36">
        <v>822</v>
      </c>
      <c r="G36" t="s">
        <v>36</v>
      </c>
      <c r="H36" t="str">
        <f>TEXT(sales[[#This Row],[sale_date]],"dddd")</f>
        <v>Tuesday</v>
      </c>
      <c r="I36">
        <f>_xlfn.XLOOKUP(A36,salesitems[sale_id],salesitems[revenue],0)</f>
        <v>22.13</v>
      </c>
      <c r="J36">
        <v>1</v>
      </c>
      <c r="K36" s="10" t="str">
        <f>_xlfn.XLOOKUP(F36,customers[customer_id],customers[age_range])</f>
        <v>56-65</v>
      </c>
      <c r="L36" s="1">
        <f>_xlfn.XLOOKUP(F36,customers[customer_id],customers[signup_date])</f>
        <v>45777</v>
      </c>
      <c r="M36">
        <f>sales[[#This Row],[sale_date]]-sales[[#This Row],[sighnup_date]]</f>
        <v>13</v>
      </c>
      <c r="N36" t="str">
        <f t="shared" si="0"/>
        <v>new customer</v>
      </c>
      <c r="O36" t="str">
        <f>_xlfn.XLOOKUP(A36,salesitems[sale_id],salesitems[category])</f>
        <v>T-Shirts</v>
      </c>
    </row>
    <row r="37" spans="1:15" x14ac:dyDescent="0.45">
      <c r="A37">
        <v>1044</v>
      </c>
      <c r="B37" t="s">
        <v>15</v>
      </c>
      <c r="C37">
        <v>0</v>
      </c>
      <c r="D37">
        <v>428.76</v>
      </c>
      <c r="E37" s="1">
        <v>45777</v>
      </c>
      <c r="F37">
        <v>268</v>
      </c>
      <c r="G37" t="s">
        <v>36</v>
      </c>
      <c r="H37" t="str">
        <f>TEXT(sales[[#This Row],[sale_date]],"dddd")</f>
        <v>Wednesday</v>
      </c>
      <c r="I37">
        <f>_xlfn.XLOOKUP(A37,salesitems[sale_id],salesitems[revenue],0)</f>
        <v>217.12</v>
      </c>
      <c r="J37">
        <v>1</v>
      </c>
      <c r="K37" s="10" t="str">
        <f>_xlfn.XLOOKUP(F37,customers[customer_id],customers[age_range])</f>
        <v>46-55</v>
      </c>
      <c r="L37" s="1">
        <f>_xlfn.XLOOKUP(F37,customers[customer_id],customers[signup_date])</f>
        <v>45707</v>
      </c>
      <c r="M37">
        <f>sales[[#This Row],[sale_date]]-sales[[#This Row],[sighnup_date]]</f>
        <v>70</v>
      </c>
      <c r="N37" t="str">
        <f t="shared" si="0"/>
        <v>new customer</v>
      </c>
      <c r="O37" t="str">
        <f>_xlfn.XLOOKUP(A37,salesitems[sale_id],salesitems[category])</f>
        <v>Shoes</v>
      </c>
    </row>
    <row r="38" spans="1:15" x14ac:dyDescent="0.45">
      <c r="A38">
        <v>1045</v>
      </c>
      <c r="B38" t="s">
        <v>21</v>
      </c>
      <c r="C38">
        <v>0</v>
      </c>
      <c r="D38">
        <v>288.98</v>
      </c>
      <c r="E38" s="1">
        <v>45791</v>
      </c>
      <c r="F38">
        <v>113</v>
      </c>
      <c r="G38" t="s">
        <v>36</v>
      </c>
      <c r="H38" t="str">
        <f>TEXT(sales[[#This Row],[sale_date]],"dddd")</f>
        <v>Wednesday</v>
      </c>
      <c r="I38">
        <f>_xlfn.XLOOKUP(A38,salesitems[sale_id],salesitems[revenue],0)</f>
        <v>51.63</v>
      </c>
      <c r="J38">
        <v>1</v>
      </c>
      <c r="K38" s="10" t="str">
        <f>_xlfn.XLOOKUP(F38,customers[customer_id],customers[age_range])</f>
        <v>26-35</v>
      </c>
      <c r="L38" s="1">
        <f>_xlfn.XLOOKUP(F38,customers[customer_id],customers[signup_date])</f>
        <v>45716</v>
      </c>
      <c r="M38">
        <f>sales[[#This Row],[sale_date]]-sales[[#This Row],[sighnup_date]]</f>
        <v>75</v>
      </c>
      <c r="N38" t="str">
        <f t="shared" si="0"/>
        <v>new customer</v>
      </c>
      <c r="O38" t="str">
        <f>_xlfn.XLOOKUP(A38,salesitems[sale_id],salesitems[category])</f>
        <v>Dresses</v>
      </c>
    </row>
    <row r="39" spans="1:15" x14ac:dyDescent="0.45">
      <c r="A39">
        <v>1047</v>
      </c>
      <c r="B39" t="s">
        <v>21</v>
      </c>
      <c r="C39">
        <v>0</v>
      </c>
      <c r="D39">
        <v>441.52</v>
      </c>
      <c r="E39" s="1">
        <v>45764</v>
      </c>
      <c r="F39">
        <v>161</v>
      </c>
      <c r="G39" t="s">
        <v>34</v>
      </c>
      <c r="H39" t="str">
        <f>TEXT(sales[[#This Row],[sale_date]],"dddd")</f>
        <v>Thursday</v>
      </c>
      <c r="I39">
        <f>_xlfn.XLOOKUP(A39,salesitems[sale_id],salesitems[revenue],0)</f>
        <v>135.52000000000001</v>
      </c>
      <c r="J39">
        <v>1</v>
      </c>
      <c r="K39" s="10" t="str">
        <f>_xlfn.XLOOKUP(F39,customers[customer_id],customers[age_range])</f>
        <v>36-45</v>
      </c>
      <c r="L39" s="1">
        <f>_xlfn.XLOOKUP(F39,customers[customer_id],customers[signup_date])</f>
        <v>45742</v>
      </c>
      <c r="M39">
        <f>sales[[#This Row],[sale_date]]-sales[[#This Row],[sighnup_date]]</f>
        <v>22</v>
      </c>
      <c r="N39" t="str">
        <f t="shared" si="0"/>
        <v>new customer</v>
      </c>
      <c r="O39" t="str">
        <f>_xlfn.XLOOKUP(A39,salesitems[sale_id],salesitems[category])</f>
        <v>T-Shirts</v>
      </c>
    </row>
    <row r="40" spans="1:15" x14ac:dyDescent="0.45">
      <c r="A40">
        <v>1049</v>
      </c>
      <c r="B40" t="s">
        <v>15</v>
      </c>
      <c r="C40">
        <v>0</v>
      </c>
      <c r="D40">
        <v>291.23</v>
      </c>
      <c r="E40" s="1">
        <v>45766</v>
      </c>
      <c r="F40">
        <v>294</v>
      </c>
      <c r="G40" t="s">
        <v>33</v>
      </c>
      <c r="H40" t="str">
        <f>TEXT(sales[[#This Row],[sale_date]],"dddd")</f>
        <v>Saturday</v>
      </c>
      <c r="I40">
        <f>_xlfn.XLOOKUP(A40,salesitems[sale_id],salesitems[revenue],0)</f>
        <v>89.18</v>
      </c>
      <c r="J40">
        <v>1</v>
      </c>
      <c r="K40" s="10" t="str">
        <f>_xlfn.XLOOKUP(F40,customers[customer_id],customers[age_range])</f>
        <v>16-25</v>
      </c>
      <c r="L40" s="1">
        <f>_xlfn.XLOOKUP(F40,customers[customer_id],customers[signup_date])</f>
        <v>45795</v>
      </c>
      <c r="M40">
        <f>sales[[#This Row],[sale_date]]-sales[[#This Row],[sighnup_date]]</f>
        <v>-29</v>
      </c>
      <c r="N40" t="str">
        <f t="shared" si="0"/>
        <v>data issue</v>
      </c>
      <c r="O40" t="str">
        <f>_xlfn.XLOOKUP(A40,salesitems[sale_id],salesitems[category])</f>
        <v>T-Shirts</v>
      </c>
    </row>
    <row r="41" spans="1:15" x14ac:dyDescent="0.45">
      <c r="A41">
        <v>1050</v>
      </c>
      <c r="B41" t="s">
        <v>21</v>
      </c>
      <c r="C41">
        <v>1</v>
      </c>
      <c r="D41">
        <v>376.24</v>
      </c>
      <c r="E41" s="1">
        <v>45753</v>
      </c>
      <c r="F41">
        <v>122</v>
      </c>
      <c r="G41" t="s">
        <v>36</v>
      </c>
      <c r="H41" t="str">
        <f>TEXT(sales[[#This Row],[sale_date]],"dddd")</f>
        <v>Sunday</v>
      </c>
      <c r="I41">
        <f>_xlfn.XLOOKUP(A41,salesitems[sale_id],salesitems[revenue],0)</f>
        <v>212.08</v>
      </c>
      <c r="J41">
        <v>1</v>
      </c>
      <c r="K41" s="10" t="str">
        <f>_xlfn.XLOOKUP(F41,customers[customer_id],customers[age_range])</f>
        <v>36-45</v>
      </c>
      <c r="L41" s="1">
        <f>_xlfn.XLOOKUP(F41,customers[customer_id],customers[signup_date])</f>
        <v>45696</v>
      </c>
      <c r="M41">
        <f>sales[[#This Row],[sale_date]]-sales[[#This Row],[sighnup_date]]</f>
        <v>57</v>
      </c>
      <c r="N41" t="str">
        <f t="shared" si="0"/>
        <v>new customer</v>
      </c>
      <c r="O41" t="str">
        <f>_xlfn.XLOOKUP(A41,salesitems[sale_id],salesitems[category])</f>
        <v>Shoes</v>
      </c>
    </row>
    <row r="42" spans="1:15" x14ac:dyDescent="0.45">
      <c r="A42">
        <v>1052</v>
      </c>
      <c r="B42" t="s">
        <v>21</v>
      </c>
      <c r="C42">
        <v>0</v>
      </c>
      <c r="D42">
        <v>189.24</v>
      </c>
      <c r="E42" s="1">
        <v>45771</v>
      </c>
      <c r="F42">
        <v>563</v>
      </c>
      <c r="G42" t="s">
        <v>31</v>
      </c>
      <c r="H42" t="str">
        <f>TEXT(sales[[#This Row],[sale_date]],"dddd")</f>
        <v>Thursday</v>
      </c>
      <c r="I42">
        <f>_xlfn.XLOOKUP(A42,salesitems[sale_id],salesitems[revenue],0)</f>
        <v>104.76</v>
      </c>
      <c r="J42">
        <v>1</v>
      </c>
      <c r="K42" s="10" t="str">
        <f>_xlfn.XLOOKUP(F42,customers[customer_id],customers[age_range])</f>
        <v>46-55</v>
      </c>
      <c r="L42" s="1">
        <f>_xlfn.XLOOKUP(F42,customers[customer_id],customers[signup_date])</f>
        <v>45753</v>
      </c>
      <c r="M42">
        <f>sales[[#This Row],[sale_date]]-sales[[#This Row],[sighnup_date]]</f>
        <v>18</v>
      </c>
      <c r="N42" t="str">
        <f t="shared" si="0"/>
        <v>new customer</v>
      </c>
      <c r="O42" t="str">
        <f>_xlfn.XLOOKUP(A42,salesitems[sale_id],salesitems[category])</f>
        <v>Dresses</v>
      </c>
    </row>
    <row r="43" spans="1:15" x14ac:dyDescent="0.45">
      <c r="A43">
        <v>1053</v>
      </c>
      <c r="B43" t="s">
        <v>21</v>
      </c>
      <c r="C43">
        <v>0</v>
      </c>
      <c r="D43">
        <v>300.19</v>
      </c>
      <c r="E43" s="1">
        <v>45761</v>
      </c>
      <c r="F43">
        <v>620</v>
      </c>
      <c r="G43" t="s">
        <v>31</v>
      </c>
      <c r="H43" t="str">
        <f>TEXT(sales[[#This Row],[sale_date]],"dddd")</f>
        <v>Monday</v>
      </c>
      <c r="I43">
        <f>_xlfn.XLOOKUP(A43,salesitems[sale_id],salesitems[revenue],0)</f>
        <v>152.67000000000002</v>
      </c>
      <c r="J43">
        <v>1</v>
      </c>
      <c r="K43" s="10" t="str">
        <f>_xlfn.XLOOKUP(F43,customers[customer_id],customers[age_range])</f>
        <v>56-65</v>
      </c>
      <c r="L43" s="1">
        <f>_xlfn.XLOOKUP(F43,customers[customer_id],customers[signup_date])</f>
        <v>45767</v>
      </c>
      <c r="M43">
        <f>sales[[#This Row],[sale_date]]-sales[[#This Row],[sighnup_date]]</f>
        <v>-6</v>
      </c>
      <c r="N43" t="str">
        <f t="shared" si="0"/>
        <v>data issue</v>
      </c>
      <c r="O43" t="str">
        <f>_xlfn.XLOOKUP(A43,salesitems[sale_id],salesitems[category])</f>
        <v>Sleepwear</v>
      </c>
    </row>
    <row r="44" spans="1:15" x14ac:dyDescent="0.45">
      <c r="A44">
        <v>1054</v>
      </c>
      <c r="B44" t="s">
        <v>15</v>
      </c>
      <c r="C44">
        <v>0</v>
      </c>
      <c r="D44">
        <v>238.03</v>
      </c>
      <c r="E44" s="1">
        <v>45775</v>
      </c>
      <c r="F44">
        <v>493</v>
      </c>
      <c r="G44" t="s">
        <v>36</v>
      </c>
      <c r="H44" t="str">
        <f>TEXT(sales[[#This Row],[sale_date]],"dddd")</f>
        <v>Monday</v>
      </c>
      <c r="I44">
        <f>_xlfn.XLOOKUP(A44,salesitems[sale_id],salesitems[revenue],0)</f>
        <v>52.18</v>
      </c>
      <c r="J44">
        <v>1</v>
      </c>
      <c r="K44" s="10" t="str">
        <f>_xlfn.XLOOKUP(F44,customers[customer_id],customers[age_range])</f>
        <v>56-65</v>
      </c>
      <c r="L44" s="1">
        <f>_xlfn.XLOOKUP(F44,customers[customer_id],customers[signup_date])</f>
        <v>45705</v>
      </c>
      <c r="M44">
        <f>sales[[#This Row],[sale_date]]-sales[[#This Row],[sighnup_date]]</f>
        <v>70</v>
      </c>
      <c r="N44" t="str">
        <f t="shared" si="0"/>
        <v>new customer</v>
      </c>
      <c r="O44" t="str">
        <f>_xlfn.XLOOKUP(A44,salesitems[sale_id],salesitems[category])</f>
        <v>Shoes</v>
      </c>
    </row>
    <row r="45" spans="1:15" x14ac:dyDescent="0.45">
      <c r="A45">
        <v>1055</v>
      </c>
      <c r="B45" t="s">
        <v>15</v>
      </c>
      <c r="C45">
        <v>0</v>
      </c>
      <c r="D45">
        <v>297.77999999999997</v>
      </c>
      <c r="E45" s="1">
        <v>45798</v>
      </c>
      <c r="F45">
        <v>492</v>
      </c>
      <c r="G45" t="s">
        <v>36</v>
      </c>
      <c r="H45" t="str">
        <f>TEXT(sales[[#This Row],[sale_date]],"dddd")</f>
        <v>Wednesday</v>
      </c>
      <c r="I45">
        <f>_xlfn.XLOOKUP(A45,salesitems[sale_id],salesitems[revenue],0)</f>
        <v>181.07999999999998</v>
      </c>
      <c r="J45">
        <v>1</v>
      </c>
      <c r="K45" s="10" t="str">
        <f>_xlfn.XLOOKUP(F45,customers[customer_id],customers[age_range])</f>
        <v>26-35</v>
      </c>
      <c r="L45" s="1">
        <f>_xlfn.XLOOKUP(F45,customers[customer_id],customers[signup_date])</f>
        <v>45715</v>
      </c>
      <c r="M45">
        <f>sales[[#This Row],[sale_date]]-sales[[#This Row],[sighnup_date]]</f>
        <v>83</v>
      </c>
      <c r="N45" t="str">
        <f t="shared" si="0"/>
        <v>new customer</v>
      </c>
      <c r="O45" t="str">
        <f>_xlfn.XLOOKUP(A45,salesitems[sale_id],salesitems[category])</f>
        <v>Pants</v>
      </c>
    </row>
    <row r="46" spans="1:15" x14ac:dyDescent="0.45">
      <c r="A46">
        <v>1058</v>
      </c>
      <c r="B46" t="s">
        <v>21</v>
      </c>
      <c r="C46">
        <v>0</v>
      </c>
      <c r="D46">
        <v>339.2</v>
      </c>
      <c r="E46" s="1">
        <v>45803</v>
      </c>
      <c r="F46">
        <v>163</v>
      </c>
      <c r="G46" t="s">
        <v>33</v>
      </c>
      <c r="H46" t="str">
        <f>TEXT(sales[[#This Row],[sale_date]],"dddd")</f>
        <v>Monday</v>
      </c>
      <c r="I46">
        <f>_xlfn.XLOOKUP(A46,salesitems[sale_id],salesitems[revenue],0)</f>
        <v>162.12</v>
      </c>
      <c r="J46">
        <v>1</v>
      </c>
      <c r="K46" s="10" t="str">
        <f>_xlfn.XLOOKUP(F46,customers[customer_id],customers[age_range])</f>
        <v>16-25</v>
      </c>
      <c r="L46" s="1">
        <f>_xlfn.XLOOKUP(F46,customers[customer_id],customers[signup_date])</f>
        <v>45734</v>
      </c>
      <c r="M46">
        <f>sales[[#This Row],[sale_date]]-sales[[#This Row],[sighnup_date]]</f>
        <v>69</v>
      </c>
      <c r="N46" t="str">
        <f t="shared" si="0"/>
        <v>new customer</v>
      </c>
      <c r="O46" t="str">
        <f>_xlfn.XLOOKUP(A46,salesitems[sale_id],salesitems[category])</f>
        <v>Shoes</v>
      </c>
    </row>
    <row r="47" spans="1:15" x14ac:dyDescent="0.45">
      <c r="A47">
        <v>1059</v>
      </c>
      <c r="B47" t="s">
        <v>15</v>
      </c>
      <c r="C47">
        <v>1</v>
      </c>
      <c r="D47">
        <v>291.47000000000003</v>
      </c>
      <c r="E47" s="1">
        <v>45795</v>
      </c>
      <c r="F47">
        <v>640</v>
      </c>
      <c r="G47" t="s">
        <v>28</v>
      </c>
      <c r="H47" t="str">
        <f>TEXT(sales[[#This Row],[sale_date]],"dddd")</f>
        <v>Sunday</v>
      </c>
      <c r="I47">
        <f>_xlfn.XLOOKUP(A47,salesitems[sale_id],salesitems[revenue],0)</f>
        <v>77.2</v>
      </c>
      <c r="J47">
        <v>1</v>
      </c>
      <c r="K47" s="10" t="str">
        <f>_xlfn.XLOOKUP(F47,customers[customer_id],customers[age_range])</f>
        <v>26-35</v>
      </c>
      <c r="L47" s="1">
        <f>_xlfn.XLOOKUP(F47,customers[customer_id],customers[signup_date])</f>
        <v>45677</v>
      </c>
      <c r="M47">
        <f>sales[[#This Row],[sale_date]]-sales[[#This Row],[sighnup_date]]</f>
        <v>118</v>
      </c>
      <c r="N47" t="str">
        <f t="shared" si="0"/>
        <v>existing customer</v>
      </c>
      <c r="O47" t="str">
        <f>_xlfn.XLOOKUP(A47,salesitems[sale_id],salesitems[category])</f>
        <v>T-Shirts</v>
      </c>
    </row>
    <row r="48" spans="1:15" x14ac:dyDescent="0.45">
      <c r="A48">
        <v>106</v>
      </c>
      <c r="B48" t="s">
        <v>21</v>
      </c>
      <c r="C48">
        <v>0</v>
      </c>
      <c r="D48">
        <v>298.75</v>
      </c>
      <c r="E48" s="1">
        <v>45772</v>
      </c>
      <c r="F48">
        <v>21</v>
      </c>
      <c r="G48" t="s">
        <v>28</v>
      </c>
      <c r="H48" t="str">
        <f>TEXT(sales[[#This Row],[sale_date]],"dddd")</f>
        <v>Friday</v>
      </c>
      <c r="I48">
        <f>_xlfn.XLOOKUP(A48,salesitems[sale_id],salesitems[revenue],0)</f>
        <v>39.340000000000003</v>
      </c>
      <c r="J48">
        <v>1</v>
      </c>
      <c r="K48" s="10" t="str">
        <f>_xlfn.XLOOKUP(F48,customers[customer_id],customers[age_range])</f>
        <v>56-65</v>
      </c>
      <c r="L48" s="1">
        <f>_xlfn.XLOOKUP(F48,customers[customer_id],customers[signup_date])</f>
        <v>45747</v>
      </c>
      <c r="M48">
        <f>sales[[#This Row],[sale_date]]-sales[[#This Row],[sighnup_date]]</f>
        <v>25</v>
      </c>
      <c r="N48" t="str">
        <f t="shared" si="0"/>
        <v>new customer</v>
      </c>
      <c r="O48" t="str">
        <f>_xlfn.XLOOKUP(A48,salesitems[sale_id],salesitems[category])</f>
        <v>Pants</v>
      </c>
    </row>
    <row r="49" spans="1:15" x14ac:dyDescent="0.45">
      <c r="A49">
        <v>1060</v>
      </c>
      <c r="B49" t="s">
        <v>15</v>
      </c>
      <c r="C49">
        <v>1</v>
      </c>
      <c r="D49">
        <v>64.19</v>
      </c>
      <c r="E49" s="1">
        <v>45795</v>
      </c>
      <c r="F49">
        <v>648</v>
      </c>
      <c r="G49" t="s">
        <v>36</v>
      </c>
      <c r="H49" t="str">
        <f>TEXT(sales[[#This Row],[sale_date]],"dddd")</f>
        <v>Sunday</v>
      </c>
      <c r="I49">
        <f>_xlfn.XLOOKUP(A49,salesitems[sale_id],salesitems[revenue],0)</f>
        <v>29.32</v>
      </c>
      <c r="J49">
        <v>1</v>
      </c>
      <c r="K49" s="10" t="str">
        <f>_xlfn.XLOOKUP(F49,customers[customer_id],customers[age_range])</f>
        <v>36-45</v>
      </c>
      <c r="L49" s="1">
        <f>_xlfn.XLOOKUP(F49,customers[customer_id],customers[signup_date])</f>
        <v>45706</v>
      </c>
      <c r="M49">
        <f>sales[[#This Row],[sale_date]]-sales[[#This Row],[sighnup_date]]</f>
        <v>89</v>
      </c>
      <c r="N49" t="str">
        <f t="shared" si="0"/>
        <v>new customer</v>
      </c>
      <c r="O49" t="str">
        <f>_xlfn.XLOOKUP(A49,salesitems[sale_id],salesitems[category])</f>
        <v>T-Shirts</v>
      </c>
    </row>
    <row r="50" spans="1:15" x14ac:dyDescent="0.45">
      <c r="A50">
        <v>1061</v>
      </c>
      <c r="B50" t="s">
        <v>15</v>
      </c>
      <c r="C50">
        <v>0</v>
      </c>
      <c r="D50">
        <v>242.94</v>
      </c>
      <c r="E50" s="1">
        <v>45752</v>
      </c>
      <c r="F50">
        <v>201</v>
      </c>
      <c r="G50" t="s">
        <v>28</v>
      </c>
      <c r="H50" t="str">
        <f>TEXT(sales[[#This Row],[sale_date]],"dddd")</f>
        <v>Saturday</v>
      </c>
      <c r="I50">
        <f>_xlfn.XLOOKUP(A50,salesitems[sale_id],salesitems[revenue],0)</f>
        <v>113.82</v>
      </c>
      <c r="J50">
        <v>1</v>
      </c>
      <c r="K50" s="10" t="str">
        <f>_xlfn.XLOOKUP(F50,customers[customer_id],customers[age_range])</f>
        <v>36-45</v>
      </c>
      <c r="L50" s="1">
        <f>_xlfn.XLOOKUP(F50,customers[customer_id],customers[signup_date])</f>
        <v>45761</v>
      </c>
      <c r="M50">
        <f>sales[[#This Row],[sale_date]]-sales[[#This Row],[sighnup_date]]</f>
        <v>-9</v>
      </c>
      <c r="N50" t="str">
        <f t="shared" si="0"/>
        <v>data issue</v>
      </c>
      <c r="O50" t="str">
        <f>_xlfn.XLOOKUP(A50,salesitems[sale_id],salesitems[category])</f>
        <v>Sleepwear</v>
      </c>
    </row>
    <row r="51" spans="1:15" x14ac:dyDescent="0.45">
      <c r="A51">
        <v>1062</v>
      </c>
      <c r="B51" t="s">
        <v>15</v>
      </c>
      <c r="C51">
        <v>0</v>
      </c>
      <c r="D51">
        <v>268.2</v>
      </c>
      <c r="E51" s="1">
        <v>45782</v>
      </c>
      <c r="F51">
        <v>100</v>
      </c>
      <c r="G51" t="s">
        <v>33</v>
      </c>
      <c r="H51" t="str">
        <f>TEXT(sales[[#This Row],[sale_date]],"dddd")</f>
        <v>Monday</v>
      </c>
      <c r="I51">
        <f>_xlfn.XLOOKUP(A51,salesitems[sale_id],salesitems[revenue],0)</f>
        <v>149.94</v>
      </c>
      <c r="J51">
        <v>1</v>
      </c>
      <c r="K51" s="10" t="str">
        <f>_xlfn.XLOOKUP(F51,customers[customer_id],customers[age_range])</f>
        <v>26-35</v>
      </c>
      <c r="L51" s="1">
        <f>_xlfn.XLOOKUP(F51,customers[customer_id],customers[signup_date])</f>
        <v>45687</v>
      </c>
      <c r="M51">
        <f>sales[[#This Row],[sale_date]]-sales[[#This Row],[sighnup_date]]</f>
        <v>95</v>
      </c>
      <c r="N51" t="str">
        <f t="shared" si="0"/>
        <v>existing customer</v>
      </c>
      <c r="O51" t="str">
        <f>_xlfn.XLOOKUP(A51,salesitems[sale_id],salesitems[category])</f>
        <v>Shoes</v>
      </c>
    </row>
    <row r="52" spans="1:15" x14ac:dyDescent="0.45">
      <c r="A52">
        <v>1064</v>
      </c>
      <c r="B52" t="s">
        <v>21</v>
      </c>
      <c r="C52">
        <v>0</v>
      </c>
      <c r="D52">
        <v>286.5</v>
      </c>
      <c r="E52" s="1">
        <v>45765</v>
      </c>
      <c r="F52">
        <v>670</v>
      </c>
      <c r="G52" t="s">
        <v>33</v>
      </c>
      <c r="H52" t="str">
        <f>TEXT(sales[[#This Row],[sale_date]],"dddd")</f>
        <v>Friday</v>
      </c>
      <c r="I52">
        <f>_xlfn.XLOOKUP(A52,salesitems[sale_id],salesitems[revenue],0)</f>
        <v>110.69999999999999</v>
      </c>
      <c r="J52">
        <v>1</v>
      </c>
      <c r="K52" s="10" t="str">
        <f>_xlfn.XLOOKUP(F52,customers[customer_id],customers[age_range])</f>
        <v>36-45</v>
      </c>
      <c r="L52" s="1">
        <f>_xlfn.XLOOKUP(F52,customers[customer_id],customers[signup_date])</f>
        <v>45768</v>
      </c>
      <c r="M52">
        <f>sales[[#This Row],[sale_date]]-sales[[#This Row],[sighnup_date]]</f>
        <v>-3</v>
      </c>
      <c r="N52" t="str">
        <f t="shared" si="0"/>
        <v>data issue</v>
      </c>
      <c r="O52" t="str">
        <f>_xlfn.XLOOKUP(A52,salesitems[sale_id],salesitems[category])</f>
        <v>T-Shirts</v>
      </c>
    </row>
    <row r="53" spans="1:15" x14ac:dyDescent="0.45">
      <c r="A53">
        <v>1066</v>
      </c>
      <c r="B53" t="s">
        <v>21</v>
      </c>
      <c r="C53">
        <v>0</v>
      </c>
      <c r="D53">
        <v>415.38</v>
      </c>
      <c r="E53" s="1">
        <v>45791</v>
      </c>
      <c r="F53">
        <v>340</v>
      </c>
      <c r="G53" t="s">
        <v>33</v>
      </c>
      <c r="H53" t="str">
        <f>TEXT(sales[[#This Row],[sale_date]],"dddd")</f>
        <v>Wednesday</v>
      </c>
      <c r="I53">
        <f>_xlfn.XLOOKUP(A53,salesitems[sale_id],salesitems[revenue],0)</f>
        <v>93.98</v>
      </c>
      <c r="J53">
        <v>1</v>
      </c>
      <c r="K53" s="10" t="str">
        <f>_xlfn.XLOOKUP(F53,customers[customer_id],customers[age_range])</f>
        <v>46-55</v>
      </c>
      <c r="L53" s="1">
        <f>_xlfn.XLOOKUP(F53,customers[customer_id],customers[signup_date])</f>
        <v>45734</v>
      </c>
      <c r="M53">
        <f>sales[[#This Row],[sale_date]]-sales[[#This Row],[sighnup_date]]</f>
        <v>57</v>
      </c>
      <c r="N53" t="str">
        <f t="shared" si="0"/>
        <v>new customer</v>
      </c>
      <c r="O53" t="str">
        <f>_xlfn.XLOOKUP(A53,salesitems[sale_id],salesitems[category])</f>
        <v>T-Shirts</v>
      </c>
    </row>
    <row r="54" spans="1:15" x14ac:dyDescent="0.45">
      <c r="A54">
        <v>1067</v>
      </c>
      <c r="B54" t="s">
        <v>15</v>
      </c>
      <c r="C54">
        <v>0</v>
      </c>
      <c r="D54">
        <v>200.77</v>
      </c>
      <c r="E54" s="1">
        <v>45807</v>
      </c>
      <c r="F54">
        <v>176</v>
      </c>
      <c r="G54" t="s">
        <v>36</v>
      </c>
      <c r="H54" t="str">
        <f>TEXT(sales[[#This Row],[sale_date]],"dddd")</f>
        <v>Friday</v>
      </c>
      <c r="I54">
        <f>_xlfn.XLOOKUP(A54,salesitems[sale_id],salesitems[revenue],0)</f>
        <v>30.85</v>
      </c>
      <c r="J54">
        <v>1</v>
      </c>
      <c r="K54" s="10" t="str">
        <f>_xlfn.XLOOKUP(F54,customers[customer_id],customers[age_range])</f>
        <v>26-35</v>
      </c>
      <c r="L54" s="1">
        <f>_xlfn.XLOOKUP(F54,customers[customer_id],customers[signup_date])</f>
        <v>45775</v>
      </c>
      <c r="M54">
        <f>sales[[#This Row],[sale_date]]-sales[[#This Row],[sighnup_date]]</f>
        <v>32</v>
      </c>
      <c r="N54" t="str">
        <f t="shared" si="0"/>
        <v>new customer</v>
      </c>
      <c r="O54" t="str">
        <f>_xlfn.XLOOKUP(A54,salesitems[sale_id],salesitems[category])</f>
        <v>Dresses</v>
      </c>
    </row>
    <row r="55" spans="1:15" x14ac:dyDescent="0.45">
      <c r="A55">
        <v>1068</v>
      </c>
      <c r="B55" t="s">
        <v>21</v>
      </c>
      <c r="C55">
        <v>0</v>
      </c>
      <c r="D55">
        <v>452.65</v>
      </c>
      <c r="E55" s="1">
        <v>45796</v>
      </c>
      <c r="F55">
        <v>104</v>
      </c>
      <c r="G55" t="s">
        <v>31</v>
      </c>
      <c r="H55" t="str">
        <f>TEXT(sales[[#This Row],[sale_date]],"dddd")</f>
        <v>Monday</v>
      </c>
      <c r="I55">
        <f>_xlfn.XLOOKUP(A55,salesitems[sale_id],salesitems[revenue],0)</f>
        <v>300.59999999999997</v>
      </c>
      <c r="J55">
        <v>1</v>
      </c>
      <c r="K55" s="10" t="str">
        <f>_xlfn.XLOOKUP(F55,customers[customer_id],customers[age_range])</f>
        <v>56-65</v>
      </c>
      <c r="L55" s="1">
        <f>_xlfn.XLOOKUP(F55,customers[customer_id],customers[signup_date])</f>
        <v>45736</v>
      </c>
      <c r="M55">
        <f>sales[[#This Row],[sale_date]]-sales[[#This Row],[sighnup_date]]</f>
        <v>60</v>
      </c>
      <c r="N55" t="str">
        <f t="shared" si="0"/>
        <v>new customer</v>
      </c>
      <c r="O55" t="str">
        <f>_xlfn.XLOOKUP(A55,salesitems[sale_id],salesitems[category])</f>
        <v>Pants</v>
      </c>
    </row>
    <row r="56" spans="1:15" x14ac:dyDescent="0.45">
      <c r="A56">
        <v>1070</v>
      </c>
      <c r="B56" t="s">
        <v>15</v>
      </c>
      <c r="C56">
        <v>0</v>
      </c>
      <c r="D56">
        <v>246.2</v>
      </c>
      <c r="E56" s="1">
        <v>45777</v>
      </c>
      <c r="F56">
        <v>244</v>
      </c>
      <c r="G56" t="s">
        <v>31</v>
      </c>
      <c r="H56" t="str">
        <f>TEXT(sales[[#This Row],[sale_date]],"dddd")</f>
        <v>Wednesday</v>
      </c>
      <c r="I56">
        <f>_xlfn.XLOOKUP(A56,salesitems[sale_id],salesitems[revenue],0)</f>
        <v>41.84</v>
      </c>
      <c r="J56">
        <v>1</v>
      </c>
      <c r="K56" s="10" t="str">
        <f>_xlfn.XLOOKUP(F56,customers[customer_id],customers[age_range])</f>
        <v>36-45</v>
      </c>
      <c r="L56" s="1">
        <f>_xlfn.XLOOKUP(F56,customers[customer_id],customers[signup_date])</f>
        <v>45729</v>
      </c>
      <c r="M56">
        <f>sales[[#This Row],[sale_date]]-sales[[#This Row],[sighnup_date]]</f>
        <v>48</v>
      </c>
      <c r="N56" t="str">
        <f t="shared" si="0"/>
        <v>new customer</v>
      </c>
      <c r="O56" t="str">
        <f>_xlfn.XLOOKUP(A56,salesitems[sale_id],salesitems[category])</f>
        <v>Pants</v>
      </c>
    </row>
    <row r="57" spans="1:15" x14ac:dyDescent="0.45">
      <c r="A57">
        <v>1071</v>
      </c>
      <c r="B57" t="s">
        <v>15</v>
      </c>
      <c r="C57">
        <v>0</v>
      </c>
      <c r="D57">
        <v>240.94</v>
      </c>
      <c r="E57" s="1">
        <v>45813</v>
      </c>
      <c r="F57">
        <v>338</v>
      </c>
      <c r="G57" t="s">
        <v>34</v>
      </c>
      <c r="H57" t="str">
        <f>TEXT(sales[[#This Row],[sale_date]],"dddd")</f>
        <v>Thursday</v>
      </c>
      <c r="I57">
        <f>_xlfn.XLOOKUP(A57,salesitems[sale_id],salesitems[revenue],0)</f>
        <v>76.66</v>
      </c>
      <c r="J57">
        <v>1</v>
      </c>
      <c r="K57" s="10" t="str">
        <f>_xlfn.XLOOKUP(F57,customers[customer_id],customers[age_range])</f>
        <v>26-35</v>
      </c>
      <c r="L57" s="1">
        <f>_xlfn.XLOOKUP(F57,customers[customer_id],customers[signup_date])</f>
        <v>45751</v>
      </c>
      <c r="M57">
        <f>sales[[#This Row],[sale_date]]-sales[[#This Row],[sighnup_date]]</f>
        <v>62</v>
      </c>
      <c r="N57" t="str">
        <f t="shared" si="0"/>
        <v>new customer</v>
      </c>
      <c r="O57" t="str">
        <f>_xlfn.XLOOKUP(A57,salesitems[sale_id],salesitems[category])</f>
        <v>T-Shirts</v>
      </c>
    </row>
    <row r="58" spans="1:15" x14ac:dyDescent="0.45">
      <c r="A58">
        <v>1078</v>
      </c>
      <c r="B58" t="s">
        <v>21</v>
      </c>
      <c r="C58">
        <v>0</v>
      </c>
      <c r="D58">
        <v>332.1</v>
      </c>
      <c r="E58" s="1">
        <v>45824</v>
      </c>
      <c r="F58">
        <v>521</v>
      </c>
      <c r="G58" t="s">
        <v>28</v>
      </c>
      <c r="H58" t="str">
        <f>TEXT(sales[[#This Row],[sale_date]],"dddd")</f>
        <v>Monday</v>
      </c>
      <c r="I58">
        <f>_xlfn.XLOOKUP(A58,salesitems[sale_id],salesitems[revenue],0)</f>
        <v>122.54</v>
      </c>
      <c r="J58">
        <v>1</v>
      </c>
      <c r="K58" s="10" t="str">
        <f>_xlfn.XLOOKUP(F58,customers[customer_id],customers[age_range])</f>
        <v>46-55</v>
      </c>
      <c r="L58" s="1">
        <f>_xlfn.XLOOKUP(F58,customers[customer_id],customers[signup_date])</f>
        <v>45734</v>
      </c>
      <c r="M58">
        <f>sales[[#This Row],[sale_date]]-sales[[#This Row],[sighnup_date]]</f>
        <v>90</v>
      </c>
      <c r="N58" t="str">
        <f t="shared" si="0"/>
        <v>new customer</v>
      </c>
      <c r="O58" t="str">
        <f>_xlfn.XLOOKUP(A58,salesitems[sale_id],salesitems[category])</f>
        <v>Shoes</v>
      </c>
    </row>
    <row r="59" spans="1:15" x14ac:dyDescent="0.45">
      <c r="A59">
        <v>1079</v>
      </c>
      <c r="B59" t="s">
        <v>15</v>
      </c>
      <c r="C59">
        <v>0</v>
      </c>
      <c r="D59">
        <v>173.84</v>
      </c>
      <c r="E59" s="1">
        <v>45823</v>
      </c>
      <c r="F59">
        <v>837</v>
      </c>
      <c r="G59" t="s">
        <v>36</v>
      </c>
      <c r="H59" t="str">
        <f>TEXT(sales[[#This Row],[sale_date]],"dddd")</f>
        <v>Sunday</v>
      </c>
      <c r="I59">
        <f>_xlfn.XLOOKUP(A59,salesitems[sale_id],salesitems[revenue],0)</f>
        <v>78.52</v>
      </c>
      <c r="J59">
        <v>1</v>
      </c>
      <c r="K59" s="10" t="str">
        <f>_xlfn.XLOOKUP(F59,customers[customer_id],customers[age_range])</f>
        <v>46-55</v>
      </c>
      <c r="L59" s="1">
        <f>_xlfn.XLOOKUP(F59,customers[customer_id],customers[signup_date])</f>
        <v>45718</v>
      </c>
      <c r="M59">
        <f>sales[[#This Row],[sale_date]]-sales[[#This Row],[sighnup_date]]</f>
        <v>105</v>
      </c>
      <c r="N59" t="str">
        <f t="shared" si="0"/>
        <v>existing customer</v>
      </c>
      <c r="O59" t="str">
        <f>_xlfn.XLOOKUP(A59,salesitems[sale_id],salesitems[category])</f>
        <v>Shoes</v>
      </c>
    </row>
    <row r="60" spans="1:15" x14ac:dyDescent="0.45">
      <c r="A60">
        <v>108</v>
      </c>
      <c r="B60" t="s">
        <v>21</v>
      </c>
      <c r="C60">
        <v>0</v>
      </c>
      <c r="D60">
        <v>646.1</v>
      </c>
      <c r="E60" s="1">
        <v>45796</v>
      </c>
      <c r="F60">
        <v>414</v>
      </c>
      <c r="G60" t="s">
        <v>36</v>
      </c>
      <c r="H60" t="str">
        <f>TEXT(sales[[#This Row],[sale_date]],"dddd")</f>
        <v>Monday</v>
      </c>
      <c r="I60">
        <f>_xlfn.XLOOKUP(A60,salesitems[sale_id],salesitems[revenue],0)</f>
        <v>276.35000000000002</v>
      </c>
      <c r="J60">
        <v>1</v>
      </c>
      <c r="K60" s="10" t="str">
        <f>_xlfn.XLOOKUP(F60,customers[customer_id],customers[age_range])</f>
        <v>46-55</v>
      </c>
      <c r="L60" s="1">
        <f>_xlfn.XLOOKUP(F60,customers[customer_id],customers[signup_date])</f>
        <v>45745</v>
      </c>
      <c r="M60">
        <f>sales[[#This Row],[sale_date]]-sales[[#This Row],[sighnup_date]]</f>
        <v>51</v>
      </c>
      <c r="N60" t="str">
        <f t="shared" si="0"/>
        <v>new customer</v>
      </c>
      <c r="O60" t="str">
        <f>_xlfn.XLOOKUP(A60,salesitems[sale_id],salesitems[category])</f>
        <v>Shoes</v>
      </c>
    </row>
    <row r="61" spans="1:15" x14ac:dyDescent="0.45">
      <c r="A61">
        <v>1082</v>
      </c>
      <c r="B61" t="s">
        <v>15</v>
      </c>
      <c r="C61">
        <v>0</v>
      </c>
      <c r="D61">
        <v>298.60000000000002</v>
      </c>
      <c r="E61" s="1">
        <v>45812</v>
      </c>
      <c r="F61">
        <v>774</v>
      </c>
      <c r="G61" t="s">
        <v>38</v>
      </c>
      <c r="H61" t="str">
        <f>TEXT(sales[[#This Row],[sale_date]],"dddd")</f>
        <v>Wednesday</v>
      </c>
      <c r="I61">
        <f>_xlfn.XLOOKUP(A61,salesitems[sale_id],salesitems[revenue],0)</f>
        <v>77.900000000000006</v>
      </c>
      <c r="J61">
        <v>1</v>
      </c>
      <c r="K61" s="10" t="str">
        <f>_xlfn.XLOOKUP(F61,customers[customer_id],customers[age_range])</f>
        <v>46-55</v>
      </c>
      <c r="L61" s="1">
        <f>_xlfn.XLOOKUP(F61,customers[customer_id],customers[signup_date])</f>
        <v>45798</v>
      </c>
      <c r="M61">
        <f>sales[[#This Row],[sale_date]]-sales[[#This Row],[sighnup_date]]</f>
        <v>14</v>
      </c>
      <c r="N61" t="str">
        <f t="shared" si="0"/>
        <v>new customer</v>
      </c>
      <c r="O61" t="str">
        <f>_xlfn.XLOOKUP(A61,salesitems[sale_id],salesitems[category])</f>
        <v>Shoes</v>
      </c>
    </row>
    <row r="62" spans="1:15" x14ac:dyDescent="0.45">
      <c r="A62">
        <v>1083</v>
      </c>
      <c r="B62" t="s">
        <v>21</v>
      </c>
      <c r="C62">
        <v>0</v>
      </c>
      <c r="D62">
        <v>313.89</v>
      </c>
      <c r="E62" s="1">
        <v>45792</v>
      </c>
      <c r="F62">
        <v>340</v>
      </c>
      <c r="G62" t="s">
        <v>33</v>
      </c>
      <c r="H62" t="str">
        <f>TEXT(sales[[#This Row],[sale_date]],"dddd")</f>
        <v>Thursday</v>
      </c>
      <c r="I62">
        <f>_xlfn.XLOOKUP(A62,salesitems[sale_id],salesitems[revenue],0)</f>
        <v>27.34</v>
      </c>
      <c r="J62">
        <v>1</v>
      </c>
      <c r="K62" s="10" t="str">
        <f>_xlfn.XLOOKUP(F62,customers[customer_id],customers[age_range])</f>
        <v>46-55</v>
      </c>
      <c r="L62" s="1">
        <f>_xlfn.XLOOKUP(F62,customers[customer_id],customers[signup_date])</f>
        <v>45734</v>
      </c>
      <c r="M62">
        <f>sales[[#This Row],[sale_date]]-sales[[#This Row],[sighnup_date]]</f>
        <v>58</v>
      </c>
      <c r="N62" t="str">
        <f t="shared" si="0"/>
        <v>new customer</v>
      </c>
      <c r="O62" t="str">
        <f>_xlfn.XLOOKUP(A62,salesitems[sale_id],salesitems[category])</f>
        <v>Dresses</v>
      </c>
    </row>
    <row r="63" spans="1:15" x14ac:dyDescent="0.45">
      <c r="A63">
        <v>1084</v>
      </c>
      <c r="B63" t="s">
        <v>21</v>
      </c>
      <c r="C63">
        <v>0</v>
      </c>
      <c r="D63">
        <v>495.83</v>
      </c>
      <c r="E63" s="1">
        <v>45775</v>
      </c>
      <c r="F63">
        <v>477</v>
      </c>
      <c r="G63" t="s">
        <v>34</v>
      </c>
      <c r="H63" t="str">
        <f>TEXT(sales[[#This Row],[sale_date]],"dddd")</f>
        <v>Monday</v>
      </c>
      <c r="I63">
        <f>_xlfn.XLOOKUP(A63,salesitems[sale_id],salesitems[revenue],0)</f>
        <v>300.68</v>
      </c>
      <c r="J63">
        <v>1</v>
      </c>
      <c r="K63" s="10" t="str">
        <f>_xlfn.XLOOKUP(F63,customers[customer_id],customers[age_range])</f>
        <v>16-25</v>
      </c>
      <c r="L63" s="1">
        <f>_xlfn.XLOOKUP(F63,customers[customer_id],customers[signup_date])</f>
        <v>45711</v>
      </c>
      <c r="M63">
        <f>sales[[#This Row],[sale_date]]-sales[[#This Row],[sighnup_date]]</f>
        <v>64</v>
      </c>
      <c r="N63" t="str">
        <f t="shared" si="0"/>
        <v>new customer</v>
      </c>
      <c r="O63" t="str">
        <f>_xlfn.XLOOKUP(A63,salesitems[sale_id],salesitems[category])</f>
        <v>Dresses</v>
      </c>
    </row>
    <row r="64" spans="1:15" x14ac:dyDescent="0.45">
      <c r="A64">
        <v>1085</v>
      </c>
      <c r="B64" t="s">
        <v>21</v>
      </c>
      <c r="C64">
        <v>0</v>
      </c>
      <c r="D64">
        <v>200.04</v>
      </c>
      <c r="E64" s="1">
        <v>45791</v>
      </c>
      <c r="F64">
        <v>51</v>
      </c>
      <c r="G64" t="s">
        <v>36</v>
      </c>
      <c r="H64" t="str">
        <f>TEXT(sales[[#This Row],[sale_date]],"dddd")</f>
        <v>Wednesday</v>
      </c>
      <c r="I64">
        <f>_xlfn.XLOOKUP(A64,salesitems[sale_id],salesitems[revenue],0)</f>
        <v>101.36</v>
      </c>
      <c r="J64">
        <v>1</v>
      </c>
      <c r="K64" s="10" t="str">
        <f>_xlfn.XLOOKUP(F64,customers[customer_id],customers[age_range])</f>
        <v>56-65</v>
      </c>
      <c r="L64" s="1">
        <f>_xlfn.XLOOKUP(F64,customers[customer_id],customers[signup_date])</f>
        <v>45694</v>
      </c>
      <c r="M64">
        <f>sales[[#This Row],[sale_date]]-sales[[#This Row],[sighnup_date]]</f>
        <v>97</v>
      </c>
      <c r="N64" t="str">
        <f t="shared" si="0"/>
        <v>existing customer</v>
      </c>
      <c r="O64" t="str">
        <f>_xlfn.XLOOKUP(A64,salesitems[sale_id],salesitems[category])</f>
        <v>Sleepwear</v>
      </c>
    </row>
    <row r="65" spans="1:15" x14ac:dyDescent="0.45">
      <c r="A65">
        <v>1086</v>
      </c>
      <c r="B65" t="s">
        <v>21</v>
      </c>
      <c r="C65">
        <v>0</v>
      </c>
      <c r="D65">
        <v>224.18</v>
      </c>
      <c r="E65" s="1">
        <v>45764</v>
      </c>
      <c r="F65">
        <v>561</v>
      </c>
      <c r="G65" t="s">
        <v>28</v>
      </c>
      <c r="H65" t="str">
        <f>TEXT(sales[[#This Row],[sale_date]],"dddd")</f>
        <v>Thursday</v>
      </c>
      <c r="I65">
        <f>_xlfn.XLOOKUP(A65,salesitems[sale_id],salesitems[revenue],0)</f>
        <v>118.26</v>
      </c>
      <c r="J65">
        <v>1</v>
      </c>
      <c r="K65" s="10" t="str">
        <f>_xlfn.XLOOKUP(F65,customers[customer_id],customers[age_range])</f>
        <v>26-35</v>
      </c>
      <c r="L65" s="1">
        <f>_xlfn.XLOOKUP(F65,customers[customer_id],customers[signup_date])</f>
        <v>45740</v>
      </c>
      <c r="M65">
        <f>sales[[#This Row],[sale_date]]-sales[[#This Row],[sighnup_date]]</f>
        <v>24</v>
      </c>
      <c r="N65" t="str">
        <f t="shared" si="0"/>
        <v>new customer</v>
      </c>
      <c r="O65" t="str">
        <f>_xlfn.XLOOKUP(A65,salesitems[sale_id],salesitems[category])</f>
        <v>Shoes</v>
      </c>
    </row>
    <row r="66" spans="1:15" x14ac:dyDescent="0.45">
      <c r="A66">
        <v>1087</v>
      </c>
      <c r="B66" t="s">
        <v>15</v>
      </c>
      <c r="C66">
        <v>0</v>
      </c>
      <c r="D66">
        <v>364.9</v>
      </c>
      <c r="E66" s="1">
        <v>45801</v>
      </c>
      <c r="F66">
        <v>628</v>
      </c>
      <c r="G66" t="s">
        <v>28</v>
      </c>
      <c r="H66" t="str">
        <f>TEXT(sales[[#This Row],[sale_date]],"dddd")</f>
        <v>Saturday</v>
      </c>
      <c r="I66">
        <f>_xlfn.XLOOKUP(A66,salesitems[sale_id],salesitems[revenue],0)</f>
        <v>217.74</v>
      </c>
      <c r="J66">
        <v>1</v>
      </c>
      <c r="K66" s="10" t="str">
        <f>_xlfn.XLOOKUP(F66,customers[customer_id],customers[age_range])</f>
        <v>46-55</v>
      </c>
      <c r="L66" s="1">
        <f>_xlfn.XLOOKUP(F66,customers[customer_id],customers[signup_date])</f>
        <v>45709</v>
      </c>
      <c r="M66">
        <f>sales[[#This Row],[sale_date]]-sales[[#This Row],[sighnup_date]]</f>
        <v>92</v>
      </c>
      <c r="N66" t="str">
        <f t="shared" ref="N66:N129" si="1">IF(M66&lt;0,"data issue",IF(M66&lt;=90,"new customer","existing customer"))</f>
        <v>existing customer</v>
      </c>
      <c r="O66" t="str">
        <f>_xlfn.XLOOKUP(A66,salesitems[sale_id],salesitems[category])</f>
        <v>Shoes</v>
      </c>
    </row>
    <row r="67" spans="1:15" x14ac:dyDescent="0.45">
      <c r="A67">
        <v>1088</v>
      </c>
      <c r="B67" t="s">
        <v>15</v>
      </c>
      <c r="C67">
        <v>0</v>
      </c>
      <c r="D67">
        <v>340</v>
      </c>
      <c r="E67" s="1">
        <v>45760</v>
      </c>
      <c r="F67">
        <v>385</v>
      </c>
      <c r="G67" t="s">
        <v>36</v>
      </c>
      <c r="H67" t="str">
        <f>TEXT(sales[[#This Row],[sale_date]],"dddd")</f>
        <v>Sunday</v>
      </c>
      <c r="I67">
        <f>_xlfn.XLOOKUP(A67,salesitems[sale_id],salesitems[revenue],0)</f>
        <v>123.2</v>
      </c>
      <c r="J67">
        <v>1</v>
      </c>
      <c r="K67" s="10" t="str">
        <f>_xlfn.XLOOKUP(F67,customers[customer_id],customers[age_range])</f>
        <v>46-55</v>
      </c>
      <c r="L67" s="1">
        <f>_xlfn.XLOOKUP(F67,customers[customer_id],customers[signup_date])</f>
        <v>45758</v>
      </c>
      <c r="M67">
        <f>sales[[#This Row],[sale_date]]-sales[[#This Row],[sighnup_date]]</f>
        <v>2</v>
      </c>
      <c r="N67" t="str">
        <f t="shared" si="1"/>
        <v>new customer</v>
      </c>
      <c r="O67" t="str">
        <f>_xlfn.XLOOKUP(A67,salesitems[sale_id],salesitems[category])</f>
        <v>Shoes</v>
      </c>
    </row>
    <row r="68" spans="1:15" x14ac:dyDescent="0.45">
      <c r="A68">
        <v>1093</v>
      </c>
      <c r="B68" t="s">
        <v>15</v>
      </c>
      <c r="C68">
        <v>0</v>
      </c>
      <c r="D68">
        <v>107.55</v>
      </c>
      <c r="E68" s="1">
        <v>45802</v>
      </c>
      <c r="F68">
        <v>474</v>
      </c>
      <c r="G68" t="s">
        <v>28</v>
      </c>
      <c r="H68" t="str">
        <f>TEXT(sales[[#This Row],[sale_date]],"dddd")</f>
        <v>Sunday</v>
      </c>
      <c r="I68">
        <f>_xlfn.XLOOKUP(A68,salesitems[sale_id],salesitems[revenue],0)</f>
        <v>56.69</v>
      </c>
      <c r="J68">
        <v>1</v>
      </c>
      <c r="K68" s="10" t="str">
        <f>_xlfn.XLOOKUP(F68,customers[customer_id],customers[age_range])</f>
        <v>36-45</v>
      </c>
      <c r="L68" s="1">
        <f>_xlfn.XLOOKUP(F68,customers[customer_id],customers[signup_date])</f>
        <v>45744</v>
      </c>
      <c r="M68">
        <f>sales[[#This Row],[sale_date]]-sales[[#This Row],[sighnup_date]]</f>
        <v>58</v>
      </c>
      <c r="N68" t="str">
        <f t="shared" si="1"/>
        <v>new customer</v>
      </c>
      <c r="O68" t="str">
        <f>_xlfn.XLOOKUP(A68,salesitems[sale_id],salesitems[category])</f>
        <v>Shoes</v>
      </c>
    </row>
    <row r="69" spans="1:15" x14ac:dyDescent="0.45">
      <c r="A69">
        <v>1095</v>
      </c>
      <c r="B69" t="s">
        <v>21</v>
      </c>
      <c r="C69">
        <v>0</v>
      </c>
      <c r="D69">
        <v>261.45</v>
      </c>
      <c r="E69" s="1">
        <v>45824</v>
      </c>
      <c r="F69">
        <v>109</v>
      </c>
      <c r="G69" t="s">
        <v>28</v>
      </c>
      <c r="H69" t="str">
        <f>TEXT(sales[[#This Row],[sale_date]],"dddd")</f>
        <v>Monday</v>
      </c>
      <c r="I69">
        <f>_xlfn.XLOOKUP(A69,salesitems[sale_id],salesitems[revenue],0)</f>
        <v>112.05000000000001</v>
      </c>
      <c r="J69">
        <v>1</v>
      </c>
      <c r="K69" s="10" t="str">
        <f>_xlfn.XLOOKUP(F69,customers[customer_id],customers[age_range])</f>
        <v>26-35</v>
      </c>
      <c r="L69" s="1">
        <f>_xlfn.XLOOKUP(F69,customers[customer_id],customers[signup_date])</f>
        <v>45764</v>
      </c>
      <c r="M69">
        <f>sales[[#This Row],[sale_date]]-sales[[#This Row],[sighnup_date]]</f>
        <v>60</v>
      </c>
      <c r="N69" t="str">
        <f t="shared" si="1"/>
        <v>new customer</v>
      </c>
      <c r="O69" t="str">
        <f>_xlfn.XLOOKUP(A69,salesitems[sale_id],salesitems[category])</f>
        <v>Dresses</v>
      </c>
    </row>
    <row r="70" spans="1:15" x14ac:dyDescent="0.45">
      <c r="A70">
        <v>1096</v>
      </c>
      <c r="B70" t="s">
        <v>21</v>
      </c>
      <c r="C70">
        <v>0</v>
      </c>
      <c r="D70">
        <v>218.98</v>
      </c>
      <c r="E70" s="1">
        <v>45752</v>
      </c>
      <c r="F70">
        <v>867</v>
      </c>
      <c r="G70" t="s">
        <v>28</v>
      </c>
      <c r="H70" t="str">
        <f>TEXT(sales[[#This Row],[sale_date]],"dddd")</f>
        <v>Saturday</v>
      </c>
      <c r="I70">
        <f>_xlfn.XLOOKUP(A70,salesitems[sale_id],salesitems[revenue],0)</f>
        <v>114.22</v>
      </c>
      <c r="J70">
        <v>1</v>
      </c>
      <c r="K70" s="10" t="str">
        <f>_xlfn.XLOOKUP(F70,customers[customer_id],customers[age_range])</f>
        <v>46-55</v>
      </c>
      <c r="L70" s="1">
        <f>_xlfn.XLOOKUP(F70,customers[customer_id],customers[signup_date])</f>
        <v>45743</v>
      </c>
      <c r="M70">
        <f>sales[[#This Row],[sale_date]]-sales[[#This Row],[sighnup_date]]</f>
        <v>9</v>
      </c>
      <c r="N70" t="str">
        <f t="shared" si="1"/>
        <v>new customer</v>
      </c>
      <c r="O70" t="str">
        <f>_xlfn.XLOOKUP(A70,salesitems[sale_id],salesitems[category])</f>
        <v>T-Shirts</v>
      </c>
    </row>
    <row r="71" spans="1:15" x14ac:dyDescent="0.45">
      <c r="A71">
        <v>1097</v>
      </c>
      <c r="B71" t="s">
        <v>15</v>
      </c>
      <c r="C71">
        <v>0</v>
      </c>
      <c r="D71">
        <v>228.41</v>
      </c>
      <c r="E71" s="1">
        <v>45823</v>
      </c>
      <c r="F71">
        <v>271</v>
      </c>
      <c r="G71" t="s">
        <v>36</v>
      </c>
      <c r="H71" t="str">
        <f>TEXT(sales[[#This Row],[sale_date]],"dddd")</f>
        <v>Sunday</v>
      </c>
      <c r="I71">
        <f>_xlfn.XLOOKUP(A71,salesitems[sale_id],salesitems[revenue],0)</f>
        <v>127.64</v>
      </c>
      <c r="J71">
        <v>1</v>
      </c>
      <c r="K71" s="10" t="str">
        <f>_xlfn.XLOOKUP(F71,customers[customer_id],customers[age_range])</f>
        <v>16-25</v>
      </c>
      <c r="L71" s="1">
        <f>_xlfn.XLOOKUP(F71,customers[customer_id],customers[signup_date])</f>
        <v>45729</v>
      </c>
      <c r="M71">
        <f>sales[[#This Row],[sale_date]]-sales[[#This Row],[sighnup_date]]</f>
        <v>94</v>
      </c>
      <c r="N71" t="str">
        <f t="shared" si="1"/>
        <v>existing customer</v>
      </c>
      <c r="O71" t="str">
        <f>_xlfn.XLOOKUP(A71,salesitems[sale_id],salesitems[category])</f>
        <v>T-Shirts</v>
      </c>
    </row>
    <row r="72" spans="1:15" x14ac:dyDescent="0.45">
      <c r="A72">
        <v>1098</v>
      </c>
      <c r="B72" t="s">
        <v>15</v>
      </c>
      <c r="C72">
        <v>0</v>
      </c>
      <c r="D72">
        <v>354.25</v>
      </c>
      <c r="E72" s="1">
        <v>45804</v>
      </c>
      <c r="F72">
        <v>564</v>
      </c>
      <c r="G72" t="s">
        <v>33</v>
      </c>
      <c r="H72" t="str">
        <f>TEXT(sales[[#This Row],[sale_date]],"dddd")</f>
        <v>Tuesday</v>
      </c>
      <c r="I72">
        <f>_xlfn.XLOOKUP(A72,salesitems[sale_id],salesitems[revenue],0)</f>
        <v>50.85</v>
      </c>
      <c r="J72">
        <v>1</v>
      </c>
      <c r="K72" s="10" t="str">
        <f>_xlfn.XLOOKUP(F72,customers[customer_id],customers[age_range])</f>
        <v>26-35</v>
      </c>
      <c r="L72" s="1">
        <f>_xlfn.XLOOKUP(F72,customers[customer_id],customers[signup_date])</f>
        <v>45711</v>
      </c>
      <c r="M72">
        <f>sales[[#This Row],[sale_date]]-sales[[#This Row],[sighnup_date]]</f>
        <v>93</v>
      </c>
      <c r="N72" t="str">
        <f t="shared" si="1"/>
        <v>existing customer</v>
      </c>
      <c r="O72" t="str">
        <f>_xlfn.XLOOKUP(A72,salesitems[sale_id],salesitems[category])</f>
        <v>Sleepwear</v>
      </c>
    </row>
    <row r="73" spans="1:15" x14ac:dyDescent="0.45">
      <c r="A73">
        <v>1099</v>
      </c>
      <c r="B73" t="s">
        <v>21</v>
      </c>
      <c r="C73">
        <v>1</v>
      </c>
      <c r="D73">
        <v>230.63</v>
      </c>
      <c r="E73" s="1">
        <v>45783</v>
      </c>
      <c r="F73">
        <v>81</v>
      </c>
      <c r="G73" t="s">
        <v>36</v>
      </c>
      <c r="H73" t="str">
        <f>TEXT(sales[[#This Row],[sale_date]],"dddd")</f>
        <v>Tuesday</v>
      </c>
      <c r="I73">
        <f>_xlfn.XLOOKUP(A73,salesitems[sale_id],salesitems[revenue],0)</f>
        <v>123.47999999999999</v>
      </c>
      <c r="J73">
        <v>1</v>
      </c>
      <c r="K73" s="10" t="str">
        <f>_xlfn.XLOOKUP(F73,customers[customer_id],customers[age_range])</f>
        <v>46-55</v>
      </c>
      <c r="L73" s="1">
        <f>_xlfn.XLOOKUP(F73,customers[customer_id],customers[signup_date])</f>
        <v>45750</v>
      </c>
      <c r="M73">
        <f>sales[[#This Row],[sale_date]]-sales[[#This Row],[sighnup_date]]</f>
        <v>33</v>
      </c>
      <c r="N73" t="str">
        <f t="shared" si="1"/>
        <v>new customer</v>
      </c>
      <c r="O73" t="str">
        <f>_xlfn.XLOOKUP(A73,salesitems[sale_id],salesitems[category])</f>
        <v>T-Shirts</v>
      </c>
    </row>
    <row r="74" spans="1:15" x14ac:dyDescent="0.45">
      <c r="A74">
        <v>11</v>
      </c>
      <c r="B74" t="s">
        <v>15</v>
      </c>
      <c r="C74">
        <v>0</v>
      </c>
      <c r="D74">
        <v>327.88</v>
      </c>
      <c r="E74" s="1">
        <v>45797</v>
      </c>
      <c r="F74">
        <v>187</v>
      </c>
      <c r="G74" t="s">
        <v>28</v>
      </c>
      <c r="H74" t="str">
        <f>TEXT(sales[[#This Row],[sale_date]],"dddd")</f>
        <v>Tuesday</v>
      </c>
      <c r="I74">
        <f>_xlfn.XLOOKUP(A74,salesitems[sale_id],salesitems[revenue],0)</f>
        <v>57.11</v>
      </c>
      <c r="J74">
        <v>1</v>
      </c>
      <c r="K74" s="10" t="str">
        <f>_xlfn.XLOOKUP(F74,customers[customer_id],customers[age_range])</f>
        <v>26-35</v>
      </c>
      <c r="L74" s="1">
        <f>_xlfn.XLOOKUP(F74,customers[customer_id],customers[signup_date])</f>
        <v>45759</v>
      </c>
      <c r="M74">
        <f>sales[[#This Row],[sale_date]]-sales[[#This Row],[sighnup_date]]</f>
        <v>38</v>
      </c>
      <c r="N74" t="str">
        <f t="shared" si="1"/>
        <v>new customer</v>
      </c>
      <c r="O74" t="str">
        <f>_xlfn.XLOOKUP(A74,salesitems[sale_id],salesitems[category])</f>
        <v>T-Shirts</v>
      </c>
    </row>
    <row r="75" spans="1:15" x14ac:dyDescent="0.45">
      <c r="A75">
        <v>1100</v>
      </c>
      <c r="B75" t="s">
        <v>21</v>
      </c>
      <c r="C75">
        <v>0</v>
      </c>
      <c r="D75">
        <v>262.86</v>
      </c>
      <c r="E75" s="1">
        <v>45825</v>
      </c>
      <c r="F75">
        <v>837</v>
      </c>
      <c r="G75" t="s">
        <v>36</v>
      </c>
      <c r="H75" t="str">
        <f>TEXT(sales[[#This Row],[sale_date]],"dddd")</f>
        <v>Tuesday</v>
      </c>
      <c r="I75">
        <f>_xlfn.XLOOKUP(A75,salesitems[sale_id],salesitems[revenue],0)</f>
        <v>148.47999999999999</v>
      </c>
      <c r="J75">
        <v>1</v>
      </c>
      <c r="K75" s="10" t="str">
        <f>_xlfn.XLOOKUP(F75,customers[customer_id],customers[age_range])</f>
        <v>46-55</v>
      </c>
      <c r="L75" s="1">
        <f>_xlfn.XLOOKUP(F75,customers[customer_id],customers[signup_date])</f>
        <v>45718</v>
      </c>
      <c r="M75">
        <f>sales[[#This Row],[sale_date]]-sales[[#This Row],[sighnup_date]]</f>
        <v>107</v>
      </c>
      <c r="N75" t="str">
        <f t="shared" si="1"/>
        <v>existing customer</v>
      </c>
      <c r="O75" t="str">
        <f>_xlfn.XLOOKUP(A75,salesitems[sale_id],salesitems[category])</f>
        <v>Dresses</v>
      </c>
    </row>
    <row r="76" spans="1:15" x14ac:dyDescent="0.45">
      <c r="A76">
        <v>1102</v>
      </c>
      <c r="B76" t="s">
        <v>15</v>
      </c>
      <c r="C76">
        <v>1</v>
      </c>
      <c r="D76">
        <v>214.7</v>
      </c>
      <c r="E76" s="1">
        <v>45791</v>
      </c>
      <c r="F76">
        <v>624</v>
      </c>
      <c r="G76" t="s">
        <v>34</v>
      </c>
      <c r="H76" t="str">
        <f>TEXT(sales[[#This Row],[sale_date]],"dddd")</f>
        <v>Wednesday</v>
      </c>
      <c r="I76">
        <f>_xlfn.XLOOKUP(A76,salesitems[sale_id],salesitems[revenue],0)</f>
        <v>71.400000000000006</v>
      </c>
      <c r="J76">
        <v>1</v>
      </c>
      <c r="K76" s="10" t="str">
        <f>_xlfn.XLOOKUP(F76,customers[customer_id],customers[age_range])</f>
        <v>36-45</v>
      </c>
      <c r="L76" s="1">
        <f>_xlfn.XLOOKUP(F76,customers[customer_id],customers[signup_date])</f>
        <v>45727</v>
      </c>
      <c r="M76">
        <f>sales[[#This Row],[sale_date]]-sales[[#This Row],[sighnup_date]]</f>
        <v>64</v>
      </c>
      <c r="N76" t="str">
        <f t="shared" si="1"/>
        <v>new customer</v>
      </c>
      <c r="O76" t="str">
        <f>_xlfn.XLOOKUP(A76,salesitems[sale_id],salesitems[category])</f>
        <v>Pants</v>
      </c>
    </row>
    <row r="77" spans="1:15" x14ac:dyDescent="0.45">
      <c r="A77">
        <v>1103</v>
      </c>
      <c r="B77" t="s">
        <v>21</v>
      </c>
      <c r="C77">
        <v>0</v>
      </c>
      <c r="D77">
        <v>108.13</v>
      </c>
      <c r="E77" s="1">
        <v>45808</v>
      </c>
      <c r="F77">
        <v>393</v>
      </c>
      <c r="G77" t="s">
        <v>28</v>
      </c>
      <c r="H77" t="str">
        <f>TEXT(sales[[#This Row],[sale_date]],"dddd")</f>
        <v>Saturday</v>
      </c>
      <c r="I77">
        <f>_xlfn.XLOOKUP(A77,salesitems[sale_id],salesitems[revenue],0)</f>
        <v>61.61</v>
      </c>
      <c r="J77">
        <v>1</v>
      </c>
      <c r="K77" s="10" t="str">
        <f>_xlfn.XLOOKUP(F77,customers[customer_id],customers[age_range])</f>
        <v>46-55</v>
      </c>
      <c r="L77" s="1">
        <f>_xlfn.XLOOKUP(F77,customers[customer_id],customers[signup_date])</f>
        <v>45756</v>
      </c>
      <c r="M77">
        <f>sales[[#This Row],[sale_date]]-sales[[#This Row],[sighnup_date]]</f>
        <v>52</v>
      </c>
      <c r="N77" t="str">
        <f t="shared" si="1"/>
        <v>new customer</v>
      </c>
      <c r="O77" t="str">
        <f>_xlfn.XLOOKUP(A77,salesitems[sale_id],salesitems[category])</f>
        <v>Dresses</v>
      </c>
    </row>
    <row r="78" spans="1:15" x14ac:dyDescent="0.45">
      <c r="A78">
        <v>1106</v>
      </c>
      <c r="B78" t="s">
        <v>21</v>
      </c>
      <c r="C78">
        <v>0</v>
      </c>
      <c r="D78">
        <v>219.78</v>
      </c>
      <c r="E78" s="1">
        <v>45813</v>
      </c>
      <c r="F78">
        <v>35</v>
      </c>
      <c r="G78" t="s">
        <v>28</v>
      </c>
      <c r="H78" t="str">
        <f>TEXT(sales[[#This Row],[sale_date]],"dddd")</f>
        <v>Thursday</v>
      </c>
      <c r="I78">
        <f>_xlfn.XLOOKUP(A78,salesitems[sale_id],salesitems[revenue],0)</f>
        <v>81.98</v>
      </c>
      <c r="J78">
        <v>1</v>
      </c>
      <c r="K78" s="10" t="str">
        <f>_xlfn.XLOOKUP(F78,customers[customer_id],customers[age_range])</f>
        <v>26-35</v>
      </c>
      <c r="L78" s="1">
        <f>_xlfn.XLOOKUP(F78,customers[customer_id],customers[signup_date])</f>
        <v>45775</v>
      </c>
      <c r="M78">
        <f>sales[[#This Row],[sale_date]]-sales[[#This Row],[sighnup_date]]</f>
        <v>38</v>
      </c>
      <c r="N78" t="str">
        <f t="shared" si="1"/>
        <v>new customer</v>
      </c>
      <c r="O78" t="str">
        <f>_xlfn.XLOOKUP(A78,salesitems[sale_id],salesitems[category])</f>
        <v>Shoes</v>
      </c>
    </row>
    <row r="79" spans="1:15" x14ac:dyDescent="0.45">
      <c r="A79">
        <v>1108</v>
      </c>
      <c r="B79" t="s">
        <v>21</v>
      </c>
      <c r="C79">
        <v>0</v>
      </c>
      <c r="D79">
        <v>194.29</v>
      </c>
      <c r="E79" s="1">
        <v>45804</v>
      </c>
      <c r="F79">
        <v>58</v>
      </c>
      <c r="G79" t="s">
        <v>36</v>
      </c>
      <c r="H79" t="str">
        <f>TEXT(sales[[#This Row],[sale_date]],"dddd")</f>
        <v>Tuesday</v>
      </c>
      <c r="I79">
        <f>_xlfn.XLOOKUP(A79,salesitems[sale_id],salesitems[revenue],0)</f>
        <v>29.68</v>
      </c>
      <c r="J79">
        <v>1</v>
      </c>
      <c r="K79" s="10" t="str">
        <f>_xlfn.XLOOKUP(F79,customers[customer_id],customers[age_range])</f>
        <v>46-55</v>
      </c>
      <c r="L79" s="1">
        <f>_xlfn.XLOOKUP(F79,customers[customer_id],customers[signup_date])</f>
        <v>45758</v>
      </c>
      <c r="M79">
        <f>sales[[#This Row],[sale_date]]-sales[[#This Row],[sighnup_date]]</f>
        <v>46</v>
      </c>
      <c r="N79" t="str">
        <f t="shared" si="1"/>
        <v>new customer</v>
      </c>
      <c r="O79" t="str">
        <f>_xlfn.XLOOKUP(A79,salesitems[sale_id],salesitems[category])</f>
        <v>Pants</v>
      </c>
    </row>
    <row r="80" spans="1:15" x14ac:dyDescent="0.45">
      <c r="A80">
        <v>1109</v>
      </c>
      <c r="B80" t="s">
        <v>21</v>
      </c>
      <c r="C80">
        <v>0</v>
      </c>
      <c r="D80">
        <v>78.69</v>
      </c>
      <c r="E80" s="1">
        <v>45804</v>
      </c>
      <c r="F80">
        <v>359</v>
      </c>
      <c r="G80" t="s">
        <v>28</v>
      </c>
      <c r="H80" t="str">
        <f>TEXT(sales[[#This Row],[sale_date]],"dddd")</f>
        <v>Tuesday</v>
      </c>
      <c r="I80">
        <f>_xlfn.XLOOKUP(A80,salesitems[sale_id],salesitems[revenue],0)</f>
        <v>49.41</v>
      </c>
      <c r="J80">
        <v>1</v>
      </c>
      <c r="K80" s="10" t="str">
        <f>_xlfn.XLOOKUP(F80,customers[customer_id],customers[age_range])</f>
        <v>16-25</v>
      </c>
      <c r="L80" s="1">
        <f>_xlfn.XLOOKUP(F80,customers[customer_id],customers[signup_date])</f>
        <v>45747</v>
      </c>
      <c r="M80">
        <f>sales[[#This Row],[sale_date]]-sales[[#This Row],[sighnup_date]]</f>
        <v>57</v>
      </c>
      <c r="N80" t="str">
        <f t="shared" si="1"/>
        <v>new customer</v>
      </c>
      <c r="O80" t="str">
        <f>_xlfn.XLOOKUP(A80,salesitems[sale_id],salesitems[category])</f>
        <v>Dresses</v>
      </c>
    </row>
    <row r="81" spans="1:15" x14ac:dyDescent="0.45">
      <c r="A81">
        <v>1110</v>
      </c>
      <c r="B81" t="s">
        <v>21</v>
      </c>
      <c r="C81">
        <v>1</v>
      </c>
      <c r="D81">
        <v>390.78</v>
      </c>
      <c r="E81" s="1">
        <v>45814</v>
      </c>
      <c r="F81">
        <v>402</v>
      </c>
      <c r="G81" t="s">
        <v>33</v>
      </c>
      <c r="H81" t="str">
        <f>TEXT(sales[[#This Row],[sale_date]],"dddd")</f>
        <v>Friday</v>
      </c>
      <c r="I81">
        <f>_xlfn.XLOOKUP(A81,salesitems[sale_id],salesitems[revenue],0)</f>
        <v>234.6</v>
      </c>
      <c r="J81">
        <v>1</v>
      </c>
      <c r="K81" s="10" t="str">
        <f>_xlfn.XLOOKUP(F81,customers[customer_id],customers[age_range])</f>
        <v>16-25</v>
      </c>
      <c r="L81" s="1">
        <f>_xlfn.XLOOKUP(F81,customers[customer_id],customers[signup_date])</f>
        <v>45776</v>
      </c>
      <c r="M81">
        <f>sales[[#This Row],[sale_date]]-sales[[#This Row],[sighnup_date]]</f>
        <v>38</v>
      </c>
      <c r="N81" t="str">
        <f t="shared" si="1"/>
        <v>new customer</v>
      </c>
      <c r="O81" t="str">
        <f>_xlfn.XLOOKUP(A81,salesitems[sale_id],salesitems[category])</f>
        <v>Shoes</v>
      </c>
    </row>
    <row r="82" spans="1:15" x14ac:dyDescent="0.45">
      <c r="A82">
        <v>1111</v>
      </c>
      <c r="B82" t="s">
        <v>15</v>
      </c>
      <c r="C82">
        <v>0</v>
      </c>
      <c r="D82">
        <v>204.48</v>
      </c>
      <c r="E82" s="1">
        <v>45765</v>
      </c>
      <c r="F82">
        <v>687</v>
      </c>
      <c r="G82" t="s">
        <v>28</v>
      </c>
      <c r="H82" t="str">
        <f>TEXT(sales[[#This Row],[sale_date]],"dddd")</f>
        <v>Friday</v>
      </c>
      <c r="I82">
        <f>_xlfn.XLOOKUP(A82,salesitems[sale_id],salesitems[revenue],0)</f>
        <v>79.56</v>
      </c>
      <c r="J82">
        <v>1</v>
      </c>
      <c r="K82" s="10" t="str">
        <f>_xlfn.XLOOKUP(F82,customers[customer_id],customers[age_range])</f>
        <v>26-35</v>
      </c>
      <c r="L82" s="1">
        <f>_xlfn.XLOOKUP(F82,customers[customer_id],customers[signup_date])</f>
        <v>45786</v>
      </c>
      <c r="M82">
        <f>sales[[#This Row],[sale_date]]-sales[[#This Row],[sighnup_date]]</f>
        <v>-21</v>
      </c>
      <c r="N82" t="str">
        <f t="shared" si="1"/>
        <v>data issue</v>
      </c>
      <c r="O82" t="str">
        <f>_xlfn.XLOOKUP(A82,salesitems[sale_id],salesitems[category])</f>
        <v>Shoes</v>
      </c>
    </row>
    <row r="83" spans="1:15" x14ac:dyDescent="0.45">
      <c r="A83">
        <v>1112</v>
      </c>
      <c r="B83" t="s">
        <v>15</v>
      </c>
      <c r="C83">
        <v>0</v>
      </c>
      <c r="D83">
        <v>229.4</v>
      </c>
      <c r="E83" s="1">
        <v>45772</v>
      </c>
      <c r="F83">
        <v>953</v>
      </c>
      <c r="G83" t="s">
        <v>28</v>
      </c>
      <c r="H83" t="str">
        <f>TEXT(sales[[#This Row],[sale_date]],"dddd")</f>
        <v>Friday</v>
      </c>
      <c r="I83">
        <f>_xlfn.XLOOKUP(A83,salesitems[sale_id],salesitems[revenue],0)</f>
        <v>52.58</v>
      </c>
      <c r="J83">
        <v>1</v>
      </c>
      <c r="K83" s="10" t="str">
        <f>_xlfn.XLOOKUP(F83,customers[customer_id],customers[age_range])</f>
        <v>16-25</v>
      </c>
      <c r="L83" s="1">
        <f>_xlfn.XLOOKUP(F83,customers[customer_id],customers[signup_date])</f>
        <v>45718</v>
      </c>
      <c r="M83">
        <f>sales[[#This Row],[sale_date]]-sales[[#This Row],[sighnup_date]]</f>
        <v>54</v>
      </c>
      <c r="N83" t="str">
        <f t="shared" si="1"/>
        <v>new customer</v>
      </c>
      <c r="O83" t="str">
        <f>_xlfn.XLOOKUP(A83,salesitems[sale_id],salesitems[category])</f>
        <v>T-Shirts</v>
      </c>
    </row>
    <row r="84" spans="1:15" x14ac:dyDescent="0.45">
      <c r="A84">
        <v>1113</v>
      </c>
      <c r="B84" t="s">
        <v>15</v>
      </c>
      <c r="C84">
        <v>0</v>
      </c>
      <c r="D84">
        <v>304.05</v>
      </c>
      <c r="E84" s="1">
        <v>45766</v>
      </c>
      <c r="F84">
        <v>958</v>
      </c>
      <c r="G84" t="s">
        <v>36</v>
      </c>
      <c r="H84" t="str">
        <f>TEXT(sales[[#This Row],[sale_date]],"dddd")</f>
        <v>Saturday</v>
      </c>
      <c r="I84">
        <f>_xlfn.XLOOKUP(A84,salesitems[sale_id],salesitems[revenue],0)</f>
        <v>126.06</v>
      </c>
      <c r="J84">
        <v>1</v>
      </c>
      <c r="K84" s="10" t="str">
        <f>_xlfn.XLOOKUP(F84,customers[customer_id],customers[age_range])</f>
        <v>56-65</v>
      </c>
      <c r="L84" s="1">
        <f>_xlfn.XLOOKUP(F84,customers[customer_id],customers[signup_date])</f>
        <v>45711</v>
      </c>
      <c r="M84">
        <f>sales[[#This Row],[sale_date]]-sales[[#This Row],[sighnup_date]]</f>
        <v>55</v>
      </c>
      <c r="N84" t="str">
        <f t="shared" si="1"/>
        <v>new customer</v>
      </c>
      <c r="O84" t="str">
        <f>_xlfn.XLOOKUP(A84,salesitems[sale_id],salesitems[category])</f>
        <v>Pants</v>
      </c>
    </row>
    <row r="85" spans="1:15" x14ac:dyDescent="0.45">
      <c r="A85">
        <v>1115</v>
      </c>
      <c r="B85" t="s">
        <v>21</v>
      </c>
      <c r="C85">
        <v>0</v>
      </c>
      <c r="D85">
        <v>501.76</v>
      </c>
      <c r="E85" s="1">
        <v>45766</v>
      </c>
      <c r="F85">
        <v>872</v>
      </c>
      <c r="G85" t="s">
        <v>31</v>
      </c>
      <c r="H85" t="str">
        <f>TEXT(sales[[#This Row],[sale_date]],"dddd")</f>
        <v>Saturday</v>
      </c>
      <c r="I85">
        <f>_xlfn.XLOOKUP(A85,salesitems[sale_id],salesitems[revenue],0)</f>
        <v>130.56</v>
      </c>
      <c r="J85">
        <v>1</v>
      </c>
      <c r="K85" s="10" t="str">
        <f>_xlfn.XLOOKUP(F85,customers[customer_id],customers[age_range])</f>
        <v>26-35</v>
      </c>
      <c r="L85" s="1">
        <f>_xlfn.XLOOKUP(F85,customers[customer_id],customers[signup_date])</f>
        <v>45695</v>
      </c>
      <c r="M85">
        <f>sales[[#This Row],[sale_date]]-sales[[#This Row],[sighnup_date]]</f>
        <v>71</v>
      </c>
      <c r="N85" t="str">
        <f t="shared" si="1"/>
        <v>new customer</v>
      </c>
      <c r="O85" t="str">
        <f>_xlfn.XLOOKUP(A85,salesitems[sale_id],salesitems[category])</f>
        <v>Sleepwear</v>
      </c>
    </row>
    <row r="86" spans="1:15" x14ac:dyDescent="0.45">
      <c r="A86">
        <v>1116</v>
      </c>
      <c r="B86" t="s">
        <v>21</v>
      </c>
      <c r="C86">
        <v>0</v>
      </c>
      <c r="D86">
        <v>318.58999999999997</v>
      </c>
      <c r="E86" s="1">
        <v>45798</v>
      </c>
      <c r="F86">
        <v>640</v>
      </c>
      <c r="G86" t="s">
        <v>28</v>
      </c>
      <c r="H86" t="str">
        <f>TEXT(sales[[#This Row],[sale_date]],"dddd")</f>
        <v>Wednesday</v>
      </c>
      <c r="I86">
        <f>_xlfn.XLOOKUP(A86,salesitems[sale_id],salesitems[revenue],0)</f>
        <v>14.64</v>
      </c>
      <c r="J86">
        <v>1</v>
      </c>
      <c r="K86" s="10" t="str">
        <f>_xlfn.XLOOKUP(F86,customers[customer_id],customers[age_range])</f>
        <v>26-35</v>
      </c>
      <c r="L86" s="1">
        <f>_xlfn.XLOOKUP(F86,customers[customer_id],customers[signup_date])</f>
        <v>45677</v>
      </c>
      <c r="M86">
        <f>sales[[#This Row],[sale_date]]-sales[[#This Row],[sighnup_date]]</f>
        <v>121</v>
      </c>
      <c r="N86" t="str">
        <f t="shared" si="1"/>
        <v>existing customer</v>
      </c>
      <c r="O86" t="str">
        <f>_xlfn.XLOOKUP(A86,salesitems[sale_id],salesitems[category])</f>
        <v>Dresses</v>
      </c>
    </row>
    <row r="87" spans="1:15" x14ac:dyDescent="0.45">
      <c r="A87">
        <v>1117</v>
      </c>
      <c r="B87" t="s">
        <v>21</v>
      </c>
      <c r="C87">
        <v>0</v>
      </c>
      <c r="D87">
        <v>190.25</v>
      </c>
      <c r="E87" s="1">
        <v>45823</v>
      </c>
      <c r="F87">
        <v>660</v>
      </c>
      <c r="G87" t="s">
        <v>33</v>
      </c>
      <c r="H87" t="str">
        <f>TEXT(sales[[#This Row],[sale_date]],"dddd")</f>
        <v>Sunday</v>
      </c>
      <c r="I87">
        <f>_xlfn.XLOOKUP(A87,salesitems[sale_id],salesitems[revenue],0)</f>
        <v>63.79</v>
      </c>
      <c r="J87">
        <v>1</v>
      </c>
      <c r="K87" s="10" t="str">
        <f>_xlfn.XLOOKUP(F87,customers[customer_id],customers[age_range])</f>
        <v>56-65</v>
      </c>
      <c r="L87" s="1">
        <f>_xlfn.XLOOKUP(F87,customers[customer_id],customers[signup_date])</f>
        <v>45770</v>
      </c>
      <c r="M87">
        <f>sales[[#This Row],[sale_date]]-sales[[#This Row],[sighnup_date]]</f>
        <v>53</v>
      </c>
      <c r="N87" t="str">
        <f t="shared" si="1"/>
        <v>new customer</v>
      </c>
      <c r="O87" t="str">
        <f>_xlfn.XLOOKUP(A87,salesitems[sale_id],salesitems[category])</f>
        <v>Pants</v>
      </c>
    </row>
    <row r="88" spans="1:15" x14ac:dyDescent="0.45">
      <c r="A88">
        <v>1119</v>
      </c>
      <c r="B88" t="s">
        <v>21</v>
      </c>
      <c r="C88">
        <v>0</v>
      </c>
      <c r="D88">
        <v>147.22</v>
      </c>
      <c r="E88" s="1">
        <v>45796</v>
      </c>
      <c r="F88">
        <v>976</v>
      </c>
      <c r="G88" t="s">
        <v>33</v>
      </c>
      <c r="H88" t="str">
        <f>TEXT(sales[[#This Row],[sale_date]],"dddd")</f>
        <v>Monday</v>
      </c>
      <c r="I88">
        <f>_xlfn.XLOOKUP(A88,salesitems[sale_id],salesitems[revenue],0)</f>
        <v>83.12</v>
      </c>
      <c r="J88">
        <v>1</v>
      </c>
      <c r="K88" s="10" t="str">
        <f>_xlfn.XLOOKUP(F88,customers[customer_id],customers[age_range])</f>
        <v>26-35</v>
      </c>
      <c r="L88" s="1">
        <f>_xlfn.XLOOKUP(F88,customers[customer_id],customers[signup_date])</f>
        <v>45777</v>
      </c>
      <c r="M88">
        <f>sales[[#This Row],[sale_date]]-sales[[#This Row],[sighnup_date]]</f>
        <v>19</v>
      </c>
      <c r="N88" t="str">
        <f t="shared" si="1"/>
        <v>new customer</v>
      </c>
      <c r="O88" t="str">
        <f>_xlfn.XLOOKUP(A88,salesitems[sale_id],salesitems[category])</f>
        <v>Sleepwear</v>
      </c>
    </row>
    <row r="89" spans="1:15" x14ac:dyDescent="0.45">
      <c r="A89">
        <v>112</v>
      </c>
      <c r="B89" t="s">
        <v>21</v>
      </c>
      <c r="C89">
        <v>1</v>
      </c>
      <c r="D89">
        <v>445.72</v>
      </c>
      <c r="E89" s="1">
        <v>45814</v>
      </c>
      <c r="F89">
        <v>876</v>
      </c>
      <c r="G89" t="s">
        <v>33</v>
      </c>
      <c r="H89" t="str">
        <f>TEXT(sales[[#This Row],[sale_date]],"dddd")</f>
        <v>Friday</v>
      </c>
      <c r="I89">
        <f>_xlfn.XLOOKUP(A89,salesitems[sale_id],salesitems[revenue],0)</f>
        <v>200.25</v>
      </c>
      <c r="J89">
        <v>1</v>
      </c>
      <c r="K89" s="10" t="str">
        <f>_xlfn.XLOOKUP(F89,customers[customer_id],customers[age_range])</f>
        <v>46-55</v>
      </c>
      <c r="L89" s="1">
        <f>_xlfn.XLOOKUP(F89,customers[customer_id],customers[signup_date])</f>
        <v>45726</v>
      </c>
      <c r="M89">
        <f>sales[[#This Row],[sale_date]]-sales[[#This Row],[sighnup_date]]</f>
        <v>88</v>
      </c>
      <c r="N89" t="str">
        <f t="shared" si="1"/>
        <v>new customer</v>
      </c>
      <c r="O89" t="str">
        <f>_xlfn.XLOOKUP(A89,salesitems[sale_id],salesitems[category])</f>
        <v>Shoes</v>
      </c>
    </row>
    <row r="90" spans="1:15" x14ac:dyDescent="0.45">
      <c r="A90">
        <v>1122</v>
      </c>
      <c r="B90" t="s">
        <v>21</v>
      </c>
      <c r="C90">
        <v>0</v>
      </c>
      <c r="D90">
        <v>412.92</v>
      </c>
      <c r="E90" s="1">
        <v>45824</v>
      </c>
      <c r="F90">
        <v>609</v>
      </c>
      <c r="G90" t="s">
        <v>33</v>
      </c>
      <c r="H90" t="str">
        <f>TEXT(sales[[#This Row],[sale_date]],"dddd")</f>
        <v>Monday</v>
      </c>
      <c r="I90">
        <f>_xlfn.XLOOKUP(A90,salesitems[sale_id],salesitems[revenue],0)</f>
        <v>115.02</v>
      </c>
      <c r="J90">
        <v>1</v>
      </c>
      <c r="K90" s="10" t="str">
        <f>_xlfn.XLOOKUP(F90,customers[customer_id],customers[age_range])</f>
        <v>56-65</v>
      </c>
      <c r="L90" s="1">
        <f>_xlfn.XLOOKUP(F90,customers[customer_id],customers[signup_date])</f>
        <v>45701</v>
      </c>
      <c r="M90">
        <f>sales[[#This Row],[sale_date]]-sales[[#This Row],[sighnup_date]]</f>
        <v>123</v>
      </c>
      <c r="N90" t="str">
        <f t="shared" si="1"/>
        <v>existing customer</v>
      </c>
      <c r="O90" t="str">
        <f>_xlfn.XLOOKUP(A90,salesitems[sale_id],salesitems[category])</f>
        <v>T-Shirts</v>
      </c>
    </row>
    <row r="91" spans="1:15" x14ac:dyDescent="0.45">
      <c r="A91">
        <v>1123</v>
      </c>
      <c r="B91" t="s">
        <v>21</v>
      </c>
      <c r="C91">
        <v>0</v>
      </c>
      <c r="D91">
        <v>342.14</v>
      </c>
      <c r="E91" s="1">
        <v>45804</v>
      </c>
      <c r="F91">
        <v>18</v>
      </c>
      <c r="G91" t="s">
        <v>28</v>
      </c>
      <c r="H91" t="str">
        <f>TEXT(sales[[#This Row],[sale_date]],"dddd")</f>
        <v>Tuesday</v>
      </c>
      <c r="I91">
        <f>_xlfn.XLOOKUP(A91,salesitems[sale_id],salesitems[revenue],0)</f>
        <v>154.89000000000001</v>
      </c>
      <c r="J91">
        <v>1</v>
      </c>
      <c r="K91" s="10" t="str">
        <f>_xlfn.XLOOKUP(F91,customers[customer_id],customers[age_range])</f>
        <v>36-45</v>
      </c>
      <c r="L91" s="1">
        <f>_xlfn.XLOOKUP(F91,customers[customer_id],customers[signup_date])</f>
        <v>45719</v>
      </c>
      <c r="M91">
        <f>sales[[#This Row],[sale_date]]-sales[[#This Row],[sighnup_date]]</f>
        <v>85</v>
      </c>
      <c r="N91" t="str">
        <f t="shared" si="1"/>
        <v>new customer</v>
      </c>
      <c r="O91" t="str">
        <f>_xlfn.XLOOKUP(A91,salesitems[sale_id],salesitems[category])</f>
        <v>Dresses</v>
      </c>
    </row>
    <row r="92" spans="1:15" x14ac:dyDescent="0.45">
      <c r="A92">
        <v>1124</v>
      </c>
      <c r="B92" t="s">
        <v>21</v>
      </c>
      <c r="C92">
        <v>0</v>
      </c>
      <c r="D92">
        <v>162.22999999999999</v>
      </c>
      <c r="E92" s="1">
        <v>45776</v>
      </c>
      <c r="F92">
        <v>314</v>
      </c>
      <c r="G92" t="s">
        <v>36</v>
      </c>
      <c r="H92" t="str">
        <f>TEXT(sales[[#This Row],[sale_date]],"dddd")</f>
        <v>Tuesday</v>
      </c>
      <c r="I92">
        <f>_xlfn.XLOOKUP(A92,salesitems[sale_id],salesitems[revenue],0)</f>
        <v>37.450000000000003</v>
      </c>
      <c r="J92">
        <v>1</v>
      </c>
      <c r="K92" s="10" t="str">
        <f>_xlfn.XLOOKUP(F92,customers[customer_id],customers[age_range])</f>
        <v>26-35</v>
      </c>
      <c r="L92" s="1">
        <f>_xlfn.XLOOKUP(F92,customers[customer_id],customers[signup_date])</f>
        <v>45735</v>
      </c>
      <c r="M92">
        <f>sales[[#This Row],[sale_date]]-sales[[#This Row],[sighnup_date]]</f>
        <v>41</v>
      </c>
      <c r="N92" t="str">
        <f t="shared" si="1"/>
        <v>new customer</v>
      </c>
      <c r="O92" t="str">
        <f>_xlfn.XLOOKUP(A92,salesitems[sale_id],salesitems[category])</f>
        <v>T-Shirts</v>
      </c>
    </row>
    <row r="93" spans="1:15" x14ac:dyDescent="0.45">
      <c r="A93">
        <v>1127</v>
      </c>
      <c r="B93" t="s">
        <v>21</v>
      </c>
      <c r="C93">
        <v>0</v>
      </c>
      <c r="D93">
        <v>281.04000000000002</v>
      </c>
      <c r="E93" s="1">
        <v>45790</v>
      </c>
      <c r="F93">
        <v>144</v>
      </c>
      <c r="G93" t="s">
        <v>36</v>
      </c>
      <c r="H93" t="str">
        <f>TEXT(sales[[#This Row],[sale_date]],"dddd")</f>
        <v>Tuesday</v>
      </c>
      <c r="I93">
        <f>_xlfn.XLOOKUP(A93,salesitems[sale_id],salesitems[revenue],0)</f>
        <v>142.77000000000001</v>
      </c>
      <c r="J93">
        <v>1</v>
      </c>
      <c r="K93" s="10" t="str">
        <f>_xlfn.XLOOKUP(F93,customers[customer_id],customers[age_range])</f>
        <v>46-55</v>
      </c>
      <c r="L93" s="1">
        <f>_xlfn.XLOOKUP(F93,customers[customer_id],customers[signup_date])</f>
        <v>45725</v>
      </c>
      <c r="M93">
        <f>sales[[#This Row],[sale_date]]-sales[[#This Row],[sighnup_date]]</f>
        <v>65</v>
      </c>
      <c r="N93" t="str">
        <f t="shared" si="1"/>
        <v>new customer</v>
      </c>
      <c r="O93" t="str">
        <f>_xlfn.XLOOKUP(A93,salesitems[sale_id],salesitems[category])</f>
        <v>Dresses</v>
      </c>
    </row>
    <row r="94" spans="1:15" x14ac:dyDescent="0.45">
      <c r="A94">
        <v>1128</v>
      </c>
      <c r="B94" t="s">
        <v>15</v>
      </c>
      <c r="C94">
        <v>0</v>
      </c>
      <c r="D94">
        <v>96.84</v>
      </c>
      <c r="E94" s="1">
        <v>45808</v>
      </c>
      <c r="F94">
        <v>759</v>
      </c>
      <c r="G94" t="s">
        <v>28</v>
      </c>
      <c r="H94" t="str">
        <f>TEXT(sales[[#This Row],[sale_date]],"dddd")</f>
        <v>Saturday</v>
      </c>
      <c r="I94">
        <f>_xlfn.XLOOKUP(A94,salesitems[sale_id],salesitems[revenue],0)</f>
        <v>66.87</v>
      </c>
      <c r="J94">
        <v>1</v>
      </c>
      <c r="K94" s="10" t="str">
        <f>_xlfn.XLOOKUP(F94,customers[customer_id],customers[age_range])</f>
        <v>36-45</v>
      </c>
      <c r="L94" s="1">
        <f>_xlfn.XLOOKUP(F94,customers[customer_id],customers[signup_date])</f>
        <v>45697</v>
      </c>
      <c r="M94">
        <f>sales[[#This Row],[sale_date]]-sales[[#This Row],[sighnup_date]]</f>
        <v>111</v>
      </c>
      <c r="N94" t="str">
        <f t="shared" si="1"/>
        <v>existing customer</v>
      </c>
      <c r="O94" t="str">
        <f>_xlfn.XLOOKUP(A94,salesitems[sale_id],salesitems[category])</f>
        <v>T-Shirts</v>
      </c>
    </row>
    <row r="95" spans="1:15" x14ac:dyDescent="0.45">
      <c r="A95">
        <v>1129</v>
      </c>
      <c r="B95" t="s">
        <v>15</v>
      </c>
      <c r="C95">
        <v>0</v>
      </c>
      <c r="D95">
        <v>125.14</v>
      </c>
      <c r="E95" s="1">
        <v>45798</v>
      </c>
      <c r="F95">
        <v>892</v>
      </c>
      <c r="G95" t="s">
        <v>36</v>
      </c>
      <c r="H95" t="str">
        <f>TEXT(sales[[#This Row],[sale_date]],"dddd")</f>
        <v>Wednesday</v>
      </c>
      <c r="I95">
        <f>_xlfn.XLOOKUP(A95,salesitems[sale_id],salesitems[revenue],0)</f>
        <v>38.14</v>
      </c>
      <c r="J95">
        <v>1</v>
      </c>
      <c r="K95" s="10" t="str">
        <f>_xlfn.XLOOKUP(F95,customers[customer_id],customers[age_range])</f>
        <v>46-55</v>
      </c>
      <c r="L95" s="1">
        <f>_xlfn.XLOOKUP(F95,customers[customer_id],customers[signup_date])</f>
        <v>45732</v>
      </c>
      <c r="M95">
        <f>sales[[#This Row],[sale_date]]-sales[[#This Row],[sighnup_date]]</f>
        <v>66</v>
      </c>
      <c r="N95" t="str">
        <f t="shared" si="1"/>
        <v>new customer</v>
      </c>
      <c r="O95" t="str">
        <f>_xlfn.XLOOKUP(A95,salesitems[sale_id],salesitems[category])</f>
        <v>Pants</v>
      </c>
    </row>
    <row r="96" spans="1:15" x14ac:dyDescent="0.45">
      <c r="A96">
        <v>113</v>
      </c>
      <c r="B96" t="s">
        <v>15</v>
      </c>
      <c r="C96">
        <v>0</v>
      </c>
      <c r="D96">
        <v>448.08</v>
      </c>
      <c r="E96" s="1">
        <v>45802</v>
      </c>
      <c r="F96">
        <v>872</v>
      </c>
      <c r="G96" t="s">
        <v>31</v>
      </c>
      <c r="H96" t="str">
        <f>TEXT(sales[[#This Row],[sale_date]],"dddd")</f>
        <v>Sunday</v>
      </c>
      <c r="I96">
        <f>_xlfn.XLOOKUP(A96,salesitems[sale_id],salesitems[revenue],0)</f>
        <v>121.78</v>
      </c>
      <c r="J96">
        <v>1</v>
      </c>
      <c r="K96" s="10" t="str">
        <f>_xlfn.XLOOKUP(F96,customers[customer_id],customers[age_range])</f>
        <v>26-35</v>
      </c>
      <c r="L96" s="1">
        <f>_xlfn.XLOOKUP(F96,customers[customer_id],customers[signup_date])</f>
        <v>45695</v>
      </c>
      <c r="M96">
        <f>sales[[#This Row],[sale_date]]-sales[[#This Row],[sighnup_date]]</f>
        <v>107</v>
      </c>
      <c r="N96" t="str">
        <f t="shared" si="1"/>
        <v>existing customer</v>
      </c>
      <c r="O96" t="str">
        <f>_xlfn.XLOOKUP(A96,salesitems[sale_id],salesitems[category])</f>
        <v>T-Shirts</v>
      </c>
    </row>
    <row r="97" spans="1:15" x14ac:dyDescent="0.45">
      <c r="A97">
        <v>1130</v>
      </c>
      <c r="B97" t="s">
        <v>21</v>
      </c>
      <c r="C97">
        <v>0</v>
      </c>
      <c r="D97">
        <v>579.95000000000005</v>
      </c>
      <c r="E97" s="1">
        <v>45803</v>
      </c>
      <c r="F97">
        <v>385</v>
      </c>
      <c r="G97" t="s">
        <v>36</v>
      </c>
      <c r="H97" t="str">
        <f>TEXT(sales[[#This Row],[sale_date]],"dddd")</f>
        <v>Monday</v>
      </c>
      <c r="I97">
        <f>_xlfn.XLOOKUP(A97,salesitems[sale_id],salesitems[revenue],0)</f>
        <v>246.8</v>
      </c>
      <c r="J97">
        <v>1</v>
      </c>
      <c r="K97" s="10" t="str">
        <f>_xlfn.XLOOKUP(F97,customers[customer_id],customers[age_range])</f>
        <v>46-55</v>
      </c>
      <c r="L97" s="1">
        <f>_xlfn.XLOOKUP(F97,customers[customer_id],customers[signup_date])</f>
        <v>45758</v>
      </c>
      <c r="M97">
        <f>sales[[#This Row],[sale_date]]-sales[[#This Row],[sighnup_date]]</f>
        <v>45</v>
      </c>
      <c r="N97" t="str">
        <f t="shared" si="1"/>
        <v>new customer</v>
      </c>
      <c r="O97" t="str">
        <f>_xlfn.XLOOKUP(A97,salesitems[sale_id],salesitems[category])</f>
        <v>Sleepwear</v>
      </c>
    </row>
    <row r="98" spans="1:15" x14ac:dyDescent="0.45">
      <c r="A98">
        <v>1132</v>
      </c>
      <c r="B98" t="s">
        <v>15</v>
      </c>
      <c r="C98">
        <v>0</v>
      </c>
      <c r="D98">
        <v>267.61</v>
      </c>
      <c r="E98" s="1">
        <v>45797</v>
      </c>
      <c r="F98">
        <v>231</v>
      </c>
      <c r="G98" t="s">
        <v>28</v>
      </c>
      <c r="H98" t="str">
        <f>TEXT(sales[[#This Row],[sale_date]],"dddd")</f>
        <v>Tuesday</v>
      </c>
      <c r="I98">
        <f>_xlfn.XLOOKUP(A98,salesitems[sale_id],salesitems[revenue],0)</f>
        <v>147.36000000000001</v>
      </c>
      <c r="J98">
        <v>1</v>
      </c>
      <c r="K98" s="10" t="str">
        <f>_xlfn.XLOOKUP(F98,customers[customer_id],customers[age_range])</f>
        <v>16-25</v>
      </c>
      <c r="L98" s="1">
        <f>_xlfn.XLOOKUP(F98,customers[customer_id],customers[signup_date])</f>
        <v>45709</v>
      </c>
      <c r="M98">
        <f>sales[[#This Row],[sale_date]]-sales[[#This Row],[sighnup_date]]</f>
        <v>88</v>
      </c>
      <c r="N98" t="str">
        <f t="shared" si="1"/>
        <v>new customer</v>
      </c>
      <c r="O98" t="str">
        <f>_xlfn.XLOOKUP(A98,salesitems[sale_id],salesitems[category])</f>
        <v>Pants</v>
      </c>
    </row>
    <row r="99" spans="1:15" x14ac:dyDescent="0.45">
      <c r="A99">
        <v>1133</v>
      </c>
      <c r="B99" t="s">
        <v>21</v>
      </c>
      <c r="C99">
        <v>0</v>
      </c>
      <c r="D99">
        <v>210.9</v>
      </c>
      <c r="E99" s="1">
        <v>45772</v>
      </c>
      <c r="F99">
        <v>745</v>
      </c>
      <c r="G99" t="s">
        <v>33</v>
      </c>
      <c r="H99" t="str">
        <f>TEXT(sales[[#This Row],[sale_date]],"dddd")</f>
        <v>Friday</v>
      </c>
      <c r="I99">
        <f>_xlfn.XLOOKUP(A99,salesitems[sale_id],salesitems[revenue],0)</f>
        <v>28.42</v>
      </c>
      <c r="J99">
        <v>1</v>
      </c>
      <c r="K99" s="10" t="str">
        <f>_xlfn.XLOOKUP(F99,customers[customer_id],customers[age_range])</f>
        <v>46-55</v>
      </c>
      <c r="L99" s="1">
        <f>_xlfn.XLOOKUP(F99,customers[customer_id],customers[signup_date])</f>
        <v>45757</v>
      </c>
      <c r="M99">
        <f>sales[[#This Row],[sale_date]]-sales[[#This Row],[sighnup_date]]</f>
        <v>15</v>
      </c>
      <c r="N99" t="str">
        <f t="shared" si="1"/>
        <v>new customer</v>
      </c>
      <c r="O99" t="str">
        <f>_xlfn.XLOOKUP(A99,salesitems[sale_id],salesitems[category])</f>
        <v>Sleepwear</v>
      </c>
    </row>
    <row r="100" spans="1:15" x14ac:dyDescent="0.45">
      <c r="A100">
        <v>1134</v>
      </c>
      <c r="B100" t="s">
        <v>15</v>
      </c>
      <c r="C100">
        <v>0</v>
      </c>
      <c r="D100">
        <v>324.16000000000003</v>
      </c>
      <c r="E100" s="1">
        <v>45805</v>
      </c>
      <c r="F100">
        <v>580</v>
      </c>
      <c r="G100" t="s">
        <v>33</v>
      </c>
      <c r="H100" t="str">
        <f>TEXT(sales[[#This Row],[sale_date]],"dddd")</f>
        <v>Wednesday</v>
      </c>
      <c r="I100">
        <f>_xlfn.XLOOKUP(A100,salesitems[sale_id],salesitems[revenue],0)</f>
        <v>124.92</v>
      </c>
      <c r="J100">
        <v>1</v>
      </c>
      <c r="K100" s="10" t="str">
        <f>_xlfn.XLOOKUP(F100,customers[customer_id],customers[age_range])</f>
        <v>46-55</v>
      </c>
      <c r="L100" s="1">
        <f>_xlfn.XLOOKUP(F100,customers[customer_id],customers[signup_date])</f>
        <v>45783</v>
      </c>
      <c r="M100">
        <f>sales[[#This Row],[sale_date]]-sales[[#This Row],[sighnup_date]]</f>
        <v>22</v>
      </c>
      <c r="N100" t="str">
        <f t="shared" si="1"/>
        <v>new customer</v>
      </c>
      <c r="O100" t="str">
        <f>_xlfn.XLOOKUP(A100,salesitems[sale_id],salesitems[category])</f>
        <v>T-Shirts</v>
      </c>
    </row>
    <row r="101" spans="1:15" x14ac:dyDescent="0.45">
      <c r="A101">
        <v>1135</v>
      </c>
      <c r="B101" t="s">
        <v>15</v>
      </c>
      <c r="C101">
        <v>0</v>
      </c>
      <c r="D101">
        <v>202.84</v>
      </c>
      <c r="E101" s="1">
        <v>45797</v>
      </c>
      <c r="F101">
        <v>946</v>
      </c>
      <c r="G101" t="s">
        <v>28</v>
      </c>
      <c r="H101" t="str">
        <f>TEXT(sales[[#This Row],[sale_date]],"dddd")</f>
        <v>Tuesday</v>
      </c>
      <c r="I101">
        <f>_xlfn.XLOOKUP(A101,salesitems[sale_id],salesitems[revenue],0)</f>
        <v>62.17</v>
      </c>
      <c r="J101">
        <v>1</v>
      </c>
      <c r="K101" s="10" t="str">
        <f>_xlfn.XLOOKUP(F101,customers[customer_id],customers[age_range])</f>
        <v>16-25</v>
      </c>
      <c r="L101" s="1">
        <f>_xlfn.XLOOKUP(F101,customers[customer_id],customers[signup_date])</f>
        <v>45750</v>
      </c>
      <c r="M101">
        <f>sales[[#This Row],[sale_date]]-sales[[#This Row],[sighnup_date]]</f>
        <v>47</v>
      </c>
      <c r="N101" t="str">
        <f t="shared" si="1"/>
        <v>new customer</v>
      </c>
      <c r="O101" t="str">
        <f>_xlfn.XLOOKUP(A101,salesitems[sale_id],salesitems[category])</f>
        <v>Dresses</v>
      </c>
    </row>
    <row r="102" spans="1:15" x14ac:dyDescent="0.45">
      <c r="A102">
        <v>1136</v>
      </c>
      <c r="B102" t="s">
        <v>15</v>
      </c>
      <c r="C102">
        <v>0</v>
      </c>
      <c r="D102">
        <v>111.97</v>
      </c>
      <c r="E102" s="1">
        <v>45822</v>
      </c>
      <c r="F102">
        <v>460</v>
      </c>
      <c r="G102" t="s">
        <v>31</v>
      </c>
      <c r="H102" t="str">
        <f>TEXT(sales[[#This Row],[sale_date]],"dddd")</f>
        <v>Saturday</v>
      </c>
      <c r="I102">
        <f>_xlfn.XLOOKUP(A102,salesitems[sale_id],salesitems[revenue],0)</f>
        <v>64.5</v>
      </c>
      <c r="J102">
        <v>1</v>
      </c>
      <c r="K102" s="10" t="str">
        <f>_xlfn.XLOOKUP(F102,customers[customer_id],customers[age_range])</f>
        <v>56-65</v>
      </c>
      <c r="L102" s="1">
        <f>_xlfn.XLOOKUP(F102,customers[customer_id],customers[signup_date])</f>
        <v>45712</v>
      </c>
      <c r="M102">
        <f>sales[[#This Row],[sale_date]]-sales[[#This Row],[sighnup_date]]</f>
        <v>110</v>
      </c>
      <c r="N102" t="str">
        <f t="shared" si="1"/>
        <v>existing customer</v>
      </c>
      <c r="O102" t="str">
        <f>_xlfn.XLOOKUP(A102,salesitems[sale_id],salesitems[category])</f>
        <v>Pants</v>
      </c>
    </row>
    <row r="103" spans="1:15" x14ac:dyDescent="0.45">
      <c r="A103">
        <v>1137</v>
      </c>
      <c r="B103" t="s">
        <v>21</v>
      </c>
      <c r="C103">
        <v>0</v>
      </c>
      <c r="D103">
        <v>380.37</v>
      </c>
      <c r="E103" s="1">
        <v>45794</v>
      </c>
      <c r="F103">
        <v>505</v>
      </c>
      <c r="G103" t="s">
        <v>36</v>
      </c>
      <c r="H103" t="str">
        <f>TEXT(sales[[#This Row],[sale_date]],"dddd")</f>
        <v>Saturday</v>
      </c>
      <c r="I103">
        <f>_xlfn.XLOOKUP(A103,salesitems[sale_id],salesitems[revenue],0)</f>
        <v>114.42</v>
      </c>
      <c r="J103">
        <v>1</v>
      </c>
      <c r="K103" s="10" t="str">
        <f>_xlfn.XLOOKUP(F103,customers[customer_id],customers[age_range])</f>
        <v>26-35</v>
      </c>
      <c r="L103" s="1">
        <f>_xlfn.XLOOKUP(F103,customers[customer_id],customers[signup_date])</f>
        <v>45744</v>
      </c>
      <c r="M103">
        <f>sales[[#This Row],[sale_date]]-sales[[#This Row],[sighnup_date]]</f>
        <v>50</v>
      </c>
      <c r="N103" t="str">
        <f t="shared" si="1"/>
        <v>new customer</v>
      </c>
      <c r="O103" t="str">
        <f>_xlfn.XLOOKUP(A103,salesitems[sale_id],salesitems[category])</f>
        <v>Pants</v>
      </c>
    </row>
    <row r="104" spans="1:15" x14ac:dyDescent="0.45">
      <c r="A104">
        <v>1138</v>
      </c>
      <c r="B104" t="s">
        <v>21</v>
      </c>
      <c r="C104">
        <v>0</v>
      </c>
      <c r="D104">
        <v>375.32</v>
      </c>
      <c r="E104" s="1">
        <v>45774</v>
      </c>
      <c r="F104">
        <v>958</v>
      </c>
      <c r="G104" t="s">
        <v>36</v>
      </c>
      <c r="H104" t="str">
        <f>TEXT(sales[[#This Row],[sale_date]],"dddd")</f>
        <v>Sunday</v>
      </c>
      <c r="I104">
        <f>_xlfn.XLOOKUP(A104,salesitems[sale_id],salesitems[revenue],0)</f>
        <v>130.52000000000001</v>
      </c>
      <c r="J104">
        <v>1</v>
      </c>
      <c r="K104" s="10" t="str">
        <f>_xlfn.XLOOKUP(F104,customers[customer_id],customers[age_range])</f>
        <v>56-65</v>
      </c>
      <c r="L104" s="1">
        <f>_xlfn.XLOOKUP(F104,customers[customer_id],customers[signup_date])</f>
        <v>45711</v>
      </c>
      <c r="M104">
        <f>sales[[#This Row],[sale_date]]-sales[[#This Row],[sighnup_date]]</f>
        <v>63</v>
      </c>
      <c r="N104" t="str">
        <f t="shared" si="1"/>
        <v>new customer</v>
      </c>
      <c r="O104" t="str">
        <f>_xlfn.XLOOKUP(A104,salesitems[sale_id],salesitems[category])</f>
        <v>Dresses</v>
      </c>
    </row>
    <row r="105" spans="1:15" x14ac:dyDescent="0.45">
      <c r="A105">
        <v>1139</v>
      </c>
      <c r="B105" t="s">
        <v>15</v>
      </c>
      <c r="C105">
        <v>0</v>
      </c>
      <c r="D105">
        <v>422.16</v>
      </c>
      <c r="E105" s="1">
        <v>45763</v>
      </c>
      <c r="F105">
        <v>21</v>
      </c>
      <c r="G105" t="s">
        <v>28</v>
      </c>
      <c r="H105" t="str">
        <f>TEXT(sales[[#This Row],[sale_date]],"dddd")</f>
        <v>Wednesday</v>
      </c>
      <c r="I105">
        <f>_xlfn.XLOOKUP(A105,salesitems[sale_id],salesitems[revenue],0)</f>
        <v>213.84</v>
      </c>
      <c r="J105">
        <v>1</v>
      </c>
      <c r="K105" s="10" t="str">
        <f>_xlfn.XLOOKUP(F105,customers[customer_id],customers[age_range])</f>
        <v>56-65</v>
      </c>
      <c r="L105" s="1">
        <f>_xlfn.XLOOKUP(F105,customers[customer_id],customers[signup_date])</f>
        <v>45747</v>
      </c>
      <c r="M105">
        <f>sales[[#This Row],[sale_date]]-sales[[#This Row],[sighnup_date]]</f>
        <v>16</v>
      </c>
      <c r="N105" t="str">
        <f t="shared" si="1"/>
        <v>new customer</v>
      </c>
      <c r="O105" t="str">
        <f>_xlfn.XLOOKUP(A105,salesitems[sale_id],salesitems[category])</f>
        <v>Pants</v>
      </c>
    </row>
    <row r="106" spans="1:15" x14ac:dyDescent="0.45">
      <c r="A106">
        <v>114</v>
      </c>
      <c r="B106" t="s">
        <v>15</v>
      </c>
      <c r="C106">
        <v>0</v>
      </c>
      <c r="D106">
        <v>280.43</v>
      </c>
      <c r="E106" s="1">
        <v>45772</v>
      </c>
      <c r="F106">
        <v>903</v>
      </c>
      <c r="G106" t="s">
        <v>34</v>
      </c>
      <c r="H106" t="str">
        <f>TEXT(sales[[#This Row],[sale_date]],"dddd")</f>
        <v>Friday</v>
      </c>
      <c r="I106">
        <f>_xlfn.XLOOKUP(A106,salesitems[sale_id],salesitems[revenue],0)</f>
        <v>51.7</v>
      </c>
      <c r="J106">
        <v>1</v>
      </c>
      <c r="K106" s="10" t="str">
        <f>_xlfn.XLOOKUP(F106,customers[customer_id],customers[age_range])</f>
        <v>16-25</v>
      </c>
      <c r="L106" s="1">
        <f>_xlfn.XLOOKUP(F106,customers[customer_id],customers[signup_date])</f>
        <v>45751</v>
      </c>
      <c r="M106">
        <f>sales[[#This Row],[sale_date]]-sales[[#This Row],[sighnup_date]]</f>
        <v>21</v>
      </c>
      <c r="N106" t="str">
        <f t="shared" si="1"/>
        <v>new customer</v>
      </c>
      <c r="O106" t="str">
        <f>_xlfn.XLOOKUP(A106,salesitems[sale_id],salesitems[category])</f>
        <v>Pants</v>
      </c>
    </row>
    <row r="107" spans="1:15" x14ac:dyDescent="0.45">
      <c r="A107">
        <v>1143</v>
      </c>
      <c r="B107" t="s">
        <v>21</v>
      </c>
      <c r="C107">
        <v>1</v>
      </c>
      <c r="D107">
        <v>155.13</v>
      </c>
      <c r="E107" s="1">
        <v>45753</v>
      </c>
      <c r="F107">
        <v>472</v>
      </c>
      <c r="G107" t="s">
        <v>28</v>
      </c>
      <c r="H107" t="str">
        <f>TEXT(sales[[#This Row],[sale_date]],"dddd")</f>
        <v>Sunday</v>
      </c>
      <c r="I107">
        <f>_xlfn.XLOOKUP(A107,salesitems[sale_id],salesitems[revenue],0)</f>
        <v>46.91</v>
      </c>
      <c r="J107">
        <v>1</v>
      </c>
      <c r="K107" s="10" t="str">
        <f>_xlfn.XLOOKUP(F107,customers[customer_id],customers[age_range])</f>
        <v>36-45</v>
      </c>
      <c r="L107" s="1">
        <f>_xlfn.XLOOKUP(F107,customers[customer_id],customers[signup_date])</f>
        <v>45732</v>
      </c>
      <c r="M107">
        <f>sales[[#This Row],[sale_date]]-sales[[#This Row],[sighnup_date]]</f>
        <v>21</v>
      </c>
      <c r="N107" t="str">
        <f t="shared" si="1"/>
        <v>new customer</v>
      </c>
      <c r="O107" t="str">
        <f>_xlfn.XLOOKUP(A107,salesitems[sale_id],salesitems[category])</f>
        <v>T-Shirts</v>
      </c>
    </row>
    <row r="108" spans="1:15" x14ac:dyDescent="0.45">
      <c r="A108">
        <v>1144</v>
      </c>
      <c r="B108" t="s">
        <v>21</v>
      </c>
      <c r="C108">
        <v>0</v>
      </c>
      <c r="D108">
        <v>141.99</v>
      </c>
      <c r="E108" s="1">
        <v>45797</v>
      </c>
      <c r="F108">
        <v>700</v>
      </c>
      <c r="G108" t="s">
        <v>38</v>
      </c>
      <c r="H108" t="str">
        <f>TEXT(sales[[#This Row],[sale_date]],"dddd")</f>
        <v>Tuesday</v>
      </c>
      <c r="I108">
        <f>_xlfn.XLOOKUP(A108,salesitems[sale_id],salesitems[revenue],0)</f>
        <v>75.47</v>
      </c>
      <c r="J108">
        <v>1</v>
      </c>
      <c r="K108" s="10" t="str">
        <f>_xlfn.XLOOKUP(F108,customers[customer_id],customers[age_range])</f>
        <v>16-25</v>
      </c>
      <c r="L108" s="1">
        <f>_xlfn.XLOOKUP(F108,customers[customer_id],customers[signup_date])</f>
        <v>45724</v>
      </c>
      <c r="M108">
        <f>sales[[#This Row],[sale_date]]-sales[[#This Row],[sighnup_date]]</f>
        <v>73</v>
      </c>
      <c r="N108" t="str">
        <f t="shared" si="1"/>
        <v>new customer</v>
      </c>
      <c r="O108" t="str">
        <f>_xlfn.XLOOKUP(A108,salesitems[sale_id],salesitems[category])</f>
        <v>Shoes</v>
      </c>
    </row>
    <row r="109" spans="1:15" x14ac:dyDescent="0.45">
      <c r="A109">
        <v>1146</v>
      </c>
      <c r="B109" t="s">
        <v>21</v>
      </c>
      <c r="C109">
        <v>0</v>
      </c>
      <c r="D109">
        <v>326.72000000000003</v>
      </c>
      <c r="E109" s="1">
        <v>45801</v>
      </c>
      <c r="F109">
        <v>15</v>
      </c>
      <c r="G109" t="s">
        <v>31</v>
      </c>
      <c r="H109" t="str">
        <f>TEXT(sales[[#This Row],[sale_date]],"dddd")</f>
        <v>Saturday</v>
      </c>
      <c r="I109">
        <f>_xlfn.XLOOKUP(A109,salesitems[sale_id],salesitems[revenue],0)</f>
        <v>70.400000000000006</v>
      </c>
      <c r="J109">
        <v>1</v>
      </c>
      <c r="K109" s="10" t="str">
        <f>_xlfn.XLOOKUP(F109,customers[customer_id],customers[age_range])</f>
        <v>26-35</v>
      </c>
      <c r="L109" s="1">
        <f>_xlfn.XLOOKUP(F109,customers[customer_id],customers[signup_date])</f>
        <v>45752</v>
      </c>
      <c r="M109">
        <f>sales[[#This Row],[sale_date]]-sales[[#This Row],[sighnup_date]]</f>
        <v>49</v>
      </c>
      <c r="N109" t="str">
        <f t="shared" si="1"/>
        <v>new customer</v>
      </c>
      <c r="O109" t="str">
        <f>_xlfn.XLOOKUP(A109,salesitems[sale_id],salesitems[category])</f>
        <v>Sleepwear</v>
      </c>
    </row>
    <row r="110" spans="1:15" x14ac:dyDescent="0.45">
      <c r="A110">
        <v>1148</v>
      </c>
      <c r="B110" t="s">
        <v>15</v>
      </c>
      <c r="C110">
        <v>1</v>
      </c>
      <c r="D110">
        <v>448.98</v>
      </c>
      <c r="E110" s="1">
        <v>45790</v>
      </c>
      <c r="F110">
        <v>562</v>
      </c>
      <c r="G110" t="s">
        <v>36</v>
      </c>
      <c r="H110" t="str">
        <f>TEXT(sales[[#This Row],[sale_date]],"dddd")</f>
        <v>Tuesday</v>
      </c>
      <c r="I110">
        <f>_xlfn.XLOOKUP(A110,salesitems[sale_id],salesitems[revenue],0)</f>
        <v>237.15</v>
      </c>
      <c r="J110">
        <v>1</v>
      </c>
      <c r="K110" s="10" t="str">
        <f>_xlfn.XLOOKUP(F110,customers[customer_id],customers[age_range])</f>
        <v>16-25</v>
      </c>
      <c r="L110" s="1">
        <f>_xlfn.XLOOKUP(F110,customers[customer_id],customers[signup_date])</f>
        <v>45777</v>
      </c>
      <c r="M110">
        <f>sales[[#This Row],[sale_date]]-sales[[#This Row],[sighnup_date]]</f>
        <v>13</v>
      </c>
      <c r="N110" t="str">
        <f t="shared" si="1"/>
        <v>new customer</v>
      </c>
      <c r="O110" t="str">
        <f>_xlfn.XLOOKUP(A110,salesitems[sale_id],salesitems[category])</f>
        <v>T-Shirts</v>
      </c>
    </row>
    <row r="111" spans="1:15" x14ac:dyDescent="0.45">
      <c r="A111">
        <v>1149</v>
      </c>
      <c r="B111" t="s">
        <v>21</v>
      </c>
      <c r="C111">
        <v>0</v>
      </c>
      <c r="D111">
        <v>441.5</v>
      </c>
      <c r="E111" s="1">
        <v>45807</v>
      </c>
      <c r="F111">
        <v>948</v>
      </c>
      <c r="G111" t="s">
        <v>34</v>
      </c>
      <c r="H111" t="str">
        <f>TEXT(sales[[#This Row],[sale_date]],"dddd")</f>
        <v>Friday</v>
      </c>
      <c r="I111">
        <f>_xlfn.XLOOKUP(A111,salesitems[sale_id],salesitems[revenue],0)</f>
        <v>93.8</v>
      </c>
      <c r="J111">
        <v>1</v>
      </c>
      <c r="K111" s="10" t="str">
        <f>_xlfn.XLOOKUP(F111,customers[customer_id],customers[age_range])</f>
        <v>26-35</v>
      </c>
      <c r="L111" s="1">
        <f>_xlfn.XLOOKUP(F111,customers[customer_id],customers[signup_date])</f>
        <v>45682</v>
      </c>
      <c r="M111">
        <f>sales[[#This Row],[sale_date]]-sales[[#This Row],[sighnup_date]]</f>
        <v>125</v>
      </c>
      <c r="N111" t="str">
        <f t="shared" si="1"/>
        <v>existing customer</v>
      </c>
      <c r="O111" t="str">
        <f>_xlfn.XLOOKUP(A111,salesitems[sale_id],salesitems[category])</f>
        <v>Sleepwear</v>
      </c>
    </row>
    <row r="112" spans="1:15" x14ac:dyDescent="0.45">
      <c r="A112">
        <v>115</v>
      </c>
      <c r="B112" t="s">
        <v>15</v>
      </c>
      <c r="C112">
        <v>0</v>
      </c>
      <c r="D112">
        <v>169.37</v>
      </c>
      <c r="E112" s="1">
        <v>45781</v>
      </c>
      <c r="F112">
        <v>879</v>
      </c>
      <c r="G112" t="s">
        <v>31</v>
      </c>
      <c r="H112" t="str">
        <f>TEXT(sales[[#This Row],[sale_date]],"dddd")</f>
        <v>Sunday</v>
      </c>
      <c r="I112">
        <f>_xlfn.XLOOKUP(A112,salesitems[sale_id],salesitems[revenue],0)</f>
        <v>35.69</v>
      </c>
      <c r="J112">
        <v>1</v>
      </c>
      <c r="K112" s="10" t="str">
        <f>_xlfn.XLOOKUP(F112,customers[customer_id],customers[age_range])</f>
        <v>46-55</v>
      </c>
      <c r="L112" s="1">
        <f>_xlfn.XLOOKUP(F112,customers[customer_id],customers[signup_date])</f>
        <v>45798</v>
      </c>
      <c r="M112">
        <f>sales[[#This Row],[sale_date]]-sales[[#This Row],[sighnup_date]]</f>
        <v>-17</v>
      </c>
      <c r="N112" t="str">
        <f t="shared" si="1"/>
        <v>data issue</v>
      </c>
      <c r="O112" t="str">
        <f>_xlfn.XLOOKUP(A112,salesitems[sale_id],salesitems[category])</f>
        <v>Sleepwear</v>
      </c>
    </row>
    <row r="113" spans="1:15" x14ac:dyDescent="0.45">
      <c r="A113">
        <v>1150</v>
      </c>
      <c r="B113" t="s">
        <v>15</v>
      </c>
      <c r="C113">
        <v>0</v>
      </c>
      <c r="D113">
        <v>607.24</v>
      </c>
      <c r="E113" s="1">
        <v>45813</v>
      </c>
      <c r="F113">
        <v>220</v>
      </c>
      <c r="G113" t="s">
        <v>36</v>
      </c>
      <c r="H113" t="str">
        <f>TEXT(sales[[#This Row],[sale_date]],"dddd")</f>
        <v>Thursday</v>
      </c>
      <c r="I113">
        <f>_xlfn.XLOOKUP(A113,salesitems[sale_id],salesitems[revenue],0)</f>
        <v>323.04000000000002</v>
      </c>
      <c r="J113">
        <v>1</v>
      </c>
      <c r="K113" s="10" t="str">
        <f>_xlfn.XLOOKUP(F113,customers[customer_id],customers[age_range])</f>
        <v>26-35</v>
      </c>
      <c r="L113" s="1">
        <f>_xlfn.XLOOKUP(F113,customers[customer_id],customers[signup_date])</f>
        <v>45687</v>
      </c>
      <c r="M113">
        <f>sales[[#This Row],[sale_date]]-sales[[#This Row],[sighnup_date]]</f>
        <v>126</v>
      </c>
      <c r="N113" t="str">
        <f t="shared" si="1"/>
        <v>existing customer</v>
      </c>
      <c r="O113" t="str">
        <f>_xlfn.XLOOKUP(A113,salesitems[sale_id],salesitems[category])</f>
        <v>Pants</v>
      </c>
    </row>
    <row r="114" spans="1:15" x14ac:dyDescent="0.45">
      <c r="A114">
        <v>1152</v>
      </c>
      <c r="B114" t="s">
        <v>21</v>
      </c>
      <c r="C114">
        <v>0</v>
      </c>
      <c r="D114">
        <v>375.47</v>
      </c>
      <c r="E114" s="1">
        <v>45769</v>
      </c>
      <c r="F114">
        <v>157</v>
      </c>
      <c r="G114" t="s">
        <v>33</v>
      </c>
      <c r="H114" t="str">
        <f>TEXT(sales[[#This Row],[sale_date]],"dddd")</f>
        <v>Tuesday</v>
      </c>
      <c r="I114">
        <f>_xlfn.XLOOKUP(A114,salesitems[sale_id],salesitems[revenue],0)</f>
        <v>162.12</v>
      </c>
      <c r="J114">
        <v>1</v>
      </c>
      <c r="K114" s="10" t="str">
        <f>_xlfn.XLOOKUP(F114,customers[customer_id],customers[age_range])</f>
        <v>56-65</v>
      </c>
      <c r="L114" s="1">
        <f>_xlfn.XLOOKUP(F114,customers[customer_id],customers[signup_date])</f>
        <v>45788</v>
      </c>
      <c r="M114">
        <f>sales[[#This Row],[sale_date]]-sales[[#This Row],[sighnup_date]]</f>
        <v>-19</v>
      </c>
      <c r="N114" t="str">
        <f t="shared" si="1"/>
        <v>data issue</v>
      </c>
      <c r="O114" t="str">
        <f>_xlfn.XLOOKUP(A114,salesitems[sale_id],salesitems[category])</f>
        <v>Shoes</v>
      </c>
    </row>
    <row r="115" spans="1:15" x14ac:dyDescent="0.45">
      <c r="A115">
        <v>1153</v>
      </c>
      <c r="B115" t="s">
        <v>15</v>
      </c>
      <c r="C115">
        <v>1</v>
      </c>
      <c r="D115">
        <v>149.91</v>
      </c>
      <c r="E115" s="1">
        <v>45794</v>
      </c>
      <c r="F115">
        <v>177</v>
      </c>
      <c r="G115" t="s">
        <v>33</v>
      </c>
      <c r="H115" t="str">
        <f>TEXT(sales[[#This Row],[sale_date]],"dddd")</f>
        <v>Saturday</v>
      </c>
      <c r="I115">
        <f>_xlfn.XLOOKUP(A115,salesitems[sale_id],salesitems[revenue],0)</f>
        <v>75.22</v>
      </c>
      <c r="J115">
        <v>1</v>
      </c>
      <c r="K115" s="10" t="str">
        <f>_xlfn.XLOOKUP(F115,customers[customer_id],customers[age_range])</f>
        <v>56-65</v>
      </c>
      <c r="L115" s="1">
        <f>_xlfn.XLOOKUP(F115,customers[customer_id],customers[signup_date])</f>
        <v>45732</v>
      </c>
      <c r="M115">
        <f>sales[[#This Row],[sale_date]]-sales[[#This Row],[sighnup_date]]</f>
        <v>62</v>
      </c>
      <c r="N115" t="str">
        <f t="shared" si="1"/>
        <v>new customer</v>
      </c>
      <c r="O115" t="str">
        <f>_xlfn.XLOOKUP(A115,salesitems[sale_id],salesitems[category])</f>
        <v>T-Shirts</v>
      </c>
    </row>
    <row r="116" spans="1:15" x14ac:dyDescent="0.45">
      <c r="A116">
        <v>1154</v>
      </c>
      <c r="B116" t="s">
        <v>21</v>
      </c>
      <c r="C116">
        <v>0</v>
      </c>
      <c r="D116">
        <v>323.44</v>
      </c>
      <c r="E116" s="1">
        <v>45782</v>
      </c>
      <c r="F116">
        <v>314</v>
      </c>
      <c r="G116" t="s">
        <v>36</v>
      </c>
      <c r="H116" t="str">
        <f>TEXT(sales[[#This Row],[sale_date]],"dddd")</f>
        <v>Monday</v>
      </c>
      <c r="I116">
        <f>_xlfn.XLOOKUP(A116,salesitems[sale_id],salesitems[revenue],0)</f>
        <v>181.08</v>
      </c>
      <c r="J116">
        <v>1</v>
      </c>
      <c r="K116" s="10" t="str">
        <f>_xlfn.XLOOKUP(F116,customers[customer_id],customers[age_range])</f>
        <v>26-35</v>
      </c>
      <c r="L116" s="1">
        <f>_xlfn.XLOOKUP(F116,customers[customer_id],customers[signup_date])</f>
        <v>45735</v>
      </c>
      <c r="M116">
        <f>sales[[#This Row],[sale_date]]-sales[[#This Row],[sighnup_date]]</f>
        <v>47</v>
      </c>
      <c r="N116" t="str">
        <f t="shared" si="1"/>
        <v>new customer</v>
      </c>
      <c r="O116" t="str">
        <f>_xlfn.XLOOKUP(A116,salesitems[sale_id],salesitems[category])</f>
        <v>Dresses</v>
      </c>
    </row>
    <row r="117" spans="1:15" x14ac:dyDescent="0.45">
      <c r="A117">
        <v>1155</v>
      </c>
      <c r="B117" t="s">
        <v>21</v>
      </c>
      <c r="C117">
        <v>0</v>
      </c>
      <c r="D117">
        <v>414.54</v>
      </c>
      <c r="E117" s="1">
        <v>45800</v>
      </c>
      <c r="F117">
        <v>843</v>
      </c>
      <c r="G117" t="s">
        <v>28</v>
      </c>
      <c r="H117" t="str">
        <f>TEXT(sales[[#This Row],[sale_date]],"dddd")</f>
        <v>Friday</v>
      </c>
      <c r="I117">
        <f>_xlfn.XLOOKUP(A117,salesitems[sale_id],salesitems[revenue],0)</f>
        <v>106.7</v>
      </c>
      <c r="J117">
        <v>1</v>
      </c>
      <c r="K117" s="10" t="str">
        <f>_xlfn.XLOOKUP(F117,customers[customer_id],customers[age_range])</f>
        <v>16-25</v>
      </c>
      <c r="L117" s="1">
        <f>_xlfn.XLOOKUP(F117,customers[customer_id],customers[signup_date])</f>
        <v>45740</v>
      </c>
      <c r="M117">
        <f>sales[[#This Row],[sale_date]]-sales[[#This Row],[sighnup_date]]</f>
        <v>60</v>
      </c>
      <c r="N117" t="str">
        <f t="shared" si="1"/>
        <v>new customer</v>
      </c>
      <c r="O117" t="str">
        <f>_xlfn.XLOOKUP(A117,salesitems[sale_id],salesitems[category])</f>
        <v>Sleepwear</v>
      </c>
    </row>
    <row r="118" spans="1:15" x14ac:dyDescent="0.45">
      <c r="A118">
        <v>1156</v>
      </c>
      <c r="B118" t="s">
        <v>15</v>
      </c>
      <c r="C118">
        <v>0</v>
      </c>
      <c r="D118">
        <v>434.04</v>
      </c>
      <c r="E118" s="1">
        <v>45798</v>
      </c>
      <c r="F118">
        <v>963</v>
      </c>
      <c r="G118" t="s">
        <v>36</v>
      </c>
      <c r="H118" t="str">
        <f>TEXT(sales[[#This Row],[sale_date]],"dddd")</f>
        <v>Wednesday</v>
      </c>
      <c r="I118">
        <f>_xlfn.XLOOKUP(A118,salesitems[sale_id],salesitems[revenue],0)</f>
        <v>239.12</v>
      </c>
      <c r="J118">
        <v>1</v>
      </c>
      <c r="K118" s="10" t="str">
        <f>_xlfn.XLOOKUP(F118,customers[customer_id],customers[age_range])</f>
        <v>46-55</v>
      </c>
      <c r="L118" s="1">
        <f>_xlfn.XLOOKUP(F118,customers[customer_id],customers[signup_date])</f>
        <v>45741</v>
      </c>
      <c r="M118">
        <f>sales[[#This Row],[sale_date]]-sales[[#This Row],[sighnup_date]]</f>
        <v>57</v>
      </c>
      <c r="N118" t="str">
        <f t="shared" si="1"/>
        <v>new customer</v>
      </c>
      <c r="O118" t="str">
        <f>_xlfn.XLOOKUP(A118,salesitems[sale_id],salesitems[category])</f>
        <v>T-Shirts</v>
      </c>
    </row>
    <row r="119" spans="1:15" x14ac:dyDescent="0.45">
      <c r="A119">
        <v>1158</v>
      </c>
      <c r="B119" t="s">
        <v>21</v>
      </c>
      <c r="C119">
        <v>0</v>
      </c>
      <c r="D119">
        <v>232.32</v>
      </c>
      <c r="E119" s="1">
        <v>45776</v>
      </c>
      <c r="F119">
        <v>764</v>
      </c>
      <c r="G119" t="s">
        <v>28</v>
      </c>
      <c r="H119" t="str">
        <f>TEXT(sales[[#This Row],[sale_date]],"dddd")</f>
        <v>Tuesday</v>
      </c>
      <c r="I119">
        <f>_xlfn.XLOOKUP(A119,salesitems[sale_id],salesitems[revenue],0)</f>
        <v>153.91999999999999</v>
      </c>
      <c r="J119">
        <v>1</v>
      </c>
      <c r="K119" s="10" t="str">
        <f>_xlfn.XLOOKUP(F119,customers[customer_id],customers[age_range])</f>
        <v>26-35</v>
      </c>
      <c r="L119" s="1">
        <f>_xlfn.XLOOKUP(F119,customers[customer_id],customers[signup_date])</f>
        <v>45789</v>
      </c>
      <c r="M119">
        <f>sales[[#This Row],[sale_date]]-sales[[#This Row],[sighnup_date]]</f>
        <v>-13</v>
      </c>
      <c r="N119" t="str">
        <f t="shared" si="1"/>
        <v>data issue</v>
      </c>
      <c r="O119" t="str">
        <f>_xlfn.XLOOKUP(A119,salesitems[sale_id],salesitems[category])</f>
        <v>Sleepwear</v>
      </c>
    </row>
    <row r="120" spans="1:15" x14ac:dyDescent="0.45">
      <c r="A120">
        <v>116</v>
      </c>
      <c r="B120" t="s">
        <v>15</v>
      </c>
      <c r="C120">
        <v>0</v>
      </c>
      <c r="D120">
        <v>195.35</v>
      </c>
      <c r="E120" s="1">
        <v>45752</v>
      </c>
      <c r="F120">
        <v>706</v>
      </c>
      <c r="G120" t="s">
        <v>28</v>
      </c>
      <c r="H120" t="str">
        <f>TEXT(sales[[#This Row],[sale_date]],"dddd")</f>
        <v>Saturday</v>
      </c>
      <c r="I120">
        <f>_xlfn.XLOOKUP(A120,salesitems[sale_id],salesitems[revenue],0)</f>
        <v>54.83</v>
      </c>
      <c r="J120">
        <v>1</v>
      </c>
      <c r="K120" s="10" t="str">
        <f>_xlfn.XLOOKUP(F120,customers[customer_id],customers[age_range])</f>
        <v>36-45</v>
      </c>
      <c r="L120" s="1">
        <f>_xlfn.XLOOKUP(F120,customers[customer_id],customers[signup_date])</f>
        <v>45773</v>
      </c>
      <c r="M120">
        <f>sales[[#This Row],[sale_date]]-sales[[#This Row],[sighnup_date]]</f>
        <v>-21</v>
      </c>
      <c r="N120" t="str">
        <f t="shared" si="1"/>
        <v>data issue</v>
      </c>
      <c r="O120" t="str">
        <f>_xlfn.XLOOKUP(A120,salesitems[sale_id],salesitems[category])</f>
        <v>T-Shirts</v>
      </c>
    </row>
    <row r="121" spans="1:15" x14ac:dyDescent="0.45">
      <c r="A121">
        <v>1160</v>
      </c>
      <c r="B121" t="s">
        <v>21</v>
      </c>
      <c r="C121">
        <v>0</v>
      </c>
      <c r="D121">
        <v>326.35000000000002</v>
      </c>
      <c r="E121" s="1">
        <v>45766</v>
      </c>
      <c r="F121">
        <v>264</v>
      </c>
      <c r="G121" t="s">
        <v>31</v>
      </c>
      <c r="H121" t="str">
        <f>TEXT(sales[[#This Row],[sale_date]],"dddd")</f>
        <v>Saturday</v>
      </c>
      <c r="I121">
        <f>_xlfn.XLOOKUP(A121,salesitems[sale_id],salesitems[revenue],0)</f>
        <v>114</v>
      </c>
      <c r="J121">
        <v>1</v>
      </c>
      <c r="K121" s="10" t="str">
        <f>_xlfn.XLOOKUP(F121,customers[customer_id],customers[age_range])</f>
        <v>56-65</v>
      </c>
      <c r="L121" s="1">
        <f>_xlfn.XLOOKUP(F121,customers[customer_id],customers[signup_date])</f>
        <v>45739</v>
      </c>
      <c r="M121">
        <f>sales[[#This Row],[sale_date]]-sales[[#This Row],[sighnup_date]]</f>
        <v>27</v>
      </c>
      <c r="N121" t="str">
        <f t="shared" si="1"/>
        <v>new customer</v>
      </c>
      <c r="O121" t="str">
        <f>_xlfn.XLOOKUP(A121,salesitems[sale_id],salesitems[category])</f>
        <v>T-Shirts</v>
      </c>
    </row>
    <row r="122" spans="1:15" x14ac:dyDescent="0.45">
      <c r="A122">
        <v>1161</v>
      </c>
      <c r="B122" t="s">
        <v>15</v>
      </c>
      <c r="C122">
        <v>0</v>
      </c>
      <c r="D122">
        <v>282.2</v>
      </c>
      <c r="E122" s="1">
        <v>45773</v>
      </c>
      <c r="F122">
        <v>152</v>
      </c>
      <c r="G122" t="s">
        <v>28</v>
      </c>
      <c r="H122" t="str">
        <f>TEXT(sales[[#This Row],[sale_date]],"dddd")</f>
        <v>Saturday</v>
      </c>
      <c r="I122">
        <f>_xlfn.XLOOKUP(A122,salesitems[sale_id],salesitems[revenue],0)</f>
        <v>160.56</v>
      </c>
      <c r="J122">
        <v>1</v>
      </c>
      <c r="K122" s="10" t="str">
        <f>_xlfn.XLOOKUP(F122,customers[customer_id],customers[age_range])</f>
        <v>26-35</v>
      </c>
      <c r="L122" s="1">
        <f>_xlfn.XLOOKUP(F122,customers[customer_id],customers[signup_date])</f>
        <v>45715</v>
      </c>
      <c r="M122">
        <f>sales[[#This Row],[sale_date]]-sales[[#This Row],[sighnup_date]]</f>
        <v>58</v>
      </c>
      <c r="N122" t="str">
        <f t="shared" si="1"/>
        <v>new customer</v>
      </c>
      <c r="O122" t="str">
        <f>_xlfn.XLOOKUP(A122,salesitems[sale_id],salesitems[category])</f>
        <v>T-Shirts</v>
      </c>
    </row>
    <row r="123" spans="1:15" x14ac:dyDescent="0.45">
      <c r="A123">
        <v>1162</v>
      </c>
      <c r="B123" t="s">
        <v>15</v>
      </c>
      <c r="C123">
        <v>0</v>
      </c>
      <c r="D123">
        <v>490.12</v>
      </c>
      <c r="E123" s="1">
        <v>45781</v>
      </c>
      <c r="F123">
        <v>830</v>
      </c>
      <c r="G123" t="s">
        <v>33</v>
      </c>
      <c r="H123" t="str">
        <f>TEXT(sales[[#This Row],[sale_date]],"dddd")</f>
        <v>Sunday</v>
      </c>
      <c r="I123">
        <f>_xlfn.XLOOKUP(A123,salesitems[sale_id],salesitems[revenue],0)</f>
        <v>270.92</v>
      </c>
      <c r="J123">
        <v>1</v>
      </c>
      <c r="K123" s="10" t="str">
        <f>_xlfn.XLOOKUP(F123,customers[customer_id],customers[age_range])</f>
        <v>56-65</v>
      </c>
      <c r="L123" s="1">
        <f>_xlfn.XLOOKUP(F123,customers[customer_id],customers[signup_date])</f>
        <v>45714</v>
      </c>
      <c r="M123">
        <f>sales[[#This Row],[sale_date]]-sales[[#This Row],[sighnup_date]]</f>
        <v>67</v>
      </c>
      <c r="N123" t="str">
        <f t="shared" si="1"/>
        <v>new customer</v>
      </c>
      <c r="O123" t="str">
        <f>_xlfn.XLOOKUP(A123,salesitems[sale_id],salesitems[category])</f>
        <v>Sleepwear</v>
      </c>
    </row>
    <row r="124" spans="1:15" x14ac:dyDescent="0.45">
      <c r="A124">
        <v>1165</v>
      </c>
      <c r="B124" t="s">
        <v>21</v>
      </c>
      <c r="C124">
        <v>0</v>
      </c>
      <c r="D124">
        <v>154.08000000000001</v>
      </c>
      <c r="E124" s="1">
        <v>45769</v>
      </c>
      <c r="F124">
        <v>664</v>
      </c>
      <c r="G124" t="s">
        <v>28</v>
      </c>
      <c r="H124" t="str">
        <f>TEXT(sales[[#This Row],[sale_date]],"dddd")</f>
        <v>Tuesday</v>
      </c>
      <c r="I124">
        <f>_xlfn.XLOOKUP(A124,salesitems[sale_id],salesitems[revenue],0)</f>
        <v>38.520000000000003</v>
      </c>
      <c r="J124">
        <v>1</v>
      </c>
      <c r="K124" s="10" t="str">
        <f>_xlfn.XLOOKUP(F124,customers[customer_id],customers[age_range])</f>
        <v>56-65</v>
      </c>
      <c r="L124" s="1">
        <f>_xlfn.XLOOKUP(F124,customers[customer_id],customers[signup_date])</f>
        <v>45765</v>
      </c>
      <c r="M124">
        <f>sales[[#This Row],[sale_date]]-sales[[#This Row],[sighnup_date]]</f>
        <v>4</v>
      </c>
      <c r="N124" t="str">
        <f t="shared" si="1"/>
        <v>new customer</v>
      </c>
      <c r="O124" t="str">
        <f>_xlfn.XLOOKUP(A124,salesitems[sale_id],salesitems[category])</f>
        <v>Sleepwear</v>
      </c>
    </row>
    <row r="125" spans="1:15" x14ac:dyDescent="0.45">
      <c r="A125">
        <v>1166</v>
      </c>
      <c r="B125" t="s">
        <v>21</v>
      </c>
      <c r="C125">
        <v>0</v>
      </c>
      <c r="D125">
        <v>284.19</v>
      </c>
      <c r="E125" s="1">
        <v>45794</v>
      </c>
      <c r="F125">
        <v>243</v>
      </c>
      <c r="G125" t="s">
        <v>36</v>
      </c>
      <c r="H125" t="str">
        <f>TEXT(sales[[#This Row],[sale_date]],"dddd")</f>
        <v>Saturday</v>
      </c>
      <c r="I125">
        <f>_xlfn.XLOOKUP(A125,salesitems[sale_id],salesitems[revenue],0)</f>
        <v>60.34</v>
      </c>
      <c r="J125">
        <v>1</v>
      </c>
      <c r="K125" s="10" t="str">
        <f>_xlfn.XLOOKUP(F125,customers[customer_id],customers[age_range])</f>
        <v>16-25</v>
      </c>
      <c r="L125" s="1">
        <f>_xlfn.XLOOKUP(F125,customers[customer_id],customers[signup_date])</f>
        <v>45684</v>
      </c>
      <c r="M125">
        <f>sales[[#This Row],[sale_date]]-sales[[#This Row],[sighnup_date]]</f>
        <v>110</v>
      </c>
      <c r="N125" t="str">
        <f t="shared" si="1"/>
        <v>existing customer</v>
      </c>
      <c r="O125" t="str">
        <f>_xlfn.XLOOKUP(A125,salesitems[sale_id],salesitems[category])</f>
        <v>Sleepwear</v>
      </c>
    </row>
    <row r="126" spans="1:15" x14ac:dyDescent="0.45">
      <c r="A126">
        <v>1168</v>
      </c>
      <c r="B126" t="s">
        <v>21</v>
      </c>
      <c r="C126">
        <v>0</v>
      </c>
      <c r="D126">
        <v>296.37</v>
      </c>
      <c r="E126" s="1">
        <v>45821</v>
      </c>
      <c r="F126">
        <v>492</v>
      </c>
      <c r="G126" t="s">
        <v>36</v>
      </c>
      <c r="H126" t="str">
        <f>TEXT(sales[[#This Row],[sale_date]],"dddd")</f>
        <v>Friday</v>
      </c>
      <c r="I126">
        <f>_xlfn.XLOOKUP(A126,salesitems[sale_id],salesitems[revenue],0)</f>
        <v>129.42000000000002</v>
      </c>
      <c r="J126">
        <v>1</v>
      </c>
      <c r="K126" s="10" t="str">
        <f>_xlfn.XLOOKUP(F126,customers[customer_id],customers[age_range])</f>
        <v>26-35</v>
      </c>
      <c r="L126" s="1">
        <f>_xlfn.XLOOKUP(F126,customers[customer_id],customers[signup_date])</f>
        <v>45715</v>
      </c>
      <c r="M126">
        <f>sales[[#This Row],[sale_date]]-sales[[#This Row],[sighnup_date]]</f>
        <v>106</v>
      </c>
      <c r="N126" t="str">
        <f t="shared" si="1"/>
        <v>existing customer</v>
      </c>
      <c r="O126" t="str">
        <f>_xlfn.XLOOKUP(A126,salesitems[sale_id],salesitems[category])</f>
        <v>T-Shirts</v>
      </c>
    </row>
    <row r="127" spans="1:15" x14ac:dyDescent="0.45">
      <c r="A127">
        <v>1169</v>
      </c>
      <c r="B127" t="s">
        <v>21</v>
      </c>
      <c r="C127">
        <v>0</v>
      </c>
      <c r="D127">
        <v>122.99</v>
      </c>
      <c r="E127" s="1">
        <v>45793</v>
      </c>
      <c r="F127">
        <v>490</v>
      </c>
      <c r="G127" t="s">
        <v>36</v>
      </c>
      <c r="H127" t="str">
        <f>TEXT(sales[[#This Row],[sale_date]],"dddd")</f>
        <v>Friday</v>
      </c>
      <c r="I127">
        <f>_xlfn.XLOOKUP(A127,salesitems[sale_id],salesitems[revenue],0)</f>
        <v>57.11</v>
      </c>
      <c r="J127">
        <v>1</v>
      </c>
      <c r="K127" s="10" t="str">
        <f>_xlfn.XLOOKUP(F127,customers[customer_id],customers[age_range])</f>
        <v>56-65</v>
      </c>
      <c r="L127" s="1">
        <f>_xlfn.XLOOKUP(F127,customers[customer_id],customers[signup_date])</f>
        <v>45679</v>
      </c>
      <c r="M127">
        <f>sales[[#This Row],[sale_date]]-sales[[#This Row],[sighnup_date]]</f>
        <v>114</v>
      </c>
      <c r="N127" t="str">
        <f t="shared" si="1"/>
        <v>existing customer</v>
      </c>
      <c r="O127" t="str">
        <f>_xlfn.XLOOKUP(A127,salesitems[sale_id],salesitems[category])</f>
        <v>T-Shirts</v>
      </c>
    </row>
    <row r="128" spans="1:15" x14ac:dyDescent="0.45">
      <c r="A128">
        <v>1170</v>
      </c>
      <c r="B128" t="s">
        <v>15</v>
      </c>
      <c r="C128">
        <v>0</v>
      </c>
      <c r="D128">
        <v>214.32</v>
      </c>
      <c r="E128" s="1">
        <v>45812</v>
      </c>
      <c r="F128">
        <v>547</v>
      </c>
      <c r="G128" t="s">
        <v>28</v>
      </c>
      <c r="H128" t="str">
        <f>TEXT(sales[[#This Row],[sale_date]],"dddd")</f>
        <v>Wednesday</v>
      </c>
      <c r="I128">
        <f>_xlfn.XLOOKUP(A128,salesitems[sale_id],salesitems[revenue],0)</f>
        <v>114.7</v>
      </c>
      <c r="J128">
        <v>1</v>
      </c>
      <c r="K128" s="10" t="str">
        <f>_xlfn.XLOOKUP(F128,customers[customer_id],customers[age_range])</f>
        <v>36-45</v>
      </c>
      <c r="L128" s="1">
        <f>_xlfn.XLOOKUP(F128,customers[customer_id],customers[signup_date])</f>
        <v>45799</v>
      </c>
      <c r="M128">
        <f>sales[[#This Row],[sale_date]]-sales[[#This Row],[sighnup_date]]</f>
        <v>13</v>
      </c>
      <c r="N128" t="str">
        <f t="shared" si="1"/>
        <v>new customer</v>
      </c>
      <c r="O128" t="str">
        <f>_xlfn.XLOOKUP(A128,salesitems[sale_id],salesitems[category])</f>
        <v>T-Shirts</v>
      </c>
    </row>
    <row r="129" spans="1:15" x14ac:dyDescent="0.45">
      <c r="A129">
        <v>1172</v>
      </c>
      <c r="B129" t="s">
        <v>21</v>
      </c>
      <c r="C129">
        <v>0</v>
      </c>
      <c r="D129">
        <v>387.04</v>
      </c>
      <c r="E129" s="1">
        <v>45808</v>
      </c>
      <c r="F129">
        <v>63</v>
      </c>
      <c r="G129" t="s">
        <v>31</v>
      </c>
      <c r="H129" t="str">
        <f>TEXT(sales[[#This Row],[sale_date]],"dddd")</f>
        <v>Saturday</v>
      </c>
      <c r="I129">
        <f>_xlfn.XLOOKUP(A129,salesitems[sale_id],salesitems[revenue],0)</f>
        <v>214.68</v>
      </c>
      <c r="J129">
        <v>1</v>
      </c>
      <c r="K129" s="10" t="str">
        <f>_xlfn.XLOOKUP(F129,customers[customer_id],customers[age_range])</f>
        <v>16-25</v>
      </c>
      <c r="L129" s="1">
        <f>_xlfn.XLOOKUP(F129,customers[customer_id],customers[signup_date])</f>
        <v>45775</v>
      </c>
      <c r="M129">
        <f>sales[[#This Row],[sale_date]]-sales[[#This Row],[sighnup_date]]</f>
        <v>33</v>
      </c>
      <c r="N129" t="str">
        <f t="shared" si="1"/>
        <v>new customer</v>
      </c>
      <c r="O129" t="str">
        <f>_xlfn.XLOOKUP(A129,salesitems[sale_id],salesitems[category])</f>
        <v>Pants</v>
      </c>
    </row>
    <row r="130" spans="1:15" x14ac:dyDescent="0.45">
      <c r="A130">
        <v>1173</v>
      </c>
      <c r="B130" t="s">
        <v>15</v>
      </c>
      <c r="C130">
        <v>1</v>
      </c>
      <c r="D130">
        <v>216.76</v>
      </c>
      <c r="E130" s="1">
        <v>45793</v>
      </c>
      <c r="F130">
        <v>689</v>
      </c>
      <c r="G130" t="s">
        <v>34</v>
      </c>
      <c r="H130" t="str">
        <f>TEXT(sales[[#This Row],[sale_date]],"dddd")</f>
        <v>Friday</v>
      </c>
      <c r="I130">
        <f>_xlfn.XLOOKUP(A130,salesitems[sale_id],salesitems[revenue],0)</f>
        <v>40.58</v>
      </c>
      <c r="J130">
        <v>1</v>
      </c>
      <c r="K130" s="10" t="str">
        <f>_xlfn.XLOOKUP(F130,customers[customer_id],customers[age_range])</f>
        <v>56-65</v>
      </c>
      <c r="L130" s="1">
        <f>_xlfn.XLOOKUP(F130,customers[customer_id],customers[signup_date])</f>
        <v>45735</v>
      </c>
      <c r="M130">
        <f>sales[[#This Row],[sale_date]]-sales[[#This Row],[sighnup_date]]</f>
        <v>58</v>
      </c>
      <c r="N130" t="str">
        <f t="shared" ref="N130:N193" si="2">IF(M130&lt;0,"data issue",IF(M130&lt;=90,"new customer","existing customer"))</f>
        <v>new customer</v>
      </c>
      <c r="O130" t="str">
        <f>_xlfn.XLOOKUP(A130,salesitems[sale_id],salesitems[category])</f>
        <v>Dresses</v>
      </c>
    </row>
    <row r="131" spans="1:15" x14ac:dyDescent="0.45">
      <c r="A131">
        <v>1175</v>
      </c>
      <c r="B131" t="s">
        <v>21</v>
      </c>
      <c r="C131">
        <v>0</v>
      </c>
      <c r="D131">
        <v>71.92</v>
      </c>
      <c r="E131" s="1">
        <v>45782</v>
      </c>
      <c r="F131">
        <v>664</v>
      </c>
      <c r="G131" t="s">
        <v>28</v>
      </c>
      <c r="H131" t="str">
        <f>TEXT(sales[[#This Row],[sale_date]],"dddd")</f>
        <v>Monday</v>
      </c>
      <c r="I131">
        <f>_xlfn.XLOOKUP(A131,salesitems[sale_id],salesitems[revenue],0)</f>
        <v>47.87</v>
      </c>
      <c r="J131">
        <v>1</v>
      </c>
      <c r="K131" s="10" t="str">
        <f>_xlfn.XLOOKUP(F131,customers[customer_id],customers[age_range])</f>
        <v>56-65</v>
      </c>
      <c r="L131" s="1">
        <f>_xlfn.XLOOKUP(F131,customers[customer_id],customers[signup_date])</f>
        <v>45765</v>
      </c>
      <c r="M131">
        <f>sales[[#This Row],[sale_date]]-sales[[#This Row],[sighnup_date]]</f>
        <v>17</v>
      </c>
      <c r="N131" t="str">
        <f t="shared" si="2"/>
        <v>new customer</v>
      </c>
      <c r="O131" t="str">
        <f>_xlfn.XLOOKUP(A131,salesitems[sale_id],salesitems[category])</f>
        <v>Sleepwear</v>
      </c>
    </row>
    <row r="132" spans="1:15" x14ac:dyDescent="0.45">
      <c r="A132">
        <v>1177</v>
      </c>
      <c r="B132" t="s">
        <v>21</v>
      </c>
      <c r="C132">
        <v>0</v>
      </c>
      <c r="D132">
        <v>405.31</v>
      </c>
      <c r="E132" s="1">
        <v>45774</v>
      </c>
      <c r="F132">
        <v>960</v>
      </c>
      <c r="G132" t="s">
        <v>36</v>
      </c>
      <c r="H132" t="str">
        <f>TEXT(sales[[#This Row],[sale_date]],"dddd")</f>
        <v>Sunday</v>
      </c>
      <c r="I132">
        <f>_xlfn.XLOOKUP(A132,salesitems[sale_id],salesitems[revenue],0)</f>
        <v>227.36</v>
      </c>
      <c r="J132">
        <v>1</v>
      </c>
      <c r="K132" s="10" t="str">
        <f>_xlfn.XLOOKUP(F132,customers[customer_id],customers[age_range])</f>
        <v>56-65</v>
      </c>
      <c r="L132" s="1">
        <f>_xlfn.XLOOKUP(F132,customers[customer_id],customers[signup_date])</f>
        <v>45670</v>
      </c>
      <c r="M132">
        <f>sales[[#This Row],[sale_date]]-sales[[#This Row],[sighnup_date]]</f>
        <v>104</v>
      </c>
      <c r="N132" t="str">
        <f t="shared" si="2"/>
        <v>existing customer</v>
      </c>
      <c r="O132" t="str">
        <f>_xlfn.XLOOKUP(A132,salesitems[sale_id],salesitems[category])</f>
        <v>T-Shirts</v>
      </c>
    </row>
    <row r="133" spans="1:15" x14ac:dyDescent="0.45">
      <c r="A133">
        <v>1178</v>
      </c>
      <c r="B133" t="s">
        <v>15</v>
      </c>
      <c r="C133">
        <v>0</v>
      </c>
      <c r="D133">
        <v>286.19</v>
      </c>
      <c r="E133" s="1">
        <v>45762</v>
      </c>
      <c r="F133">
        <v>274</v>
      </c>
      <c r="G133" t="s">
        <v>36</v>
      </c>
      <c r="H133" t="str">
        <f>TEXT(sales[[#This Row],[sale_date]],"dddd")</f>
        <v>Tuesday</v>
      </c>
      <c r="I133">
        <f>_xlfn.XLOOKUP(A133,salesitems[sale_id],salesitems[revenue],0)</f>
        <v>66.989999999999995</v>
      </c>
      <c r="J133">
        <v>1</v>
      </c>
      <c r="K133" s="10" t="str">
        <f>_xlfn.XLOOKUP(F133,customers[customer_id],customers[age_range])</f>
        <v>16-25</v>
      </c>
      <c r="L133" s="1">
        <f>_xlfn.XLOOKUP(F133,customers[customer_id],customers[signup_date])</f>
        <v>45749</v>
      </c>
      <c r="M133">
        <f>sales[[#This Row],[sale_date]]-sales[[#This Row],[sighnup_date]]</f>
        <v>13</v>
      </c>
      <c r="N133" t="str">
        <f t="shared" si="2"/>
        <v>new customer</v>
      </c>
      <c r="O133" t="str">
        <f>_xlfn.XLOOKUP(A133,salesitems[sale_id],salesitems[category])</f>
        <v>Pants</v>
      </c>
    </row>
    <row r="134" spans="1:15" x14ac:dyDescent="0.45">
      <c r="A134">
        <v>1179</v>
      </c>
      <c r="B134" t="s">
        <v>21</v>
      </c>
      <c r="C134">
        <v>0</v>
      </c>
      <c r="D134">
        <v>250.58</v>
      </c>
      <c r="E134" s="1">
        <v>45776</v>
      </c>
      <c r="F134">
        <v>462</v>
      </c>
      <c r="G134" t="s">
        <v>33</v>
      </c>
      <c r="H134" t="str">
        <f>TEXT(sales[[#This Row],[sale_date]],"dddd")</f>
        <v>Tuesday</v>
      </c>
      <c r="I134">
        <f>_xlfn.XLOOKUP(A134,salesitems[sale_id],salesitems[revenue],0)</f>
        <v>58.34</v>
      </c>
      <c r="J134">
        <v>1</v>
      </c>
      <c r="K134" s="10" t="str">
        <f>_xlfn.XLOOKUP(F134,customers[customer_id],customers[age_range])</f>
        <v>36-45</v>
      </c>
      <c r="L134" s="1">
        <f>_xlfn.XLOOKUP(F134,customers[customer_id],customers[signup_date])</f>
        <v>45724</v>
      </c>
      <c r="M134">
        <f>sales[[#This Row],[sale_date]]-sales[[#This Row],[sighnup_date]]</f>
        <v>52</v>
      </c>
      <c r="N134" t="str">
        <f t="shared" si="2"/>
        <v>new customer</v>
      </c>
      <c r="O134" t="str">
        <f>_xlfn.XLOOKUP(A134,salesitems[sale_id],salesitems[category])</f>
        <v>Pants</v>
      </c>
    </row>
    <row r="135" spans="1:15" x14ac:dyDescent="0.45">
      <c r="A135">
        <v>118</v>
      </c>
      <c r="B135" t="s">
        <v>21</v>
      </c>
      <c r="C135">
        <v>0</v>
      </c>
      <c r="D135">
        <v>788.58</v>
      </c>
      <c r="E135" s="1">
        <v>45795</v>
      </c>
      <c r="F135">
        <v>92</v>
      </c>
      <c r="G135" t="s">
        <v>33</v>
      </c>
      <c r="H135" t="str">
        <f>TEXT(sales[[#This Row],[sale_date]],"dddd")</f>
        <v>Sunday</v>
      </c>
      <c r="I135">
        <f>_xlfn.XLOOKUP(A135,salesitems[sale_id],salesitems[revenue],0)</f>
        <v>260.68</v>
      </c>
      <c r="J135">
        <v>1</v>
      </c>
      <c r="K135" s="10" t="str">
        <f>_xlfn.XLOOKUP(F135,customers[customer_id],customers[age_range])</f>
        <v>46-55</v>
      </c>
      <c r="L135" s="1">
        <f>_xlfn.XLOOKUP(F135,customers[customer_id],customers[signup_date])</f>
        <v>45730</v>
      </c>
      <c r="M135">
        <f>sales[[#This Row],[sale_date]]-sales[[#This Row],[sighnup_date]]</f>
        <v>65</v>
      </c>
      <c r="N135" t="str">
        <f t="shared" si="2"/>
        <v>new customer</v>
      </c>
      <c r="O135" t="str">
        <f>_xlfn.XLOOKUP(A135,salesitems[sale_id],salesitems[category])</f>
        <v>Shoes</v>
      </c>
    </row>
    <row r="136" spans="1:15" x14ac:dyDescent="0.45">
      <c r="A136">
        <v>1180</v>
      </c>
      <c r="B136" t="s">
        <v>21</v>
      </c>
      <c r="C136">
        <v>0</v>
      </c>
      <c r="D136">
        <v>273.14</v>
      </c>
      <c r="E136" s="1">
        <v>45803</v>
      </c>
      <c r="F136">
        <v>777</v>
      </c>
      <c r="G136" t="s">
        <v>34</v>
      </c>
      <c r="H136" t="str">
        <f>TEXT(sales[[#This Row],[sale_date]],"dddd")</f>
        <v>Monday</v>
      </c>
      <c r="I136">
        <f>_xlfn.XLOOKUP(A136,salesitems[sale_id],salesitems[revenue],0)</f>
        <v>153.63999999999999</v>
      </c>
      <c r="J136">
        <v>1</v>
      </c>
      <c r="K136" s="10" t="str">
        <f>_xlfn.XLOOKUP(F136,customers[customer_id],customers[age_range])</f>
        <v>36-45</v>
      </c>
      <c r="L136" s="1">
        <f>_xlfn.XLOOKUP(F136,customers[customer_id],customers[signup_date])</f>
        <v>45779</v>
      </c>
      <c r="M136">
        <f>sales[[#This Row],[sale_date]]-sales[[#This Row],[sighnup_date]]</f>
        <v>24</v>
      </c>
      <c r="N136" t="str">
        <f t="shared" si="2"/>
        <v>new customer</v>
      </c>
      <c r="O136" t="str">
        <f>_xlfn.XLOOKUP(A136,salesitems[sale_id],salesitems[category])</f>
        <v>Sleepwear</v>
      </c>
    </row>
    <row r="137" spans="1:15" x14ac:dyDescent="0.45">
      <c r="A137">
        <v>1182</v>
      </c>
      <c r="B137" t="s">
        <v>21</v>
      </c>
      <c r="C137">
        <v>0</v>
      </c>
      <c r="D137">
        <v>189.9</v>
      </c>
      <c r="E137" s="1">
        <v>45824</v>
      </c>
      <c r="F137">
        <v>936</v>
      </c>
      <c r="G137" t="s">
        <v>31</v>
      </c>
      <c r="H137" t="str">
        <f>TEXT(sales[[#This Row],[sale_date]],"dddd")</f>
        <v>Monday</v>
      </c>
      <c r="I137">
        <f>_xlfn.XLOOKUP(A137,salesitems[sale_id],salesitems[revenue],0)</f>
        <v>73.98</v>
      </c>
      <c r="J137">
        <v>1</v>
      </c>
      <c r="K137" s="10" t="str">
        <f>_xlfn.XLOOKUP(F137,customers[customer_id],customers[age_range])</f>
        <v>26-35</v>
      </c>
      <c r="L137" s="1">
        <f>_xlfn.XLOOKUP(F137,customers[customer_id],customers[signup_date])</f>
        <v>45700</v>
      </c>
      <c r="M137">
        <f>sales[[#This Row],[sale_date]]-sales[[#This Row],[sighnup_date]]</f>
        <v>124</v>
      </c>
      <c r="N137" t="str">
        <f t="shared" si="2"/>
        <v>existing customer</v>
      </c>
      <c r="O137" t="str">
        <f>_xlfn.XLOOKUP(A137,salesitems[sale_id],salesitems[category])</f>
        <v>Dresses</v>
      </c>
    </row>
    <row r="138" spans="1:15" x14ac:dyDescent="0.45">
      <c r="A138">
        <v>1183</v>
      </c>
      <c r="B138" t="s">
        <v>15</v>
      </c>
      <c r="C138">
        <v>0</v>
      </c>
      <c r="D138">
        <v>464.44</v>
      </c>
      <c r="E138" s="1">
        <v>45765</v>
      </c>
      <c r="F138">
        <v>792</v>
      </c>
      <c r="G138" t="s">
        <v>33</v>
      </c>
      <c r="H138" t="str">
        <f>TEXT(sales[[#This Row],[sale_date]],"dddd")</f>
        <v>Friday</v>
      </c>
      <c r="I138">
        <f>_xlfn.XLOOKUP(A138,salesitems[sale_id],salesitems[revenue],0)</f>
        <v>261.04000000000002</v>
      </c>
      <c r="J138">
        <v>1</v>
      </c>
      <c r="K138" s="10" t="str">
        <f>_xlfn.XLOOKUP(F138,customers[customer_id],customers[age_range])</f>
        <v>16-25</v>
      </c>
      <c r="L138" s="1">
        <f>_xlfn.XLOOKUP(F138,customers[customer_id],customers[signup_date])</f>
        <v>45722</v>
      </c>
      <c r="M138">
        <f>sales[[#This Row],[sale_date]]-sales[[#This Row],[sighnup_date]]</f>
        <v>43</v>
      </c>
      <c r="N138" t="str">
        <f t="shared" si="2"/>
        <v>new customer</v>
      </c>
      <c r="O138" t="str">
        <f>_xlfn.XLOOKUP(A138,salesitems[sale_id],salesitems[category])</f>
        <v>Dresses</v>
      </c>
    </row>
    <row r="139" spans="1:15" x14ac:dyDescent="0.45">
      <c r="A139">
        <v>1184</v>
      </c>
      <c r="B139" t="s">
        <v>15</v>
      </c>
      <c r="C139">
        <v>0</v>
      </c>
      <c r="D139">
        <v>126.28</v>
      </c>
      <c r="E139" s="1">
        <v>45772</v>
      </c>
      <c r="F139">
        <v>752</v>
      </c>
      <c r="G139" t="s">
        <v>33</v>
      </c>
      <c r="H139" t="str">
        <f>TEXT(sales[[#This Row],[sale_date]],"dddd")</f>
        <v>Friday</v>
      </c>
      <c r="I139">
        <f>_xlfn.XLOOKUP(A139,salesitems[sale_id],salesitems[revenue],0)</f>
        <v>51.38</v>
      </c>
      <c r="J139">
        <v>1</v>
      </c>
      <c r="K139" s="10" t="str">
        <f>_xlfn.XLOOKUP(F139,customers[customer_id],customers[age_range])</f>
        <v>56-65</v>
      </c>
      <c r="L139" s="1">
        <f>_xlfn.XLOOKUP(F139,customers[customer_id],customers[signup_date])</f>
        <v>45755</v>
      </c>
      <c r="M139">
        <f>sales[[#This Row],[sale_date]]-sales[[#This Row],[sighnup_date]]</f>
        <v>17</v>
      </c>
      <c r="N139" t="str">
        <f t="shared" si="2"/>
        <v>new customer</v>
      </c>
      <c r="O139" t="str">
        <f>_xlfn.XLOOKUP(A139,salesitems[sale_id],salesitems[category])</f>
        <v>Dresses</v>
      </c>
    </row>
    <row r="140" spans="1:15" x14ac:dyDescent="0.45">
      <c r="A140">
        <v>1185</v>
      </c>
      <c r="B140" t="s">
        <v>21</v>
      </c>
      <c r="C140">
        <v>0</v>
      </c>
      <c r="D140">
        <v>207.36</v>
      </c>
      <c r="E140" s="1">
        <v>45782</v>
      </c>
      <c r="F140">
        <v>15</v>
      </c>
      <c r="G140" t="s">
        <v>31</v>
      </c>
      <c r="H140" t="str">
        <f>TEXT(sales[[#This Row],[sale_date]],"dddd")</f>
        <v>Monday</v>
      </c>
      <c r="I140">
        <f>_xlfn.XLOOKUP(A140,salesitems[sale_id],salesitems[revenue],0)</f>
        <v>130.52000000000001</v>
      </c>
      <c r="J140">
        <v>1</v>
      </c>
      <c r="K140" s="10" t="str">
        <f>_xlfn.XLOOKUP(F140,customers[customer_id],customers[age_range])</f>
        <v>26-35</v>
      </c>
      <c r="L140" s="1">
        <f>_xlfn.XLOOKUP(F140,customers[customer_id],customers[signup_date])</f>
        <v>45752</v>
      </c>
      <c r="M140">
        <f>sales[[#This Row],[sale_date]]-sales[[#This Row],[sighnup_date]]</f>
        <v>30</v>
      </c>
      <c r="N140" t="str">
        <f t="shared" si="2"/>
        <v>new customer</v>
      </c>
      <c r="O140" t="str">
        <f>_xlfn.XLOOKUP(A140,salesitems[sale_id],salesitems[category])</f>
        <v>Shoes</v>
      </c>
    </row>
    <row r="141" spans="1:15" x14ac:dyDescent="0.45">
      <c r="A141">
        <v>1186</v>
      </c>
      <c r="B141" t="s">
        <v>21</v>
      </c>
      <c r="C141">
        <v>0</v>
      </c>
      <c r="D141">
        <v>521.99</v>
      </c>
      <c r="E141" s="1">
        <v>45764</v>
      </c>
      <c r="F141">
        <v>749</v>
      </c>
      <c r="G141" t="s">
        <v>34</v>
      </c>
      <c r="H141" t="str">
        <f>TEXT(sales[[#This Row],[sale_date]],"dddd")</f>
        <v>Thursday</v>
      </c>
      <c r="I141">
        <f>_xlfn.XLOOKUP(A141,salesitems[sale_id],salesitems[revenue],0)</f>
        <v>166.24</v>
      </c>
      <c r="J141">
        <v>1</v>
      </c>
      <c r="K141" s="10" t="str">
        <f>_xlfn.XLOOKUP(F141,customers[customer_id],customers[age_range])</f>
        <v>56-65</v>
      </c>
      <c r="L141" s="1">
        <f>_xlfn.XLOOKUP(F141,customers[customer_id],customers[signup_date])</f>
        <v>45744</v>
      </c>
      <c r="M141">
        <f>sales[[#This Row],[sale_date]]-sales[[#This Row],[sighnup_date]]</f>
        <v>20</v>
      </c>
      <c r="N141" t="str">
        <f t="shared" si="2"/>
        <v>new customer</v>
      </c>
      <c r="O141" t="str">
        <f>_xlfn.XLOOKUP(A141,salesitems[sale_id],salesitems[category])</f>
        <v>Sleepwear</v>
      </c>
    </row>
    <row r="142" spans="1:15" x14ac:dyDescent="0.45">
      <c r="A142">
        <v>1187</v>
      </c>
      <c r="B142" t="s">
        <v>21</v>
      </c>
      <c r="C142">
        <v>0</v>
      </c>
      <c r="D142">
        <v>161.41999999999999</v>
      </c>
      <c r="E142" s="1">
        <v>45761</v>
      </c>
      <c r="F142">
        <v>365</v>
      </c>
      <c r="G142" t="s">
        <v>28</v>
      </c>
      <c r="H142" t="str">
        <f>TEXT(sales[[#This Row],[sale_date]],"dddd")</f>
        <v>Monday</v>
      </c>
      <c r="I142">
        <f>_xlfn.XLOOKUP(A142,salesitems[sale_id],salesitems[revenue],0)</f>
        <v>110.02</v>
      </c>
      <c r="J142">
        <v>1</v>
      </c>
      <c r="K142" s="10" t="str">
        <f>_xlfn.XLOOKUP(F142,customers[customer_id],customers[age_range])</f>
        <v>56-65</v>
      </c>
      <c r="L142" s="1">
        <f>_xlfn.XLOOKUP(F142,customers[customer_id],customers[signup_date])</f>
        <v>45740</v>
      </c>
      <c r="M142">
        <f>sales[[#This Row],[sale_date]]-sales[[#This Row],[sighnup_date]]</f>
        <v>21</v>
      </c>
      <c r="N142" t="str">
        <f t="shared" si="2"/>
        <v>new customer</v>
      </c>
      <c r="O142" t="str">
        <f>_xlfn.XLOOKUP(A142,salesitems[sale_id],salesitems[category])</f>
        <v>Shoes</v>
      </c>
    </row>
    <row r="143" spans="1:15" x14ac:dyDescent="0.45">
      <c r="A143">
        <v>1189</v>
      </c>
      <c r="B143" t="s">
        <v>21</v>
      </c>
      <c r="C143">
        <v>0</v>
      </c>
      <c r="D143">
        <v>443.88</v>
      </c>
      <c r="E143" s="1">
        <v>45771</v>
      </c>
      <c r="F143">
        <v>131</v>
      </c>
      <c r="G143" t="s">
        <v>36</v>
      </c>
      <c r="H143" t="str">
        <f>TEXT(sales[[#This Row],[sale_date]],"dddd")</f>
        <v>Thursday</v>
      </c>
      <c r="I143">
        <f>_xlfn.XLOOKUP(A143,salesitems[sale_id],salesitems[revenue],0)</f>
        <v>177.63</v>
      </c>
      <c r="J143">
        <v>1</v>
      </c>
      <c r="K143" s="10" t="str">
        <f>_xlfn.XLOOKUP(F143,customers[customer_id],customers[age_range])</f>
        <v>46-55</v>
      </c>
      <c r="L143" s="1">
        <f>_xlfn.XLOOKUP(F143,customers[customer_id],customers[signup_date])</f>
        <v>45744</v>
      </c>
      <c r="M143">
        <f>sales[[#This Row],[sale_date]]-sales[[#This Row],[sighnup_date]]</f>
        <v>27</v>
      </c>
      <c r="N143" t="str">
        <f t="shared" si="2"/>
        <v>new customer</v>
      </c>
      <c r="O143" t="str">
        <f>_xlfn.XLOOKUP(A143,salesitems[sale_id],salesitems[category])</f>
        <v>Shoes</v>
      </c>
    </row>
    <row r="144" spans="1:15" x14ac:dyDescent="0.45">
      <c r="A144">
        <v>1192</v>
      </c>
      <c r="B144" t="s">
        <v>15</v>
      </c>
      <c r="C144">
        <v>0</v>
      </c>
      <c r="D144">
        <v>302.23</v>
      </c>
      <c r="E144" s="1">
        <v>45799</v>
      </c>
      <c r="F144">
        <v>702</v>
      </c>
      <c r="G144" t="s">
        <v>38</v>
      </c>
      <c r="H144" t="str">
        <f>TEXT(sales[[#This Row],[sale_date]],"dddd")</f>
        <v>Thursday</v>
      </c>
      <c r="I144">
        <f>_xlfn.XLOOKUP(A144,salesitems[sale_id],salesitems[revenue],0)</f>
        <v>43.43</v>
      </c>
      <c r="J144">
        <v>1</v>
      </c>
      <c r="K144" s="10" t="str">
        <f>_xlfn.XLOOKUP(F144,customers[customer_id],customers[age_range])</f>
        <v>46-55</v>
      </c>
      <c r="L144" s="1">
        <f>_xlfn.XLOOKUP(F144,customers[customer_id],customers[signup_date])</f>
        <v>45816</v>
      </c>
      <c r="M144">
        <f>sales[[#This Row],[sale_date]]-sales[[#This Row],[sighnup_date]]</f>
        <v>-17</v>
      </c>
      <c r="N144" t="str">
        <f t="shared" si="2"/>
        <v>data issue</v>
      </c>
      <c r="O144" t="str">
        <f>_xlfn.XLOOKUP(A144,salesitems[sale_id],salesitems[category])</f>
        <v>Sleepwear</v>
      </c>
    </row>
    <row r="145" spans="1:15" x14ac:dyDescent="0.45">
      <c r="A145">
        <v>1193</v>
      </c>
      <c r="B145" t="s">
        <v>21</v>
      </c>
      <c r="C145">
        <v>0</v>
      </c>
      <c r="D145">
        <v>388.54</v>
      </c>
      <c r="E145" s="1">
        <v>45762</v>
      </c>
      <c r="F145">
        <v>864</v>
      </c>
      <c r="G145" t="s">
        <v>31</v>
      </c>
      <c r="H145" t="str">
        <f>TEXT(sales[[#This Row],[sale_date]],"dddd")</f>
        <v>Tuesday</v>
      </c>
      <c r="I145">
        <f>_xlfn.XLOOKUP(A145,salesitems[sale_id],salesitems[revenue],0)</f>
        <v>125.64000000000001</v>
      </c>
      <c r="J145">
        <v>1</v>
      </c>
      <c r="K145" s="10" t="str">
        <f>_xlfn.XLOOKUP(F145,customers[customer_id],customers[age_range])</f>
        <v>36-45</v>
      </c>
      <c r="L145" s="1">
        <f>_xlfn.XLOOKUP(F145,customers[customer_id],customers[signup_date])</f>
        <v>45743</v>
      </c>
      <c r="M145">
        <f>sales[[#This Row],[sale_date]]-sales[[#This Row],[sighnup_date]]</f>
        <v>19</v>
      </c>
      <c r="N145" t="str">
        <f t="shared" si="2"/>
        <v>new customer</v>
      </c>
      <c r="O145" t="str">
        <f>_xlfn.XLOOKUP(A145,salesitems[sale_id],salesitems[category])</f>
        <v>T-Shirts</v>
      </c>
    </row>
    <row r="146" spans="1:15" x14ac:dyDescent="0.45">
      <c r="A146">
        <v>1194</v>
      </c>
      <c r="B146" t="s">
        <v>21</v>
      </c>
      <c r="C146">
        <v>0</v>
      </c>
      <c r="D146">
        <v>419.1</v>
      </c>
      <c r="E146" s="1">
        <v>45790</v>
      </c>
      <c r="F146">
        <v>816</v>
      </c>
      <c r="G146" t="s">
        <v>31</v>
      </c>
      <c r="H146" t="str">
        <f>TEXT(sales[[#This Row],[sale_date]],"dddd")</f>
        <v>Tuesday</v>
      </c>
      <c r="I146">
        <f>_xlfn.XLOOKUP(A146,salesitems[sale_id],salesitems[revenue],0)</f>
        <v>42.1</v>
      </c>
      <c r="J146">
        <v>1</v>
      </c>
      <c r="K146" s="10" t="str">
        <f>_xlfn.XLOOKUP(F146,customers[customer_id],customers[age_range])</f>
        <v>16-25</v>
      </c>
      <c r="L146" s="1">
        <f>_xlfn.XLOOKUP(F146,customers[customer_id],customers[signup_date])</f>
        <v>45692</v>
      </c>
      <c r="M146">
        <f>sales[[#This Row],[sale_date]]-sales[[#This Row],[sighnup_date]]</f>
        <v>98</v>
      </c>
      <c r="N146" t="str">
        <f t="shared" si="2"/>
        <v>existing customer</v>
      </c>
      <c r="O146" t="str">
        <f>_xlfn.XLOOKUP(A146,salesitems[sale_id],salesitems[category])</f>
        <v>T-Shirts</v>
      </c>
    </row>
    <row r="147" spans="1:15" x14ac:dyDescent="0.45">
      <c r="A147">
        <v>1195</v>
      </c>
      <c r="B147" t="s">
        <v>15</v>
      </c>
      <c r="C147">
        <v>0</v>
      </c>
      <c r="D147">
        <v>137.94</v>
      </c>
      <c r="E147" s="1">
        <v>45769</v>
      </c>
      <c r="F147">
        <v>403</v>
      </c>
      <c r="G147" t="s">
        <v>36</v>
      </c>
      <c r="H147" t="str">
        <f>TEXT(sales[[#This Row],[sale_date]],"dddd")</f>
        <v>Tuesday</v>
      </c>
      <c r="I147">
        <f>_xlfn.XLOOKUP(A147,salesitems[sale_id],salesitems[revenue],0)</f>
        <v>31.84</v>
      </c>
      <c r="J147">
        <v>1</v>
      </c>
      <c r="K147" s="10" t="str">
        <f>_xlfn.XLOOKUP(F147,customers[customer_id],customers[age_range])</f>
        <v>26-35</v>
      </c>
      <c r="L147" s="1">
        <f>_xlfn.XLOOKUP(F147,customers[customer_id],customers[signup_date])</f>
        <v>45740</v>
      </c>
      <c r="M147">
        <f>sales[[#This Row],[sale_date]]-sales[[#This Row],[sighnup_date]]</f>
        <v>29</v>
      </c>
      <c r="N147" t="str">
        <f t="shared" si="2"/>
        <v>new customer</v>
      </c>
      <c r="O147" t="str">
        <f>_xlfn.XLOOKUP(A147,salesitems[sale_id],salesitems[category])</f>
        <v>Shoes</v>
      </c>
    </row>
    <row r="148" spans="1:15" x14ac:dyDescent="0.45">
      <c r="A148">
        <v>1196</v>
      </c>
      <c r="B148" t="s">
        <v>15</v>
      </c>
      <c r="C148">
        <v>0</v>
      </c>
      <c r="D148">
        <v>164.14</v>
      </c>
      <c r="E148" s="1">
        <v>45800</v>
      </c>
      <c r="F148">
        <v>160</v>
      </c>
      <c r="G148" t="s">
        <v>36</v>
      </c>
      <c r="H148" t="str">
        <f>TEXT(sales[[#This Row],[sale_date]],"dddd")</f>
        <v>Friday</v>
      </c>
      <c r="I148">
        <f>_xlfn.XLOOKUP(A148,salesitems[sale_id],salesitems[revenue],0)</f>
        <v>104.78</v>
      </c>
      <c r="J148">
        <v>1</v>
      </c>
      <c r="K148" s="10" t="str">
        <f>_xlfn.XLOOKUP(F148,customers[customer_id],customers[age_range])</f>
        <v>56-65</v>
      </c>
      <c r="L148" s="1">
        <f>_xlfn.XLOOKUP(F148,customers[customer_id],customers[signup_date])</f>
        <v>45700</v>
      </c>
      <c r="M148">
        <f>sales[[#This Row],[sale_date]]-sales[[#This Row],[sighnup_date]]</f>
        <v>100</v>
      </c>
      <c r="N148" t="str">
        <f t="shared" si="2"/>
        <v>existing customer</v>
      </c>
      <c r="O148" t="str">
        <f>_xlfn.XLOOKUP(A148,salesitems[sale_id],salesitems[category])</f>
        <v>T-Shirts</v>
      </c>
    </row>
    <row r="149" spans="1:15" x14ac:dyDescent="0.45">
      <c r="A149">
        <v>1197</v>
      </c>
      <c r="B149" t="s">
        <v>21</v>
      </c>
      <c r="C149">
        <v>0</v>
      </c>
      <c r="D149">
        <v>384.56</v>
      </c>
      <c r="E149" s="1">
        <v>45799</v>
      </c>
      <c r="F149">
        <v>390</v>
      </c>
      <c r="G149" t="s">
        <v>36</v>
      </c>
      <c r="H149" t="str">
        <f>TEXT(sales[[#This Row],[sale_date]],"dddd")</f>
        <v>Thursday</v>
      </c>
      <c r="I149">
        <f>_xlfn.XLOOKUP(A149,salesitems[sale_id],salesitems[revenue],0)</f>
        <v>228.44</v>
      </c>
      <c r="J149">
        <v>1</v>
      </c>
      <c r="K149" s="10" t="str">
        <f>_xlfn.XLOOKUP(F149,customers[customer_id],customers[age_range])</f>
        <v>46-55</v>
      </c>
      <c r="L149" s="1">
        <f>_xlfn.XLOOKUP(F149,customers[customer_id],customers[signup_date])</f>
        <v>45742</v>
      </c>
      <c r="M149">
        <f>sales[[#This Row],[sale_date]]-sales[[#This Row],[sighnup_date]]</f>
        <v>57</v>
      </c>
      <c r="N149" t="str">
        <f t="shared" si="2"/>
        <v>new customer</v>
      </c>
      <c r="O149" t="str">
        <f>_xlfn.XLOOKUP(A149,salesitems[sale_id],salesitems[category])</f>
        <v>T-Shirts</v>
      </c>
    </row>
    <row r="150" spans="1:15" x14ac:dyDescent="0.45">
      <c r="A150">
        <v>1198</v>
      </c>
      <c r="B150" t="s">
        <v>21</v>
      </c>
      <c r="C150">
        <v>1</v>
      </c>
      <c r="D150">
        <v>169.7</v>
      </c>
      <c r="E150" s="1">
        <v>45783</v>
      </c>
      <c r="F150">
        <v>914</v>
      </c>
      <c r="G150" t="s">
        <v>34</v>
      </c>
      <c r="H150" t="str">
        <f>TEXT(sales[[#This Row],[sale_date]],"dddd")</f>
        <v>Tuesday</v>
      </c>
      <c r="I150">
        <f>_xlfn.XLOOKUP(A150,salesitems[sale_id],salesitems[revenue],0)</f>
        <v>26.84</v>
      </c>
      <c r="J150">
        <v>1</v>
      </c>
      <c r="K150" s="10" t="str">
        <f>_xlfn.XLOOKUP(F150,customers[customer_id],customers[age_range])</f>
        <v>26-35</v>
      </c>
      <c r="L150" s="1">
        <f>_xlfn.XLOOKUP(F150,customers[customer_id],customers[signup_date])</f>
        <v>45745</v>
      </c>
      <c r="M150">
        <f>sales[[#This Row],[sale_date]]-sales[[#This Row],[sighnup_date]]</f>
        <v>38</v>
      </c>
      <c r="N150" t="str">
        <f t="shared" si="2"/>
        <v>new customer</v>
      </c>
      <c r="O150" t="str">
        <f>_xlfn.XLOOKUP(A150,salesitems[sale_id],salesitems[category])</f>
        <v>Pants</v>
      </c>
    </row>
    <row r="151" spans="1:15" x14ac:dyDescent="0.45">
      <c r="A151">
        <v>1199</v>
      </c>
      <c r="B151" t="s">
        <v>21</v>
      </c>
      <c r="C151">
        <v>0</v>
      </c>
      <c r="D151">
        <v>342.57</v>
      </c>
      <c r="E151" s="1">
        <v>45822</v>
      </c>
      <c r="F151">
        <v>922</v>
      </c>
      <c r="G151" t="s">
        <v>34</v>
      </c>
      <c r="H151" t="str">
        <f>TEXT(sales[[#This Row],[sale_date]],"dddd")</f>
        <v>Saturday</v>
      </c>
      <c r="I151">
        <f>_xlfn.XLOOKUP(A151,salesitems[sale_id],salesitems[revenue],0)</f>
        <v>88.12</v>
      </c>
      <c r="J151">
        <v>1</v>
      </c>
      <c r="K151" s="10" t="str">
        <f>_xlfn.XLOOKUP(F151,customers[customer_id],customers[age_range])</f>
        <v>16-25</v>
      </c>
      <c r="L151" s="1">
        <f>_xlfn.XLOOKUP(F151,customers[customer_id],customers[signup_date])</f>
        <v>45772</v>
      </c>
      <c r="M151">
        <f>sales[[#This Row],[sale_date]]-sales[[#This Row],[sighnup_date]]</f>
        <v>50</v>
      </c>
      <c r="N151" t="str">
        <f t="shared" si="2"/>
        <v>new customer</v>
      </c>
      <c r="O151" t="str">
        <f>_xlfn.XLOOKUP(A151,salesitems[sale_id],salesitems[category])</f>
        <v>Shoes</v>
      </c>
    </row>
    <row r="152" spans="1:15" x14ac:dyDescent="0.45">
      <c r="A152">
        <v>120</v>
      </c>
      <c r="B152" t="s">
        <v>21</v>
      </c>
      <c r="C152">
        <v>1</v>
      </c>
      <c r="D152">
        <v>431.8</v>
      </c>
      <c r="E152" s="1">
        <v>45814</v>
      </c>
      <c r="F152">
        <v>999</v>
      </c>
      <c r="G152" t="s">
        <v>36</v>
      </c>
      <c r="H152" t="str">
        <f>TEXT(sales[[#This Row],[sale_date]],"dddd")</f>
        <v>Friday</v>
      </c>
      <c r="I152">
        <f>_xlfn.XLOOKUP(A152,salesitems[sale_id],salesitems[revenue],0)</f>
        <v>117.46</v>
      </c>
      <c r="J152">
        <v>1</v>
      </c>
      <c r="K152" s="10" t="str">
        <f>_xlfn.XLOOKUP(F152,customers[customer_id],customers[age_range])</f>
        <v>56-65</v>
      </c>
      <c r="L152" s="1">
        <f>_xlfn.XLOOKUP(F152,customers[customer_id],customers[signup_date])</f>
        <v>45709</v>
      </c>
      <c r="M152">
        <f>sales[[#This Row],[sale_date]]-sales[[#This Row],[sighnup_date]]</f>
        <v>105</v>
      </c>
      <c r="N152" t="str">
        <f t="shared" si="2"/>
        <v>existing customer</v>
      </c>
      <c r="O152" t="str">
        <f>_xlfn.XLOOKUP(A152,salesitems[sale_id],salesitems[category])</f>
        <v>Shoes</v>
      </c>
    </row>
    <row r="153" spans="1:15" x14ac:dyDescent="0.45">
      <c r="A153">
        <v>1200</v>
      </c>
      <c r="B153" t="s">
        <v>15</v>
      </c>
      <c r="C153">
        <v>1</v>
      </c>
      <c r="D153">
        <v>206.5</v>
      </c>
      <c r="E153" s="1">
        <v>45793</v>
      </c>
      <c r="F153">
        <v>171</v>
      </c>
      <c r="G153" t="s">
        <v>33</v>
      </c>
      <c r="H153" t="str">
        <f>TEXT(sales[[#This Row],[sale_date]],"dddd")</f>
        <v>Friday</v>
      </c>
      <c r="I153">
        <f>_xlfn.XLOOKUP(A153,salesitems[sale_id],salesitems[revenue],0)</f>
        <v>60.68</v>
      </c>
      <c r="J153">
        <v>1</v>
      </c>
      <c r="K153" s="10" t="str">
        <f>_xlfn.XLOOKUP(F153,customers[customer_id],customers[age_range])</f>
        <v>16-25</v>
      </c>
      <c r="L153" s="1">
        <f>_xlfn.XLOOKUP(F153,customers[customer_id],customers[signup_date])</f>
        <v>45680</v>
      </c>
      <c r="M153">
        <f>sales[[#This Row],[sale_date]]-sales[[#This Row],[sighnup_date]]</f>
        <v>113</v>
      </c>
      <c r="N153" t="str">
        <f t="shared" si="2"/>
        <v>existing customer</v>
      </c>
      <c r="O153" t="str">
        <f>_xlfn.XLOOKUP(A153,salesitems[sale_id],salesitems[category])</f>
        <v>T-Shirts</v>
      </c>
    </row>
    <row r="154" spans="1:15" x14ac:dyDescent="0.45">
      <c r="A154">
        <v>1201</v>
      </c>
      <c r="B154" t="s">
        <v>15</v>
      </c>
      <c r="C154">
        <v>0</v>
      </c>
      <c r="D154">
        <v>252.86</v>
      </c>
      <c r="E154" s="1">
        <v>45764</v>
      </c>
      <c r="F154">
        <v>625</v>
      </c>
      <c r="G154" t="s">
        <v>38</v>
      </c>
      <c r="H154" t="str">
        <f>TEXT(sales[[#This Row],[sale_date]],"dddd")</f>
        <v>Thursday</v>
      </c>
      <c r="I154">
        <f>_xlfn.XLOOKUP(A154,salesitems[sale_id],salesitems[revenue],0)</f>
        <v>87.68</v>
      </c>
      <c r="J154">
        <v>1</v>
      </c>
      <c r="K154" s="10" t="str">
        <f>_xlfn.XLOOKUP(F154,customers[customer_id],customers[age_range])</f>
        <v>46-55</v>
      </c>
      <c r="L154" s="1">
        <f>_xlfn.XLOOKUP(F154,customers[customer_id],customers[signup_date])</f>
        <v>45685</v>
      </c>
      <c r="M154">
        <f>sales[[#This Row],[sale_date]]-sales[[#This Row],[sighnup_date]]</f>
        <v>79</v>
      </c>
      <c r="N154" t="str">
        <f t="shared" si="2"/>
        <v>new customer</v>
      </c>
      <c r="O154" t="str">
        <f>_xlfn.XLOOKUP(A154,salesitems[sale_id],salesitems[category])</f>
        <v>Dresses</v>
      </c>
    </row>
    <row r="155" spans="1:15" x14ac:dyDescent="0.45">
      <c r="A155">
        <v>1205</v>
      </c>
      <c r="B155" t="s">
        <v>21</v>
      </c>
      <c r="C155">
        <v>0</v>
      </c>
      <c r="D155">
        <v>311.61</v>
      </c>
      <c r="E155" s="1">
        <v>45805</v>
      </c>
      <c r="F155">
        <v>88</v>
      </c>
      <c r="G155" t="s">
        <v>36</v>
      </c>
      <c r="H155" t="str">
        <f>TEXT(sales[[#This Row],[sale_date]],"dddd")</f>
        <v>Wednesday</v>
      </c>
      <c r="I155">
        <f>_xlfn.XLOOKUP(A155,salesitems[sale_id],salesitems[revenue],0)</f>
        <v>99.96</v>
      </c>
      <c r="J155">
        <v>1</v>
      </c>
      <c r="K155" s="10" t="str">
        <f>_xlfn.XLOOKUP(F155,customers[customer_id],customers[age_range])</f>
        <v>36-45</v>
      </c>
      <c r="L155" s="1">
        <f>_xlfn.XLOOKUP(F155,customers[customer_id],customers[signup_date])</f>
        <v>45757</v>
      </c>
      <c r="M155">
        <f>sales[[#This Row],[sale_date]]-sales[[#This Row],[sighnup_date]]</f>
        <v>48</v>
      </c>
      <c r="N155" t="str">
        <f t="shared" si="2"/>
        <v>new customer</v>
      </c>
      <c r="O155" t="str">
        <f>_xlfn.XLOOKUP(A155,salesitems[sale_id],salesitems[category])</f>
        <v>Shoes</v>
      </c>
    </row>
    <row r="156" spans="1:15" x14ac:dyDescent="0.45">
      <c r="A156">
        <v>1206</v>
      </c>
      <c r="B156" t="s">
        <v>21</v>
      </c>
      <c r="C156">
        <v>0</v>
      </c>
      <c r="D156">
        <v>310.54000000000002</v>
      </c>
      <c r="E156" s="1">
        <v>45766</v>
      </c>
      <c r="F156">
        <v>701</v>
      </c>
      <c r="G156" t="s">
        <v>34</v>
      </c>
      <c r="H156" t="str">
        <f>TEXT(sales[[#This Row],[sale_date]],"dddd")</f>
        <v>Saturday</v>
      </c>
      <c r="I156">
        <f>_xlfn.XLOOKUP(A156,salesitems[sale_id],salesitems[revenue],0)</f>
        <v>158.49</v>
      </c>
      <c r="J156">
        <v>1</v>
      </c>
      <c r="K156" s="10" t="str">
        <f>_xlfn.XLOOKUP(F156,customers[customer_id],customers[age_range])</f>
        <v>26-35</v>
      </c>
      <c r="L156" s="1">
        <f>_xlfn.XLOOKUP(F156,customers[customer_id],customers[signup_date])</f>
        <v>45694</v>
      </c>
      <c r="M156">
        <f>sales[[#This Row],[sale_date]]-sales[[#This Row],[sighnup_date]]</f>
        <v>72</v>
      </c>
      <c r="N156" t="str">
        <f t="shared" si="2"/>
        <v>new customer</v>
      </c>
      <c r="O156" t="str">
        <f>_xlfn.XLOOKUP(A156,salesitems[sale_id],salesitems[category])</f>
        <v>Sleepwear</v>
      </c>
    </row>
    <row r="157" spans="1:15" x14ac:dyDescent="0.45">
      <c r="A157">
        <v>1207</v>
      </c>
      <c r="B157" t="s">
        <v>15</v>
      </c>
      <c r="C157">
        <v>0</v>
      </c>
      <c r="D157">
        <v>278.18</v>
      </c>
      <c r="E157" s="1">
        <v>45752</v>
      </c>
      <c r="F157">
        <v>907</v>
      </c>
      <c r="G157" t="s">
        <v>34</v>
      </c>
      <c r="H157" t="str">
        <f>TEXT(sales[[#This Row],[sale_date]],"dddd")</f>
        <v>Saturday</v>
      </c>
      <c r="I157">
        <f>_xlfn.XLOOKUP(A157,salesitems[sale_id],salesitems[revenue],0)</f>
        <v>57.48</v>
      </c>
      <c r="J157">
        <v>1</v>
      </c>
      <c r="K157" s="10" t="str">
        <f>_xlfn.XLOOKUP(F157,customers[customer_id],customers[age_range])</f>
        <v>46-55</v>
      </c>
      <c r="L157" s="1">
        <f>_xlfn.XLOOKUP(F157,customers[customer_id],customers[signup_date])</f>
        <v>45727</v>
      </c>
      <c r="M157">
        <f>sales[[#This Row],[sale_date]]-sales[[#This Row],[sighnup_date]]</f>
        <v>25</v>
      </c>
      <c r="N157" t="str">
        <f t="shared" si="2"/>
        <v>new customer</v>
      </c>
      <c r="O157" t="str">
        <f>_xlfn.XLOOKUP(A157,salesitems[sale_id],salesitems[category])</f>
        <v>Shoes</v>
      </c>
    </row>
    <row r="158" spans="1:15" x14ac:dyDescent="0.45">
      <c r="A158">
        <v>1208</v>
      </c>
      <c r="B158" t="s">
        <v>21</v>
      </c>
      <c r="C158">
        <v>1</v>
      </c>
      <c r="D158">
        <v>454.1</v>
      </c>
      <c r="E158" s="1">
        <v>45814</v>
      </c>
      <c r="F158">
        <v>388</v>
      </c>
      <c r="G158" t="s">
        <v>28</v>
      </c>
      <c r="H158" t="str">
        <f>TEXT(sales[[#This Row],[sale_date]],"dddd")</f>
        <v>Friday</v>
      </c>
      <c r="I158">
        <f>_xlfn.XLOOKUP(A158,salesitems[sale_id],salesitems[revenue],0)</f>
        <v>117.44999999999999</v>
      </c>
      <c r="J158">
        <v>1</v>
      </c>
      <c r="K158" s="10" t="str">
        <f>_xlfn.XLOOKUP(F158,customers[customer_id],customers[age_range])</f>
        <v>26-35</v>
      </c>
      <c r="L158" s="1">
        <f>_xlfn.XLOOKUP(F158,customers[customer_id],customers[signup_date])</f>
        <v>45756</v>
      </c>
      <c r="M158">
        <f>sales[[#This Row],[sale_date]]-sales[[#This Row],[sighnup_date]]</f>
        <v>58</v>
      </c>
      <c r="N158" t="str">
        <f t="shared" si="2"/>
        <v>new customer</v>
      </c>
      <c r="O158" t="str">
        <f>_xlfn.XLOOKUP(A158,salesitems[sale_id],salesitems[category])</f>
        <v>Shoes</v>
      </c>
    </row>
    <row r="159" spans="1:15" x14ac:dyDescent="0.45">
      <c r="A159">
        <v>1209</v>
      </c>
      <c r="B159" t="s">
        <v>21</v>
      </c>
      <c r="C159">
        <v>0</v>
      </c>
      <c r="D159">
        <v>208.57</v>
      </c>
      <c r="E159" s="1">
        <v>45767</v>
      </c>
      <c r="F159">
        <v>90</v>
      </c>
      <c r="G159" t="s">
        <v>36</v>
      </c>
      <c r="H159" t="str">
        <f>TEXT(sales[[#This Row],[sale_date]],"dddd")</f>
        <v>Sunday</v>
      </c>
      <c r="I159">
        <f>_xlfn.XLOOKUP(A159,salesitems[sale_id],salesitems[revenue],0)</f>
        <v>51.4</v>
      </c>
      <c r="J159">
        <v>1</v>
      </c>
      <c r="K159" s="10" t="str">
        <f>_xlfn.XLOOKUP(F159,customers[customer_id],customers[age_range])</f>
        <v>36-45</v>
      </c>
      <c r="L159" s="1">
        <f>_xlfn.XLOOKUP(F159,customers[customer_id],customers[signup_date])</f>
        <v>45761</v>
      </c>
      <c r="M159">
        <f>sales[[#This Row],[sale_date]]-sales[[#This Row],[sighnup_date]]</f>
        <v>6</v>
      </c>
      <c r="N159" t="str">
        <f t="shared" si="2"/>
        <v>new customer</v>
      </c>
      <c r="O159" t="str">
        <f>_xlfn.XLOOKUP(A159,salesitems[sale_id],salesitems[category])</f>
        <v>Sleepwear</v>
      </c>
    </row>
    <row r="160" spans="1:15" x14ac:dyDescent="0.45">
      <c r="A160">
        <v>121</v>
      </c>
      <c r="B160" t="s">
        <v>15</v>
      </c>
      <c r="C160">
        <v>0</v>
      </c>
      <c r="D160">
        <v>566.29</v>
      </c>
      <c r="E160" s="1">
        <v>45772</v>
      </c>
      <c r="F160">
        <v>867</v>
      </c>
      <c r="G160" t="s">
        <v>28</v>
      </c>
      <c r="H160" t="str">
        <f>TEXT(sales[[#This Row],[sale_date]],"dddd")</f>
        <v>Friday</v>
      </c>
      <c r="I160">
        <f>_xlfn.XLOOKUP(A160,salesitems[sale_id],salesitems[revenue],0)</f>
        <v>45.15</v>
      </c>
      <c r="J160">
        <v>1</v>
      </c>
      <c r="K160" s="10" t="str">
        <f>_xlfn.XLOOKUP(F160,customers[customer_id],customers[age_range])</f>
        <v>46-55</v>
      </c>
      <c r="L160" s="1">
        <f>_xlfn.XLOOKUP(F160,customers[customer_id],customers[signup_date])</f>
        <v>45743</v>
      </c>
      <c r="M160">
        <f>sales[[#This Row],[sale_date]]-sales[[#This Row],[sighnup_date]]</f>
        <v>29</v>
      </c>
      <c r="N160" t="str">
        <f t="shared" si="2"/>
        <v>new customer</v>
      </c>
      <c r="O160" t="str">
        <f>_xlfn.XLOOKUP(A160,salesitems[sale_id],salesitems[category])</f>
        <v>Dresses</v>
      </c>
    </row>
    <row r="161" spans="1:15" x14ac:dyDescent="0.45">
      <c r="A161">
        <v>1210</v>
      </c>
      <c r="B161" t="s">
        <v>15</v>
      </c>
      <c r="C161">
        <v>0</v>
      </c>
      <c r="D161">
        <v>543.20000000000005</v>
      </c>
      <c r="E161" s="1">
        <v>45825</v>
      </c>
      <c r="F161">
        <v>864</v>
      </c>
      <c r="G161" t="s">
        <v>31</v>
      </c>
      <c r="H161" t="str">
        <f>TEXT(sales[[#This Row],[sale_date]],"dddd")</f>
        <v>Tuesday</v>
      </c>
      <c r="I161">
        <f>_xlfn.XLOOKUP(A161,salesitems[sale_id],salesitems[revenue],0)</f>
        <v>323.04000000000002</v>
      </c>
      <c r="J161">
        <v>1</v>
      </c>
      <c r="K161" s="10" t="str">
        <f>_xlfn.XLOOKUP(F161,customers[customer_id],customers[age_range])</f>
        <v>36-45</v>
      </c>
      <c r="L161" s="1">
        <f>_xlfn.XLOOKUP(F161,customers[customer_id],customers[signup_date])</f>
        <v>45743</v>
      </c>
      <c r="M161">
        <f>sales[[#This Row],[sale_date]]-sales[[#This Row],[sighnup_date]]</f>
        <v>82</v>
      </c>
      <c r="N161" t="str">
        <f t="shared" si="2"/>
        <v>new customer</v>
      </c>
      <c r="O161" t="str">
        <f>_xlfn.XLOOKUP(A161,salesitems[sale_id],salesitems[category])</f>
        <v>Pants</v>
      </c>
    </row>
    <row r="162" spans="1:15" x14ac:dyDescent="0.45">
      <c r="A162">
        <v>1211</v>
      </c>
      <c r="B162" t="s">
        <v>15</v>
      </c>
      <c r="C162">
        <v>0</v>
      </c>
      <c r="D162">
        <v>317.66000000000003</v>
      </c>
      <c r="E162" s="1">
        <v>45800</v>
      </c>
      <c r="F162">
        <v>346</v>
      </c>
      <c r="G162" t="s">
        <v>33</v>
      </c>
      <c r="H162" t="str">
        <f>TEXT(sales[[#This Row],[sale_date]],"dddd")</f>
        <v>Friday</v>
      </c>
      <c r="I162">
        <f>_xlfn.XLOOKUP(A162,salesitems[sale_id],salesitems[revenue],0)</f>
        <v>74.34</v>
      </c>
      <c r="J162">
        <v>1</v>
      </c>
      <c r="K162" s="10" t="str">
        <f>_xlfn.XLOOKUP(F162,customers[customer_id],customers[age_range])</f>
        <v>56-65</v>
      </c>
      <c r="L162" s="1">
        <f>_xlfn.XLOOKUP(F162,customers[customer_id],customers[signup_date])</f>
        <v>45683</v>
      </c>
      <c r="M162">
        <f>sales[[#This Row],[sale_date]]-sales[[#This Row],[sighnup_date]]</f>
        <v>117</v>
      </c>
      <c r="N162" t="str">
        <f t="shared" si="2"/>
        <v>existing customer</v>
      </c>
      <c r="O162" t="str">
        <f>_xlfn.XLOOKUP(A162,salesitems[sale_id],salesitems[category])</f>
        <v>T-Shirts</v>
      </c>
    </row>
    <row r="163" spans="1:15" x14ac:dyDescent="0.45">
      <c r="A163">
        <v>1213</v>
      </c>
      <c r="B163" t="s">
        <v>21</v>
      </c>
      <c r="C163">
        <v>0</v>
      </c>
      <c r="D163">
        <v>365.27</v>
      </c>
      <c r="E163" s="1">
        <v>45793</v>
      </c>
      <c r="F163">
        <v>155</v>
      </c>
      <c r="G163" t="s">
        <v>36</v>
      </c>
      <c r="H163" t="str">
        <f>TEXT(sales[[#This Row],[sale_date]],"dddd")</f>
        <v>Friday</v>
      </c>
      <c r="I163">
        <f>_xlfn.XLOOKUP(A163,salesitems[sale_id],salesitems[revenue],0)</f>
        <v>67.37</v>
      </c>
      <c r="J163">
        <v>1</v>
      </c>
      <c r="K163" s="10" t="str">
        <f>_xlfn.XLOOKUP(F163,customers[customer_id],customers[age_range])</f>
        <v>26-35</v>
      </c>
      <c r="L163" s="1">
        <f>_xlfn.XLOOKUP(F163,customers[customer_id],customers[signup_date])</f>
        <v>45707</v>
      </c>
      <c r="M163">
        <f>sales[[#This Row],[sale_date]]-sales[[#This Row],[sighnup_date]]</f>
        <v>86</v>
      </c>
      <c r="N163" t="str">
        <f t="shared" si="2"/>
        <v>new customer</v>
      </c>
      <c r="O163" t="str">
        <f>_xlfn.XLOOKUP(A163,salesitems[sale_id],salesitems[category])</f>
        <v>T-Shirts</v>
      </c>
    </row>
    <row r="164" spans="1:15" x14ac:dyDescent="0.45">
      <c r="A164">
        <v>1214</v>
      </c>
      <c r="B164" t="s">
        <v>21</v>
      </c>
      <c r="C164">
        <v>1</v>
      </c>
      <c r="D164">
        <v>301.3</v>
      </c>
      <c r="E164" s="1">
        <v>45814</v>
      </c>
      <c r="F164">
        <v>280</v>
      </c>
      <c r="G164" t="s">
        <v>36</v>
      </c>
      <c r="H164" t="str">
        <f>TEXT(sales[[#This Row],[sale_date]],"dddd")</f>
        <v>Friday</v>
      </c>
      <c r="I164">
        <f>_xlfn.XLOOKUP(A164,salesitems[sale_id],salesitems[revenue],0)</f>
        <v>93.8</v>
      </c>
      <c r="J164">
        <v>1</v>
      </c>
      <c r="K164" s="10" t="str">
        <f>_xlfn.XLOOKUP(F164,customers[customer_id],customers[age_range])</f>
        <v>26-35</v>
      </c>
      <c r="L164" s="1">
        <f>_xlfn.XLOOKUP(F164,customers[customer_id],customers[signup_date])</f>
        <v>45703</v>
      </c>
      <c r="M164">
        <f>sales[[#This Row],[sale_date]]-sales[[#This Row],[sighnup_date]]</f>
        <v>111</v>
      </c>
      <c r="N164" t="str">
        <f t="shared" si="2"/>
        <v>existing customer</v>
      </c>
      <c r="O164" t="str">
        <f>_xlfn.XLOOKUP(A164,salesitems[sale_id],salesitems[category])</f>
        <v>T-Shirts</v>
      </c>
    </row>
    <row r="165" spans="1:15" x14ac:dyDescent="0.45">
      <c r="A165">
        <v>1215</v>
      </c>
      <c r="B165" t="s">
        <v>15</v>
      </c>
      <c r="C165">
        <v>0</v>
      </c>
      <c r="D165">
        <v>562.51</v>
      </c>
      <c r="E165" s="1">
        <v>45769</v>
      </c>
      <c r="F165">
        <v>638</v>
      </c>
      <c r="G165" t="s">
        <v>28</v>
      </c>
      <c r="H165" t="str">
        <f>TEXT(sales[[#This Row],[sale_date]],"dddd")</f>
        <v>Tuesday</v>
      </c>
      <c r="I165">
        <f>_xlfn.XLOOKUP(A165,salesitems[sale_id],salesitems[revenue],0)</f>
        <v>249.36</v>
      </c>
      <c r="J165">
        <v>1</v>
      </c>
      <c r="K165" s="10" t="str">
        <f>_xlfn.XLOOKUP(F165,customers[customer_id],customers[age_range])</f>
        <v>46-55</v>
      </c>
      <c r="L165" s="1">
        <f>_xlfn.XLOOKUP(F165,customers[customer_id],customers[signup_date])</f>
        <v>45758</v>
      </c>
      <c r="M165">
        <f>sales[[#This Row],[sale_date]]-sales[[#This Row],[sighnup_date]]</f>
        <v>11</v>
      </c>
      <c r="N165" t="str">
        <f t="shared" si="2"/>
        <v>new customer</v>
      </c>
      <c r="O165" t="str">
        <f>_xlfn.XLOOKUP(A165,salesitems[sale_id],salesitems[category])</f>
        <v>T-Shirts</v>
      </c>
    </row>
    <row r="166" spans="1:15" x14ac:dyDescent="0.45">
      <c r="A166">
        <v>1216</v>
      </c>
      <c r="B166" t="s">
        <v>15</v>
      </c>
      <c r="C166">
        <v>0</v>
      </c>
      <c r="D166">
        <v>105.22</v>
      </c>
      <c r="E166" s="1">
        <v>45774</v>
      </c>
      <c r="F166">
        <v>915</v>
      </c>
      <c r="G166" t="s">
        <v>34</v>
      </c>
      <c r="H166" t="str">
        <f>TEXT(sales[[#This Row],[sale_date]],"dddd")</f>
        <v>Sunday</v>
      </c>
      <c r="I166">
        <f>_xlfn.XLOOKUP(A166,salesitems[sale_id],salesitems[revenue],0)</f>
        <v>31.84</v>
      </c>
      <c r="J166">
        <v>1</v>
      </c>
      <c r="K166" s="10" t="str">
        <f>_xlfn.XLOOKUP(F166,customers[customer_id],customers[age_range])</f>
        <v>56-65</v>
      </c>
      <c r="L166" s="1">
        <f>_xlfn.XLOOKUP(F166,customers[customer_id],customers[signup_date])</f>
        <v>45734</v>
      </c>
      <c r="M166">
        <f>sales[[#This Row],[sale_date]]-sales[[#This Row],[sighnup_date]]</f>
        <v>40</v>
      </c>
      <c r="N166" t="str">
        <f t="shared" si="2"/>
        <v>new customer</v>
      </c>
      <c r="O166" t="str">
        <f>_xlfn.XLOOKUP(A166,salesitems[sale_id],salesitems[category])</f>
        <v>Shoes</v>
      </c>
    </row>
    <row r="167" spans="1:15" x14ac:dyDescent="0.45">
      <c r="A167">
        <v>1218</v>
      </c>
      <c r="B167" t="s">
        <v>15</v>
      </c>
      <c r="C167">
        <v>0</v>
      </c>
      <c r="D167">
        <v>293.92</v>
      </c>
      <c r="E167" s="1">
        <v>45770</v>
      </c>
      <c r="F167">
        <v>497</v>
      </c>
      <c r="G167" t="s">
        <v>36</v>
      </c>
      <c r="H167" t="str">
        <f>TEXT(sales[[#This Row],[sale_date]],"dddd")</f>
        <v>Wednesday</v>
      </c>
      <c r="I167">
        <f>_xlfn.XLOOKUP(A167,salesitems[sale_id],salesitems[revenue],0)</f>
        <v>169.32</v>
      </c>
      <c r="J167">
        <v>1</v>
      </c>
      <c r="K167" s="10" t="str">
        <f>_xlfn.XLOOKUP(F167,customers[customer_id],customers[age_range])</f>
        <v>36-45</v>
      </c>
      <c r="L167" s="1">
        <f>_xlfn.XLOOKUP(F167,customers[customer_id],customers[signup_date])</f>
        <v>45698</v>
      </c>
      <c r="M167">
        <f>sales[[#This Row],[sale_date]]-sales[[#This Row],[sighnup_date]]</f>
        <v>72</v>
      </c>
      <c r="N167" t="str">
        <f t="shared" si="2"/>
        <v>new customer</v>
      </c>
      <c r="O167" t="str">
        <f>_xlfn.XLOOKUP(A167,salesitems[sale_id],salesitems[category])</f>
        <v>Dresses</v>
      </c>
    </row>
    <row r="168" spans="1:15" x14ac:dyDescent="0.45">
      <c r="A168">
        <v>1219</v>
      </c>
      <c r="B168" t="s">
        <v>21</v>
      </c>
      <c r="C168">
        <v>0</v>
      </c>
      <c r="D168">
        <v>274.11</v>
      </c>
      <c r="E168" s="1">
        <v>45791</v>
      </c>
      <c r="F168">
        <v>234</v>
      </c>
      <c r="G168" t="s">
        <v>33</v>
      </c>
      <c r="H168" t="str">
        <f>TEXT(sales[[#This Row],[sale_date]],"dddd")</f>
        <v>Wednesday</v>
      </c>
      <c r="I168">
        <f>_xlfn.XLOOKUP(A168,salesitems[sale_id],salesitems[revenue],0)</f>
        <v>90.3</v>
      </c>
      <c r="J168">
        <v>1</v>
      </c>
      <c r="K168" s="10" t="str">
        <f>_xlfn.XLOOKUP(F168,customers[customer_id],customers[age_range])</f>
        <v>26-35</v>
      </c>
      <c r="L168" s="1">
        <f>_xlfn.XLOOKUP(F168,customers[customer_id],customers[signup_date])</f>
        <v>45699</v>
      </c>
      <c r="M168">
        <f>sales[[#This Row],[sale_date]]-sales[[#This Row],[sighnup_date]]</f>
        <v>92</v>
      </c>
      <c r="N168" t="str">
        <f t="shared" si="2"/>
        <v>existing customer</v>
      </c>
      <c r="O168" t="str">
        <f>_xlfn.XLOOKUP(A168,salesitems[sale_id],salesitems[category])</f>
        <v>Dresses</v>
      </c>
    </row>
    <row r="169" spans="1:15" x14ac:dyDescent="0.45">
      <c r="A169">
        <v>1220</v>
      </c>
      <c r="B169" t="s">
        <v>21</v>
      </c>
      <c r="C169">
        <v>0</v>
      </c>
      <c r="D169">
        <v>299.77</v>
      </c>
      <c r="E169" s="1">
        <v>45798</v>
      </c>
      <c r="F169">
        <v>150</v>
      </c>
      <c r="G169" t="s">
        <v>28</v>
      </c>
      <c r="H169" t="str">
        <f>TEXT(sales[[#This Row],[sale_date]],"dddd")</f>
        <v>Wednesday</v>
      </c>
      <c r="I169">
        <f>_xlfn.XLOOKUP(A169,salesitems[sale_id],salesitems[revenue],0)</f>
        <v>69.42</v>
      </c>
      <c r="J169">
        <v>1</v>
      </c>
      <c r="K169" s="10" t="str">
        <f>_xlfn.XLOOKUP(F169,customers[customer_id],customers[age_range])</f>
        <v>46-55</v>
      </c>
      <c r="L169" s="1">
        <f>_xlfn.XLOOKUP(F169,customers[customer_id],customers[signup_date])</f>
        <v>45814</v>
      </c>
      <c r="M169">
        <f>sales[[#This Row],[sale_date]]-sales[[#This Row],[sighnup_date]]</f>
        <v>-16</v>
      </c>
      <c r="N169" t="str">
        <f t="shared" si="2"/>
        <v>data issue</v>
      </c>
      <c r="O169" t="str">
        <f>_xlfn.XLOOKUP(A169,salesitems[sale_id],salesitems[category])</f>
        <v>Dresses</v>
      </c>
    </row>
    <row r="170" spans="1:15" x14ac:dyDescent="0.45">
      <c r="A170">
        <v>1223</v>
      </c>
      <c r="B170" t="s">
        <v>15</v>
      </c>
      <c r="C170">
        <v>1</v>
      </c>
      <c r="D170">
        <v>70.56</v>
      </c>
      <c r="E170" s="1">
        <v>45794</v>
      </c>
      <c r="F170">
        <v>380</v>
      </c>
      <c r="G170" t="s">
        <v>33</v>
      </c>
      <c r="H170" t="str">
        <f>TEXT(sales[[#This Row],[sale_date]],"dddd")</f>
        <v>Saturday</v>
      </c>
      <c r="I170">
        <f>_xlfn.XLOOKUP(A170,salesitems[sale_id],salesitems[revenue],0)</f>
        <v>35.97</v>
      </c>
      <c r="J170">
        <v>1</v>
      </c>
      <c r="K170" s="10" t="str">
        <f>_xlfn.XLOOKUP(F170,customers[customer_id],customers[age_range])</f>
        <v>46-55</v>
      </c>
      <c r="L170" s="1">
        <f>_xlfn.XLOOKUP(F170,customers[customer_id],customers[signup_date])</f>
        <v>45731</v>
      </c>
      <c r="M170">
        <f>sales[[#This Row],[sale_date]]-sales[[#This Row],[sighnup_date]]</f>
        <v>63</v>
      </c>
      <c r="N170" t="str">
        <f t="shared" si="2"/>
        <v>new customer</v>
      </c>
      <c r="O170" t="str">
        <f>_xlfn.XLOOKUP(A170,salesitems[sale_id],salesitems[category])</f>
        <v>Dresses</v>
      </c>
    </row>
    <row r="171" spans="1:15" x14ac:dyDescent="0.45">
      <c r="A171">
        <v>1224</v>
      </c>
      <c r="B171" t="s">
        <v>21</v>
      </c>
      <c r="C171">
        <v>0</v>
      </c>
      <c r="D171">
        <v>172.89</v>
      </c>
      <c r="E171" s="1">
        <v>45766</v>
      </c>
      <c r="F171">
        <v>461</v>
      </c>
      <c r="G171" t="s">
        <v>36</v>
      </c>
      <c r="H171" t="str">
        <f>TEXT(sales[[#This Row],[sale_date]],"dddd")</f>
        <v>Saturday</v>
      </c>
      <c r="I171">
        <f>_xlfn.XLOOKUP(A171,salesitems[sale_id],salesitems[revenue],0)</f>
        <v>53.35</v>
      </c>
      <c r="J171">
        <v>1</v>
      </c>
      <c r="K171" s="10" t="str">
        <f>_xlfn.XLOOKUP(F171,customers[customer_id],customers[age_range])</f>
        <v>26-35</v>
      </c>
      <c r="L171" s="1">
        <f>_xlfn.XLOOKUP(F171,customers[customer_id],customers[signup_date])</f>
        <v>45743</v>
      </c>
      <c r="M171">
        <f>sales[[#This Row],[sale_date]]-sales[[#This Row],[sighnup_date]]</f>
        <v>23</v>
      </c>
      <c r="N171" t="str">
        <f t="shared" si="2"/>
        <v>new customer</v>
      </c>
      <c r="O171" t="str">
        <f>_xlfn.XLOOKUP(A171,salesitems[sale_id],salesitems[category])</f>
        <v>Sleepwear</v>
      </c>
    </row>
    <row r="172" spans="1:15" x14ac:dyDescent="0.45">
      <c r="A172">
        <v>1225</v>
      </c>
      <c r="B172" t="s">
        <v>15</v>
      </c>
      <c r="C172">
        <v>0</v>
      </c>
      <c r="D172">
        <v>232.25</v>
      </c>
      <c r="E172" s="1">
        <v>45774</v>
      </c>
      <c r="F172">
        <v>204</v>
      </c>
      <c r="G172" t="s">
        <v>36</v>
      </c>
      <c r="H172" t="str">
        <f>TEXT(sales[[#This Row],[sale_date]],"dddd")</f>
        <v>Sunday</v>
      </c>
      <c r="I172">
        <f>_xlfn.XLOOKUP(A172,salesitems[sale_id],salesitems[revenue],0)</f>
        <v>36.47</v>
      </c>
      <c r="J172">
        <v>1</v>
      </c>
      <c r="K172" s="10" t="str">
        <f>_xlfn.XLOOKUP(F172,customers[customer_id],customers[age_range])</f>
        <v>16-25</v>
      </c>
      <c r="L172" s="1">
        <f>_xlfn.XLOOKUP(F172,customers[customer_id],customers[signup_date])</f>
        <v>45780</v>
      </c>
      <c r="M172">
        <f>sales[[#This Row],[sale_date]]-sales[[#This Row],[sighnup_date]]</f>
        <v>-6</v>
      </c>
      <c r="N172" t="str">
        <f t="shared" si="2"/>
        <v>data issue</v>
      </c>
      <c r="O172" t="str">
        <f>_xlfn.XLOOKUP(A172,salesitems[sale_id],salesitems[category])</f>
        <v>Pants</v>
      </c>
    </row>
    <row r="173" spans="1:15" x14ac:dyDescent="0.45">
      <c r="A173">
        <v>1226</v>
      </c>
      <c r="B173" t="s">
        <v>15</v>
      </c>
      <c r="C173">
        <v>1</v>
      </c>
      <c r="D173">
        <v>164.4</v>
      </c>
      <c r="E173" s="1">
        <v>45795</v>
      </c>
      <c r="F173">
        <v>36</v>
      </c>
      <c r="G173" t="s">
        <v>28</v>
      </c>
      <c r="H173" t="str">
        <f>TEXT(sales[[#This Row],[sale_date]],"dddd")</f>
        <v>Sunday</v>
      </c>
      <c r="I173">
        <f>_xlfn.XLOOKUP(A173,salesitems[sale_id],salesitems[revenue],0)</f>
        <v>93.12</v>
      </c>
      <c r="J173">
        <v>1</v>
      </c>
      <c r="K173" s="10" t="str">
        <f>_xlfn.XLOOKUP(F173,customers[customer_id],customers[age_range])</f>
        <v>26-35</v>
      </c>
      <c r="L173" s="1">
        <f>_xlfn.XLOOKUP(F173,customers[customer_id],customers[signup_date])</f>
        <v>45728</v>
      </c>
      <c r="M173">
        <f>sales[[#This Row],[sale_date]]-sales[[#This Row],[sighnup_date]]</f>
        <v>67</v>
      </c>
      <c r="N173" t="str">
        <f t="shared" si="2"/>
        <v>new customer</v>
      </c>
      <c r="O173" t="str">
        <f>_xlfn.XLOOKUP(A173,salesitems[sale_id],salesitems[category])</f>
        <v>T-Shirts</v>
      </c>
    </row>
    <row r="174" spans="1:15" x14ac:dyDescent="0.45">
      <c r="A174">
        <v>1227</v>
      </c>
      <c r="B174" t="s">
        <v>15</v>
      </c>
      <c r="C174">
        <v>0</v>
      </c>
      <c r="D174">
        <v>241.04</v>
      </c>
      <c r="E174" s="1">
        <v>45760</v>
      </c>
      <c r="F174">
        <v>780</v>
      </c>
      <c r="G174" t="s">
        <v>38</v>
      </c>
      <c r="H174" t="str">
        <f>TEXT(sales[[#This Row],[sale_date]],"dddd")</f>
        <v>Sunday</v>
      </c>
      <c r="I174">
        <f>_xlfn.XLOOKUP(A174,salesitems[sale_id],salesitems[revenue],0)</f>
        <v>50.68</v>
      </c>
      <c r="J174">
        <v>1</v>
      </c>
      <c r="K174" s="10" t="str">
        <f>_xlfn.XLOOKUP(F174,customers[customer_id],customers[age_range])</f>
        <v>16-25</v>
      </c>
      <c r="L174" s="1">
        <f>_xlfn.XLOOKUP(F174,customers[customer_id],customers[signup_date])</f>
        <v>45744</v>
      </c>
      <c r="M174">
        <f>sales[[#This Row],[sale_date]]-sales[[#This Row],[sighnup_date]]</f>
        <v>16</v>
      </c>
      <c r="N174" t="str">
        <f t="shared" si="2"/>
        <v>new customer</v>
      </c>
      <c r="O174" t="str">
        <f>_xlfn.XLOOKUP(A174,salesitems[sale_id],salesitems[category])</f>
        <v>Sleepwear</v>
      </c>
    </row>
    <row r="175" spans="1:15" x14ac:dyDescent="0.45">
      <c r="A175">
        <v>1229</v>
      </c>
      <c r="B175" t="s">
        <v>15</v>
      </c>
      <c r="C175">
        <v>0</v>
      </c>
      <c r="D175">
        <v>343.99</v>
      </c>
      <c r="E175" s="1">
        <v>45806</v>
      </c>
      <c r="F175">
        <v>503</v>
      </c>
      <c r="G175" t="s">
        <v>33</v>
      </c>
      <c r="H175" t="str">
        <f>TEXT(sales[[#This Row],[sale_date]],"dddd")</f>
        <v>Thursday</v>
      </c>
      <c r="I175">
        <f>_xlfn.XLOOKUP(A175,salesitems[sale_id],salesitems[revenue],0)</f>
        <v>156.24</v>
      </c>
      <c r="J175">
        <v>1</v>
      </c>
      <c r="K175" s="10" t="str">
        <f>_xlfn.XLOOKUP(F175,customers[customer_id],customers[age_range])</f>
        <v>16-25</v>
      </c>
      <c r="L175" s="1">
        <f>_xlfn.XLOOKUP(F175,customers[customer_id],customers[signup_date])</f>
        <v>45755</v>
      </c>
      <c r="M175">
        <f>sales[[#This Row],[sale_date]]-sales[[#This Row],[sighnup_date]]</f>
        <v>51</v>
      </c>
      <c r="N175" t="str">
        <f t="shared" si="2"/>
        <v>new customer</v>
      </c>
      <c r="O175" t="str">
        <f>_xlfn.XLOOKUP(A175,salesitems[sale_id],salesitems[category])</f>
        <v>Shoes</v>
      </c>
    </row>
    <row r="176" spans="1:15" x14ac:dyDescent="0.45">
      <c r="A176">
        <v>123</v>
      </c>
      <c r="B176" t="s">
        <v>15</v>
      </c>
      <c r="C176">
        <v>0</v>
      </c>
      <c r="D176">
        <v>410.04</v>
      </c>
      <c r="E176" s="1">
        <v>45798</v>
      </c>
      <c r="F176">
        <v>769</v>
      </c>
      <c r="G176" t="s">
        <v>33</v>
      </c>
      <c r="H176" t="str">
        <f>TEXT(sales[[#This Row],[sale_date]],"dddd")</f>
        <v>Wednesday</v>
      </c>
      <c r="I176">
        <f>_xlfn.XLOOKUP(A176,salesitems[sale_id],salesitems[revenue],0)</f>
        <v>83.12</v>
      </c>
      <c r="J176">
        <v>1</v>
      </c>
      <c r="K176" s="10" t="str">
        <f>_xlfn.XLOOKUP(F176,customers[customer_id],customers[age_range])</f>
        <v>46-55</v>
      </c>
      <c r="L176" s="1">
        <f>_xlfn.XLOOKUP(F176,customers[customer_id],customers[signup_date])</f>
        <v>45766</v>
      </c>
      <c r="M176">
        <f>sales[[#This Row],[sale_date]]-sales[[#This Row],[sighnup_date]]</f>
        <v>32</v>
      </c>
      <c r="N176" t="str">
        <f t="shared" si="2"/>
        <v>new customer</v>
      </c>
      <c r="O176" t="str">
        <f>_xlfn.XLOOKUP(A176,salesitems[sale_id],salesitems[category])</f>
        <v>Sleepwear</v>
      </c>
    </row>
    <row r="177" spans="1:15" x14ac:dyDescent="0.45">
      <c r="A177">
        <v>1230</v>
      </c>
      <c r="B177" t="s">
        <v>21</v>
      </c>
      <c r="C177">
        <v>0</v>
      </c>
      <c r="D177">
        <v>220.21</v>
      </c>
      <c r="E177" s="1">
        <v>45796</v>
      </c>
      <c r="F177">
        <v>954</v>
      </c>
      <c r="G177" t="s">
        <v>38</v>
      </c>
      <c r="H177" t="str">
        <f>TEXT(sales[[#This Row],[sale_date]],"dddd")</f>
        <v>Monday</v>
      </c>
      <c r="I177">
        <f>_xlfn.XLOOKUP(A177,salesitems[sale_id],salesitems[revenue],0)</f>
        <v>55.03</v>
      </c>
      <c r="J177">
        <v>1</v>
      </c>
      <c r="K177" s="10" t="str">
        <f>_xlfn.XLOOKUP(F177,customers[customer_id],customers[age_range])</f>
        <v>26-35</v>
      </c>
      <c r="L177" s="1">
        <f>_xlfn.XLOOKUP(F177,customers[customer_id],customers[signup_date])</f>
        <v>45707</v>
      </c>
      <c r="M177">
        <f>sales[[#This Row],[sale_date]]-sales[[#This Row],[sighnup_date]]</f>
        <v>89</v>
      </c>
      <c r="N177" t="str">
        <f t="shared" si="2"/>
        <v>new customer</v>
      </c>
      <c r="O177" t="str">
        <f>_xlfn.XLOOKUP(A177,salesitems[sale_id],salesitems[category])</f>
        <v>Shoes</v>
      </c>
    </row>
    <row r="178" spans="1:15" x14ac:dyDescent="0.45">
      <c r="A178">
        <v>1231</v>
      </c>
      <c r="B178" t="s">
        <v>15</v>
      </c>
      <c r="C178">
        <v>0</v>
      </c>
      <c r="D178">
        <v>535.45000000000005</v>
      </c>
      <c r="E178" s="1">
        <v>45781</v>
      </c>
      <c r="F178">
        <v>346</v>
      </c>
      <c r="G178" t="s">
        <v>33</v>
      </c>
      <c r="H178" t="str">
        <f>TEXT(sales[[#This Row],[sale_date]],"dddd")</f>
        <v>Sunday</v>
      </c>
      <c r="I178">
        <f>_xlfn.XLOOKUP(A178,salesitems[sale_id],salesitems[revenue],0)</f>
        <v>318.95</v>
      </c>
      <c r="J178">
        <v>1</v>
      </c>
      <c r="K178" s="10" t="str">
        <f>_xlfn.XLOOKUP(F178,customers[customer_id],customers[age_range])</f>
        <v>56-65</v>
      </c>
      <c r="L178" s="1">
        <f>_xlfn.XLOOKUP(F178,customers[customer_id],customers[signup_date])</f>
        <v>45683</v>
      </c>
      <c r="M178">
        <f>sales[[#This Row],[sale_date]]-sales[[#This Row],[sighnup_date]]</f>
        <v>98</v>
      </c>
      <c r="N178" t="str">
        <f t="shared" si="2"/>
        <v>existing customer</v>
      </c>
      <c r="O178" t="str">
        <f>_xlfn.XLOOKUP(A178,salesitems[sale_id],salesitems[category])</f>
        <v>Pants</v>
      </c>
    </row>
    <row r="179" spans="1:15" x14ac:dyDescent="0.45">
      <c r="A179">
        <v>1234</v>
      </c>
      <c r="B179" t="s">
        <v>15</v>
      </c>
      <c r="C179">
        <v>0</v>
      </c>
      <c r="D179">
        <v>338.34</v>
      </c>
      <c r="E179" s="1">
        <v>45770</v>
      </c>
      <c r="F179">
        <v>641</v>
      </c>
      <c r="G179" t="s">
        <v>34</v>
      </c>
      <c r="H179" t="str">
        <f>TEXT(sales[[#This Row],[sale_date]],"dddd")</f>
        <v>Wednesday</v>
      </c>
      <c r="I179">
        <f>_xlfn.XLOOKUP(A179,salesitems[sale_id],salesitems[revenue],0)</f>
        <v>140.69999999999999</v>
      </c>
      <c r="J179">
        <v>1</v>
      </c>
      <c r="K179" s="10" t="str">
        <f>_xlfn.XLOOKUP(F179,customers[customer_id],customers[age_range])</f>
        <v>36-45</v>
      </c>
      <c r="L179" s="1">
        <f>_xlfn.XLOOKUP(F179,customers[customer_id],customers[signup_date])</f>
        <v>45737</v>
      </c>
      <c r="M179">
        <f>sales[[#This Row],[sale_date]]-sales[[#This Row],[sighnup_date]]</f>
        <v>33</v>
      </c>
      <c r="N179" t="str">
        <f t="shared" si="2"/>
        <v>new customer</v>
      </c>
      <c r="O179" t="str">
        <f>_xlfn.XLOOKUP(A179,salesitems[sale_id],salesitems[category])</f>
        <v>Shoes</v>
      </c>
    </row>
    <row r="180" spans="1:15" x14ac:dyDescent="0.45">
      <c r="A180">
        <v>1236</v>
      </c>
      <c r="B180" t="s">
        <v>21</v>
      </c>
      <c r="C180">
        <v>0</v>
      </c>
      <c r="D180">
        <v>428.95</v>
      </c>
      <c r="E180" s="1">
        <v>45813</v>
      </c>
      <c r="F180">
        <v>792</v>
      </c>
      <c r="G180" t="s">
        <v>33</v>
      </c>
      <c r="H180" t="str">
        <f>TEXT(sales[[#This Row],[sale_date]],"dddd")</f>
        <v>Thursday</v>
      </c>
      <c r="I180">
        <f>_xlfn.XLOOKUP(A180,salesitems[sale_id],salesitems[revenue],0)</f>
        <v>172.05</v>
      </c>
      <c r="J180">
        <v>1</v>
      </c>
      <c r="K180" s="10" t="str">
        <f>_xlfn.XLOOKUP(F180,customers[customer_id],customers[age_range])</f>
        <v>16-25</v>
      </c>
      <c r="L180" s="1">
        <f>_xlfn.XLOOKUP(F180,customers[customer_id],customers[signup_date])</f>
        <v>45722</v>
      </c>
      <c r="M180">
        <f>sales[[#This Row],[sale_date]]-sales[[#This Row],[sighnup_date]]</f>
        <v>91</v>
      </c>
      <c r="N180" t="str">
        <f t="shared" si="2"/>
        <v>existing customer</v>
      </c>
      <c r="O180" t="str">
        <f>_xlfn.XLOOKUP(A180,salesitems[sale_id],salesitems[category])</f>
        <v>Dresses</v>
      </c>
    </row>
    <row r="181" spans="1:15" x14ac:dyDescent="0.45">
      <c r="A181">
        <v>1237</v>
      </c>
      <c r="B181" t="s">
        <v>21</v>
      </c>
      <c r="C181">
        <v>0</v>
      </c>
      <c r="D181">
        <v>400.86</v>
      </c>
      <c r="E181" s="1">
        <v>45775</v>
      </c>
      <c r="F181">
        <v>305</v>
      </c>
      <c r="G181" t="s">
        <v>36</v>
      </c>
      <c r="H181" t="str">
        <f>TEXT(sales[[#This Row],[sale_date]],"dddd")</f>
        <v>Monday</v>
      </c>
      <c r="I181">
        <f>_xlfn.XLOOKUP(A181,salesitems[sale_id],salesitems[revenue],0)</f>
        <v>191.46</v>
      </c>
      <c r="J181">
        <v>1</v>
      </c>
      <c r="K181" s="10" t="str">
        <f>_xlfn.XLOOKUP(F181,customers[customer_id],customers[age_range])</f>
        <v>46-55</v>
      </c>
      <c r="L181" s="1">
        <f>_xlfn.XLOOKUP(F181,customers[customer_id],customers[signup_date])</f>
        <v>45697</v>
      </c>
      <c r="M181">
        <f>sales[[#This Row],[sale_date]]-sales[[#This Row],[sighnup_date]]</f>
        <v>78</v>
      </c>
      <c r="N181" t="str">
        <f t="shared" si="2"/>
        <v>new customer</v>
      </c>
      <c r="O181" t="str">
        <f>_xlfn.XLOOKUP(A181,salesitems[sale_id],salesitems[category])</f>
        <v>T-Shirts</v>
      </c>
    </row>
    <row r="182" spans="1:15" x14ac:dyDescent="0.45">
      <c r="A182">
        <v>1239</v>
      </c>
      <c r="B182" t="s">
        <v>21</v>
      </c>
      <c r="C182">
        <v>0</v>
      </c>
      <c r="D182">
        <v>385.12</v>
      </c>
      <c r="E182" s="1">
        <v>45805</v>
      </c>
      <c r="F182">
        <v>253</v>
      </c>
      <c r="G182" t="s">
        <v>28</v>
      </c>
      <c r="H182" t="str">
        <f>TEXT(sales[[#This Row],[sale_date]],"dddd")</f>
        <v>Wednesday</v>
      </c>
      <c r="I182">
        <f>_xlfn.XLOOKUP(A182,salesitems[sale_id],salesitems[revenue],0)</f>
        <v>119.8</v>
      </c>
      <c r="J182">
        <v>1</v>
      </c>
      <c r="K182" s="10" t="str">
        <f>_xlfn.XLOOKUP(F182,customers[customer_id],customers[age_range])</f>
        <v>26-35</v>
      </c>
      <c r="L182" s="1">
        <f>_xlfn.XLOOKUP(F182,customers[customer_id],customers[signup_date])</f>
        <v>45748</v>
      </c>
      <c r="M182">
        <f>sales[[#This Row],[sale_date]]-sales[[#This Row],[sighnup_date]]</f>
        <v>57</v>
      </c>
      <c r="N182" t="str">
        <f t="shared" si="2"/>
        <v>new customer</v>
      </c>
      <c r="O182" t="str">
        <f>_xlfn.XLOOKUP(A182,salesitems[sale_id],salesitems[category])</f>
        <v>Pants</v>
      </c>
    </row>
    <row r="183" spans="1:15" x14ac:dyDescent="0.45">
      <c r="A183">
        <v>124</v>
      </c>
      <c r="B183" t="s">
        <v>21</v>
      </c>
      <c r="C183">
        <v>0</v>
      </c>
      <c r="D183">
        <v>245.7</v>
      </c>
      <c r="E183" s="1">
        <v>45766</v>
      </c>
      <c r="F183">
        <v>99</v>
      </c>
      <c r="G183" t="s">
        <v>34</v>
      </c>
      <c r="H183" t="str">
        <f>TEXT(sales[[#This Row],[sale_date]],"dddd")</f>
        <v>Saturday</v>
      </c>
      <c r="I183">
        <f>_xlfn.XLOOKUP(A183,salesitems[sale_id],salesitems[revenue],0)</f>
        <v>38.06</v>
      </c>
      <c r="J183">
        <v>1</v>
      </c>
      <c r="K183" s="10" t="str">
        <f>_xlfn.XLOOKUP(F183,customers[customer_id],customers[age_range])</f>
        <v>36-45</v>
      </c>
      <c r="L183" s="1">
        <f>_xlfn.XLOOKUP(F183,customers[customer_id],customers[signup_date])</f>
        <v>45733</v>
      </c>
      <c r="M183">
        <f>sales[[#This Row],[sale_date]]-sales[[#This Row],[sighnup_date]]</f>
        <v>33</v>
      </c>
      <c r="N183" t="str">
        <f t="shared" si="2"/>
        <v>new customer</v>
      </c>
      <c r="O183" t="str">
        <f>_xlfn.XLOOKUP(A183,salesitems[sale_id],salesitems[category])</f>
        <v>Sleepwear</v>
      </c>
    </row>
    <row r="184" spans="1:15" x14ac:dyDescent="0.45">
      <c r="A184">
        <v>1243</v>
      </c>
      <c r="B184" t="s">
        <v>21</v>
      </c>
      <c r="C184">
        <v>0</v>
      </c>
      <c r="D184">
        <v>138.93</v>
      </c>
      <c r="E184" s="1">
        <v>45796</v>
      </c>
      <c r="F184">
        <v>263</v>
      </c>
      <c r="G184" t="s">
        <v>28</v>
      </c>
      <c r="H184" t="str">
        <f>TEXT(sales[[#This Row],[sale_date]],"dddd")</f>
        <v>Monday</v>
      </c>
      <c r="I184">
        <f>_xlfn.XLOOKUP(A184,salesitems[sale_id],salesitems[revenue],0)</f>
        <v>95.01</v>
      </c>
      <c r="J184">
        <v>1</v>
      </c>
      <c r="K184" s="10" t="str">
        <f>_xlfn.XLOOKUP(F184,customers[customer_id],customers[age_range])</f>
        <v>16-25</v>
      </c>
      <c r="L184" s="1">
        <f>_xlfn.XLOOKUP(F184,customers[customer_id],customers[signup_date])</f>
        <v>45758</v>
      </c>
      <c r="M184">
        <f>sales[[#This Row],[sale_date]]-sales[[#This Row],[sighnup_date]]</f>
        <v>38</v>
      </c>
      <c r="N184" t="str">
        <f t="shared" si="2"/>
        <v>new customer</v>
      </c>
      <c r="O184" t="str">
        <f>_xlfn.XLOOKUP(A184,salesitems[sale_id],salesitems[category])</f>
        <v>Shoes</v>
      </c>
    </row>
    <row r="185" spans="1:15" x14ac:dyDescent="0.45">
      <c r="A185">
        <v>1244</v>
      </c>
      <c r="B185" t="s">
        <v>21</v>
      </c>
      <c r="C185">
        <v>0</v>
      </c>
      <c r="D185">
        <v>426.38</v>
      </c>
      <c r="E185" s="1">
        <v>45808</v>
      </c>
      <c r="F185">
        <v>816</v>
      </c>
      <c r="G185" t="s">
        <v>31</v>
      </c>
      <c r="H185" t="str">
        <f>TEXT(sales[[#This Row],[sale_date]],"dddd")</f>
        <v>Saturday</v>
      </c>
      <c r="I185">
        <f>_xlfn.XLOOKUP(A185,salesitems[sale_id],salesitems[revenue],0)</f>
        <v>100.08</v>
      </c>
      <c r="J185">
        <v>1</v>
      </c>
      <c r="K185" s="10" t="str">
        <f>_xlfn.XLOOKUP(F185,customers[customer_id],customers[age_range])</f>
        <v>16-25</v>
      </c>
      <c r="L185" s="1">
        <f>_xlfn.XLOOKUP(F185,customers[customer_id],customers[signup_date])</f>
        <v>45692</v>
      </c>
      <c r="M185">
        <f>sales[[#This Row],[sale_date]]-sales[[#This Row],[sighnup_date]]</f>
        <v>116</v>
      </c>
      <c r="N185" t="str">
        <f t="shared" si="2"/>
        <v>existing customer</v>
      </c>
      <c r="O185" t="str">
        <f>_xlfn.XLOOKUP(A185,salesitems[sale_id],salesitems[category])</f>
        <v>T-Shirts</v>
      </c>
    </row>
    <row r="186" spans="1:15" x14ac:dyDescent="0.45">
      <c r="A186">
        <v>1245</v>
      </c>
      <c r="B186" t="s">
        <v>21</v>
      </c>
      <c r="C186">
        <v>0</v>
      </c>
      <c r="D186">
        <v>261.02</v>
      </c>
      <c r="E186" s="1">
        <v>45794</v>
      </c>
      <c r="F186">
        <v>348</v>
      </c>
      <c r="G186" t="s">
        <v>36</v>
      </c>
      <c r="H186" t="str">
        <f>TEXT(sales[[#This Row],[sale_date]],"dddd")</f>
        <v>Saturday</v>
      </c>
      <c r="I186">
        <f>_xlfn.XLOOKUP(A186,salesitems[sale_id],salesitems[revenue],0)</f>
        <v>62.27</v>
      </c>
      <c r="J186">
        <v>1</v>
      </c>
      <c r="K186" s="10" t="str">
        <f>_xlfn.XLOOKUP(F186,customers[customer_id],customers[age_range])</f>
        <v>36-45</v>
      </c>
      <c r="L186" s="1">
        <f>_xlfn.XLOOKUP(F186,customers[customer_id],customers[signup_date])</f>
        <v>45707</v>
      </c>
      <c r="M186">
        <f>sales[[#This Row],[sale_date]]-sales[[#This Row],[sighnup_date]]</f>
        <v>87</v>
      </c>
      <c r="N186" t="str">
        <f t="shared" si="2"/>
        <v>new customer</v>
      </c>
      <c r="O186" t="str">
        <f>_xlfn.XLOOKUP(A186,salesitems[sale_id],salesitems[category])</f>
        <v>Sleepwear</v>
      </c>
    </row>
    <row r="187" spans="1:15" x14ac:dyDescent="0.45">
      <c r="A187">
        <v>1247</v>
      </c>
      <c r="B187" t="s">
        <v>21</v>
      </c>
      <c r="C187">
        <v>0</v>
      </c>
      <c r="D187">
        <v>540.15</v>
      </c>
      <c r="E187" s="1">
        <v>45768</v>
      </c>
      <c r="F187">
        <v>563</v>
      </c>
      <c r="G187" t="s">
        <v>31</v>
      </c>
      <c r="H187" t="str">
        <f>TEXT(sales[[#This Row],[sale_date]],"dddd")</f>
        <v>Monday</v>
      </c>
      <c r="I187">
        <f>_xlfn.XLOOKUP(A187,salesitems[sale_id],salesitems[revenue],0)</f>
        <v>300.59999999999997</v>
      </c>
      <c r="J187">
        <v>1</v>
      </c>
      <c r="K187" s="10" t="str">
        <f>_xlfn.XLOOKUP(F187,customers[customer_id],customers[age_range])</f>
        <v>46-55</v>
      </c>
      <c r="L187" s="1">
        <f>_xlfn.XLOOKUP(F187,customers[customer_id],customers[signup_date])</f>
        <v>45753</v>
      </c>
      <c r="M187">
        <f>sales[[#This Row],[sale_date]]-sales[[#This Row],[sighnup_date]]</f>
        <v>15</v>
      </c>
      <c r="N187" t="str">
        <f t="shared" si="2"/>
        <v>new customer</v>
      </c>
      <c r="O187" t="str">
        <f>_xlfn.XLOOKUP(A187,salesitems[sale_id],salesitems[category])</f>
        <v>Pants</v>
      </c>
    </row>
    <row r="188" spans="1:15" x14ac:dyDescent="0.45">
      <c r="A188">
        <v>1248</v>
      </c>
      <c r="B188" t="s">
        <v>15</v>
      </c>
      <c r="C188">
        <v>0</v>
      </c>
      <c r="D188">
        <v>190.53</v>
      </c>
      <c r="E188" s="1">
        <v>45760</v>
      </c>
      <c r="F188">
        <v>898</v>
      </c>
      <c r="G188" t="s">
        <v>33</v>
      </c>
      <c r="H188" t="str">
        <f>TEXT(sales[[#This Row],[sale_date]],"dddd")</f>
        <v>Sunday</v>
      </c>
      <c r="I188">
        <f>_xlfn.XLOOKUP(A188,salesitems[sale_id],salesitems[revenue],0)</f>
        <v>52.65</v>
      </c>
      <c r="J188">
        <v>1</v>
      </c>
      <c r="K188" s="10" t="str">
        <f>_xlfn.XLOOKUP(F188,customers[customer_id],customers[age_range])</f>
        <v>36-45</v>
      </c>
      <c r="L188" s="1">
        <f>_xlfn.XLOOKUP(F188,customers[customer_id],customers[signup_date])</f>
        <v>45716</v>
      </c>
      <c r="M188">
        <f>sales[[#This Row],[sale_date]]-sales[[#This Row],[sighnup_date]]</f>
        <v>44</v>
      </c>
      <c r="N188" t="str">
        <f t="shared" si="2"/>
        <v>new customer</v>
      </c>
      <c r="O188" t="str">
        <f>_xlfn.XLOOKUP(A188,salesitems[sale_id],salesitems[category])</f>
        <v>Dresses</v>
      </c>
    </row>
    <row r="189" spans="1:15" x14ac:dyDescent="0.45">
      <c r="A189">
        <v>1249</v>
      </c>
      <c r="B189" t="s">
        <v>21</v>
      </c>
      <c r="C189">
        <v>0</v>
      </c>
      <c r="D189">
        <v>139.01</v>
      </c>
      <c r="E189" s="1">
        <v>45821</v>
      </c>
      <c r="F189">
        <v>467</v>
      </c>
      <c r="G189" t="s">
        <v>34</v>
      </c>
      <c r="H189" t="str">
        <f>TEXT(sales[[#This Row],[sale_date]],"dddd")</f>
        <v>Friday</v>
      </c>
      <c r="I189">
        <f>_xlfn.XLOOKUP(A189,salesitems[sale_id],salesitems[revenue],0)</f>
        <v>31.61</v>
      </c>
      <c r="J189">
        <v>1</v>
      </c>
      <c r="K189" s="10" t="str">
        <f>_xlfn.XLOOKUP(F189,customers[customer_id],customers[age_range])</f>
        <v>26-35</v>
      </c>
      <c r="L189" s="1">
        <f>_xlfn.XLOOKUP(F189,customers[customer_id],customers[signup_date])</f>
        <v>45817</v>
      </c>
      <c r="M189">
        <f>sales[[#This Row],[sale_date]]-sales[[#This Row],[sighnup_date]]</f>
        <v>4</v>
      </c>
      <c r="N189" t="str">
        <f t="shared" si="2"/>
        <v>new customer</v>
      </c>
      <c r="O189" t="str">
        <f>_xlfn.XLOOKUP(A189,salesitems[sale_id],salesitems[category])</f>
        <v>T-Shirts</v>
      </c>
    </row>
    <row r="190" spans="1:15" x14ac:dyDescent="0.45">
      <c r="A190">
        <v>125</v>
      </c>
      <c r="B190" t="s">
        <v>15</v>
      </c>
      <c r="C190">
        <v>0</v>
      </c>
      <c r="D190">
        <v>391.31</v>
      </c>
      <c r="E190" s="1">
        <v>45783</v>
      </c>
      <c r="F190">
        <v>601</v>
      </c>
      <c r="G190" t="s">
        <v>36</v>
      </c>
      <c r="H190" t="str">
        <f>TEXT(sales[[#This Row],[sale_date]],"dddd")</f>
        <v>Tuesday</v>
      </c>
      <c r="I190">
        <f>_xlfn.XLOOKUP(A190,salesitems[sale_id],salesitems[revenue],0)</f>
        <v>47.73</v>
      </c>
      <c r="J190">
        <v>1</v>
      </c>
      <c r="K190" s="10" t="str">
        <f>_xlfn.XLOOKUP(F190,customers[customer_id],customers[age_range])</f>
        <v>56-65</v>
      </c>
      <c r="L190" s="1">
        <f>_xlfn.XLOOKUP(F190,customers[customer_id],customers[signup_date])</f>
        <v>45760</v>
      </c>
      <c r="M190">
        <f>sales[[#This Row],[sale_date]]-sales[[#This Row],[sighnup_date]]</f>
        <v>23</v>
      </c>
      <c r="N190" t="str">
        <f t="shared" si="2"/>
        <v>new customer</v>
      </c>
      <c r="O190" t="str">
        <f>_xlfn.XLOOKUP(A190,salesitems[sale_id],salesitems[category])</f>
        <v>Pants</v>
      </c>
    </row>
    <row r="191" spans="1:15" x14ac:dyDescent="0.45">
      <c r="A191">
        <v>1251</v>
      </c>
      <c r="B191" t="s">
        <v>15</v>
      </c>
      <c r="C191">
        <v>0</v>
      </c>
      <c r="D191">
        <v>202.77</v>
      </c>
      <c r="E191" s="1">
        <v>45777</v>
      </c>
      <c r="F191">
        <v>662</v>
      </c>
      <c r="G191" t="s">
        <v>33</v>
      </c>
      <c r="H191" t="str">
        <f>TEXT(sales[[#This Row],[sale_date]],"dddd")</f>
        <v>Wednesday</v>
      </c>
      <c r="I191">
        <f>_xlfn.XLOOKUP(A191,salesitems[sale_id],salesitems[revenue],0)</f>
        <v>50.72</v>
      </c>
      <c r="J191">
        <v>1</v>
      </c>
      <c r="K191" s="10" t="str">
        <f>_xlfn.XLOOKUP(F191,customers[customer_id],customers[age_range])</f>
        <v>36-45</v>
      </c>
      <c r="L191" s="1">
        <f>_xlfn.XLOOKUP(F191,customers[customer_id],customers[signup_date])</f>
        <v>45721</v>
      </c>
      <c r="M191">
        <f>sales[[#This Row],[sale_date]]-sales[[#This Row],[sighnup_date]]</f>
        <v>56</v>
      </c>
      <c r="N191" t="str">
        <f t="shared" si="2"/>
        <v>new customer</v>
      </c>
      <c r="O191" t="str">
        <f>_xlfn.XLOOKUP(A191,salesitems[sale_id],salesitems[category])</f>
        <v>T-Shirts</v>
      </c>
    </row>
    <row r="192" spans="1:15" x14ac:dyDescent="0.45">
      <c r="A192">
        <v>1252</v>
      </c>
      <c r="B192" t="s">
        <v>21</v>
      </c>
      <c r="C192">
        <v>0</v>
      </c>
      <c r="D192">
        <v>429.24</v>
      </c>
      <c r="E192" s="1">
        <v>45776</v>
      </c>
      <c r="F192">
        <v>986</v>
      </c>
      <c r="G192" t="s">
        <v>31</v>
      </c>
      <c r="H192" t="str">
        <f>TEXT(sales[[#This Row],[sale_date]],"dddd")</f>
        <v>Tuesday</v>
      </c>
      <c r="I192">
        <f>_xlfn.XLOOKUP(A192,salesitems[sale_id],salesitems[revenue],0)</f>
        <v>127.44</v>
      </c>
      <c r="J192">
        <v>1</v>
      </c>
      <c r="K192" s="10" t="str">
        <f>_xlfn.XLOOKUP(F192,customers[customer_id],customers[age_range])</f>
        <v>16-25</v>
      </c>
      <c r="L192" s="1">
        <f>_xlfn.XLOOKUP(F192,customers[customer_id],customers[signup_date])</f>
        <v>45740</v>
      </c>
      <c r="M192">
        <f>sales[[#This Row],[sale_date]]-sales[[#This Row],[sighnup_date]]</f>
        <v>36</v>
      </c>
      <c r="N192" t="str">
        <f t="shared" si="2"/>
        <v>new customer</v>
      </c>
      <c r="O192" t="str">
        <f>_xlfn.XLOOKUP(A192,salesitems[sale_id],salesitems[category])</f>
        <v>Dresses</v>
      </c>
    </row>
    <row r="193" spans="1:15" x14ac:dyDescent="0.45">
      <c r="A193">
        <v>1253</v>
      </c>
      <c r="B193" t="s">
        <v>21</v>
      </c>
      <c r="C193">
        <v>0</v>
      </c>
      <c r="D193">
        <v>289.93</v>
      </c>
      <c r="E193" s="1">
        <v>45771</v>
      </c>
      <c r="F193">
        <v>611</v>
      </c>
      <c r="G193" t="s">
        <v>34</v>
      </c>
      <c r="H193" t="str">
        <f>TEXT(sales[[#This Row],[sale_date]],"dddd")</f>
        <v>Thursday</v>
      </c>
      <c r="I193">
        <f>_xlfn.XLOOKUP(A193,salesitems[sale_id],salesitems[revenue],0)</f>
        <v>26.41</v>
      </c>
      <c r="J193">
        <v>1</v>
      </c>
      <c r="K193" s="10" t="str">
        <f>_xlfn.XLOOKUP(F193,customers[customer_id],customers[age_range])</f>
        <v>36-45</v>
      </c>
      <c r="L193" s="1">
        <f>_xlfn.XLOOKUP(F193,customers[customer_id],customers[signup_date])</f>
        <v>45765</v>
      </c>
      <c r="M193">
        <f>sales[[#This Row],[sale_date]]-sales[[#This Row],[sighnup_date]]</f>
        <v>6</v>
      </c>
      <c r="N193" t="str">
        <f t="shared" si="2"/>
        <v>new customer</v>
      </c>
      <c r="O193" t="str">
        <f>_xlfn.XLOOKUP(A193,salesitems[sale_id],salesitems[category])</f>
        <v>Sleepwear</v>
      </c>
    </row>
    <row r="194" spans="1:15" x14ac:dyDescent="0.45">
      <c r="A194">
        <v>1254</v>
      </c>
      <c r="B194" t="s">
        <v>15</v>
      </c>
      <c r="C194">
        <v>0</v>
      </c>
      <c r="D194">
        <v>492.02</v>
      </c>
      <c r="E194" s="1">
        <v>45803</v>
      </c>
      <c r="F194">
        <v>103</v>
      </c>
      <c r="G194" t="s">
        <v>28</v>
      </c>
      <c r="H194" t="str">
        <f>TEXT(sales[[#This Row],[sale_date]],"dddd")</f>
        <v>Monday</v>
      </c>
      <c r="I194">
        <f>_xlfn.XLOOKUP(A194,salesitems[sale_id],salesitems[revenue],0)</f>
        <v>131.52000000000001</v>
      </c>
      <c r="J194">
        <v>1</v>
      </c>
      <c r="K194" s="10" t="str">
        <f>_xlfn.XLOOKUP(F194,customers[customer_id],customers[age_range])</f>
        <v>56-65</v>
      </c>
      <c r="L194" s="1">
        <f>_xlfn.XLOOKUP(F194,customers[customer_id],customers[signup_date])</f>
        <v>45705</v>
      </c>
      <c r="M194">
        <f>sales[[#This Row],[sale_date]]-sales[[#This Row],[sighnup_date]]</f>
        <v>98</v>
      </c>
      <c r="N194" t="str">
        <f t="shared" ref="N194:N257" si="3">IF(M194&lt;0,"data issue",IF(M194&lt;=90,"new customer","existing customer"))</f>
        <v>existing customer</v>
      </c>
      <c r="O194" t="str">
        <f>_xlfn.XLOOKUP(A194,salesitems[sale_id],salesitems[category])</f>
        <v>Dresses</v>
      </c>
    </row>
    <row r="195" spans="1:15" x14ac:dyDescent="0.45">
      <c r="A195">
        <v>1255</v>
      </c>
      <c r="B195" t="s">
        <v>15</v>
      </c>
      <c r="C195">
        <v>0</v>
      </c>
      <c r="D195">
        <v>104.81</v>
      </c>
      <c r="E195" s="1">
        <v>45763</v>
      </c>
      <c r="F195">
        <v>464</v>
      </c>
      <c r="G195" t="s">
        <v>36</v>
      </c>
      <c r="H195" t="str">
        <f>TEXT(sales[[#This Row],[sale_date]],"dddd")</f>
        <v>Wednesday</v>
      </c>
      <c r="I195">
        <f>_xlfn.XLOOKUP(A195,salesitems[sale_id],salesitems[revenue],0)</f>
        <v>80.760000000000005</v>
      </c>
      <c r="J195">
        <v>1</v>
      </c>
      <c r="K195" s="10" t="str">
        <f>_xlfn.XLOOKUP(F195,customers[customer_id],customers[age_range])</f>
        <v>36-45</v>
      </c>
      <c r="L195" s="1">
        <f>_xlfn.XLOOKUP(F195,customers[customer_id],customers[signup_date])</f>
        <v>45761</v>
      </c>
      <c r="M195">
        <f>sales[[#This Row],[sale_date]]-sales[[#This Row],[sighnup_date]]</f>
        <v>2</v>
      </c>
      <c r="N195" t="str">
        <f t="shared" si="3"/>
        <v>new customer</v>
      </c>
      <c r="O195" t="str">
        <f>_xlfn.XLOOKUP(A195,salesitems[sale_id],salesitems[category])</f>
        <v>Pants</v>
      </c>
    </row>
    <row r="196" spans="1:15" x14ac:dyDescent="0.45">
      <c r="A196">
        <v>1256</v>
      </c>
      <c r="B196" t="s">
        <v>15</v>
      </c>
      <c r="C196">
        <v>0</v>
      </c>
      <c r="D196">
        <v>211.32</v>
      </c>
      <c r="E196" s="1">
        <v>45763</v>
      </c>
      <c r="F196">
        <v>393</v>
      </c>
      <c r="G196" t="s">
        <v>28</v>
      </c>
      <c r="H196" t="str">
        <f>TEXT(sales[[#This Row],[sale_date]],"dddd")</f>
        <v>Wednesday</v>
      </c>
      <c r="I196">
        <f>_xlfn.XLOOKUP(A196,salesitems[sale_id],salesitems[revenue],0)</f>
        <v>53.27</v>
      </c>
      <c r="J196">
        <v>1</v>
      </c>
      <c r="K196" s="10" t="str">
        <f>_xlfn.XLOOKUP(F196,customers[customer_id],customers[age_range])</f>
        <v>46-55</v>
      </c>
      <c r="L196" s="1">
        <f>_xlfn.XLOOKUP(F196,customers[customer_id],customers[signup_date])</f>
        <v>45756</v>
      </c>
      <c r="M196">
        <f>sales[[#This Row],[sale_date]]-sales[[#This Row],[sighnup_date]]</f>
        <v>7</v>
      </c>
      <c r="N196" t="str">
        <f t="shared" si="3"/>
        <v>new customer</v>
      </c>
      <c r="O196" t="str">
        <f>_xlfn.XLOOKUP(A196,salesitems[sale_id],salesitems[category])</f>
        <v>Dresses</v>
      </c>
    </row>
    <row r="197" spans="1:15" x14ac:dyDescent="0.45">
      <c r="A197">
        <v>1257</v>
      </c>
      <c r="B197" t="s">
        <v>21</v>
      </c>
      <c r="C197">
        <v>0</v>
      </c>
      <c r="D197">
        <v>420.75</v>
      </c>
      <c r="E197" s="1">
        <v>45804</v>
      </c>
      <c r="F197">
        <v>510</v>
      </c>
      <c r="G197" t="s">
        <v>28</v>
      </c>
      <c r="H197" t="str">
        <f>TEXT(sales[[#This Row],[sale_date]],"dddd")</f>
        <v>Tuesday</v>
      </c>
      <c r="I197">
        <f>_xlfn.XLOOKUP(A197,salesitems[sale_id],salesitems[revenue],0)</f>
        <v>78.400000000000006</v>
      </c>
      <c r="J197">
        <v>1</v>
      </c>
      <c r="K197" s="10" t="str">
        <f>_xlfn.XLOOKUP(F197,customers[customer_id],customers[age_range])</f>
        <v>16-25</v>
      </c>
      <c r="L197" s="1">
        <f>_xlfn.XLOOKUP(F197,customers[customer_id],customers[signup_date])</f>
        <v>45734</v>
      </c>
      <c r="M197">
        <f>sales[[#This Row],[sale_date]]-sales[[#This Row],[sighnup_date]]</f>
        <v>70</v>
      </c>
      <c r="N197" t="str">
        <f t="shared" si="3"/>
        <v>new customer</v>
      </c>
      <c r="O197" t="str">
        <f>_xlfn.XLOOKUP(A197,salesitems[sale_id],salesitems[category])</f>
        <v>Dresses</v>
      </c>
    </row>
    <row r="198" spans="1:15" x14ac:dyDescent="0.45">
      <c r="A198">
        <v>1258</v>
      </c>
      <c r="B198" t="s">
        <v>15</v>
      </c>
      <c r="C198">
        <v>0</v>
      </c>
      <c r="D198">
        <v>436.16</v>
      </c>
      <c r="E198" s="1">
        <v>45799</v>
      </c>
      <c r="F198">
        <v>5</v>
      </c>
      <c r="G198" t="s">
        <v>34</v>
      </c>
      <c r="H198" t="str">
        <f>TEXT(sales[[#This Row],[sale_date]],"dddd")</f>
        <v>Thursday</v>
      </c>
      <c r="I198">
        <f>_xlfn.XLOOKUP(A198,salesitems[sale_id],salesitems[revenue],0)</f>
        <v>265.52</v>
      </c>
      <c r="J198">
        <v>1</v>
      </c>
      <c r="K198" s="10" t="str">
        <f>_xlfn.XLOOKUP(F198,customers[customer_id],customers[age_range])</f>
        <v>26-35</v>
      </c>
      <c r="L198" s="1">
        <f>_xlfn.XLOOKUP(F198,customers[customer_id],customers[signup_date])</f>
        <v>45773</v>
      </c>
      <c r="M198">
        <f>sales[[#This Row],[sale_date]]-sales[[#This Row],[sighnup_date]]</f>
        <v>26</v>
      </c>
      <c r="N198" t="str">
        <f t="shared" si="3"/>
        <v>new customer</v>
      </c>
      <c r="O198" t="str">
        <f>_xlfn.XLOOKUP(A198,salesitems[sale_id],salesitems[category])</f>
        <v>Sleepwear</v>
      </c>
    </row>
    <row r="199" spans="1:15" x14ac:dyDescent="0.45">
      <c r="A199">
        <v>1259</v>
      </c>
      <c r="B199" t="s">
        <v>21</v>
      </c>
      <c r="C199">
        <v>0</v>
      </c>
      <c r="D199">
        <v>296.24</v>
      </c>
      <c r="E199" s="1">
        <v>45762</v>
      </c>
      <c r="F199">
        <v>762</v>
      </c>
      <c r="G199" t="s">
        <v>34</v>
      </c>
      <c r="H199" t="str">
        <f>TEXT(sales[[#This Row],[sale_date]],"dddd")</f>
        <v>Tuesday</v>
      </c>
      <c r="I199">
        <f>_xlfn.XLOOKUP(A199,salesitems[sale_id],salesitems[revenue],0)</f>
        <v>95.18</v>
      </c>
      <c r="J199">
        <v>1</v>
      </c>
      <c r="K199" s="10" t="str">
        <f>_xlfn.XLOOKUP(F199,customers[customer_id],customers[age_range])</f>
        <v>36-45</v>
      </c>
      <c r="L199" s="1">
        <f>_xlfn.XLOOKUP(F199,customers[customer_id],customers[signup_date])</f>
        <v>45741</v>
      </c>
      <c r="M199">
        <f>sales[[#This Row],[sale_date]]-sales[[#This Row],[sighnup_date]]</f>
        <v>21</v>
      </c>
      <c r="N199" t="str">
        <f t="shared" si="3"/>
        <v>new customer</v>
      </c>
      <c r="O199" t="str">
        <f>_xlfn.XLOOKUP(A199,salesitems[sale_id],salesitems[category])</f>
        <v>Dresses</v>
      </c>
    </row>
    <row r="200" spans="1:15" x14ac:dyDescent="0.45">
      <c r="A200">
        <v>126</v>
      </c>
      <c r="B200" t="s">
        <v>21</v>
      </c>
      <c r="C200">
        <v>0</v>
      </c>
      <c r="D200">
        <v>484.47</v>
      </c>
      <c r="E200" s="1">
        <v>45792</v>
      </c>
      <c r="F200">
        <v>476</v>
      </c>
      <c r="G200" t="s">
        <v>36</v>
      </c>
      <c r="H200" t="str">
        <f>TEXT(sales[[#This Row],[sale_date]],"dddd")</f>
        <v>Thursday</v>
      </c>
      <c r="I200">
        <f>_xlfn.XLOOKUP(A200,salesitems[sale_id],salesitems[revenue],0)</f>
        <v>72.680000000000007</v>
      </c>
      <c r="J200">
        <v>1</v>
      </c>
      <c r="K200" s="10" t="str">
        <f>_xlfn.XLOOKUP(F200,customers[customer_id],customers[age_range])</f>
        <v>56-65</v>
      </c>
      <c r="L200" s="1">
        <f>_xlfn.XLOOKUP(F200,customers[customer_id],customers[signup_date])</f>
        <v>45719</v>
      </c>
      <c r="M200">
        <f>sales[[#This Row],[sale_date]]-sales[[#This Row],[sighnup_date]]</f>
        <v>73</v>
      </c>
      <c r="N200" t="str">
        <f t="shared" si="3"/>
        <v>new customer</v>
      </c>
      <c r="O200" t="str">
        <f>_xlfn.XLOOKUP(A200,salesitems[sale_id],salesitems[category])</f>
        <v>Dresses</v>
      </c>
    </row>
    <row r="201" spans="1:15" x14ac:dyDescent="0.45">
      <c r="A201">
        <v>1262</v>
      </c>
      <c r="B201" t="s">
        <v>21</v>
      </c>
      <c r="C201">
        <v>0</v>
      </c>
      <c r="D201">
        <v>345.74</v>
      </c>
      <c r="E201" s="1">
        <v>45775</v>
      </c>
      <c r="F201">
        <v>456</v>
      </c>
      <c r="G201" t="s">
        <v>33</v>
      </c>
      <c r="H201" t="str">
        <f>TEXT(sales[[#This Row],[sale_date]],"dddd")</f>
        <v>Monday</v>
      </c>
      <c r="I201">
        <f>_xlfn.XLOOKUP(A201,salesitems[sale_id],salesitems[revenue],0)</f>
        <v>179.7</v>
      </c>
      <c r="J201">
        <v>1</v>
      </c>
      <c r="K201" s="10" t="str">
        <f>_xlfn.XLOOKUP(F201,customers[customer_id],customers[age_range])</f>
        <v>26-35</v>
      </c>
      <c r="L201" s="1">
        <f>_xlfn.XLOOKUP(F201,customers[customer_id],customers[signup_date])</f>
        <v>45688</v>
      </c>
      <c r="M201">
        <f>sales[[#This Row],[sale_date]]-sales[[#This Row],[sighnup_date]]</f>
        <v>87</v>
      </c>
      <c r="N201" t="str">
        <f t="shared" si="3"/>
        <v>new customer</v>
      </c>
      <c r="O201" t="str">
        <f>_xlfn.XLOOKUP(A201,salesitems[sale_id],salesitems[category])</f>
        <v>Pants</v>
      </c>
    </row>
    <row r="202" spans="1:15" x14ac:dyDescent="0.45">
      <c r="A202">
        <v>1263</v>
      </c>
      <c r="B202" t="s">
        <v>15</v>
      </c>
      <c r="C202">
        <v>0</v>
      </c>
      <c r="D202">
        <v>230.86</v>
      </c>
      <c r="E202" s="1">
        <v>45769</v>
      </c>
      <c r="F202">
        <v>974</v>
      </c>
      <c r="G202" t="s">
        <v>33</v>
      </c>
      <c r="H202" t="str">
        <f>TEXT(sales[[#This Row],[sale_date]],"dddd")</f>
        <v>Tuesday</v>
      </c>
      <c r="I202">
        <f>_xlfn.XLOOKUP(A202,salesitems[sale_id],salesitems[revenue],0)</f>
        <v>94.94</v>
      </c>
      <c r="J202">
        <v>1</v>
      </c>
      <c r="K202" s="10" t="str">
        <f>_xlfn.XLOOKUP(F202,customers[customer_id],customers[age_range])</f>
        <v>26-35</v>
      </c>
      <c r="L202" s="1">
        <f>_xlfn.XLOOKUP(F202,customers[customer_id],customers[signup_date])</f>
        <v>45810</v>
      </c>
      <c r="M202">
        <f>sales[[#This Row],[sale_date]]-sales[[#This Row],[sighnup_date]]</f>
        <v>-41</v>
      </c>
      <c r="N202" t="str">
        <f t="shared" si="3"/>
        <v>data issue</v>
      </c>
      <c r="O202" t="str">
        <f>_xlfn.XLOOKUP(A202,salesitems[sale_id],salesitems[category])</f>
        <v>Sleepwear</v>
      </c>
    </row>
    <row r="203" spans="1:15" x14ac:dyDescent="0.45">
      <c r="A203">
        <v>1265</v>
      </c>
      <c r="B203" t="s">
        <v>21</v>
      </c>
      <c r="C203">
        <v>0</v>
      </c>
      <c r="D203">
        <v>447.76</v>
      </c>
      <c r="E203" s="1">
        <v>45798</v>
      </c>
      <c r="F203">
        <v>116</v>
      </c>
      <c r="G203" t="s">
        <v>31</v>
      </c>
      <c r="H203" t="str">
        <f>TEXT(sales[[#This Row],[sale_date]],"dddd")</f>
        <v>Wednesday</v>
      </c>
      <c r="I203">
        <f>_xlfn.XLOOKUP(A203,salesitems[sale_id],salesitems[revenue],0)</f>
        <v>127.36</v>
      </c>
      <c r="J203">
        <v>1</v>
      </c>
      <c r="K203" s="10" t="str">
        <f>_xlfn.XLOOKUP(F203,customers[customer_id],customers[age_range])</f>
        <v>56-65</v>
      </c>
      <c r="L203" s="1">
        <f>_xlfn.XLOOKUP(F203,customers[customer_id],customers[signup_date])</f>
        <v>45715</v>
      </c>
      <c r="M203">
        <f>sales[[#This Row],[sale_date]]-sales[[#This Row],[sighnup_date]]</f>
        <v>83</v>
      </c>
      <c r="N203" t="str">
        <f t="shared" si="3"/>
        <v>new customer</v>
      </c>
      <c r="O203" t="str">
        <f>_xlfn.XLOOKUP(A203,salesitems[sale_id],salesitems[category])</f>
        <v>Shoes</v>
      </c>
    </row>
    <row r="204" spans="1:15" x14ac:dyDescent="0.45">
      <c r="A204">
        <v>1268</v>
      </c>
      <c r="B204" t="s">
        <v>21</v>
      </c>
      <c r="C204">
        <v>0</v>
      </c>
      <c r="D204">
        <v>313.3</v>
      </c>
      <c r="E204" s="1">
        <v>45795</v>
      </c>
      <c r="F204">
        <v>767</v>
      </c>
      <c r="G204" t="s">
        <v>31</v>
      </c>
      <c r="H204" t="str">
        <f>TEXT(sales[[#This Row],[sale_date]],"dddd")</f>
        <v>Sunday</v>
      </c>
      <c r="I204">
        <f>_xlfn.XLOOKUP(A204,salesitems[sale_id],salesitems[revenue],0)</f>
        <v>102.8</v>
      </c>
      <c r="J204">
        <v>1</v>
      </c>
      <c r="K204" s="10" t="str">
        <f>_xlfn.XLOOKUP(F204,customers[customer_id],customers[age_range])</f>
        <v>36-45</v>
      </c>
      <c r="L204" s="1">
        <f>_xlfn.XLOOKUP(F204,customers[customer_id],customers[signup_date])</f>
        <v>45778</v>
      </c>
      <c r="M204">
        <f>sales[[#This Row],[sale_date]]-sales[[#This Row],[sighnup_date]]</f>
        <v>17</v>
      </c>
      <c r="N204" t="str">
        <f t="shared" si="3"/>
        <v>new customer</v>
      </c>
      <c r="O204" t="str">
        <f>_xlfn.XLOOKUP(A204,salesitems[sale_id],salesitems[category])</f>
        <v>Sleepwear</v>
      </c>
    </row>
    <row r="205" spans="1:15" x14ac:dyDescent="0.45">
      <c r="A205">
        <v>1269</v>
      </c>
      <c r="B205" t="s">
        <v>15</v>
      </c>
      <c r="C205">
        <v>0</v>
      </c>
      <c r="D205">
        <v>159.58000000000001</v>
      </c>
      <c r="E205" s="1">
        <v>45822</v>
      </c>
      <c r="F205">
        <v>930</v>
      </c>
      <c r="G205" t="s">
        <v>31</v>
      </c>
      <c r="H205" t="str">
        <f>TEXT(sales[[#This Row],[sale_date]],"dddd")</f>
        <v>Saturday</v>
      </c>
      <c r="I205">
        <f>_xlfn.XLOOKUP(A205,salesitems[sale_id],salesitems[revenue],0)</f>
        <v>49.84</v>
      </c>
      <c r="J205">
        <v>1</v>
      </c>
      <c r="K205" s="10" t="str">
        <f>_xlfn.XLOOKUP(F205,customers[customer_id],customers[age_range])</f>
        <v>46-55</v>
      </c>
      <c r="L205" s="1">
        <f>_xlfn.XLOOKUP(F205,customers[customer_id],customers[signup_date])</f>
        <v>45703</v>
      </c>
      <c r="M205">
        <f>sales[[#This Row],[sale_date]]-sales[[#This Row],[sighnup_date]]</f>
        <v>119</v>
      </c>
      <c r="N205" t="str">
        <f t="shared" si="3"/>
        <v>existing customer</v>
      </c>
      <c r="O205" t="str">
        <f>_xlfn.XLOOKUP(A205,salesitems[sale_id],salesitems[category])</f>
        <v>Shoes</v>
      </c>
    </row>
    <row r="206" spans="1:15" x14ac:dyDescent="0.45">
      <c r="A206">
        <v>127</v>
      </c>
      <c r="B206" t="s">
        <v>15</v>
      </c>
      <c r="C206">
        <v>0</v>
      </c>
      <c r="D206">
        <v>566.98</v>
      </c>
      <c r="E206" s="1">
        <v>45760</v>
      </c>
      <c r="F206">
        <v>490</v>
      </c>
      <c r="G206" t="s">
        <v>36</v>
      </c>
      <c r="H206" t="str">
        <f>TEXT(sales[[#This Row],[sale_date]],"dddd")</f>
        <v>Sunday</v>
      </c>
      <c r="I206">
        <f>_xlfn.XLOOKUP(A206,salesitems[sale_id],salesitems[revenue],0)</f>
        <v>58.67</v>
      </c>
      <c r="J206">
        <v>1</v>
      </c>
      <c r="K206" s="10" t="str">
        <f>_xlfn.XLOOKUP(F206,customers[customer_id],customers[age_range])</f>
        <v>56-65</v>
      </c>
      <c r="L206" s="1">
        <f>_xlfn.XLOOKUP(F206,customers[customer_id],customers[signup_date])</f>
        <v>45679</v>
      </c>
      <c r="M206">
        <f>sales[[#This Row],[sale_date]]-sales[[#This Row],[sighnup_date]]</f>
        <v>81</v>
      </c>
      <c r="N206" t="str">
        <f t="shared" si="3"/>
        <v>new customer</v>
      </c>
      <c r="O206" t="str">
        <f>_xlfn.XLOOKUP(A206,salesitems[sale_id],salesitems[category])</f>
        <v>Sleepwear</v>
      </c>
    </row>
    <row r="207" spans="1:15" x14ac:dyDescent="0.45">
      <c r="A207">
        <v>1270</v>
      </c>
      <c r="B207" t="s">
        <v>15</v>
      </c>
      <c r="C207">
        <v>0</v>
      </c>
      <c r="D207">
        <v>295.25</v>
      </c>
      <c r="E207" s="1">
        <v>45771</v>
      </c>
      <c r="F207">
        <v>459</v>
      </c>
      <c r="G207" t="s">
        <v>28</v>
      </c>
      <c r="H207" t="str">
        <f>TEXT(sales[[#This Row],[sale_date]],"dddd")</f>
        <v>Thursday</v>
      </c>
      <c r="I207">
        <f>_xlfn.XLOOKUP(A207,salesitems[sale_id],salesitems[revenue],0)</f>
        <v>187.6</v>
      </c>
      <c r="J207">
        <v>1</v>
      </c>
      <c r="K207" s="10" t="str">
        <f>_xlfn.XLOOKUP(F207,customers[customer_id],customers[age_range])</f>
        <v>46-55</v>
      </c>
      <c r="L207" s="1">
        <f>_xlfn.XLOOKUP(F207,customers[customer_id],customers[signup_date])</f>
        <v>45765</v>
      </c>
      <c r="M207">
        <f>sales[[#This Row],[sale_date]]-sales[[#This Row],[sighnup_date]]</f>
        <v>6</v>
      </c>
      <c r="N207" t="str">
        <f t="shared" si="3"/>
        <v>new customer</v>
      </c>
      <c r="O207" t="str">
        <f>_xlfn.XLOOKUP(A207,salesitems[sale_id],salesitems[category])</f>
        <v>Shoes</v>
      </c>
    </row>
    <row r="208" spans="1:15" x14ac:dyDescent="0.45">
      <c r="A208">
        <v>1271</v>
      </c>
      <c r="B208" t="s">
        <v>21</v>
      </c>
      <c r="C208">
        <v>0</v>
      </c>
      <c r="D208">
        <v>314.70999999999998</v>
      </c>
      <c r="E208" s="1">
        <v>45781</v>
      </c>
      <c r="F208">
        <v>633</v>
      </c>
      <c r="G208" t="s">
        <v>34</v>
      </c>
      <c r="H208" t="str">
        <f>TEXT(sales[[#This Row],[sale_date]],"dddd")</f>
        <v>Sunday</v>
      </c>
      <c r="I208">
        <f>_xlfn.XLOOKUP(A208,salesitems[sale_id],salesitems[revenue],0)</f>
        <v>136.26</v>
      </c>
      <c r="J208">
        <v>1</v>
      </c>
      <c r="K208" s="10" t="str">
        <f>_xlfn.XLOOKUP(F208,customers[customer_id],customers[age_range])</f>
        <v>56-65</v>
      </c>
      <c r="L208" s="1">
        <f>_xlfn.XLOOKUP(F208,customers[customer_id],customers[signup_date])</f>
        <v>45727</v>
      </c>
      <c r="M208">
        <f>sales[[#This Row],[sale_date]]-sales[[#This Row],[sighnup_date]]</f>
        <v>54</v>
      </c>
      <c r="N208" t="str">
        <f t="shared" si="3"/>
        <v>new customer</v>
      </c>
      <c r="O208" t="str">
        <f>_xlfn.XLOOKUP(A208,salesitems[sale_id],salesitems[category])</f>
        <v>Dresses</v>
      </c>
    </row>
    <row r="209" spans="1:15" x14ac:dyDescent="0.45">
      <c r="A209">
        <v>1272</v>
      </c>
      <c r="B209" t="s">
        <v>15</v>
      </c>
      <c r="C209">
        <v>0</v>
      </c>
      <c r="D209">
        <v>188.26</v>
      </c>
      <c r="E209" s="1">
        <v>45762</v>
      </c>
      <c r="F209">
        <v>254</v>
      </c>
      <c r="G209" t="s">
        <v>33</v>
      </c>
      <c r="H209" t="str">
        <f>TEXT(sales[[#This Row],[sale_date]],"dddd")</f>
        <v>Tuesday</v>
      </c>
      <c r="I209">
        <f>_xlfn.XLOOKUP(A209,salesitems[sale_id],salesitems[revenue],0)</f>
        <v>66.680000000000007</v>
      </c>
      <c r="J209">
        <v>1</v>
      </c>
      <c r="K209" s="10" t="str">
        <f>_xlfn.XLOOKUP(F209,customers[customer_id],customers[age_range])</f>
        <v>36-45</v>
      </c>
      <c r="L209" s="1">
        <f>_xlfn.XLOOKUP(F209,customers[customer_id],customers[signup_date])</f>
        <v>45768</v>
      </c>
      <c r="M209">
        <f>sales[[#This Row],[sale_date]]-sales[[#This Row],[sighnup_date]]</f>
        <v>-6</v>
      </c>
      <c r="N209" t="str">
        <f t="shared" si="3"/>
        <v>data issue</v>
      </c>
      <c r="O209" t="str">
        <f>_xlfn.XLOOKUP(A209,salesitems[sale_id],salesitems[category])</f>
        <v>Shoes</v>
      </c>
    </row>
    <row r="210" spans="1:15" x14ac:dyDescent="0.45">
      <c r="A210">
        <v>1273</v>
      </c>
      <c r="B210" t="s">
        <v>15</v>
      </c>
      <c r="C210">
        <v>0</v>
      </c>
      <c r="D210">
        <v>286.62</v>
      </c>
      <c r="E210" s="1">
        <v>45801</v>
      </c>
      <c r="F210">
        <v>510</v>
      </c>
      <c r="G210" t="s">
        <v>28</v>
      </c>
      <c r="H210" t="str">
        <f>TEXT(sales[[#This Row],[sale_date]],"dddd")</f>
        <v>Saturday</v>
      </c>
      <c r="I210">
        <f>_xlfn.XLOOKUP(A210,salesitems[sale_id],salesitems[revenue],0)</f>
        <v>78.180000000000007</v>
      </c>
      <c r="J210">
        <v>1</v>
      </c>
      <c r="K210" s="10" t="str">
        <f>_xlfn.XLOOKUP(F210,customers[customer_id],customers[age_range])</f>
        <v>16-25</v>
      </c>
      <c r="L210" s="1">
        <f>_xlfn.XLOOKUP(F210,customers[customer_id],customers[signup_date])</f>
        <v>45734</v>
      </c>
      <c r="M210">
        <f>sales[[#This Row],[sale_date]]-sales[[#This Row],[sighnup_date]]</f>
        <v>67</v>
      </c>
      <c r="N210" t="str">
        <f t="shared" si="3"/>
        <v>new customer</v>
      </c>
      <c r="O210" t="str">
        <f>_xlfn.XLOOKUP(A210,salesitems[sale_id],salesitems[category])</f>
        <v>Dresses</v>
      </c>
    </row>
    <row r="211" spans="1:15" x14ac:dyDescent="0.45">
      <c r="A211">
        <v>1275</v>
      </c>
      <c r="B211" t="s">
        <v>15</v>
      </c>
      <c r="C211">
        <v>0</v>
      </c>
      <c r="D211">
        <v>323.54000000000002</v>
      </c>
      <c r="E211" s="1">
        <v>45751</v>
      </c>
      <c r="F211">
        <v>655</v>
      </c>
      <c r="G211" t="s">
        <v>33</v>
      </c>
      <c r="H211" t="str">
        <f>TEXT(sales[[#This Row],[sale_date]],"dddd")</f>
        <v>Friday</v>
      </c>
      <c r="I211">
        <f>_xlfn.XLOOKUP(A211,salesitems[sale_id],salesitems[revenue],0)</f>
        <v>103.94</v>
      </c>
      <c r="J211">
        <v>1</v>
      </c>
      <c r="K211" s="10" t="str">
        <f>_xlfn.XLOOKUP(F211,customers[customer_id],customers[age_range])</f>
        <v>56-65</v>
      </c>
      <c r="L211" s="1">
        <f>_xlfn.XLOOKUP(F211,customers[customer_id],customers[signup_date])</f>
        <v>45736</v>
      </c>
      <c r="M211">
        <f>sales[[#This Row],[sale_date]]-sales[[#This Row],[sighnup_date]]</f>
        <v>15</v>
      </c>
      <c r="N211" t="str">
        <f t="shared" si="3"/>
        <v>new customer</v>
      </c>
      <c r="O211" t="str">
        <f>_xlfn.XLOOKUP(A211,salesitems[sale_id],salesitems[category])</f>
        <v>Dresses</v>
      </c>
    </row>
    <row r="212" spans="1:15" x14ac:dyDescent="0.45">
      <c r="A212">
        <v>1276</v>
      </c>
      <c r="B212" t="s">
        <v>15</v>
      </c>
      <c r="C212">
        <v>0</v>
      </c>
      <c r="D212">
        <v>309.58</v>
      </c>
      <c r="E212" s="1">
        <v>45813</v>
      </c>
      <c r="F212">
        <v>704</v>
      </c>
      <c r="G212" t="s">
        <v>36</v>
      </c>
      <c r="H212" t="str">
        <f>TEXT(sales[[#This Row],[sale_date]],"dddd")</f>
        <v>Thursday</v>
      </c>
      <c r="I212">
        <f>_xlfn.XLOOKUP(A212,salesitems[sale_id],salesitems[revenue],0)</f>
        <v>106.7</v>
      </c>
      <c r="J212">
        <v>1</v>
      </c>
      <c r="K212" s="10" t="str">
        <f>_xlfn.XLOOKUP(F212,customers[customer_id],customers[age_range])</f>
        <v>16-25</v>
      </c>
      <c r="L212" s="1">
        <f>_xlfn.XLOOKUP(F212,customers[customer_id],customers[signup_date])</f>
        <v>45757</v>
      </c>
      <c r="M212">
        <f>sales[[#This Row],[sale_date]]-sales[[#This Row],[sighnup_date]]</f>
        <v>56</v>
      </c>
      <c r="N212" t="str">
        <f t="shared" si="3"/>
        <v>new customer</v>
      </c>
      <c r="O212" t="str">
        <f>_xlfn.XLOOKUP(A212,salesitems[sale_id],salesitems[category])</f>
        <v>Sleepwear</v>
      </c>
    </row>
    <row r="213" spans="1:15" x14ac:dyDescent="0.45">
      <c r="A213">
        <v>1277</v>
      </c>
      <c r="B213" t="s">
        <v>15</v>
      </c>
      <c r="C213">
        <v>0</v>
      </c>
      <c r="D213">
        <v>440.86</v>
      </c>
      <c r="E213" s="1">
        <v>45813</v>
      </c>
      <c r="F213">
        <v>277</v>
      </c>
      <c r="G213" t="s">
        <v>33</v>
      </c>
      <c r="H213" t="str">
        <f>TEXT(sales[[#This Row],[sale_date]],"dddd")</f>
        <v>Thursday</v>
      </c>
      <c r="I213">
        <f>_xlfn.XLOOKUP(A213,salesitems[sale_id],salesitems[revenue],0)</f>
        <v>189.66</v>
      </c>
      <c r="J213">
        <v>1</v>
      </c>
      <c r="K213" s="10" t="str">
        <f>_xlfn.XLOOKUP(F213,customers[customer_id],customers[age_range])</f>
        <v>16-25</v>
      </c>
      <c r="L213" s="1">
        <f>_xlfn.XLOOKUP(F213,customers[customer_id],customers[signup_date])</f>
        <v>45714</v>
      </c>
      <c r="M213">
        <f>sales[[#This Row],[sale_date]]-sales[[#This Row],[sighnup_date]]</f>
        <v>99</v>
      </c>
      <c r="N213" t="str">
        <f t="shared" si="3"/>
        <v>existing customer</v>
      </c>
      <c r="O213" t="str">
        <f>_xlfn.XLOOKUP(A213,salesitems[sale_id],salesitems[category])</f>
        <v>Pants</v>
      </c>
    </row>
    <row r="214" spans="1:15" x14ac:dyDescent="0.45">
      <c r="A214">
        <v>128</v>
      </c>
      <c r="B214" t="s">
        <v>21</v>
      </c>
      <c r="C214">
        <v>0</v>
      </c>
      <c r="D214">
        <v>282.19</v>
      </c>
      <c r="E214" s="1">
        <v>45766</v>
      </c>
      <c r="F214">
        <v>115</v>
      </c>
      <c r="G214" t="s">
        <v>36</v>
      </c>
      <c r="H214" t="str">
        <f>TEXT(sales[[#This Row],[sale_date]],"dddd")</f>
        <v>Saturday</v>
      </c>
      <c r="I214">
        <f>_xlfn.XLOOKUP(A214,salesitems[sale_id],salesitems[revenue],0)</f>
        <v>52.83</v>
      </c>
      <c r="J214">
        <v>1</v>
      </c>
      <c r="K214" s="10" t="str">
        <f>_xlfn.XLOOKUP(F214,customers[customer_id],customers[age_range])</f>
        <v>56-65</v>
      </c>
      <c r="L214" s="1">
        <f>_xlfn.XLOOKUP(F214,customers[customer_id],customers[signup_date])</f>
        <v>45740</v>
      </c>
      <c r="M214">
        <f>sales[[#This Row],[sale_date]]-sales[[#This Row],[sighnup_date]]</f>
        <v>26</v>
      </c>
      <c r="N214" t="str">
        <f t="shared" si="3"/>
        <v>new customer</v>
      </c>
      <c r="O214" t="str">
        <f>_xlfn.XLOOKUP(A214,salesitems[sale_id],salesitems[category])</f>
        <v>Sleepwear</v>
      </c>
    </row>
    <row r="215" spans="1:15" x14ac:dyDescent="0.45">
      <c r="A215">
        <v>1280</v>
      </c>
      <c r="B215" t="s">
        <v>15</v>
      </c>
      <c r="C215">
        <v>0</v>
      </c>
      <c r="D215">
        <v>168.2</v>
      </c>
      <c r="E215" s="1">
        <v>45770</v>
      </c>
      <c r="F215">
        <v>647</v>
      </c>
      <c r="G215" t="s">
        <v>28</v>
      </c>
      <c r="H215" t="str">
        <f>TEXT(sales[[#This Row],[sale_date]],"dddd")</f>
        <v>Wednesday</v>
      </c>
      <c r="I215">
        <f>_xlfn.XLOOKUP(A215,salesitems[sale_id],salesitems[revenue],0)</f>
        <v>90.84</v>
      </c>
      <c r="J215">
        <v>1</v>
      </c>
      <c r="K215" s="10" t="str">
        <f>_xlfn.XLOOKUP(F215,customers[customer_id],customers[age_range])</f>
        <v>16-25</v>
      </c>
      <c r="L215" s="1">
        <f>_xlfn.XLOOKUP(F215,customers[customer_id],customers[signup_date])</f>
        <v>45800</v>
      </c>
      <c r="M215">
        <f>sales[[#This Row],[sale_date]]-sales[[#This Row],[sighnup_date]]</f>
        <v>-30</v>
      </c>
      <c r="N215" t="str">
        <f t="shared" si="3"/>
        <v>data issue</v>
      </c>
      <c r="O215" t="str">
        <f>_xlfn.XLOOKUP(A215,salesitems[sale_id],salesitems[category])</f>
        <v>Dresses</v>
      </c>
    </row>
    <row r="216" spans="1:15" x14ac:dyDescent="0.45">
      <c r="A216">
        <v>1281</v>
      </c>
      <c r="B216" t="s">
        <v>15</v>
      </c>
      <c r="C216">
        <v>0</v>
      </c>
      <c r="D216">
        <v>140.28</v>
      </c>
      <c r="E216" s="1">
        <v>45753</v>
      </c>
      <c r="F216">
        <v>772</v>
      </c>
      <c r="G216" t="s">
        <v>34</v>
      </c>
      <c r="H216" t="str">
        <f>TEXT(sales[[#This Row],[sale_date]],"dddd")</f>
        <v>Sunday</v>
      </c>
      <c r="I216">
        <f>_xlfn.XLOOKUP(A216,salesitems[sale_id],salesitems[revenue],0)</f>
        <v>61.6</v>
      </c>
      <c r="J216">
        <v>1</v>
      </c>
      <c r="K216" s="10" t="str">
        <f>_xlfn.XLOOKUP(F216,customers[customer_id],customers[age_range])</f>
        <v>16-25</v>
      </c>
      <c r="L216" s="1">
        <f>_xlfn.XLOOKUP(F216,customers[customer_id],customers[signup_date])</f>
        <v>45686</v>
      </c>
      <c r="M216">
        <f>sales[[#This Row],[sale_date]]-sales[[#This Row],[sighnup_date]]</f>
        <v>67</v>
      </c>
      <c r="N216" t="str">
        <f t="shared" si="3"/>
        <v>new customer</v>
      </c>
      <c r="O216" t="str">
        <f>_xlfn.XLOOKUP(A216,salesitems[sale_id],salesitems[category])</f>
        <v>Shoes</v>
      </c>
    </row>
    <row r="217" spans="1:15" x14ac:dyDescent="0.45">
      <c r="A217">
        <v>1285</v>
      </c>
      <c r="B217" t="s">
        <v>15</v>
      </c>
      <c r="C217">
        <v>0</v>
      </c>
      <c r="D217">
        <v>395.24</v>
      </c>
      <c r="E217" s="1">
        <v>45808</v>
      </c>
      <c r="F217">
        <v>581</v>
      </c>
      <c r="G217" t="s">
        <v>36</v>
      </c>
      <c r="H217" t="str">
        <f>TEXT(sales[[#This Row],[sale_date]],"dddd")</f>
        <v>Saturday</v>
      </c>
      <c r="I217">
        <f>_xlfn.XLOOKUP(A217,salesitems[sale_id],salesitems[revenue],0)</f>
        <v>166.56</v>
      </c>
      <c r="J217">
        <v>1</v>
      </c>
      <c r="K217" s="10" t="str">
        <f>_xlfn.XLOOKUP(F217,customers[customer_id],customers[age_range])</f>
        <v>56-65</v>
      </c>
      <c r="L217" s="1">
        <f>_xlfn.XLOOKUP(F217,customers[customer_id],customers[signup_date])</f>
        <v>45804</v>
      </c>
      <c r="M217">
        <f>sales[[#This Row],[sale_date]]-sales[[#This Row],[sighnup_date]]</f>
        <v>4</v>
      </c>
      <c r="N217" t="str">
        <f t="shared" si="3"/>
        <v>new customer</v>
      </c>
      <c r="O217" t="str">
        <f>_xlfn.XLOOKUP(A217,salesitems[sale_id],salesitems[category])</f>
        <v>Dresses</v>
      </c>
    </row>
    <row r="218" spans="1:15" x14ac:dyDescent="0.45">
      <c r="A218">
        <v>1286</v>
      </c>
      <c r="B218" t="s">
        <v>21</v>
      </c>
      <c r="C218">
        <v>1</v>
      </c>
      <c r="D218">
        <v>213.94</v>
      </c>
      <c r="E218" s="1">
        <v>45814</v>
      </c>
      <c r="F218">
        <v>628</v>
      </c>
      <c r="G218" t="s">
        <v>28</v>
      </c>
      <c r="H218" t="str">
        <f>TEXT(sales[[#This Row],[sale_date]],"dddd")</f>
        <v>Friday</v>
      </c>
      <c r="I218">
        <f>_xlfn.XLOOKUP(A218,salesitems[sale_id],salesitems[revenue],0)</f>
        <v>53.16</v>
      </c>
      <c r="J218">
        <v>1</v>
      </c>
      <c r="K218" s="10" t="str">
        <f>_xlfn.XLOOKUP(F218,customers[customer_id],customers[age_range])</f>
        <v>46-55</v>
      </c>
      <c r="L218" s="1">
        <f>_xlfn.XLOOKUP(F218,customers[customer_id],customers[signup_date])</f>
        <v>45709</v>
      </c>
      <c r="M218">
        <f>sales[[#This Row],[sale_date]]-sales[[#This Row],[sighnup_date]]</f>
        <v>105</v>
      </c>
      <c r="N218" t="str">
        <f t="shared" si="3"/>
        <v>existing customer</v>
      </c>
      <c r="O218" t="str">
        <f>_xlfn.XLOOKUP(A218,salesitems[sale_id],salesitems[category])</f>
        <v>Pants</v>
      </c>
    </row>
    <row r="219" spans="1:15" x14ac:dyDescent="0.45">
      <c r="A219">
        <v>129</v>
      </c>
      <c r="B219" t="s">
        <v>15</v>
      </c>
      <c r="C219">
        <v>0</v>
      </c>
      <c r="D219">
        <v>442.47</v>
      </c>
      <c r="E219" s="1">
        <v>45803</v>
      </c>
      <c r="F219">
        <v>81</v>
      </c>
      <c r="G219" t="s">
        <v>36</v>
      </c>
      <c r="H219" t="str">
        <f>TEXT(sales[[#This Row],[sale_date]],"dddd")</f>
        <v>Monday</v>
      </c>
      <c r="I219">
        <f>_xlfn.XLOOKUP(A219,salesitems[sale_id],salesitems[revenue],0)</f>
        <v>93.8</v>
      </c>
      <c r="J219">
        <v>1</v>
      </c>
      <c r="K219" s="10" t="str">
        <f>_xlfn.XLOOKUP(F219,customers[customer_id],customers[age_range])</f>
        <v>46-55</v>
      </c>
      <c r="L219" s="1">
        <f>_xlfn.XLOOKUP(F219,customers[customer_id],customers[signup_date])</f>
        <v>45750</v>
      </c>
      <c r="M219">
        <f>sales[[#This Row],[sale_date]]-sales[[#This Row],[sighnup_date]]</f>
        <v>53</v>
      </c>
      <c r="N219" t="str">
        <f t="shared" si="3"/>
        <v>new customer</v>
      </c>
      <c r="O219" t="str">
        <f>_xlfn.XLOOKUP(A219,salesitems[sale_id],salesitems[category])</f>
        <v>Sleepwear</v>
      </c>
    </row>
    <row r="220" spans="1:15" x14ac:dyDescent="0.45">
      <c r="A220">
        <v>1290</v>
      </c>
      <c r="B220" t="s">
        <v>21</v>
      </c>
      <c r="C220">
        <v>0</v>
      </c>
      <c r="D220">
        <v>152.54</v>
      </c>
      <c r="E220" s="1">
        <v>45769</v>
      </c>
      <c r="F220">
        <v>99</v>
      </c>
      <c r="G220" t="s">
        <v>34</v>
      </c>
      <c r="H220" t="str">
        <f>TEXT(sales[[#This Row],[sale_date]],"dddd")</f>
        <v>Tuesday</v>
      </c>
      <c r="I220">
        <f>_xlfn.XLOOKUP(A220,salesitems[sale_id],salesitems[revenue],0)</f>
        <v>35.200000000000003</v>
      </c>
      <c r="J220">
        <v>1</v>
      </c>
      <c r="K220" s="10" t="str">
        <f>_xlfn.XLOOKUP(F220,customers[customer_id],customers[age_range])</f>
        <v>36-45</v>
      </c>
      <c r="L220" s="1">
        <f>_xlfn.XLOOKUP(F220,customers[customer_id],customers[signup_date])</f>
        <v>45733</v>
      </c>
      <c r="M220">
        <f>sales[[#This Row],[sale_date]]-sales[[#This Row],[sighnup_date]]</f>
        <v>36</v>
      </c>
      <c r="N220" t="str">
        <f t="shared" si="3"/>
        <v>new customer</v>
      </c>
      <c r="O220" t="str">
        <f>_xlfn.XLOOKUP(A220,salesitems[sale_id],salesitems[category])</f>
        <v>Sleepwear</v>
      </c>
    </row>
    <row r="221" spans="1:15" x14ac:dyDescent="0.45">
      <c r="A221">
        <v>1291</v>
      </c>
      <c r="B221" t="s">
        <v>21</v>
      </c>
      <c r="C221">
        <v>0</v>
      </c>
      <c r="D221">
        <v>101.64</v>
      </c>
      <c r="E221" s="1">
        <v>45796</v>
      </c>
      <c r="F221">
        <v>615</v>
      </c>
      <c r="G221" t="s">
        <v>38</v>
      </c>
      <c r="H221" t="str">
        <f>TEXT(sales[[#This Row],[sale_date]],"dddd")</f>
        <v>Monday</v>
      </c>
      <c r="I221">
        <f>_xlfn.XLOOKUP(A221,salesitems[sale_id],salesitems[revenue],0)</f>
        <v>50.88</v>
      </c>
      <c r="J221">
        <v>1</v>
      </c>
      <c r="K221" s="10" t="str">
        <f>_xlfn.XLOOKUP(F221,customers[customer_id],customers[age_range])</f>
        <v>46-55</v>
      </c>
      <c r="L221" s="1">
        <f>_xlfn.XLOOKUP(F221,customers[customer_id],customers[signup_date])</f>
        <v>45753</v>
      </c>
      <c r="M221">
        <f>sales[[#This Row],[sale_date]]-sales[[#This Row],[sighnup_date]]</f>
        <v>43</v>
      </c>
      <c r="N221" t="str">
        <f t="shared" si="3"/>
        <v>new customer</v>
      </c>
      <c r="O221" t="str">
        <f>_xlfn.XLOOKUP(A221,salesitems[sale_id],salesitems[category])</f>
        <v>T-Shirts</v>
      </c>
    </row>
    <row r="222" spans="1:15" x14ac:dyDescent="0.45">
      <c r="A222">
        <v>1292</v>
      </c>
      <c r="B222" t="s">
        <v>21</v>
      </c>
      <c r="C222">
        <v>0</v>
      </c>
      <c r="D222">
        <v>390.07</v>
      </c>
      <c r="E222" s="1">
        <v>45768</v>
      </c>
      <c r="F222">
        <v>338</v>
      </c>
      <c r="G222" t="s">
        <v>34</v>
      </c>
      <c r="H222" t="str">
        <f>TEXT(sales[[#This Row],[sale_date]],"dddd")</f>
        <v>Monday</v>
      </c>
      <c r="I222">
        <f>_xlfn.XLOOKUP(A222,salesitems[sale_id],salesitems[revenue],0)</f>
        <v>110.52000000000001</v>
      </c>
      <c r="J222">
        <v>1</v>
      </c>
      <c r="K222" s="10" t="str">
        <f>_xlfn.XLOOKUP(F222,customers[customer_id],customers[age_range])</f>
        <v>26-35</v>
      </c>
      <c r="L222" s="1">
        <f>_xlfn.XLOOKUP(F222,customers[customer_id],customers[signup_date])</f>
        <v>45751</v>
      </c>
      <c r="M222">
        <f>sales[[#This Row],[sale_date]]-sales[[#This Row],[sighnup_date]]</f>
        <v>17</v>
      </c>
      <c r="N222" t="str">
        <f t="shared" si="3"/>
        <v>new customer</v>
      </c>
      <c r="O222" t="str">
        <f>_xlfn.XLOOKUP(A222,salesitems[sale_id],salesitems[category])</f>
        <v>Pants</v>
      </c>
    </row>
    <row r="223" spans="1:15" x14ac:dyDescent="0.45">
      <c r="A223">
        <v>1294</v>
      </c>
      <c r="B223" t="s">
        <v>21</v>
      </c>
      <c r="C223">
        <v>0</v>
      </c>
      <c r="D223">
        <v>249.28</v>
      </c>
      <c r="E223" s="1">
        <v>45769</v>
      </c>
      <c r="F223">
        <v>407</v>
      </c>
      <c r="G223" t="s">
        <v>33</v>
      </c>
      <c r="H223" t="str">
        <f>TEXT(sales[[#This Row],[sale_date]],"dddd")</f>
        <v>Tuesday</v>
      </c>
      <c r="I223">
        <f>_xlfn.XLOOKUP(A223,salesitems[sale_id],salesitems[revenue],0)</f>
        <v>63.68</v>
      </c>
      <c r="J223">
        <v>1</v>
      </c>
      <c r="K223" s="10" t="str">
        <f>_xlfn.XLOOKUP(F223,customers[customer_id],customers[age_range])</f>
        <v>16-25</v>
      </c>
      <c r="L223" s="1">
        <f>_xlfn.XLOOKUP(F223,customers[customer_id],customers[signup_date])</f>
        <v>45710</v>
      </c>
      <c r="M223">
        <f>sales[[#This Row],[sale_date]]-sales[[#This Row],[sighnup_date]]</f>
        <v>59</v>
      </c>
      <c r="N223" t="str">
        <f t="shared" si="3"/>
        <v>new customer</v>
      </c>
      <c r="O223" t="str">
        <f>_xlfn.XLOOKUP(A223,salesitems[sale_id],salesitems[category])</f>
        <v>Shoes</v>
      </c>
    </row>
    <row r="224" spans="1:15" x14ac:dyDescent="0.45">
      <c r="A224">
        <v>1295</v>
      </c>
      <c r="B224" t="s">
        <v>21</v>
      </c>
      <c r="C224">
        <v>0</v>
      </c>
      <c r="D224">
        <v>275.39</v>
      </c>
      <c r="E224" s="1">
        <v>45794</v>
      </c>
      <c r="F224">
        <v>144</v>
      </c>
      <c r="G224" t="s">
        <v>36</v>
      </c>
      <c r="H224" t="str">
        <f>TEXT(sales[[#This Row],[sale_date]],"dddd")</f>
        <v>Saturday</v>
      </c>
      <c r="I224">
        <f>_xlfn.XLOOKUP(A224,salesitems[sale_id],salesitems[revenue],0)</f>
        <v>123.34</v>
      </c>
      <c r="J224">
        <v>1</v>
      </c>
      <c r="K224" s="10" t="str">
        <f>_xlfn.XLOOKUP(F224,customers[customer_id],customers[age_range])</f>
        <v>46-55</v>
      </c>
      <c r="L224" s="1">
        <f>_xlfn.XLOOKUP(F224,customers[customer_id],customers[signup_date])</f>
        <v>45725</v>
      </c>
      <c r="M224">
        <f>sales[[#This Row],[sale_date]]-sales[[#This Row],[sighnup_date]]</f>
        <v>69</v>
      </c>
      <c r="N224" t="str">
        <f t="shared" si="3"/>
        <v>new customer</v>
      </c>
      <c r="O224" t="str">
        <f>_xlfn.XLOOKUP(A224,salesitems[sale_id],salesitems[category])</f>
        <v>Pants</v>
      </c>
    </row>
    <row r="225" spans="1:15" x14ac:dyDescent="0.45">
      <c r="A225">
        <v>1296</v>
      </c>
      <c r="B225" t="s">
        <v>15</v>
      </c>
      <c r="C225">
        <v>1</v>
      </c>
      <c r="D225">
        <v>108.54</v>
      </c>
      <c r="E225" s="1">
        <v>45795</v>
      </c>
      <c r="F225">
        <v>331</v>
      </c>
      <c r="G225" t="s">
        <v>34</v>
      </c>
      <c r="H225" t="str">
        <f>TEXT(sales[[#This Row],[sale_date]],"dddd")</f>
        <v>Sunday</v>
      </c>
      <c r="I225">
        <f>_xlfn.XLOOKUP(A225,salesitems[sale_id],salesitems[revenue],0)</f>
        <v>45.68</v>
      </c>
      <c r="J225">
        <v>1</v>
      </c>
      <c r="K225" s="10" t="str">
        <f>_xlfn.XLOOKUP(F225,customers[customer_id],customers[age_range])</f>
        <v>56-65</v>
      </c>
      <c r="L225" s="1">
        <f>_xlfn.XLOOKUP(F225,customers[customer_id],customers[signup_date])</f>
        <v>45749</v>
      </c>
      <c r="M225">
        <f>sales[[#This Row],[sale_date]]-sales[[#This Row],[sighnup_date]]</f>
        <v>46</v>
      </c>
      <c r="N225" t="str">
        <f t="shared" si="3"/>
        <v>new customer</v>
      </c>
      <c r="O225" t="str">
        <f>_xlfn.XLOOKUP(A225,salesitems[sale_id],salesitems[category])</f>
        <v>Dresses</v>
      </c>
    </row>
    <row r="226" spans="1:15" x14ac:dyDescent="0.45">
      <c r="A226">
        <v>1297</v>
      </c>
      <c r="B226" t="s">
        <v>15</v>
      </c>
      <c r="C226">
        <v>0</v>
      </c>
      <c r="D226">
        <v>167.61</v>
      </c>
      <c r="E226" s="1">
        <v>45776</v>
      </c>
      <c r="F226">
        <v>14</v>
      </c>
      <c r="G226" t="s">
        <v>36</v>
      </c>
      <c r="H226" t="str">
        <f>TEXT(sales[[#This Row],[sale_date]],"dddd")</f>
        <v>Tuesday</v>
      </c>
      <c r="I226">
        <f>_xlfn.XLOOKUP(A226,salesitems[sale_id],salesitems[revenue],0)</f>
        <v>43.06</v>
      </c>
      <c r="J226">
        <v>1</v>
      </c>
      <c r="K226" s="10" t="str">
        <f>_xlfn.XLOOKUP(F226,customers[customer_id],customers[age_range])</f>
        <v>46-55</v>
      </c>
      <c r="L226" s="1">
        <f>_xlfn.XLOOKUP(F226,customers[customer_id],customers[signup_date])</f>
        <v>45724</v>
      </c>
      <c r="M226">
        <f>sales[[#This Row],[sale_date]]-sales[[#This Row],[sighnup_date]]</f>
        <v>52</v>
      </c>
      <c r="N226" t="str">
        <f t="shared" si="3"/>
        <v>new customer</v>
      </c>
      <c r="O226" t="str">
        <f>_xlfn.XLOOKUP(A226,salesitems[sale_id],salesitems[category])</f>
        <v>T-Shirts</v>
      </c>
    </row>
    <row r="227" spans="1:15" x14ac:dyDescent="0.45">
      <c r="A227">
        <v>1298</v>
      </c>
      <c r="B227" t="s">
        <v>21</v>
      </c>
      <c r="C227">
        <v>0</v>
      </c>
      <c r="D227">
        <v>115.34</v>
      </c>
      <c r="E227" s="1">
        <v>45793</v>
      </c>
      <c r="F227">
        <v>993</v>
      </c>
      <c r="G227" t="s">
        <v>36</v>
      </c>
      <c r="H227" t="str">
        <f>TEXT(sales[[#This Row],[sale_date]],"dddd")</f>
        <v>Friday</v>
      </c>
      <c r="I227">
        <f>_xlfn.XLOOKUP(A227,salesitems[sale_id],salesitems[revenue],0)</f>
        <v>29.82</v>
      </c>
      <c r="J227">
        <v>1</v>
      </c>
      <c r="K227" s="10" t="str">
        <f>_xlfn.XLOOKUP(F227,customers[customer_id],customers[age_range])</f>
        <v>16-25</v>
      </c>
      <c r="L227" s="1">
        <f>_xlfn.XLOOKUP(F227,customers[customer_id],customers[signup_date])</f>
        <v>45764</v>
      </c>
      <c r="M227">
        <f>sales[[#This Row],[sale_date]]-sales[[#This Row],[sighnup_date]]</f>
        <v>29</v>
      </c>
      <c r="N227" t="str">
        <f t="shared" si="3"/>
        <v>new customer</v>
      </c>
      <c r="O227" t="str">
        <f>_xlfn.XLOOKUP(A227,salesitems[sale_id],salesitems[category])</f>
        <v>Pants</v>
      </c>
    </row>
    <row r="228" spans="1:15" x14ac:dyDescent="0.45">
      <c r="A228">
        <v>13</v>
      </c>
      <c r="B228" t="s">
        <v>15</v>
      </c>
      <c r="C228">
        <v>0</v>
      </c>
      <c r="D228">
        <v>696.62</v>
      </c>
      <c r="E228" s="1">
        <v>45763</v>
      </c>
      <c r="F228">
        <v>253</v>
      </c>
      <c r="G228" t="s">
        <v>28</v>
      </c>
      <c r="H228" t="str">
        <f>TEXT(sales[[#This Row],[sale_date]],"dddd")</f>
        <v>Wednesday</v>
      </c>
      <c r="I228">
        <f>_xlfn.XLOOKUP(A228,salesitems[sale_id],salesitems[revenue],0)</f>
        <v>120.66</v>
      </c>
      <c r="J228">
        <v>1</v>
      </c>
      <c r="K228" s="10" t="str">
        <f>_xlfn.XLOOKUP(F228,customers[customer_id],customers[age_range])</f>
        <v>26-35</v>
      </c>
      <c r="L228" s="1">
        <f>_xlfn.XLOOKUP(F228,customers[customer_id],customers[signup_date])</f>
        <v>45748</v>
      </c>
      <c r="M228">
        <f>sales[[#This Row],[sale_date]]-sales[[#This Row],[sighnup_date]]</f>
        <v>15</v>
      </c>
      <c r="N228" t="str">
        <f t="shared" si="3"/>
        <v>new customer</v>
      </c>
      <c r="O228" t="str">
        <f>_xlfn.XLOOKUP(A228,salesitems[sale_id],salesitems[category])</f>
        <v>Dresses</v>
      </c>
    </row>
    <row r="229" spans="1:15" x14ac:dyDescent="0.45">
      <c r="A229">
        <v>130</v>
      </c>
      <c r="B229" t="s">
        <v>15</v>
      </c>
      <c r="C229">
        <v>0</v>
      </c>
      <c r="D229">
        <v>553.91999999999996</v>
      </c>
      <c r="E229" s="1">
        <v>45752</v>
      </c>
      <c r="F229">
        <v>962</v>
      </c>
      <c r="G229" t="s">
        <v>38</v>
      </c>
      <c r="H229" t="str">
        <f>TEXT(sales[[#This Row],[sale_date]],"dddd")</f>
        <v>Saturday</v>
      </c>
      <c r="I229">
        <f>_xlfn.XLOOKUP(A229,salesitems[sale_id],salesitems[revenue],0)</f>
        <v>159.14999999999998</v>
      </c>
      <c r="J229">
        <v>1</v>
      </c>
      <c r="K229" s="10" t="str">
        <f>_xlfn.XLOOKUP(F229,customers[customer_id],customers[age_range])</f>
        <v>56-65</v>
      </c>
      <c r="L229" s="1">
        <f>_xlfn.XLOOKUP(F229,customers[customer_id],customers[signup_date])</f>
        <v>45751</v>
      </c>
      <c r="M229">
        <f>sales[[#This Row],[sale_date]]-sales[[#This Row],[sighnup_date]]</f>
        <v>1</v>
      </c>
      <c r="N229" t="str">
        <f t="shared" si="3"/>
        <v>new customer</v>
      </c>
      <c r="O229" t="str">
        <f>_xlfn.XLOOKUP(A229,salesitems[sale_id],salesitems[category])</f>
        <v>T-Shirts</v>
      </c>
    </row>
    <row r="230" spans="1:15" x14ac:dyDescent="0.45">
      <c r="A230">
        <v>1300</v>
      </c>
      <c r="B230" t="s">
        <v>21</v>
      </c>
      <c r="C230">
        <v>0</v>
      </c>
      <c r="D230">
        <v>303</v>
      </c>
      <c r="E230" s="1">
        <v>45762</v>
      </c>
      <c r="F230">
        <v>147</v>
      </c>
      <c r="G230" t="s">
        <v>36</v>
      </c>
      <c r="H230" t="str">
        <f>TEXT(sales[[#This Row],[sale_date]],"dddd")</f>
        <v>Tuesday</v>
      </c>
      <c r="I230">
        <f>_xlfn.XLOOKUP(A230,salesitems[sale_id],salesitems[revenue],0)</f>
        <v>198.9</v>
      </c>
      <c r="J230">
        <v>1</v>
      </c>
      <c r="K230" s="10" t="str">
        <f>_xlfn.XLOOKUP(F230,customers[customer_id],customers[age_range])</f>
        <v>36-45</v>
      </c>
      <c r="L230" s="1">
        <f>_xlfn.XLOOKUP(F230,customers[customer_id],customers[signup_date])</f>
        <v>45701</v>
      </c>
      <c r="M230">
        <f>sales[[#This Row],[sale_date]]-sales[[#This Row],[sighnup_date]]</f>
        <v>61</v>
      </c>
      <c r="N230" t="str">
        <f t="shared" si="3"/>
        <v>new customer</v>
      </c>
      <c r="O230" t="str">
        <f>_xlfn.XLOOKUP(A230,salesitems[sale_id],salesitems[category])</f>
        <v>Sleepwear</v>
      </c>
    </row>
    <row r="231" spans="1:15" x14ac:dyDescent="0.45">
      <c r="A231">
        <v>1303</v>
      </c>
      <c r="B231" t="s">
        <v>21</v>
      </c>
      <c r="C231">
        <v>0</v>
      </c>
      <c r="D231">
        <v>287.88</v>
      </c>
      <c r="E231" s="1">
        <v>45798</v>
      </c>
      <c r="F231">
        <v>22</v>
      </c>
      <c r="G231" t="s">
        <v>36</v>
      </c>
      <c r="H231" t="str">
        <f>TEXT(sales[[#This Row],[sale_date]],"dddd")</f>
        <v>Wednesday</v>
      </c>
      <c r="I231">
        <f>_xlfn.XLOOKUP(A231,salesitems[sale_id],salesitems[revenue],0)</f>
        <v>173.08</v>
      </c>
      <c r="J231">
        <v>1</v>
      </c>
      <c r="K231" s="10" t="str">
        <f>_xlfn.XLOOKUP(F231,customers[customer_id],customers[age_range])</f>
        <v>36-45</v>
      </c>
      <c r="L231" s="1">
        <f>_xlfn.XLOOKUP(F231,customers[customer_id],customers[signup_date])</f>
        <v>45719</v>
      </c>
      <c r="M231">
        <f>sales[[#This Row],[sale_date]]-sales[[#This Row],[sighnup_date]]</f>
        <v>79</v>
      </c>
      <c r="N231" t="str">
        <f t="shared" si="3"/>
        <v>new customer</v>
      </c>
      <c r="O231" t="str">
        <f>_xlfn.XLOOKUP(A231,salesitems[sale_id],salesitems[category])</f>
        <v>Pants</v>
      </c>
    </row>
    <row r="232" spans="1:15" x14ac:dyDescent="0.45">
      <c r="A232">
        <v>1304</v>
      </c>
      <c r="B232" t="s">
        <v>15</v>
      </c>
      <c r="C232">
        <v>0</v>
      </c>
      <c r="D232">
        <v>88.35</v>
      </c>
      <c r="E232" s="1">
        <v>45761</v>
      </c>
      <c r="F232">
        <v>839</v>
      </c>
      <c r="G232" t="s">
        <v>36</v>
      </c>
      <c r="H232" t="str">
        <f>TEXT(sales[[#This Row],[sale_date]],"dddd")</f>
        <v>Monday</v>
      </c>
      <c r="I232">
        <f>_xlfn.XLOOKUP(A232,salesitems[sale_id],salesitems[revenue],0)</f>
        <v>59.07</v>
      </c>
      <c r="J232">
        <v>1</v>
      </c>
      <c r="K232" s="10" t="str">
        <f>_xlfn.XLOOKUP(F232,customers[customer_id],customers[age_range])</f>
        <v>36-45</v>
      </c>
      <c r="L232" s="1">
        <f>_xlfn.XLOOKUP(F232,customers[customer_id],customers[signup_date])</f>
        <v>45686</v>
      </c>
      <c r="M232">
        <f>sales[[#This Row],[sale_date]]-sales[[#This Row],[sighnup_date]]</f>
        <v>75</v>
      </c>
      <c r="N232" t="str">
        <f t="shared" si="3"/>
        <v>new customer</v>
      </c>
      <c r="O232" t="str">
        <f>_xlfn.XLOOKUP(A232,salesitems[sale_id],salesitems[category])</f>
        <v>Pants</v>
      </c>
    </row>
    <row r="233" spans="1:15" x14ac:dyDescent="0.45">
      <c r="A233">
        <v>1306</v>
      </c>
      <c r="B233" t="s">
        <v>21</v>
      </c>
      <c r="C233">
        <v>0</v>
      </c>
      <c r="D233">
        <v>334.56</v>
      </c>
      <c r="E233" s="1">
        <v>45823</v>
      </c>
      <c r="F233">
        <v>188</v>
      </c>
      <c r="G233" t="s">
        <v>28</v>
      </c>
      <c r="H233" t="str">
        <f>TEXT(sales[[#This Row],[sale_date]],"dddd")</f>
        <v>Sunday</v>
      </c>
      <c r="I233">
        <f>_xlfn.XLOOKUP(A233,salesitems[sale_id],salesitems[revenue],0)</f>
        <v>181.56</v>
      </c>
      <c r="J233">
        <v>1</v>
      </c>
      <c r="K233" s="10" t="str">
        <f>_xlfn.XLOOKUP(F233,customers[customer_id],customers[age_range])</f>
        <v>46-55</v>
      </c>
      <c r="L233" s="1">
        <f>_xlfn.XLOOKUP(F233,customers[customer_id],customers[signup_date])</f>
        <v>45710</v>
      </c>
      <c r="M233">
        <f>sales[[#This Row],[sale_date]]-sales[[#This Row],[sighnup_date]]</f>
        <v>113</v>
      </c>
      <c r="N233" t="str">
        <f t="shared" si="3"/>
        <v>existing customer</v>
      </c>
      <c r="O233" t="str">
        <f>_xlfn.XLOOKUP(A233,salesitems[sale_id],salesitems[category])</f>
        <v>Dresses</v>
      </c>
    </row>
    <row r="234" spans="1:15" x14ac:dyDescent="0.45">
      <c r="A234">
        <v>1308</v>
      </c>
      <c r="B234" t="s">
        <v>21</v>
      </c>
      <c r="C234">
        <v>0</v>
      </c>
      <c r="D234">
        <v>254.26</v>
      </c>
      <c r="E234" s="1">
        <v>45791</v>
      </c>
      <c r="F234">
        <v>872</v>
      </c>
      <c r="G234" t="s">
        <v>31</v>
      </c>
      <c r="H234" t="str">
        <f>TEXT(sales[[#This Row],[sale_date]],"dddd")</f>
        <v>Wednesday</v>
      </c>
      <c r="I234">
        <f>_xlfn.XLOOKUP(A234,salesitems[sale_id],salesitems[revenue],0)</f>
        <v>49.6</v>
      </c>
      <c r="J234">
        <v>1</v>
      </c>
      <c r="K234" s="10" t="str">
        <f>_xlfn.XLOOKUP(F234,customers[customer_id],customers[age_range])</f>
        <v>26-35</v>
      </c>
      <c r="L234" s="1">
        <f>_xlfn.XLOOKUP(F234,customers[customer_id],customers[signup_date])</f>
        <v>45695</v>
      </c>
      <c r="M234">
        <f>sales[[#This Row],[sale_date]]-sales[[#This Row],[sighnup_date]]</f>
        <v>96</v>
      </c>
      <c r="N234" t="str">
        <f t="shared" si="3"/>
        <v>existing customer</v>
      </c>
      <c r="O234" t="str">
        <f>_xlfn.XLOOKUP(A234,salesitems[sale_id],salesitems[category])</f>
        <v>Pants</v>
      </c>
    </row>
    <row r="235" spans="1:15" x14ac:dyDescent="0.45">
      <c r="A235">
        <v>1309</v>
      </c>
      <c r="B235" t="s">
        <v>15</v>
      </c>
      <c r="C235">
        <v>0</v>
      </c>
      <c r="D235">
        <v>299.49</v>
      </c>
      <c r="E235" s="1">
        <v>45766</v>
      </c>
      <c r="F235">
        <v>131</v>
      </c>
      <c r="G235" t="s">
        <v>36</v>
      </c>
      <c r="H235" t="str">
        <f>TEXT(sales[[#This Row],[sale_date]],"dddd")</f>
        <v>Saturday</v>
      </c>
      <c r="I235">
        <f>_xlfn.XLOOKUP(A235,salesitems[sale_id],salesitems[revenue],0)</f>
        <v>161.19</v>
      </c>
      <c r="J235">
        <v>1</v>
      </c>
      <c r="K235" s="10" t="str">
        <f>_xlfn.XLOOKUP(F235,customers[customer_id],customers[age_range])</f>
        <v>46-55</v>
      </c>
      <c r="L235" s="1">
        <f>_xlfn.XLOOKUP(F235,customers[customer_id],customers[signup_date])</f>
        <v>45744</v>
      </c>
      <c r="M235">
        <f>sales[[#This Row],[sale_date]]-sales[[#This Row],[sighnup_date]]</f>
        <v>22</v>
      </c>
      <c r="N235" t="str">
        <f t="shared" si="3"/>
        <v>new customer</v>
      </c>
      <c r="O235" t="str">
        <f>_xlfn.XLOOKUP(A235,salesitems[sale_id],salesitems[category])</f>
        <v>T-Shirts</v>
      </c>
    </row>
    <row r="236" spans="1:15" x14ac:dyDescent="0.45">
      <c r="A236">
        <v>131</v>
      </c>
      <c r="B236" t="s">
        <v>21</v>
      </c>
      <c r="C236">
        <v>0</v>
      </c>
      <c r="D236">
        <v>625.66</v>
      </c>
      <c r="E236" s="1">
        <v>45769</v>
      </c>
      <c r="F236">
        <v>816</v>
      </c>
      <c r="G236" t="s">
        <v>31</v>
      </c>
      <c r="H236" t="str">
        <f>TEXT(sales[[#This Row],[sale_date]],"dddd")</f>
        <v>Tuesday</v>
      </c>
      <c r="I236">
        <f>_xlfn.XLOOKUP(A236,salesitems[sale_id],salesitems[revenue],0)</f>
        <v>93.78</v>
      </c>
      <c r="J236">
        <v>1</v>
      </c>
      <c r="K236" s="10" t="str">
        <f>_xlfn.XLOOKUP(F236,customers[customer_id],customers[age_range])</f>
        <v>16-25</v>
      </c>
      <c r="L236" s="1">
        <f>_xlfn.XLOOKUP(F236,customers[customer_id],customers[signup_date])</f>
        <v>45692</v>
      </c>
      <c r="M236">
        <f>sales[[#This Row],[sale_date]]-sales[[#This Row],[sighnup_date]]</f>
        <v>77</v>
      </c>
      <c r="N236" t="str">
        <f t="shared" si="3"/>
        <v>new customer</v>
      </c>
      <c r="O236" t="str">
        <f>_xlfn.XLOOKUP(A236,salesitems[sale_id],salesitems[category])</f>
        <v>Pants</v>
      </c>
    </row>
    <row r="237" spans="1:15" x14ac:dyDescent="0.45">
      <c r="A237">
        <v>1310</v>
      </c>
      <c r="B237" t="s">
        <v>21</v>
      </c>
      <c r="C237">
        <v>0</v>
      </c>
      <c r="D237">
        <v>504.88</v>
      </c>
      <c r="E237" s="1">
        <v>45799</v>
      </c>
      <c r="F237">
        <v>798</v>
      </c>
      <c r="G237" t="s">
        <v>38</v>
      </c>
      <c r="H237" t="str">
        <f>TEXT(sales[[#This Row],[sale_date]],"dddd")</f>
        <v>Thursday</v>
      </c>
      <c r="I237">
        <f>_xlfn.XLOOKUP(A237,salesitems[sale_id],salesitems[revenue],0)</f>
        <v>318.8</v>
      </c>
      <c r="J237">
        <v>1</v>
      </c>
      <c r="K237" s="10" t="str">
        <f>_xlfn.XLOOKUP(F237,customers[customer_id],customers[age_range])</f>
        <v>46-55</v>
      </c>
      <c r="L237" s="1">
        <f>_xlfn.XLOOKUP(F237,customers[customer_id],customers[signup_date])</f>
        <v>45730</v>
      </c>
      <c r="M237">
        <f>sales[[#This Row],[sale_date]]-sales[[#This Row],[sighnup_date]]</f>
        <v>69</v>
      </c>
      <c r="N237" t="str">
        <f t="shared" si="3"/>
        <v>new customer</v>
      </c>
      <c r="O237" t="str">
        <f>_xlfn.XLOOKUP(A237,salesitems[sale_id],salesitems[category])</f>
        <v>Pants</v>
      </c>
    </row>
    <row r="238" spans="1:15" x14ac:dyDescent="0.45">
      <c r="A238">
        <v>1311</v>
      </c>
      <c r="B238" t="s">
        <v>21</v>
      </c>
      <c r="C238">
        <v>0</v>
      </c>
      <c r="D238">
        <v>268.73</v>
      </c>
      <c r="E238" s="1">
        <v>45808</v>
      </c>
      <c r="F238">
        <v>958</v>
      </c>
      <c r="G238" t="s">
        <v>36</v>
      </c>
      <c r="H238" t="str">
        <f>TEXT(sales[[#This Row],[sale_date]],"dddd")</f>
        <v>Saturday</v>
      </c>
      <c r="I238">
        <f>_xlfn.XLOOKUP(A238,salesitems[sale_id],salesitems[revenue],0)</f>
        <v>28.73</v>
      </c>
      <c r="J238">
        <v>1</v>
      </c>
      <c r="K238" s="10" t="str">
        <f>_xlfn.XLOOKUP(F238,customers[customer_id],customers[age_range])</f>
        <v>56-65</v>
      </c>
      <c r="L238" s="1">
        <f>_xlfn.XLOOKUP(F238,customers[customer_id],customers[signup_date])</f>
        <v>45711</v>
      </c>
      <c r="M238">
        <f>sales[[#This Row],[sale_date]]-sales[[#This Row],[sighnup_date]]</f>
        <v>97</v>
      </c>
      <c r="N238" t="str">
        <f t="shared" si="3"/>
        <v>existing customer</v>
      </c>
      <c r="O238" t="str">
        <f>_xlfn.XLOOKUP(A238,salesitems[sale_id],salesitems[category])</f>
        <v>Pants</v>
      </c>
    </row>
    <row r="239" spans="1:15" x14ac:dyDescent="0.45">
      <c r="A239">
        <v>1312</v>
      </c>
      <c r="B239" t="s">
        <v>15</v>
      </c>
      <c r="C239">
        <v>0</v>
      </c>
      <c r="D239">
        <v>429.04</v>
      </c>
      <c r="E239" s="1">
        <v>45775</v>
      </c>
      <c r="F239">
        <v>841</v>
      </c>
      <c r="G239" t="s">
        <v>34</v>
      </c>
      <c r="H239" t="str">
        <f>TEXT(sales[[#This Row],[sale_date]],"dddd")</f>
        <v>Monday</v>
      </c>
      <c r="I239">
        <f>_xlfn.XLOOKUP(A239,salesitems[sale_id],salesitems[revenue],0)</f>
        <v>219.64</v>
      </c>
      <c r="J239">
        <v>1</v>
      </c>
      <c r="K239" s="10" t="str">
        <f>_xlfn.XLOOKUP(F239,customers[customer_id],customers[age_range])</f>
        <v>56-65</v>
      </c>
      <c r="L239" s="1">
        <f>_xlfn.XLOOKUP(F239,customers[customer_id],customers[signup_date])</f>
        <v>45719</v>
      </c>
      <c r="M239">
        <f>sales[[#This Row],[sale_date]]-sales[[#This Row],[sighnup_date]]</f>
        <v>56</v>
      </c>
      <c r="N239" t="str">
        <f t="shared" si="3"/>
        <v>new customer</v>
      </c>
      <c r="O239" t="str">
        <f>_xlfn.XLOOKUP(A239,salesitems[sale_id],salesitems[category])</f>
        <v>T-Shirts</v>
      </c>
    </row>
    <row r="240" spans="1:15" x14ac:dyDescent="0.45">
      <c r="A240">
        <v>1313</v>
      </c>
      <c r="B240" t="s">
        <v>15</v>
      </c>
      <c r="C240">
        <v>0</v>
      </c>
      <c r="D240">
        <v>190.84</v>
      </c>
      <c r="E240" s="1">
        <v>45801</v>
      </c>
      <c r="F240">
        <v>601</v>
      </c>
      <c r="G240" t="s">
        <v>36</v>
      </c>
      <c r="H240" t="str">
        <f>TEXT(sales[[#This Row],[sale_date]],"dddd")</f>
        <v>Saturday</v>
      </c>
      <c r="I240">
        <f>_xlfn.XLOOKUP(A240,salesitems[sale_id],salesitems[revenue],0)</f>
        <v>115.96</v>
      </c>
      <c r="J240">
        <v>1</v>
      </c>
      <c r="K240" s="10" t="str">
        <f>_xlfn.XLOOKUP(F240,customers[customer_id],customers[age_range])</f>
        <v>56-65</v>
      </c>
      <c r="L240" s="1">
        <f>_xlfn.XLOOKUP(F240,customers[customer_id],customers[signup_date])</f>
        <v>45760</v>
      </c>
      <c r="M240">
        <f>sales[[#This Row],[sale_date]]-sales[[#This Row],[sighnup_date]]</f>
        <v>41</v>
      </c>
      <c r="N240" t="str">
        <f t="shared" si="3"/>
        <v>new customer</v>
      </c>
      <c r="O240" t="str">
        <f>_xlfn.XLOOKUP(A240,salesitems[sale_id],salesitems[category])</f>
        <v>Dresses</v>
      </c>
    </row>
    <row r="241" spans="1:15" x14ac:dyDescent="0.45">
      <c r="A241">
        <v>1314</v>
      </c>
      <c r="B241" t="s">
        <v>15</v>
      </c>
      <c r="C241">
        <v>0</v>
      </c>
      <c r="D241">
        <v>234.64</v>
      </c>
      <c r="E241" s="1">
        <v>45753</v>
      </c>
      <c r="F241">
        <v>776</v>
      </c>
      <c r="G241" t="s">
        <v>38</v>
      </c>
      <c r="H241" t="str">
        <f>TEXT(sales[[#This Row],[sale_date]],"dddd")</f>
        <v>Sunday</v>
      </c>
      <c r="I241">
        <f>_xlfn.XLOOKUP(A241,salesitems[sale_id],salesitems[revenue],0)</f>
        <v>151.24</v>
      </c>
      <c r="J241">
        <v>1</v>
      </c>
      <c r="K241" s="10" t="str">
        <f>_xlfn.XLOOKUP(F241,customers[customer_id],customers[age_range])</f>
        <v>56-65</v>
      </c>
      <c r="L241" s="1">
        <f>_xlfn.XLOOKUP(F241,customers[customer_id],customers[signup_date])</f>
        <v>45734</v>
      </c>
      <c r="M241">
        <f>sales[[#This Row],[sale_date]]-sales[[#This Row],[sighnup_date]]</f>
        <v>19</v>
      </c>
      <c r="N241" t="str">
        <f t="shared" si="3"/>
        <v>new customer</v>
      </c>
      <c r="O241" t="str">
        <f>_xlfn.XLOOKUP(A241,salesitems[sale_id],salesitems[category])</f>
        <v>Dresses</v>
      </c>
    </row>
    <row r="242" spans="1:15" x14ac:dyDescent="0.45">
      <c r="A242">
        <v>1315</v>
      </c>
      <c r="B242" t="s">
        <v>15</v>
      </c>
      <c r="C242">
        <v>0</v>
      </c>
      <c r="D242">
        <v>409.24</v>
      </c>
      <c r="E242" s="1">
        <v>45773</v>
      </c>
      <c r="F242">
        <v>344</v>
      </c>
      <c r="G242" t="s">
        <v>31</v>
      </c>
      <c r="H242" t="str">
        <f>TEXT(sales[[#This Row],[sale_date]],"dddd")</f>
        <v>Saturday</v>
      </c>
      <c r="I242">
        <f>_xlfn.XLOOKUP(A242,salesitems[sale_id],salesitems[revenue],0)</f>
        <v>224.8</v>
      </c>
      <c r="J242">
        <v>1</v>
      </c>
      <c r="K242" s="10" t="str">
        <f>_xlfn.XLOOKUP(F242,customers[customer_id],customers[age_range])</f>
        <v>16-25</v>
      </c>
      <c r="L242" s="1">
        <f>_xlfn.XLOOKUP(F242,customers[customer_id],customers[signup_date])</f>
        <v>45750</v>
      </c>
      <c r="M242">
        <f>sales[[#This Row],[sale_date]]-sales[[#This Row],[sighnup_date]]</f>
        <v>23</v>
      </c>
      <c r="N242" t="str">
        <f t="shared" si="3"/>
        <v>new customer</v>
      </c>
      <c r="O242" t="str">
        <f>_xlfn.XLOOKUP(A242,salesitems[sale_id],salesitems[category])</f>
        <v>Shoes</v>
      </c>
    </row>
    <row r="243" spans="1:15" x14ac:dyDescent="0.45">
      <c r="A243">
        <v>1316</v>
      </c>
      <c r="B243" t="s">
        <v>15</v>
      </c>
      <c r="C243">
        <v>1</v>
      </c>
      <c r="D243">
        <v>134.97999999999999</v>
      </c>
      <c r="E243" s="1">
        <v>45792</v>
      </c>
      <c r="F243">
        <v>392</v>
      </c>
      <c r="G243" t="s">
        <v>31</v>
      </c>
      <c r="H243" t="str">
        <f>TEXT(sales[[#This Row],[sale_date]],"dddd")</f>
        <v>Thursday</v>
      </c>
      <c r="I243">
        <f>_xlfn.XLOOKUP(A243,salesitems[sale_id],salesitems[revenue],0)</f>
        <v>27.88</v>
      </c>
      <c r="J243">
        <v>1</v>
      </c>
      <c r="K243" s="10" t="str">
        <f>_xlfn.XLOOKUP(F243,customers[customer_id],customers[age_range])</f>
        <v>36-45</v>
      </c>
      <c r="L243" s="1">
        <f>_xlfn.XLOOKUP(F243,customers[customer_id],customers[signup_date])</f>
        <v>45708</v>
      </c>
      <c r="M243">
        <f>sales[[#This Row],[sale_date]]-sales[[#This Row],[sighnup_date]]</f>
        <v>84</v>
      </c>
      <c r="N243" t="str">
        <f t="shared" si="3"/>
        <v>new customer</v>
      </c>
      <c r="O243" t="str">
        <f>_xlfn.XLOOKUP(A243,salesitems[sale_id],salesitems[category])</f>
        <v>Dresses</v>
      </c>
    </row>
    <row r="244" spans="1:15" x14ac:dyDescent="0.45">
      <c r="A244">
        <v>1317</v>
      </c>
      <c r="B244" t="s">
        <v>21</v>
      </c>
      <c r="C244">
        <v>0</v>
      </c>
      <c r="D244">
        <v>288.56</v>
      </c>
      <c r="E244" s="1">
        <v>45812</v>
      </c>
      <c r="F244">
        <v>285</v>
      </c>
      <c r="G244" t="s">
        <v>28</v>
      </c>
      <c r="H244" t="str">
        <f>TEXT(sales[[#This Row],[sale_date]],"dddd")</f>
        <v>Wednesday</v>
      </c>
      <c r="I244">
        <f>_xlfn.XLOOKUP(A244,salesitems[sale_id],salesitems[revenue],0)</f>
        <v>109.48</v>
      </c>
      <c r="J244">
        <v>1</v>
      </c>
      <c r="K244" s="10" t="str">
        <f>_xlfn.XLOOKUP(F244,customers[customer_id],customers[age_range])</f>
        <v>16-25</v>
      </c>
      <c r="L244" s="1">
        <f>_xlfn.XLOOKUP(F244,customers[customer_id],customers[signup_date])</f>
        <v>45698</v>
      </c>
      <c r="M244">
        <f>sales[[#This Row],[sale_date]]-sales[[#This Row],[sighnup_date]]</f>
        <v>114</v>
      </c>
      <c r="N244" t="str">
        <f t="shared" si="3"/>
        <v>existing customer</v>
      </c>
      <c r="O244" t="str">
        <f>_xlfn.XLOOKUP(A244,salesitems[sale_id],salesitems[category])</f>
        <v>T-Shirts</v>
      </c>
    </row>
    <row r="245" spans="1:15" x14ac:dyDescent="0.45">
      <c r="A245">
        <v>1318</v>
      </c>
      <c r="B245" t="s">
        <v>21</v>
      </c>
      <c r="C245">
        <v>0</v>
      </c>
      <c r="D245">
        <v>323.18</v>
      </c>
      <c r="E245" s="1">
        <v>45795</v>
      </c>
      <c r="F245">
        <v>265</v>
      </c>
      <c r="G245" t="s">
        <v>33</v>
      </c>
      <c r="H245" t="str">
        <f>TEXT(sales[[#This Row],[sale_date]],"dddd")</f>
        <v>Sunday</v>
      </c>
      <c r="I245">
        <f>_xlfn.XLOOKUP(A245,salesitems[sale_id],salesitems[revenue],0)</f>
        <v>114.7</v>
      </c>
      <c r="J245">
        <v>1</v>
      </c>
      <c r="K245" s="10" t="str">
        <f>_xlfn.XLOOKUP(F245,customers[customer_id],customers[age_range])</f>
        <v>46-55</v>
      </c>
      <c r="L245" s="1">
        <f>_xlfn.XLOOKUP(F245,customers[customer_id],customers[signup_date])</f>
        <v>45745</v>
      </c>
      <c r="M245">
        <f>sales[[#This Row],[sale_date]]-sales[[#This Row],[sighnup_date]]</f>
        <v>50</v>
      </c>
      <c r="N245" t="str">
        <f t="shared" si="3"/>
        <v>new customer</v>
      </c>
      <c r="O245" t="str">
        <f>_xlfn.XLOOKUP(A245,salesitems[sale_id],salesitems[category])</f>
        <v>T-Shirts</v>
      </c>
    </row>
    <row r="246" spans="1:15" x14ac:dyDescent="0.45">
      <c r="A246">
        <v>132</v>
      </c>
      <c r="B246" t="s">
        <v>15</v>
      </c>
      <c r="C246">
        <v>0</v>
      </c>
      <c r="D246">
        <v>395.09</v>
      </c>
      <c r="E246" s="1">
        <v>45767</v>
      </c>
      <c r="F246">
        <v>839</v>
      </c>
      <c r="G246" t="s">
        <v>36</v>
      </c>
      <c r="H246" t="str">
        <f>TEXT(sales[[#This Row],[sale_date]],"dddd")</f>
        <v>Sunday</v>
      </c>
      <c r="I246">
        <f>_xlfn.XLOOKUP(A246,salesitems[sale_id],salesitems[revenue],0)</f>
        <v>42.5</v>
      </c>
      <c r="J246">
        <v>1</v>
      </c>
      <c r="K246" s="10" t="str">
        <f>_xlfn.XLOOKUP(F246,customers[customer_id],customers[age_range])</f>
        <v>36-45</v>
      </c>
      <c r="L246" s="1">
        <f>_xlfn.XLOOKUP(F246,customers[customer_id],customers[signup_date])</f>
        <v>45686</v>
      </c>
      <c r="M246">
        <f>sales[[#This Row],[sale_date]]-sales[[#This Row],[sighnup_date]]</f>
        <v>81</v>
      </c>
      <c r="N246" t="str">
        <f t="shared" si="3"/>
        <v>new customer</v>
      </c>
      <c r="O246" t="str">
        <f>_xlfn.XLOOKUP(A246,salesitems[sale_id],salesitems[category])</f>
        <v>Shoes</v>
      </c>
    </row>
    <row r="247" spans="1:15" x14ac:dyDescent="0.45">
      <c r="A247">
        <v>1320</v>
      </c>
      <c r="B247" t="s">
        <v>21</v>
      </c>
      <c r="C247">
        <v>0</v>
      </c>
      <c r="D247">
        <v>91.9</v>
      </c>
      <c r="E247" s="1">
        <v>45764</v>
      </c>
      <c r="F247">
        <v>730</v>
      </c>
      <c r="G247" t="s">
        <v>34</v>
      </c>
      <c r="H247" t="str">
        <f>TEXT(sales[[#This Row],[sale_date]],"dddd")</f>
        <v>Thursday</v>
      </c>
      <c r="I247">
        <f>_xlfn.XLOOKUP(A247,salesitems[sale_id],salesitems[revenue],0)</f>
        <v>33.94</v>
      </c>
      <c r="J247">
        <v>1</v>
      </c>
      <c r="K247" s="10" t="str">
        <f>_xlfn.XLOOKUP(F247,customers[customer_id],customers[age_range])</f>
        <v>16-25</v>
      </c>
      <c r="L247" s="1">
        <f>_xlfn.XLOOKUP(F247,customers[customer_id],customers[signup_date])</f>
        <v>45704</v>
      </c>
      <c r="M247">
        <f>sales[[#This Row],[sale_date]]-sales[[#This Row],[sighnup_date]]</f>
        <v>60</v>
      </c>
      <c r="N247" t="str">
        <f t="shared" si="3"/>
        <v>new customer</v>
      </c>
      <c r="O247" t="str">
        <f>_xlfn.XLOOKUP(A247,salesitems[sale_id],salesitems[category])</f>
        <v>Shoes</v>
      </c>
    </row>
    <row r="248" spans="1:15" x14ac:dyDescent="0.45">
      <c r="A248">
        <v>1321</v>
      </c>
      <c r="B248" t="s">
        <v>21</v>
      </c>
      <c r="C248">
        <v>0</v>
      </c>
      <c r="D248">
        <v>455.53</v>
      </c>
      <c r="E248" s="1">
        <v>45822</v>
      </c>
      <c r="F248">
        <v>217</v>
      </c>
      <c r="G248" t="s">
        <v>33</v>
      </c>
      <c r="H248" t="str">
        <f>TEXT(sales[[#This Row],[sale_date]],"dddd")</f>
        <v>Saturday</v>
      </c>
      <c r="I248">
        <f>_xlfn.XLOOKUP(A248,salesitems[sale_id],salesitems[revenue],0)</f>
        <v>180.48</v>
      </c>
      <c r="J248">
        <v>1</v>
      </c>
      <c r="K248" s="10" t="str">
        <f>_xlfn.XLOOKUP(F248,customers[customer_id],customers[age_range])</f>
        <v>56-65</v>
      </c>
      <c r="L248" s="1">
        <f>_xlfn.XLOOKUP(F248,customers[customer_id],customers[signup_date])</f>
        <v>45757</v>
      </c>
      <c r="M248">
        <f>sales[[#This Row],[sale_date]]-sales[[#This Row],[sighnup_date]]</f>
        <v>65</v>
      </c>
      <c r="N248" t="str">
        <f t="shared" si="3"/>
        <v>new customer</v>
      </c>
      <c r="O248" t="str">
        <f>_xlfn.XLOOKUP(A248,salesitems[sale_id],salesitems[category])</f>
        <v>Shoes</v>
      </c>
    </row>
    <row r="249" spans="1:15" x14ac:dyDescent="0.45">
      <c r="A249">
        <v>1322</v>
      </c>
      <c r="B249" t="s">
        <v>21</v>
      </c>
      <c r="C249">
        <v>0</v>
      </c>
      <c r="D249">
        <v>269.83999999999997</v>
      </c>
      <c r="E249" s="1">
        <v>45804</v>
      </c>
      <c r="F249">
        <v>27</v>
      </c>
      <c r="G249" t="s">
        <v>33</v>
      </c>
      <c r="H249" t="str">
        <f>TEXT(sales[[#This Row],[sale_date]],"dddd")</f>
        <v>Tuesday</v>
      </c>
      <c r="I249">
        <f>_xlfn.XLOOKUP(A249,salesitems[sale_id],salesitems[revenue],0)</f>
        <v>116.18</v>
      </c>
      <c r="J249">
        <v>1</v>
      </c>
      <c r="K249" s="10" t="str">
        <f>_xlfn.XLOOKUP(F249,customers[customer_id],customers[age_range])</f>
        <v>16-25</v>
      </c>
      <c r="L249" s="1">
        <f>_xlfn.XLOOKUP(F249,customers[customer_id],customers[signup_date])</f>
        <v>45727</v>
      </c>
      <c r="M249">
        <f>sales[[#This Row],[sale_date]]-sales[[#This Row],[sighnup_date]]</f>
        <v>77</v>
      </c>
      <c r="N249" t="str">
        <f t="shared" si="3"/>
        <v>new customer</v>
      </c>
      <c r="O249" t="str">
        <f>_xlfn.XLOOKUP(A249,salesitems[sale_id],salesitems[category])</f>
        <v>Pants</v>
      </c>
    </row>
    <row r="250" spans="1:15" x14ac:dyDescent="0.45">
      <c r="A250">
        <v>1326</v>
      </c>
      <c r="B250" t="s">
        <v>21</v>
      </c>
      <c r="C250">
        <v>0</v>
      </c>
      <c r="D250">
        <v>310.98</v>
      </c>
      <c r="E250" s="1">
        <v>45795</v>
      </c>
      <c r="F250">
        <v>883</v>
      </c>
      <c r="G250" t="s">
        <v>33</v>
      </c>
      <c r="H250" t="str">
        <f>TEXT(sales[[#This Row],[sale_date]],"dddd")</f>
        <v>Sunday</v>
      </c>
      <c r="I250">
        <f>_xlfn.XLOOKUP(A250,salesitems[sale_id],salesitems[revenue],0)</f>
        <v>113.38</v>
      </c>
      <c r="J250">
        <v>1</v>
      </c>
      <c r="K250" s="10" t="str">
        <f>_xlfn.XLOOKUP(F250,customers[customer_id],customers[age_range])</f>
        <v>56-65</v>
      </c>
      <c r="L250" s="1">
        <f>_xlfn.XLOOKUP(F250,customers[customer_id],customers[signup_date])</f>
        <v>45745</v>
      </c>
      <c r="M250">
        <f>sales[[#This Row],[sale_date]]-sales[[#This Row],[sighnup_date]]</f>
        <v>50</v>
      </c>
      <c r="N250" t="str">
        <f t="shared" si="3"/>
        <v>new customer</v>
      </c>
      <c r="O250" t="str">
        <f>_xlfn.XLOOKUP(A250,salesitems[sale_id],salesitems[category])</f>
        <v>Shoes</v>
      </c>
    </row>
    <row r="251" spans="1:15" x14ac:dyDescent="0.45">
      <c r="A251">
        <v>1327</v>
      </c>
      <c r="B251" t="s">
        <v>21</v>
      </c>
      <c r="C251">
        <v>0</v>
      </c>
      <c r="D251">
        <v>113.56</v>
      </c>
      <c r="E251" s="1">
        <v>45766</v>
      </c>
      <c r="F251">
        <v>770</v>
      </c>
      <c r="G251" t="s">
        <v>38</v>
      </c>
      <c r="H251" t="str">
        <f>TEXT(sales[[#This Row],[sale_date]],"dddd")</f>
        <v>Saturday</v>
      </c>
      <c r="I251">
        <f>_xlfn.XLOOKUP(A251,salesitems[sale_id],salesitems[revenue],0)</f>
        <v>35.200000000000003</v>
      </c>
      <c r="J251">
        <v>1</v>
      </c>
      <c r="K251" s="10" t="str">
        <f>_xlfn.XLOOKUP(F251,customers[customer_id],customers[age_range])</f>
        <v>36-45</v>
      </c>
      <c r="L251" s="1">
        <f>_xlfn.XLOOKUP(F251,customers[customer_id],customers[signup_date])</f>
        <v>45744</v>
      </c>
      <c r="M251">
        <f>sales[[#This Row],[sale_date]]-sales[[#This Row],[sighnup_date]]</f>
        <v>22</v>
      </c>
      <c r="N251" t="str">
        <f t="shared" si="3"/>
        <v>new customer</v>
      </c>
      <c r="O251" t="str">
        <f>_xlfn.XLOOKUP(A251,salesitems[sale_id],salesitems[category])</f>
        <v>Sleepwear</v>
      </c>
    </row>
    <row r="252" spans="1:15" x14ac:dyDescent="0.45">
      <c r="A252">
        <v>1328</v>
      </c>
      <c r="B252" t="s">
        <v>21</v>
      </c>
      <c r="C252">
        <v>0</v>
      </c>
      <c r="D252">
        <v>143.15</v>
      </c>
      <c r="E252" s="1">
        <v>45824</v>
      </c>
      <c r="F252">
        <v>201</v>
      </c>
      <c r="G252" t="s">
        <v>28</v>
      </c>
      <c r="H252" t="str">
        <f>TEXT(sales[[#This Row],[sale_date]],"dddd")</f>
        <v>Monday</v>
      </c>
      <c r="I252">
        <f>_xlfn.XLOOKUP(A252,salesitems[sale_id],salesitems[revenue],0)</f>
        <v>47.47</v>
      </c>
      <c r="J252">
        <v>1</v>
      </c>
      <c r="K252" s="10" t="str">
        <f>_xlfn.XLOOKUP(F252,customers[customer_id],customers[age_range])</f>
        <v>36-45</v>
      </c>
      <c r="L252" s="1">
        <f>_xlfn.XLOOKUP(F252,customers[customer_id],customers[signup_date])</f>
        <v>45761</v>
      </c>
      <c r="M252">
        <f>sales[[#This Row],[sale_date]]-sales[[#This Row],[sighnup_date]]</f>
        <v>63</v>
      </c>
      <c r="N252" t="str">
        <f t="shared" si="3"/>
        <v>new customer</v>
      </c>
      <c r="O252" t="str">
        <f>_xlfn.XLOOKUP(A252,salesitems[sale_id],salesitems[category])</f>
        <v>Sleepwear</v>
      </c>
    </row>
    <row r="253" spans="1:15" x14ac:dyDescent="0.45">
      <c r="A253">
        <v>1329</v>
      </c>
      <c r="B253" t="s">
        <v>15</v>
      </c>
      <c r="C253">
        <v>0</v>
      </c>
      <c r="D253">
        <v>94.92</v>
      </c>
      <c r="E253" s="1">
        <v>45774</v>
      </c>
      <c r="F253">
        <v>28</v>
      </c>
      <c r="G253" t="s">
        <v>34</v>
      </c>
      <c r="H253" t="str">
        <f>TEXT(sales[[#This Row],[sale_date]],"dddd")</f>
        <v>Sunday</v>
      </c>
      <c r="I253">
        <f>_xlfn.XLOOKUP(A253,salesitems[sale_id],salesitems[revenue],0)</f>
        <v>60.34</v>
      </c>
      <c r="J253">
        <v>1</v>
      </c>
      <c r="K253" s="10" t="str">
        <f>_xlfn.XLOOKUP(F253,customers[customer_id],customers[age_range])</f>
        <v>16-25</v>
      </c>
      <c r="L253" s="1">
        <f>_xlfn.XLOOKUP(F253,customers[customer_id],customers[signup_date])</f>
        <v>45749</v>
      </c>
      <c r="M253">
        <f>sales[[#This Row],[sale_date]]-sales[[#This Row],[sighnup_date]]</f>
        <v>25</v>
      </c>
      <c r="N253" t="str">
        <f t="shared" si="3"/>
        <v>new customer</v>
      </c>
      <c r="O253" t="str">
        <f>_xlfn.XLOOKUP(A253,salesitems[sale_id],salesitems[category])</f>
        <v>Sleepwear</v>
      </c>
    </row>
    <row r="254" spans="1:15" x14ac:dyDescent="0.45">
      <c r="A254">
        <v>133</v>
      </c>
      <c r="B254" t="s">
        <v>15</v>
      </c>
      <c r="C254">
        <v>0</v>
      </c>
      <c r="D254">
        <v>450.74</v>
      </c>
      <c r="E254" s="1">
        <v>45822</v>
      </c>
      <c r="F254">
        <v>570</v>
      </c>
      <c r="G254" t="s">
        <v>34</v>
      </c>
      <c r="H254" t="str">
        <f>TEXT(sales[[#This Row],[sale_date]],"dddd")</f>
        <v>Saturday</v>
      </c>
      <c r="I254">
        <f>_xlfn.XLOOKUP(A254,salesitems[sale_id],salesitems[revenue],0)</f>
        <v>92.14</v>
      </c>
      <c r="J254">
        <v>1</v>
      </c>
      <c r="K254" s="10" t="str">
        <f>_xlfn.XLOOKUP(F254,customers[customer_id],customers[age_range])</f>
        <v>16-25</v>
      </c>
      <c r="L254" s="1">
        <f>_xlfn.XLOOKUP(F254,customers[customer_id],customers[signup_date])</f>
        <v>45760</v>
      </c>
      <c r="M254">
        <f>sales[[#This Row],[sale_date]]-sales[[#This Row],[sighnup_date]]</f>
        <v>62</v>
      </c>
      <c r="N254" t="str">
        <f t="shared" si="3"/>
        <v>new customer</v>
      </c>
      <c r="O254" t="str">
        <f>_xlfn.XLOOKUP(A254,salesitems[sale_id],salesitems[category])</f>
        <v>Dresses</v>
      </c>
    </row>
    <row r="255" spans="1:15" x14ac:dyDescent="0.45">
      <c r="A255">
        <v>1330</v>
      </c>
      <c r="B255" t="s">
        <v>15</v>
      </c>
      <c r="C255">
        <v>0</v>
      </c>
      <c r="D255">
        <v>343.78</v>
      </c>
      <c r="E255" s="1">
        <v>45751</v>
      </c>
      <c r="F255">
        <v>277</v>
      </c>
      <c r="G255" t="s">
        <v>33</v>
      </c>
      <c r="H255" t="str">
        <f>TEXT(sales[[#This Row],[sale_date]],"dddd")</f>
        <v>Friday</v>
      </c>
      <c r="I255">
        <f>_xlfn.XLOOKUP(A255,salesitems[sale_id],salesitems[revenue],0)</f>
        <v>105.47999999999999</v>
      </c>
      <c r="J255">
        <v>1</v>
      </c>
      <c r="K255" s="10" t="str">
        <f>_xlfn.XLOOKUP(F255,customers[customer_id],customers[age_range])</f>
        <v>16-25</v>
      </c>
      <c r="L255" s="1">
        <f>_xlfn.XLOOKUP(F255,customers[customer_id],customers[signup_date])</f>
        <v>45714</v>
      </c>
      <c r="M255">
        <f>sales[[#This Row],[sale_date]]-sales[[#This Row],[sighnup_date]]</f>
        <v>37</v>
      </c>
      <c r="N255" t="str">
        <f t="shared" si="3"/>
        <v>new customer</v>
      </c>
      <c r="O255" t="str">
        <f>_xlfn.XLOOKUP(A255,salesitems[sale_id],salesitems[category])</f>
        <v>Sleepwear</v>
      </c>
    </row>
    <row r="256" spans="1:15" x14ac:dyDescent="0.45">
      <c r="A256">
        <v>1331</v>
      </c>
      <c r="B256" t="s">
        <v>15</v>
      </c>
      <c r="C256">
        <v>0</v>
      </c>
      <c r="D256">
        <v>257.02999999999997</v>
      </c>
      <c r="E256" s="1">
        <v>45773</v>
      </c>
      <c r="F256">
        <v>447</v>
      </c>
      <c r="G256" t="s">
        <v>28</v>
      </c>
      <c r="H256" t="str">
        <f>TEXT(sales[[#This Row],[sale_date]],"dddd")</f>
        <v>Saturday</v>
      </c>
      <c r="I256">
        <f>_xlfn.XLOOKUP(A256,salesitems[sale_id],salesitems[revenue],0)</f>
        <v>52.08</v>
      </c>
      <c r="J256">
        <v>1</v>
      </c>
      <c r="K256" s="10" t="str">
        <f>_xlfn.XLOOKUP(F256,customers[customer_id],customers[age_range])</f>
        <v>26-35</v>
      </c>
      <c r="L256" s="1">
        <f>_xlfn.XLOOKUP(F256,customers[customer_id],customers[signup_date])</f>
        <v>45735</v>
      </c>
      <c r="M256">
        <f>sales[[#This Row],[sale_date]]-sales[[#This Row],[sighnup_date]]</f>
        <v>38</v>
      </c>
      <c r="N256" t="str">
        <f t="shared" si="3"/>
        <v>new customer</v>
      </c>
      <c r="O256" t="str">
        <f>_xlfn.XLOOKUP(A256,salesitems[sale_id],salesitems[category])</f>
        <v>Shoes</v>
      </c>
    </row>
    <row r="257" spans="1:15" x14ac:dyDescent="0.45">
      <c r="A257">
        <v>1332</v>
      </c>
      <c r="B257" t="s">
        <v>21</v>
      </c>
      <c r="C257">
        <v>0</v>
      </c>
      <c r="D257">
        <v>161.81</v>
      </c>
      <c r="E257" s="1">
        <v>45790</v>
      </c>
      <c r="F257">
        <v>783</v>
      </c>
      <c r="G257" t="s">
        <v>33</v>
      </c>
      <c r="H257" t="str">
        <f>TEXT(sales[[#This Row],[sale_date]],"dddd")</f>
        <v>Tuesday</v>
      </c>
      <c r="I257">
        <f>_xlfn.XLOOKUP(A257,salesitems[sale_id],salesitems[revenue],0)</f>
        <v>38.409999999999997</v>
      </c>
      <c r="J257">
        <v>1</v>
      </c>
      <c r="K257" s="10" t="str">
        <f>_xlfn.XLOOKUP(F257,customers[customer_id],customers[age_range])</f>
        <v>36-45</v>
      </c>
      <c r="L257" s="1">
        <f>_xlfn.XLOOKUP(F257,customers[customer_id],customers[signup_date])</f>
        <v>45719</v>
      </c>
      <c r="M257">
        <f>sales[[#This Row],[sale_date]]-sales[[#This Row],[sighnup_date]]</f>
        <v>71</v>
      </c>
      <c r="N257" t="str">
        <f t="shared" si="3"/>
        <v>new customer</v>
      </c>
      <c r="O257" t="str">
        <f>_xlfn.XLOOKUP(A257,salesitems[sale_id],salesitems[category])</f>
        <v>Sleepwear</v>
      </c>
    </row>
    <row r="258" spans="1:15" x14ac:dyDescent="0.45">
      <c r="A258">
        <v>1333</v>
      </c>
      <c r="B258" t="s">
        <v>15</v>
      </c>
      <c r="C258">
        <v>1</v>
      </c>
      <c r="D258">
        <v>115.4</v>
      </c>
      <c r="E258" s="1">
        <v>45791</v>
      </c>
      <c r="F258">
        <v>215</v>
      </c>
      <c r="G258" t="s">
        <v>31</v>
      </c>
      <c r="H258" t="str">
        <f>TEXT(sales[[#This Row],[sale_date]],"dddd")</f>
        <v>Wednesday</v>
      </c>
      <c r="I258">
        <f>_xlfn.XLOOKUP(A258,salesitems[sale_id],salesitems[revenue],0)</f>
        <v>43.06</v>
      </c>
      <c r="J258">
        <v>1</v>
      </c>
      <c r="K258" s="10" t="str">
        <f>_xlfn.XLOOKUP(F258,customers[customer_id],customers[age_range])</f>
        <v>56-65</v>
      </c>
      <c r="L258" s="1">
        <f>_xlfn.XLOOKUP(F258,customers[customer_id],customers[signup_date])</f>
        <v>45691</v>
      </c>
      <c r="M258">
        <f>sales[[#This Row],[sale_date]]-sales[[#This Row],[sighnup_date]]</f>
        <v>100</v>
      </c>
      <c r="N258" t="str">
        <f t="shared" ref="N258:N321" si="4">IF(M258&lt;0,"data issue",IF(M258&lt;=90,"new customer","existing customer"))</f>
        <v>existing customer</v>
      </c>
      <c r="O258" t="str">
        <f>_xlfn.XLOOKUP(A258,salesitems[sale_id],salesitems[category])</f>
        <v>Sleepwear</v>
      </c>
    </row>
    <row r="259" spans="1:15" x14ac:dyDescent="0.45">
      <c r="A259">
        <v>1335</v>
      </c>
      <c r="B259" t="s">
        <v>15</v>
      </c>
      <c r="C259">
        <v>0</v>
      </c>
      <c r="D259">
        <v>258.45999999999998</v>
      </c>
      <c r="E259" s="1">
        <v>45771</v>
      </c>
      <c r="F259">
        <v>999</v>
      </c>
      <c r="G259" t="s">
        <v>36</v>
      </c>
      <c r="H259" t="str">
        <f>TEXT(sales[[#This Row],[sale_date]],"dddd")</f>
        <v>Thursday</v>
      </c>
      <c r="I259">
        <f>_xlfn.XLOOKUP(A259,salesitems[sale_id],salesitems[revenue],0)</f>
        <v>106.7</v>
      </c>
      <c r="J259">
        <v>1</v>
      </c>
      <c r="K259" s="10" t="str">
        <f>_xlfn.XLOOKUP(F259,customers[customer_id],customers[age_range])</f>
        <v>56-65</v>
      </c>
      <c r="L259" s="1">
        <f>_xlfn.XLOOKUP(F259,customers[customer_id],customers[signup_date])</f>
        <v>45709</v>
      </c>
      <c r="M259">
        <f>sales[[#This Row],[sale_date]]-sales[[#This Row],[sighnup_date]]</f>
        <v>62</v>
      </c>
      <c r="N259" t="str">
        <f t="shared" si="4"/>
        <v>new customer</v>
      </c>
      <c r="O259" t="str">
        <f>_xlfn.XLOOKUP(A259,salesitems[sale_id],salesitems[category])</f>
        <v>Sleepwear</v>
      </c>
    </row>
    <row r="260" spans="1:15" x14ac:dyDescent="0.45">
      <c r="A260">
        <v>1336</v>
      </c>
      <c r="B260" t="s">
        <v>21</v>
      </c>
      <c r="C260">
        <v>0</v>
      </c>
      <c r="D260">
        <v>184.47</v>
      </c>
      <c r="E260" s="1">
        <v>45751</v>
      </c>
      <c r="F260">
        <v>557</v>
      </c>
      <c r="G260" t="s">
        <v>34</v>
      </c>
      <c r="H260" t="str">
        <f>TEXT(sales[[#This Row],[sale_date]],"dddd")</f>
        <v>Friday</v>
      </c>
      <c r="I260">
        <f>_xlfn.XLOOKUP(A260,salesitems[sale_id],salesitems[revenue],0)</f>
        <v>54.83</v>
      </c>
      <c r="J260">
        <v>1</v>
      </c>
      <c r="K260" s="10" t="str">
        <f>_xlfn.XLOOKUP(F260,customers[customer_id],customers[age_range])</f>
        <v>56-65</v>
      </c>
      <c r="L260" s="1">
        <f>_xlfn.XLOOKUP(F260,customers[customer_id],customers[signup_date])</f>
        <v>45679</v>
      </c>
      <c r="M260">
        <f>sales[[#This Row],[sale_date]]-sales[[#This Row],[sighnup_date]]</f>
        <v>72</v>
      </c>
      <c r="N260" t="str">
        <f t="shared" si="4"/>
        <v>new customer</v>
      </c>
      <c r="O260" t="str">
        <f>_xlfn.XLOOKUP(A260,salesitems[sale_id],salesitems[category])</f>
        <v>T-Shirts</v>
      </c>
    </row>
    <row r="261" spans="1:15" x14ac:dyDescent="0.45">
      <c r="A261">
        <v>1337</v>
      </c>
      <c r="B261" t="s">
        <v>15</v>
      </c>
      <c r="C261">
        <v>1</v>
      </c>
      <c r="D261">
        <v>352.02</v>
      </c>
      <c r="E261" s="1">
        <v>45795</v>
      </c>
      <c r="F261">
        <v>943</v>
      </c>
      <c r="G261" t="s">
        <v>33</v>
      </c>
      <c r="H261" t="str">
        <f>TEXT(sales[[#This Row],[sale_date]],"dddd")</f>
        <v>Sunday</v>
      </c>
      <c r="I261">
        <f>_xlfn.XLOOKUP(A261,salesitems[sale_id],salesitems[revenue],0)</f>
        <v>187.64</v>
      </c>
      <c r="J261">
        <v>1</v>
      </c>
      <c r="K261" s="10" t="str">
        <f>_xlfn.XLOOKUP(F261,customers[customer_id],customers[age_range])</f>
        <v>56-65</v>
      </c>
      <c r="L261" s="1">
        <f>_xlfn.XLOOKUP(F261,customers[customer_id],customers[signup_date])</f>
        <v>45718</v>
      </c>
      <c r="M261">
        <f>sales[[#This Row],[sale_date]]-sales[[#This Row],[sighnup_date]]</f>
        <v>77</v>
      </c>
      <c r="N261" t="str">
        <f t="shared" si="4"/>
        <v>new customer</v>
      </c>
      <c r="O261" t="str">
        <f>_xlfn.XLOOKUP(A261,salesitems[sale_id],salesitems[category])</f>
        <v>T-Shirts</v>
      </c>
    </row>
    <row r="262" spans="1:15" x14ac:dyDescent="0.45">
      <c r="A262">
        <v>1339</v>
      </c>
      <c r="B262" t="s">
        <v>15</v>
      </c>
      <c r="C262">
        <v>0</v>
      </c>
      <c r="D262">
        <v>121.01</v>
      </c>
      <c r="E262" s="1">
        <v>45770</v>
      </c>
      <c r="F262">
        <v>796</v>
      </c>
      <c r="G262" t="s">
        <v>31</v>
      </c>
      <c r="H262" t="str">
        <f>TEXT(sales[[#This Row],[sale_date]],"dddd")</f>
        <v>Wednesday</v>
      </c>
      <c r="I262">
        <f>_xlfn.XLOOKUP(A262,salesitems[sale_id],salesitems[revenue],0)</f>
        <v>60.68</v>
      </c>
      <c r="J262">
        <v>1</v>
      </c>
      <c r="K262" s="10" t="str">
        <f>_xlfn.XLOOKUP(F262,customers[customer_id],customers[age_range])</f>
        <v>16-25</v>
      </c>
      <c r="L262" s="1">
        <f>_xlfn.XLOOKUP(F262,customers[customer_id],customers[signup_date])</f>
        <v>45719</v>
      </c>
      <c r="M262">
        <f>sales[[#This Row],[sale_date]]-sales[[#This Row],[sighnup_date]]</f>
        <v>51</v>
      </c>
      <c r="N262" t="str">
        <f t="shared" si="4"/>
        <v>new customer</v>
      </c>
      <c r="O262" t="str">
        <f>_xlfn.XLOOKUP(A262,salesitems[sale_id],salesitems[category])</f>
        <v>Pants</v>
      </c>
    </row>
    <row r="263" spans="1:15" x14ac:dyDescent="0.45">
      <c r="A263">
        <v>1342</v>
      </c>
      <c r="B263" t="s">
        <v>21</v>
      </c>
      <c r="C263">
        <v>0</v>
      </c>
      <c r="D263">
        <v>469.26</v>
      </c>
      <c r="E263" s="1">
        <v>45800</v>
      </c>
      <c r="F263">
        <v>990</v>
      </c>
      <c r="G263" t="s">
        <v>34</v>
      </c>
      <c r="H263" t="str">
        <f>TEXT(sales[[#This Row],[sale_date]],"dddd")</f>
        <v>Friday</v>
      </c>
      <c r="I263">
        <f>_xlfn.XLOOKUP(A263,salesitems[sale_id],salesitems[revenue],0)</f>
        <v>154.74</v>
      </c>
      <c r="J263">
        <v>1</v>
      </c>
      <c r="K263" s="10" t="str">
        <f>_xlfn.XLOOKUP(F263,customers[customer_id],customers[age_range])</f>
        <v>46-55</v>
      </c>
      <c r="L263" s="1">
        <f>_xlfn.XLOOKUP(F263,customers[customer_id],customers[signup_date])</f>
        <v>45715</v>
      </c>
      <c r="M263">
        <f>sales[[#This Row],[sale_date]]-sales[[#This Row],[sighnup_date]]</f>
        <v>85</v>
      </c>
      <c r="N263" t="str">
        <f t="shared" si="4"/>
        <v>new customer</v>
      </c>
      <c r="O263" t="str">
        <f>_xlfn.XLOOKUP(A263,salesitems[sale_id],salesitems[category])</f>
        <v>Sleepwear</v>
      </c>
    </row>
    <row r="264" spans="1:15" x14ac:dyDescent="0.45">
      <c r="A264">
        <v>1343</v>
      </c>
      <c r="B264" t="s">
        <v>21</v>
      </c>
      <c r="C264">
        <v>0</v>
      </c>
      <c r="D264">
        <v>352.5</v>
      </c>
      <c r="E264" s="1">
        <v>45805</v>
      </c>
      <c r="F264">
        <v>767</v>
      </c>
      <c r="G264" t="s">
        <v>31</v>
      </c>
      <c r="H264" t="str">
        <f>TEXT(sales[[#This Row],[sale_date]],"dddd")</f>
        <v>Wednesday</v>
      </c>
      <c r="I264">
        <f>_xlfn.XLOOKUP(A264,salesitems[sale_id],salesitems[revenue],0)</f>
        <v>96.6</v>
      </c>
      <c r="J264">
        <v>1</v>
      </c>
      <c r="K264" s="10" t="str">
        <f>_xlfn.XLOOKUP(F264,customers[customer_id],customers[age_range])</f>
        <v>36-45</v>
      </c>
      <c r="L264" s="1">
        <f>_xlfn.XLOOKUP(F264,customers[customer_id],customers[signup_date])</f>
        <v>45778</v>
      </c>
      <c r="M264">
        <f>sales[[#This Row],[sale_date]]-sales[[#This Row],[sighnup_date]]</f>
        <v>27</v>
      </c>
      <c r="N264" t="str">
        <f t="shared" si="4"/>
        <v>new customer</v>
      </c>
      <c r="O264" t="str">
        <f>_xlfn.XLOOKUP(A264,salesitems[sale_id],salesitems[category])</f>
        <v>Sleepwear</v>
      </c>
    </row>
    <row r="265" spans="1:15" x14ac:dyDescent="0.45">
      <c r="A265">
        <v>1344</v>
      </c>
      <c r="B265" t="s">
        <v>15</v>
      </c>
      <c r="C265">
        <v>0</v>
      </c>
      <c r="D265">
        <v>179.43</v>
      </c>
      <c r="E265" s="1">
        <v>45768</v>
      </c>
      <c r="F265">
        <v>857</v>
      </c>
      <c r="G265" t="s">
        <v>36</v>
      </c>
      <c r="H265" t="str">
        <f>TEXT(sales[[#This Row],[sale_date]],"dddd")</f>
        <v>Monday</v>
      </c>
      <c r="I265">
        <f>_xlfn.XLOOKUP(A265,salesitems[sale_id],salesitems[revenue],0)</f>
        <v>64.44</v>
      </c>
      <c r="J265">
        <v>1</v>
      </c>
      <c r="K265" s="10" t="str">
        <f>_xlfn.XLOOKUP(F265,customers[customer_id],customers[age_range])</f>
        <v>36-45</v>
      </c>
      <c r="L265" s="1">
        <f>_xlfn.XLOOKUP(F265,customers[customer_id],customers[signup_date])</f>
        <v>45768</v>
      </c>
      <c r="M265">
        <f>sales[[#This Row],[sale_date]]-sales[[#This Row],[sighnup_date]]</f>
        <v>0</v>
      </c>
      <c r="N265" t="str">
        <f t="shared" si="4"/>
        <v>new customer</v>
      </c>
      <c r="O265" t="str">
        <f>_xlfn.XLOOKUP(A265,salesitems[sale_id],salesitems[category])</f>
        <v>T-Shirts</v>
      </c>
    </row>
    <row r="266" spans="1:15" x14ac:dyDescent="0.45">
      <c r="A266">
        <v>1348</v>
      </c>
      <c r="B266" t="s">
        <v>21</v>
      </c>
      <c r="C266">
        <v>0</v>
      </c>
      <c r="D266">
        <v>451.03</v>
      </c>
      <c r="E266" s="1">
        <v>45797</v>
      </c>
      <c r="F266">
        <v>473</v>
      </c>
      <c r="G266" t="s">
        <v>28</v>
      </c>
      <c r="H266" t="str">
        <f>TEXT(sales[[#This Row],[sale_date]],"dddd")</f>
        <v>Tuesday</v>
      </c>
      <c r="I266">
        <f>_xlfn.XLOOKUP(A266,salesitems[sale_id],salesitems[revenue],0)</f>
        <v>116.68</v>
      </c>
      <c r="J266">
        <v>1</v>
      </c>
      <c r="K266" s="10" t="str">
        <f>_xlfn.XLOOKUP(F266,customers[customer_id],customers[age_range])</f>
        <v>16-25</v>
      </c>
      <c r="L266" s="1">
        <f>_xlfn.XLOOKUP(F266,customers[customer_id],customers[signup_date])</f>
        <v>45696</v>
      </c>
      <c r="M266">
        <f>sales[[#This Row],[sale_date]]-sales[[#This Row],[sighnup_date]]</f>
        <v>101</v>
      </c>
      <c r="N266" t="str">
        <f t="shared" si="4"/>
        <v>existing customer</v>
      </c>
      <c r="O266" t="str">
        <f>_xlfn.XLOOKUP(A266,salesitems[sale_id],salesitems[category])</f>
        <v>Pants</v>
      </c>
    </row>
    <row r="267" spans="1:15" x14ac:dyDescent="0.45">
      <c r="A267">
        <v>1349</v>
      </c>
      <c r="B267" t="s">
        <v>21</v>
      </c>
      <c r="C267">
        <v>0</v>
      </c>
      <c r="D267">
        <v>173.5</v>
      </c>
      <c r="E267" s="1">
        <v>45804</v>
      </c>
      <c r="F267">
        <v>37</v>
      </c>
      <c r="G267" t="s">
        <v>31</v>
      </c>
      <c r="H267" t="str">
        <f>TEXT(sales[[#This Row],[sale_date]],"dddd")</f>
        <v>Tuesday</v>
      </c>
      <c r="I267">
        <f>_xlfn.XLOOKUP(A267,salesitems[sale_id],salesitems[revenue],0)</f>
        <v>57.46</v>
      </c>
      <c r="J267">
        <v>1</v>
      </c>
      <c r="K267" s="10" t="str">
        <f>_xlfn.XLOOKUP(F267,customers[customer_id],customers[age_range])</f>
        <v>46-55</v>
      </c>
      <c r="L267" s="1">
        <f>_xlfn.XLOOKUP(F267,customers[customer_id],customers[signup_date])</f>
        <v>45718</v>
      </c>
      <c r="M267">
        <f>sales[[#This Row],[sale_date]]-sales[[#This Row],[sighnup_date]]</f>
        <v>86</v>
      </c>
      <c r="N267" t="str">
        <f t="shared" si="4"/>
        <v>new customer</v>
      </c>
      <c r="O267" t="str">
        <f>_xlfn.XLOOKUP(A267,salesitems[sale_id],salesitems[category])</f>
        <v>Pants</v>
      </c>
    </row>
    <row r="268" spans="1:15" x14ac:dyDescent="0.45">
      <c r="A268">
        <v>135</v>
      </c>
      <c r="B268" t="s">
        <v>21</v>
      </c>
      <c r="C268">
        <v>0</v>
      </c>
      <c r="D268">
        <v>702.11</v>
      </c>
      <c r="E268" s="1">
        <v>45792</v>
      </c>
      <c r="F268">
        <v>607</v>
      </c>
      <c r="G268" t="s">
        <v>28</v>
      </c>
      <c r="H268" t="str">
        <f>TEXT(sales[[#This Row],[sale_date]],"dddd")</f>
        <v>Thursday</v>
      </c>
      <c r="I268">
        <f>_xlfn.XLOOKUP(A268,salesitems[sale_id],salesitems[revenue],0)</f>
        <v>152.67000000000002</v>
      </c>
      <c r="J268">
        <v>1</v>
      </c>
      <c r="K268" s="10" t="str">
        <f>_xlfn.XLOOKUP(F268,customers[customer_id],customers[age_range])</f>
        <v>36-45</v>
      </c>
      <c r="L268" s="1">
        <f>_xlfn.XLOOKUP(F268,customers[customer_id],customers[signup_date])</f>
        <v>45705</v>
      </c>
      <c r="M268">
        <f>sales[[#This Row],[sale_date]]-sales[[#This Row],[sighnup_date]]</f>
        <v>87</v>
      </c>
      <c r="N268" t="str">
        <f t="shared" si="4"/>
        <v>new customer</v>
      </c>
      <c r="O268" t="str">
        <f>_xlfn.XLOOKUP(A268,salesitems[sale_id],salesitems[category])</f>
        <v>Sleepwear</v>
      </c>
    </row>
    <row r="269" spans="1:15" x14ac:dyDescent="0.45">
      <c r="A269">
        <v>1352</v>
      </c>
      <c r="B269" t="s">
        <v>15</v>
      </c>
      <c r="C269">
        <v>0</v>
      </c>
      <c r="D269">
        <v>419.08</v>
      </c>
      <c r="E269" s="1">
        <v>45799</v>
      </c>
      <c r="F269">
        <v>574</v>
      </c>
      <c r="G269" t="s">
        <v>33</v>
      </c>
      <c r="H269" t="str">
        <f>TEXT(sales[[#This Row],[sale_date]],"dddd")</f>
        <v>Thursday</v>
      </c>
      <c r="I269">
        <f>_xlfn.XLOOKUP(A269,salesitems[sale_id],salesitems[revenue],0)</f>
        <v>223.64</v>
      </c>
      <c r="J269">
        <v>1</v>
      </c>
      <c r="K269" s="10" t="str">
        <f>_xlfn.XLOOKUP(F269,customers[customer_id],customers[age_range])</f>
        <v>16-25</v>
      </c>
      <c r="L269" s="1">
        <f>_xlfn.XLOOKUP(F269,customers[customer_id],customers[signup_date])</f>
        <v>45772</v>
      </c>
      <c r="M269">
        <f>sales[[#This Row],[sale_date]]-sales[[#This Row],[sighnup_date]]</f>
        <v>27</v>
      </c>
      <c r="N269" t="str">
        <f t="shared" si="4"/>
        <v>new customer</v>
      </c>
      <c r="O269" t="str">
        <f>_xlfn.XLOOKUP(A269,salesitems[sale_id],salesitems[category])</f>
        <v>Sleepwear</v>
      </c>
    </row>
    <row r="270" spans="1:15" x14ac:dyDescent="0.45">
      <c r="A270">
        <v>136</v>
      </c>
      <c r="B270" t="s">
        <v>21</v>
      </c>
      <c r="C270">
        <v>0</v>
      </c>
      <c r="D270">
        <v>357.39</v>
      </c>
      <c r="E270" s="1">
        <v>45822</v>
      </c>
      <c r="F270">
        <v>206</v>
      </c>
      <c r="G270" t="s">
        <v>34</v>
      </c>
      <c r="H270" t="str">
        <f>TEXT(sales[[#This Row],[sale_date]],"dddd")</f>
        <v>Saturday</v>
      </c>
      <c r="I270">
        <f>_xlfn.XLOOKUP(A270,salesitems[sale_id],salesitems[revenue],0)</f>
        <v>164.73</v>
      </c>
      <c r="J270">
        <v>1</v>
      </c>
      <c r="K270" s="10" t="str">
        <f>_xlfn.XLOOKUP(F270,customers[customer_id],customers[age_range])</f>
        <v>36-45</v>
      </c>
      <c r="L270" s="1">
        <f>_xlfn.XLOOKUP(F270,customers[customer_id],customers[signup_date])</f>
        <v>45776</v>
      </c>
      <c r="M270">
        <f>sales[[#This Row],[sale_date]]-sales[[#This Row],[sighnup_date]]</f>
        <v>46</v>
      </c>
      <c r="N270" t="str">
        <f t="shared" si="4"/>
        <v>new customer</v>
      </c>
      <c r="O270" t="str">
        <f>_xlfn.XLOOKUP(A270,salesitems[sale_id],salesitems[category])</f>
        <v>T-Shirts</v>
      </c>
    </row>
    <row r="271" spans="1:15" x14ac:dyDescent="0.45">
      <c r="A271">
        <v>138</v>
      </c>
      <c r="B271" t="s">
        <v>21</v>
      </c>
      <c r="C271">
        <v>0</v>
      </c>
      <c r="D271">
        <v>406.4</v>
      </c>
      <c r="E271" s="1">
        <v>45822</v>
      </c>
      <c r="F271">
        <v>106</v>
      </c>
      <c r="G271" t="s">
        <v>36</v>
      </c>
      <c r="H271" t="str">
        <f>TEXT(sales[[#This Row],[sale_date]],"dddd")</f>
        <v>Saturday</v>
      </c>
      <c r="I271">
        <f>_xlfn.XLOOKUP(A271,salesitems[sale_id],salesitems[revenue],0)</f>
        <v>37.11</v>
      </c>
      <c r="J271">
        <v>1</v>
      </c>
      <c r="K271" s="10" t="str">
        <f>_xlfn.XLOOKUP(F271,customers[customer_id],customers[age_range])</f>
        <v>36-45</v>
      </c>
      <c r="L271" s="1">
        <f>_xlfn.XLOOKUP(F271,customers[customer_id],customers[signup_date])</f>
        <v>45781</v>
      </c>
      <c r="M271">
        <f>sales[[#This Row],[sale_date]]-sales[[#This Row],[sighnup_date]]</f>
        <v>41</v>
      </c>
      <c r="N271" t="str">
        <f t="shared" si="4"/>
        <v>new customer</v>
      </c>
      <c r="O271" t="str">
        <f>_xlfn.XLOOKUP(A271,salesitems[sale_id],salesitems[category])</f>
        <v>Pants</v>
      </c>
    </row>
    <row r="272" spans="1:15" x14ac:dyDescent="0.45">
      <c r="A272">
        <v>139</v>
      </c>
      <c r="B272" t="s">
        <v>15</v>
      </c>
      <c r="C272">
        <v>0</v>
      </c>
      <c r="D272">
        <v>631.08000000000004</v>
      </c>
      <c r="E272" s="1">
        <v>45798</v>
      </c>
      <c r="F272">
        <v>473</v>
      </c>
      <c r="G272" t="s">
        <v>28</v>
      </c>
      <c r="H272" t="str">
        <f>TEXT(sales[[#This Row],[sale_date]],"dddd")</f>
        <v>Wednesday</v>
      </c>
      <c r="I272">
        <f>_xlfn.XLOOKUP(A272,salesitems[sale_id],salesitems[revenue],0)</f>
        <v>38.14</v>
      </c>
      <c r="J272">
        <v>1</v>
      </c>
      <c r="K272" s="10" t="str">
        <f>_xlfn.XLOOKUP(F272,customers[customer_id],customers[age_range])</f>
        <v>16-25</v>
      </c>
      <c r="L272" s="1">
        <f>_xlfn.XLOOKUP(F272,customers[customer_id],customers[signup_date])</f>
        <v>45696</v>
      </c>
      <c r="M272">
        <f>sales[[#This Row],[sale_date]]-sales[[#This Row],[sighnup_date]]</f>
        <v>102</v>
      </c>
      <c r="N272" t="str">
        <f t="shared" si="4"/>
        <v>existing customer</v>
      </c>
      <c r="O272" t="str">
        <f>_xlfn.XLOOKUP(A272,salesitems[sale_id],salesitems[category])</f>
        <v>Pants</v>
      </c>
    </row>
    <row r="273" spans="1:15" x14ac:dyDescent="0.45">
      <c r="A273">
        <v>141</v>
      </c>
      <c r="B273" t="s">
        <v>21</v>
      </c>
      <c r="C273">
        <v>0</v>
      </c>
      <c r="D273">
        <v>617.09</v>
      </c>
      <c r="E273" s="1">
        <v>45823</v>
      </c>
      <c r="F273">
        <v>861</v>
      </c>
      <c r="G273" t="s">
        <v>38</v>
      </c>
      <c r="H273" t="str">
        <f>TEXT(sales[[#This Row],[sale_date]],"dddd")</f>
        <v>Sunday</v>
      </c>
      <c r="I273">
        <f>_xlfn.XLOOKUP(A273,salesitems[sale_id],salesitems[revenue],0)</f>
        <v>47.44</v>
      </c>
      <c r="J273">
        <v>1</v>
      </c>
      <c r="K273" s="10" t="str">
        <f>_xlfn.XLOOKUP(F273,customers[customer_id],customers[age_range])</f>
        <v>26-35</v>
      </c>
      <c r="L273" s="1">
        <f>_xlfn.XLOOKUP(F273,customers[customer_id],customers[signup_date])</f>
        <v>45707</v>
      </c>
      <c r="M273">
        <f>sales[[#This Row],[sale_date]]-sales[[#This Row],[sighnup_date]]</f>
        <v>116</v>
      </c>
      <c r="N273" t="str">
        <f t="shared" si="4"/>
        <v>existing customer</v>
      </c>
      <c r="O273" t="str">
        <f>_xlfn.XLOOKUP(A273,salesitems[sale_id],salesitems[category])</f>
        <v>Shoes</v>
      </c>
    </row>
    <row r="274" spans="1:15" x14ac:dyDescent="0.45">
      <c r="A274">
        <v>142</v>
      </c>
      <c r="B274" t="s">
        <v>21</v>
      </c>
      <c r="C274">
        <v>0</v>
      </c>
      <c r="D274">
        <v>410.77</v>
      </c>
      <c r="E274" s="1">
        <v>45802</v>
      </c>
      <c r="F274">
        <v>151</v>
      </c>
      <c r="G274" t="s">
        <v>34</v>
      </c>
      <c r="H274" t="str">
        <f>TEXT(sales[[#This Row],[sale_date]],"dddd")</f>
        <v>Sunday</v>
      </c>
      <c r="I274">
        <f>_xlfn.XLOOKUP(A274,salesitems[sale_id],salesitems[revenue],0)</f>
        <v>135.96</v>
      </c>
      <c r="J274">
        <v>1</v>
      </c>
      <c r="K274" s="10" t="str">
        <f>_xlfn.XLOOKUP(F274,customers[customer_id],customers[age_range])</f>
        <v>56-65</v>
      </c>
      <c r="L274" s="1">
        <f>_xlfn.XLOOKUP(F274,customers[customer_id],customers[signup_date])</f>
        <v>45749</v>
      </c>
      <c r="M274">
        <f>sales[[#This Row],[sale_date]]-sales[[#This Row],[sighnup_date]]</f>
        <v>53</v>
      </c>
      <c r="N274" t="str">
        <f t="shared" si="4"/>
        <v>new customer</v>
      </c>
      <c r="O274" t="str">
        <f>_xlfn.XLOOKUP(A274,salesitems[sale_id],salesitems[category])</f>
        <v>T-Shirts</v>
      </c>
    </row>
    <row r="275" spans="1:15" x14ac:dyDescent="0.45">
      <c r="A275">
        <v>143</v>
      </c>
      <c r="B275" t="s">
        <v>21</v>
      </c>
      <c r="C275">
        <v>0</v>
      </c>
      <c r="D275">
        <v>324.41000000000003</v>
      </c>
      <c r="E275" s="1">
        <v>45824</v>
      </c>
      <c r="F275">
        <v>956</v>
      </c>
      <c r="G275" t="s">
        <v>38</v>
      </c>
      <c r="H275" t="str">
        <f>TEXT(sales[[#This Row],[sale_date]],"dddd")</f>
        <v>Monday</v>
      </c>
      <c r="I275">
        <f>_xlfn.XLOOKUP(A275,salesitems[sale_id],salesitems[revenue],0)</f>
        <v>44.12</v>
      </c>
      <c r="J275">
        <v>1</v>
      </c>
      <c r="K275" s="10" t="str">
        <f>_xlfn.XLOOKUP(F275,customers[customer_id],customers[age_range])</f>
        <v>46-55</v>
      </c>
      <c r="L275" s="1">
        <f>_xlfn.XLOOKUP(F275,customers[customer_id],customers[signup_date])</f>
        <v>45749</v>
      </c>
      <c r="M275">
        <f>sales[[#This Row],[sale_date]]-sales[[#This Row],[sighnup_date]]</f>
        <v>75</v>
      </c>
      <c r="N275" t="str">
        <f t="shared" si="4"/>
        <v>new customer</v>
      </c>
      <c r="O275" t="str">
        <f>_xlfn.XLOOKUP(A275,salesitems[sale_id],salesitems[category])</f>
        <v>Shoes</v>
      </c>
    </row>
    <row r="276" spans="1:15" x14ac:dyDescent="0.45">
      <c r="A276">
        <v>144</v>
      </c>
      <c r="B276" t="s">
        <v>15</v>
      </c>
      <c r="C276">
        <v>0</v>
      </c>
      <c r="D276">
        <v>296.58999999999997</v>
      </c>
      <c r="E276" s="1">
        <v>45767</v>
      </c>
      <c r="F276">
        <v>961</v>
      </c>
      <c r="G276" t="s">
        <v>36</v>
      </c>
      <c r="H276" t="str">
        <f>TEXT(sales[[#This Row],[sale_date]],"dddd")</f>
        <v>Sunday</v>
      </c>
      <c r="I276">
        <f>_xlfn.XLOOKUP(A276,salesitems[sale_id],salesitems[revenue],0)</f>
        <v>54.2</v>
      </c>
      <c r="J276">
        <v>1</v>
      </c>
      <c r="K276" s="10" t="str">
        <f>_xlfn.XLOOKUP(F276,customers[customer_id],customers[age_range])</f>
        <v>56-65</v>
      </c>
      <c r="L276" s="1">
        <f>_xlfn.XLOOKUP(F276,customers[customer_id],customers[signup_date])</f>
        <v>45740</v>
      </c>
      <c r="M276">
        <f>sales[[#This Row],[sale_date]]-sales[[#This Row],[sighnup_date]]</f>
        <v>27</v>
      </c>
      <c r="N276" t="str">
        <f t="shared" si="4"/>
        <v>new customer</v>
      </c>
      <c r="O276" t="str">
        <f>_xlfn.XLOOKUP(A276,salesitems[sale_id],salesitems[category])</f>
        <v>Sleepwear</v>
      </c>
    </row>
    <row r="277" spans="1:15" x14ac:dyDescent="0.45">
      <c r="A277">
        <v>145</v>
      </c>
      <c r="B277" t="s">
        <v>21</v>
      </c>
      <c r="C277">
        <v>0</v>
      </c>
      <c r="D277">
        <v>391.58</v>
      </c>
      <c r="E277" s="1">
        <v>45797</v>
      </c>
      <c r="F277">
        <v>135</v>
      </c>
      <c r="G277" t="s">
        <v>28</v>
      </c>
      <c r="H277" t="str">
        <f>TEXT(sales[[#This Row],[sale_date]],"dddd")</f>
        <v>Tuesday</v>
      </c>
      <c r="I277">
        <f>_xlfn.XLOOKUP(A277,salesitems[sale_id],salesitems[revenue],0)</f>
        <v>74.900000000000006</v>
      </c>
      <c r="J277">
        <v>1</v>
      </c>
      <c r="K277" s="10" t="str">
        <f>_xlfn.XLOOKUP(F277,customers[customer_id],customers[age_range])</f>
        <v>36-45</v>
      </c>
      <c r="L277" s="1">
        <f>_xlfn.XLOOKUP(F277,customers[customer_id],customers[signup_date])</f>
        <v>45678</v>
      </c>
      <c r="M277">
        <f>sales[[#This Row],[sale_date]]-sales[[#This Row],[sighnup_date]]</f>
        <v>119</v>
      </c>
      <c r="N277" t="str">
        <f t="shared" si="4"/>
        <v>existing customer</v>
      </c>
      <c r="O277" t="str">
        <f>_xlfn.XLOOKUP(A277,salesitems[sale_id],salesitems[category])</f>
        <v>T-Shirts</v>
      </c>
    </row>
    <row r="278" spans="1:15" x14ac:dyDescent="0.45">
      <c r="A278">
        <v>146</v>
      </c>
      <c r="B278" t="s">
        <v>21</v>
      </c>
      <c r="C278">
        <v>0</v>
      </c>
      <c r="D278">
        <v>310.87</v>
      </c>
      <c r="E278" s="1">
        <v>45762</v>
      </c>
      <c r="F278">
        <v>420</v>
      </c>
      <c r="G278" t="s">
        <v>36</v>
      </c>
      <c r="H278" t="str">
        <f>TEXT(sales[[#This Row],[sale_date]],"dddd")</f>
        <v>Tuesday</v>
      </c>
      <c r="I278">
        <f>_xlfn.XLOOKUP(A278,salesitems[sale_id],salesitems[revenue],0)</f>
        <v>114.22</v>
      </c>
      <c r="J278">
        <v>1</v>
      </c>
      <c r="K278" s="10" t="str">
        <f>_xlfn.XLOOKUP(F278,customers[customer_id],customers[age_range])</f>
        <v>36-45</v>
      </c>
      <c r="L278" s="1">
        <f>_xlfn.XLOOKUP(F278,customers[customer_id],customers[signup_date])</f>
        <v>45723</v>
      </c>
      <c r="M278">
        <f>sales[[#This Row],[sale_date]]-sales[[#This Row],[sighnup_date]]</f>
        <v>39</v>
      </c>
      <c r="N278" t="str">
        <f t="shared" si="4"/>
        <v>new customer</v>
      </c>
      <c r="O278" t="str">
        <f>_xlfn.XLOOKUP(A278,salesitems[sale_id],salesitems[category])</f>
        <v>T-Shirts</v>
      </c>
    </row>
    <row r="279" spans="1:15" x14ac:dyDescent="0.45">
      <c r="A279">
        <v>147</v>
      </c>
      <c r="B279" t="s">
        <v>21</v>
      </c>
      <c r="C279">
        <v>0</v>
      </c>
      <c r="D279">
        <v>336.73</v>
      </c>
      <c r="E279" s="1">
        <v>45794</v>
      </c>
      <c r="F279">
        <v>386</v>
      </c>
      <c r="G279" t="s">
        <v>28</v>
      </c>
      <c r="H279" t="str">
        <f>TEXT(sales[[#This Row],[sale_date]],"dddd")</f>
        <v>Saturday</v>
      </c>
      <c r="I279">
        <f>_xlfn.XLOOKUP(A279,salesitems[sale_id],salesitems[revenue],0)</f>
        <v>72.94</v>
      </c>
      <c r="J279">
        <v>1</v>
      </c>
      <c r="K279" s="10" t="str">
        <f>_xlfn.XLOOKUP(F279,customers[customer_id],customers[age_range])</f>
        <v>36-45</v>
      </c>
      <c r="L279" s="1">
        <f>_xlfn.XLOOKUP(F279,customers[customer_id],customers[signup_date])</f>
        <v>45744</v>
      </c>
      <c r="M279">
        <f>sales[[#This Row],[sale_date]]-sales[[#This Row],[sighnup_date]]</f>
        <v>50</v>
      </c>
      <c r="N279" t="str">
        <f t="shared" si="4"/>
        <v>new customer</v>
      </c>
      <c r="O279" t="str">
        <f>_xlfn.XLOOKUP(A279,salesitems[sale_id],salesitems[category])</f>
        <v>Pants</v>
      </c>
    </row>
    <row r="280" spans="1:15" x14ac:dyDescent="0.45">
      <c r="A280">
        <v>15</v>
      </c>
      <c r="B280" t="s">
        <v>21</v>
      </c>
      <c r="C280">
        <v>0</v>
      </c>
      <c r="D280">
        <v>421.64</v>
      </c>
      <c r="E280" s="1">
        <v>45797</v>
      </c>
      <c r="F280">
        <v>33</v>
      </c>
      <c r="G280" t="s">
        <v>33</v>
      </c>
      <c r="H280" t="str">
        <f>TEXT(sales[[#This Row],[sale_date]],"dddd")</f>
        <v>Tuesday</v>
      </c>
      <c r="I280">
        <f>_xlfn.XLOOKUP(A280,salesitems[sale_id],salesitems[revenue],0)</f>
        <v>37.06</v>
      </c>
      <c r="J280">
        <v>1</v>
      </c>
      <c r="K280" s="10" t="str">
        <f>_xlfn.XLOOKUP(F280,customers[customer_id],customers[age_range])</f>
        <v>56-65</v>
      </c>
      <c r="L280" s="1">
        <f>_xlfn.XLOOKUP(F280,customers[customer_id],customers[signup_date])</f>
        <v>45714</v>
      </c>
      <c r="M280">
        <f>sales[[#This Row],[sale_date]]-sales[[#This Row],[sighnup_date]]</f>
        <v>83</v>
      </c>
      <c r="N280" t="str">
        <f t="shared" si="4"/>
        <v>new customer</v>
      </c>
      <c r="O280" t="str">
        <f>_xlfn.XLOOKUP(A280,salesitems[sale_id],salesitems[category])</f>
        <v>Sleepwear</v>
      </c>
    </row>
    <row r="281" spans="1:15" x14ac:dyDescent="0.45">
      <c r="A281">
        <v>151</v>
      </c>
      <c r="B281" t="s">
        <v>21</v>
      </c>
      <c r="C281">
        <v>0</v>
      </c>
      <c r="D281">
        <v>396.18</v>
      </c>
      <c r="E281" s="1">
        <v>45761</v>
      </c>
      <c r="F281">
        <v>818</v>
      </c>
      <c r="G281" t="s">
        <v>28</v>
      </c>
      <c r="H281" t="str">
        <f>TEXT(sales[[#This Row],[sale_date]],"dddd")</f>
        <v>Monday</v>
      </c>
      <c r="I281">
        <f>_xlfn.XLOOKUP(A281,salesitems[sale_id],salesitems[revenue],0)</f>
        <v>42.72</v>
      </c>
      <c r="J281">
        <v>1</v>
      </c>
      <c r="K281" s="10" t="str">
        <f>_xlfn.XLOOKUP(F281,customers[customer_id],customers[age_range])</f>
        <v>46-55</v>
      </c>
      <c r="L281" s="1">
        <f>_xlfn.XLOOKUP(F281,customers[customer_id],customers[signup_date])</f>
        <v>45721</v>
      </c>
      <c r="M281">
        <f>sales[[#This Row],[sale_date]]-sales[[#This Row],[sighnup_date]]</f>
        <v>40</v>
      </c>
      <c r="N281" t="str">
        <f t="shared" si="4"/>
        <v>new customer</v>
      </c>
      <c r="O281" t="str">
        <f>_xlfn.XLOOKUP(A281,salesitems[sale_id],salesitems[category])</f>
        <v>Shoes</v>
      </c>
    </row>
    <row r="282" spans="1:15" x14ac:dyDescent="0.45">
      <c r="A282">
        <v>152</v>
      </c>
      <c r="B282" t="s">
        <v>15</v>
      </c>
      <c r="C282">
        <v>0</v>
      </c>
      <c r="D282">
        <v>422.84</v>
      </c>
      <c r="E282" s="1">
        <v>45752</v>
      </c>
      <c r="F282">
        <v>759</v>
      </c>
      <c r="G282" t="s">
        <v>28</v>
      </c>
      <c r="H282" t="str">
        <f>TEXT(sales[[#This Row],[sale_date]],"dddd")</f>
        <v>Saturday</v>
      </c>
      <c r="I282">
        <f>_xlfn.XLOOKUP(A282,salesitems[sale_id],salesitems[revenue],0)</f>
        <v>47.8</v>
      </c>
      <c r="J282">
        <v>1</v>
      </c>
      <c r="K282" s="10" t="str">
        <f>_xlfn.XLOOKUP(F282,customers[customer_id],customers[age_range])</f>
        <v>36-45</v>
      </c>
      <c r="L282" s="1">
        <f>_xlfn.XLOOKUP(F282,customers[customer_id],customers[signup_date])</f>
        <v>45697</v>
      </c>
      <c r="M282">
        <f>sales[[#This Row],[sale_date]]-sales[[#This Row],[sighnup_date]]</f>
        <v>55</v>
      </c>
      <c r="N282" t="str">
        <f t="shared" si="4"/>
        <v>new customer</v>
      </c>
      <c r="O282" t="str">
        <f>_xlfn.XLOOKUP(A282,salesitems[sale_id],salesitems[category])</f>
        <v>T-Shirts</v>
      </c>
    </row>
    <row r="283" spans="1:15" x14ac:dyDescent="0.45">
      <c r="A283">
        <v>154</v>
      </c>
      <c r="B283" t="s">
        <v>21</v>
      </c>
      <c r="C283">
        <v>0</v>
      </c>
      <c r="D283">
        <v>448.34</v>
      </c>
      <c r="E283" s="1">
        <v>45769</v>
      </c>
      <c r="F283">
        <v>551</v>
      </c>
      <c r="G283" t="s">
        <v>28</v>
      </c>
      <c r="H283" t="str">
        <f>TEXT(sales[[#This Row],[sale_date]],"dddd")</f>
        <v>Tuesday</v>
      </c>
      <c r="I283">
        <f>_xlfn.XLOOKUP(A283,salesitems[sale_id],salesitems[revenue],0)</f>
        <v>39.78</v>
      </c>
      <c r="J283">
        <v>1</v>
      </c>
      <c r="K283" s="10" t="str">
        <f>_xlfn.XLOOKUP(F283,customers[customer_id],customers[age_range])</f>
        <v>16-25</v>
      </c>
      <c r="L283" s="1">
        <f>_xlfn.XLOOKUP(F283,customers[customer_id],customers[signup_date])</f>
        <v>45727</v>
      </c>
      <c r="M283">
        <f>sales[[#This Row],[sale_date]]-sales[[#This Row],[sighnup_date]]</f>
        <v>42</v>
      </c>
      <c r="N283" t="str">
        <f t="shared" si="4"/>
        <v>new customer</v>
      </c>
      <c r="O283" t="str">
        <f>_xlfn.XLOOKUP(A283,salesitems[sale_id],salesitems[category])</f>
        <v>Shoes</v>
      </c>
    </row>
    <row r="284" spans="1:15" x14ac:dyDescent="0.45">
      <c r="A284">
        <v>155</v>
      </c>
      <c r="B284" t="s">
        <v>21</v>
      </c>
      <c r="C284">
        <v>1</v>
      </c>
      <c r="D284">
        <v>336.34</v>
      </c>
      <c r="E284" s="1">
        <v>45753</v>
      </c>
      <c r="F284">
        <v>516</v>
      </c>
      <c r="G284" t="s">
        <v>36</v>
      </c>
      <c r="H284" t="str">
        <f>TEXT(sales[[#This Row],[sale_date]],"dddd")</f>
        <v>Sunday</v>
      </c>
      <c r="I284">
        <f>_xlfn.XLOOKUP(A284,salesitems[sale_id],salesitems[revenue],0)</f>
        <v>85.66</v>
      </c>
      <c r="J284">
        <v>1</v>
      </c>
      <c r="K284" s="10" t="str">
        <f>_xlfn.XLOOKUP(F284,customers[customer_id],customers[age_range])</f>
        <v>36-45</v>
      </c>
      <c r="L284" s="1">
        <f>_xlfn.XLOOKUP(F284,customers[customer_id],customers[signup_date])</f>
        <v>45743</v>
      </c>
      <c r="M284">
        <f>sales[[#This Row],[sale_date]]-sales[[#This Row],[sighnup_date]]</f>
        <v>10</v>
      </c>
      <c r="N284" t="str">
        <f t="shared" si="4"/>
        <v>new customer</v>
      </c>
      <c r="O284" t="str">
        <f>_xlfn.XLOOKUP(A284,salesitems[sale_id],salesitems[category])</f>
        <v>Dresses</v>
      </c>
    </row>
    <row r="285" spans="1:15" x14ac:dyDescent="0.45">
      <c r="A285">
        <v>156</v>
      </c>
      <c r="B285" t="s">
        <v>21</v>
      </c>
      <c r="C285">
        <v>0</v>
      </c>
      <c r="D285">
        <v>364.16</v>
      </c>
      <c r="E285" s="1">
        <v>45801</v>
      </c>
      <c r="F285">
        <v>819</v>
      </c>
      <c r="G285" t="s">
        <v>33</v>
      </c>
      <c r="H285" t="str">
        <f>TEXT(sales[[#This Row],[sale_date]],"dddd")</f>
        <v>Saturday</v>
      </c>
      <c r="I285">
        <f>_xlfn.XLOOKUP(A285,salesitems[sale_id],salesitems[revenue],0)</f>
        <v>101.44</v>
      </c>
      <c r="J285">
        <v>1</v>
      </c>
      <c r="K285" s="10" t="str">
        <f>_xlfn.XLOOKUP(F285,customers[customer_id],customers[age_range])</f>
        <v>46-55</v>
      </c>
      <c r="L285" s="1">
        <f>_xlfn.XLOOKUP(F285,customers[customer_id],customers[signup_date])</f>
        <v>45722</v>
      </c>
      <c r="M285">
        <f>sales[[#This Row],[sale_date]]-sales[[#This Row],[sighnup_date]]</f>
        <v>79</v>
      </c>
      <c r="N285" t="str">
        <f t="shared" si="4"/>
        <v>new customer</v>
      </c>
      <c r="O285" t="str">
        <f>_xlfn.XLOOKUP(A285,salesitems[sale_id],salesitems[category])</f>
        <v>T-Shirts</v>
      </c>
    </row>
    <row r="286" spans="1:15" x14ac:dyDescent="0.45">
      <c r="A286">
        <v>158</v>
      </c>
      <c r="B286" t="s">
        <v>21</v>
      </c>
      <c r="C286">
        <v>0</v>
      </c>
      <c r="D286">
        <v>393.98</v>
      </c>
      <c r="E286" s="1">
        <v>45760</v>
      </c>
      <c r="F286">
        <v>813</v>
      </c>
      <c r="G286" t="s">
        <v>36</v>
      </c>
      <c r="H286" t="str">
        <f>TEXT(sales[[#This Row],[sale_date]],"dddd")</f>
        <v>Sunday</v>
      </c>
      <c r="I286">
        <f>_xlfn.XLOOKUP(A286,salesitems[sale_id],salesitems[revenue],0)</f>
        <v>103.52</v>
      </c>
      <c r="J286">
        <v>1</v>
      </c>
      <c r="K286" s="10" t="str">
        <f>_xlfn.XLOOKUP(F286,customers[customer_id],customers[age_range])</f>
        <v>26-35</v>
      </c>
      <c r="L286" s="1">
        <f>_xlfn.XLOOKUP(F286,customers[customer_id],customers[signup_date])</f>
        <v>45711</v>
      </c>
      <c r="M286">
        <f>sales[[#This Row],[sale_date]]-sales[[#This Row],[sighnup_date]]</f>
        <v>49</v>
      </c>
      <c r="N286" t="str">
        <f t="shared" si="4"/>
        <v>new customer</v>
      </c>
      <c r="O286" t="str">
        <f>_xlfn.XLOOKUP(A286,salesitems[sale_id],salesitems[category])</f>
        <v>Sleepwear</v>
      </c>
    </row>
    <row r="287" spans="1:15" x14ac:dyDescent="0.45">
      <c r="A287">
        <v>160</v>
      </c>
      <c r="B287" t="s">
        <v>15</v>
      </c>
      <c r="C287">
        <v>0</v>
      </c>
      <c r="D287">
        <v>663.69</v>
      </c>
      <c r="E287" s="1">
        <v>45772</v>
      </c>
      <c r="F287">
        <v>1</v>
      </c>
      <c r="G287" t="s">
        <v>28</v>
      </c>
      <c r="H287" t="str">
        <f>TEXT(sales[[#This Row],[sale_date]],"dddd")</f>
        <v>Friday</v>
      </c>
      <c r="I287">
        <f>_xlfn.XLOOKUP(A287,salesitems[sale_id],salesitems[revenue],0)</f>
        <v>50.04</v>
      </c>
      <c r="J287">
        <v>1</v>
      </c>
      <c r="K287" s="10" t="str">
        <f>_xlfn.XLOOKUP(F287,customers[customer_id],customers[age_range])</f>
        <v>56-65</v>
      </c>
      <c r="L287" s="1">
        <f>_xlfn.XLOOKUP(F287,customers[customer_id],customers[signup_date])</f>
        <v>45771</v>
      </c>
      <c r="M287">
        <f>sales[[#This Row],[sale_date]]-sales[[#This Row],[sighnup_date]]</f>
        <v>1</v>
      </c>
      <c r="N287" t="str">
        <f t="shared" si="4"/>
        <v>new customer</v>
      </c>
      <c r="O287" t="str">
        <f>_xlfn.XLOOKUP(A287,salesitems[sale_id],salesitems[category])</f>
        <v>T-Shirts</v>
      </c>
    </row>
    <row r="288" spans="1:15" x14ac:dyDescent="0.45">
      <c r="A288">
        <v>161</v>
      </c>
      <c r="B288" t="s">
        <v>15</v>
      </c>
      <c r="C288">
        <v>0</v>
      </c>
      <c r="D288">
        <v>608.66999999999996</v>
      </c>
      <c r="E288" s="1">
        <v>45773</v>
      </c>
      <c r="F288">
        <v>703</v>
      </c>
      <c r="G288" t="s">
        <v>36</v>
      </c>
      <c r="H288" t="str">
        <f>TEXT(sales[[#This Row],[sale_date]],"dddd")</f>
        <v>Saturday</v>
      </c>
      <c r="I288">
        <f>_xlfn.XLOOKUP(A288,salesitems[sale_id],salesitems[revenue],0)</f>
        <v>179.08</v>
      </c>
      <c r="J288">
        <v>1</v>
      </c>
      <c r="K288" s="10" t="str">
        <f>_xlfn.XLOOKUP(F288,customers[customer_id],customers[age_range])</f>
        <v>16-25</v>
      </c>
      <c r="L288" s="1">
        <f>_xlfn.XLOOKUP(F288,customers[customer_id],customers[signup_date])</f>
        <v>45746</v>
      </c>
      <c r="M288">
        <f>sales[[#This Row],[sale_date]]-sales[[#This Row],[sighnup_date]]</f>
        <v>27</v>
      </c>
      <c r="N288" t="str">
        <f t="shared" si="4"/>
        <v>new customer</v>
      </c>
      <c r="O288" t="str">
        <f>_xlfn.XLOOKUP(A288,salesitems[sale_id],salesitems[category])</f>
        <v>Dresses</v>
      </c>
    </row>
    <row r="289" spans="1:15" x14ac:dyDescent="0.45">
      <c r="A289">
        <v>163</v>
      </c>
      <c r="B289" t="s">
        <v>15</v>
      </c>
      <c r="C289">
        <v>0</v>
      </c>
      <c r="D289">
        <v>622.17999999999995</v>
      </c>
      <c r="E289" s="1">
        <v>45797</v>
      </c>
      <c r="F289">
        <v>283</v>
      </c>
      <c r="G289" t="s">
        <v>28</v>
      </c>
      <c r="H289" t="str">
        <f>TEXT(sales[[#This Row],[sale_date]],"dddd")</f>
        <v>Tuesday</v>
      </c>
      <c r="I289">
        <f>_xlfn.XLOOKUP(A289,salesitems[sale_id],salesitems[revenue],0)</f>
        <v>158.82</v>
      </c>
      <c r="J289">
        <v>1</v>
      </c>
      <c r="K289" s="10" t="str">
        <f>_xlfn.XLOOKUP(F289,customers[customer_id],customers[age_range])</f>
        <v>56-65</v>
      </c>
      <c r="L289" s="1">
        <f>_xlfn.XLOOKUP(F289,customers[customer_id],customers[signup_date])</f>
        <v>45760</v>
      </c>
      <c r="M289">
        <f>sales[[#This Row],[sale_date]]-sales[[#This Row],[sighnup_date]]</f>
        <v>37</v>
      </c>
      <c r="N289" t="str">
        <f t="shared" si="4"/>
        <v>new customer</v>
      </c>
      <c r="O289" t="str">
        <f>_xlfn.XLOOKUP(A289,salesitems[sale_id],salesitems[category])</f>
        <v>Sleepwear</v>
      </c>
    </row>
    <row r="290" spans="1:15" x14ac:dyDescent="0.45">
      <c r="A290">
        <v>164</v>
      </c>
      <c r="B290" t="s">
        <v>15</v>
      </c>
      <c r="C290">
        <v>0</v>
      </c>
      <c r="D290">
        <v>604.53</v>
      </c>
      <c r="E290" s="1">
        <v>45764</v>
      </c>
      <c r="F290">
        <v>442</v>
      </c>
      <c r="G290" t="s">
        <v>36</v>
      </c>
      <c r="H290" t="str">
        <f>TEXT(sales[[#This Row],[sale_date]],"dddd")</f>
        <v>Thursday</v>
      </c>
      <c r="I290">
        <f>_xlfn.XLOOKUP(A290,salesitems[sale_id],salesitems[revenue],0)</f>
        <v>195.78000000000003</v>
      </c>
      <c r="J290">
        <v>1</v>
      </c>
      <c r="K290" s="10" t="str">
        <f>_xlfn.XLOOKUP(F290,customers[customer_id],customers[age_range])</f>
        <v>16-25</v>
      </c>
      <c r="L290" s="1">
        <f>_xlfn.XLOOKUP(F290,customers[customer_id],customers[signup_date])</f>
        <v>45769</v>
      </c>
      <c r="M290">
        <f>sales[[#This Row],[sale_date]]-sales[[#This Row],[sighnup_date]]</f>
        <v>-5</v>
      </c>
      <c r="N290" t="str">
        <f t="shared" si="4"/>
        <v>data issue</v>
      </c>
      <c r="O290" t="str">
        <f>_xlfn.XLOOKUP(A290,salesitems[sale_id],salesitems[category])</f>
        <v>Dresses</v>
      </c>
    </row>
    <row r="291" spans="1:15" x14ac:dyDescent="0.45">
      <c r="A291">
        <v>165</v>
      </c>
      <c r="B291" t="s">
        <v>21</v>
      </c>
      <c r="C291">
        <v>0</v>
      </c>
      <c r="D291">
        <v>308.72000000000003</v>
      </c>
      <c r="E291" s="1">
        <v>45805</v>
      </c>
      <c r="F291">
        <v>748</v>
      </c>
      <c r="G291" t="s">
        <v>31</v>
      </c>
      <c r="H291" t="str">
        <f>TEXT(sales[[#This Row],[sale_date]],"dddd")</f>
        <v>Wednesday</v>
      </c>
      <c r="I291">
        <f>_xlfn.XLOOKUP(A291,salesitems[sale_id],salesitems[revenue],0)</f>
        <v>110.08</v>
      </c>
      <c r="J291">
        <v>1</v>
      </c>
      <c r="K291" s="10" t="str">
        <f>_xlfn.XLOOKUP(F291,customers[customer_id],customers[age_range])</f>
        <v>46-55</v>
      </c>
      <c r="L291" s="1">
        <f>_xlfn.XLOOKUP(F291,customers[customer_id],customers[signup_date])</f>
        <v>45725</v>
      </c>
      <c r="M291">
        <f>sales[[#This Row],[sale_date]]-sales[[#This Row],[sighnup_date]]</f>
        <v>80</v>
      </c>
      <c r="N291" t="str">
        <f t="shared" si="4"/>
        <v>new customer</v>
      </c>
      <c r="O291" t="str">
        <f>_xlfn.XLOOKUP(A291,salesitems[sale_id],salesitems[category])</f>
        <v>Sleepwear</v>
      </c>
    </row>
    <row r="292" spans="1:15" x14ac:dyDescent="0.45">
      <c r="A292">
        <v>166</v>
      </c>
      <c r="B292" t="s">
        <v>21</v>
      </c>
      <c r="C292">
        <v>0</v>
      </c>
      <c r="D292">
        <v>517.88</v>
      </c>
      <c r="E292" s="1">
        <v>45813</v>
      </c>
      <c r="F292">
        <v>354</v>
      </c>
      <c r="G292" t="s">
        <v>36</v>
      </c>
      <c r="H292" t="str">
        <f>TEXT(sales[[#This Row],[sale_date]],"dddd")</f>
        <v>Thursday</v>
      </c>
      <c r="I292">
        <f>_xlfn.XLOOKUP(A292,salesitems[sale_id],salesitems[revenue],0)</f>
        <v>186.08</v>
      </c>
      <c r="J292">
        <v>1</v>
      </c>
      <c r="K292" s="10" t="str">
        <f>_xlfn.XLOOKUP(F292,customers[customer_id],customers[age_range])</f>
        <v>36-45</v>
      </c>
      <c r="L292" s="1">
        <f>_xlfn.XLOOKUP(F292,customers[customer_id],customers[signup_date])</f>
        <v>45693</v>
      </c>
      <c r="M292">
        <f>sales[[#This Row],[sale_date]]-sales[[#This Row],[sighnup_date]]</f>
        <v>120</v>
      </c>
      <c r="N292" t="str">
        <f t="shared" si="4"/>
        <v>existing customer</v>
      </c>
      <c r="O292" t="str">
        <f>_xlfn.XLOOKUP(A292,salesitems[sale_id],salesitems[category])</f>
        <v>Pants</v>
      </c>
    </row>
    <row r="293" spans="1:15" x14ac:dyDescent="0.45">
      <c r="A293">
        <v>167</v>
      </c>
      <c r="B293" t="s">
        <v>21</v>
      </c>
      <c r="C293">
        <v>0</v>
      </c>
      <c r="D293">
        <v>632.5</v>
      </c>
      <c r="E293" s="1">
        <v>45795</v>
      </c>
      <c r="F293">
        <v>277</v>
      </c>
      <c r="G293" t="s">
        <v>33</v>
      </c>
      <c r="H293" t="str">
        <f>TEXT(sales[[#This Row],[sale_date]],"dddd")</f>
        <v>Sunday</v>
      </c>
      <c r="I293">
        <f>_xlfn.XLOOKUP(A293,salesitems[sale_id],salesitems[revenue],0)</f>
        <v>77.36</v>
      </c>
      <c r="J293">
        <v>1</v>
      </c>
      <c r="K293" s="10" t="str">
        <f>_xlfn.XLOOKUP(F293,customers[customer_id],customers[age_range])</f>
        <v>16-25</v>
      </c>
      <c r="L293" s="1">
        <f>_xlfn.XLOOKUP(F293,customers[customer_id],customers[signup_date])</f>
        <v>45714</v>
      </c>
      <c r="M293">
        <f>sales[[#This Row],[sale_date]]-sales[[#This Row],[sighnup_date]]</f>
        <v>81</v>
      </c>
      <c r="N293" t="str">
        <f t="shared" si="4"/>
        <v>new customer</v>
      </c>
      <c r="O293" t="str">
        <f>_xlfn.XLOOKUP(A293,salesitems[sale_id],salesitems[category])</f>
        <v>Shoes</v>
      </c>
    </row>
    <row r="294" spans="1:15" x14ac:dyDescent="0.45">
      <c r="A294">
        <v>168</v>
      </c>
      <c r="B294" t="s">
        <v>15</v>
      </c>
      <c r="C294">
        <v>0</v>
      </c>
      <c r="D294">
        <v>482.74</v>
      </c>
      <c r="E294" s="1">
        <v>45751</v>
      </c>
      <c r="F294">
        <v>896</v>
      </c>
      <c r="G294" t="s">
        <v>38</v>
      </c>
      <c r="H294" t="str">
        <f>TEXT(sales[[#This Row],[sale_date]],"dddd")</f>
        <v>Friday</v>
      </c>
      <c r="I294">
        <f>_xlfn.XLOOKUP(A294,salesitems[sale_id],salesitems[revenue],0)</f>
        <v>61.61</v>
      </c>
      <c r="J294">
        <v>1</v>
      </c>
      <c r="K294" s="10" t="str">
        <f>_xlfn.XLOOKUP(F294,customers[customer_id],customers[age_range])</f>
        <v>46-55</v>
      </c>
      <c r="L294" s="1">
        <f>_xlfn.XLOOKUP(F294,customers[customer_id],customers[signup_date])</f>
        <v>45757</v>
      </c>
      <c r="M294">
        <f>sales[[#This Row],[sale_date]]-sales[[#This Row],[sighnup_date]]</f>
        <v>-6</v>
      </c>
      <c r="N294" t="str">
        <f t="shared" si="4"/>
        <v>data issue</v>
      </c>
      <c r="O294" t="str">
        <f>_xlfn.XLOOKUP(A294,salesitems[sale_id],salesitems[category])</f>
        <v>Dresses</v>
      </c>
    </row>
    <row r="295" spans="1:15" x14ac:dyDescent="0.45">
      <c r="A295">
        <v>17</v>
      </c>
      <c r="B295" t="s">
        <v>21</v>
      </c>
      <c r="C295">
        <v>0</v>
      </c>
      <c r="D295">
        <v>515.1</v>
      </c>
      <c r="E295" s="1">
        <v>45776</v>
      </c>
      <c r="F295">
        <v>516</v>
      </c>
      <c r="G295" t="s">
        <v>36</v>
      </c>
      <c r="H295" t="str">
        <f>TEXT(sales[[#This Row],[sale_date]],"dddd")</f>
        <v>Tuesday</v>
      </c>
      <c r="I295">
        <f>_xlfn.XLOOKUP(A295,salesitems[sale_id],salesitems[revenue],0)</f>
        <v>50.76</v>
      </c>
      <c r="J295">
        <v>1</v>
      </c>
      <c r="K295" s="10" t="str">
        <f>_xlfn.XLOOKUP(F295,customers[customer_id],customers[age_range])</f>
        <v>36-45</v>
      </c>
      <c r="L295" s="1">
        <f>_xlfn.XLOOKUP(F295,customers[customer_id],customers[signup_date])</f>
        <v>45743</v>
      </c>
      <c r="M295">
        <f>sales[[#This Row],[sale_date]]-sales[[#This Row],[sighnup_date]]</f>
        <v>33</v>
      </c>
      <c r="N295" t="str">
        <f t="shared" si="4"/>
        <v>new customer</v>
      </c>
      <c r="O295" t="str">
        <f>_xlfn.XLOOKUP(A295,salesitems[sale_id],salesitems[category])</f>
        <v>Sleepwear</v>
      </c>
    </row>
    <row r="296" spans="1:15" x14ac:dyDescent="0.45">
      <c r="A296">
        <v>171</v>
      </c>
      <c r="B296" t="s">
        <v>21</v>
      </c>
      <c r="C296">
        <v>0</v>
      </c>
      <c r="D296">
        <v>564.16999999999996</v>
      </c>
      <c r="E296" s="1">
        <v>45762</v>
      </c>
      <c r="F296">
        <v>158</v>
      </c>
      <c r="G296" t="s">
        <v>31</v>
      </c>
      <c r="H296" t="str">
        <f>TEXT(sales[[#This Row],[sale_date]],"dddd")</f>
        <v>Tuesday</v>
      </c>
      <c r="I296">
        <f>_xlfn.XLOOKUP(A296,salesitems[sale_id],salesitems[revenue],0)</f>
        <v>150.34</v>
      </c>
      <c r="J296">
        <v>1</v>
      </c>
      <c r="K296" s="10" t="str">
        <f>_xlfn.XLOOKUP(F296,customers[customer_id],customers[age_range])</f>
        <v>26-35</v>
      </c>
      <c r="L296" s="1">
        <f>_xlfn.XLOOKUP(F296,customers[customer_id],customers[signup_date])</f>
        <v>45798</v>
      </c>
      <c r="M296">
        <f>sales[[#This Row],[sale_date]]-sales[[#This Row],[sighnup_date]]</f>
        <v>-36</v>
      </c>
      <c r="N296" t="str">
        <f t="shared" si="4"/>
        <v>data issue</v>
      </c>
      <c r="O296" t="str">
        <f>_xlfn.XLOOKUP(A296,salesitems[sale_id],salesitems[category])</f>
        <v>Dresses</v>
      </c>
    </row>
    <row r="297" spans="1:15" x14ac:dyDescent="0.45">
      <c r="A297">
        <v>172</v>
      </c>
      <c r="B297" t="s">
        <v>15</v>
      </c>
      <c r="C297">
        <v>1</v>
      </c>
      <c r="D297">
        <v>178.2</v>
      </c>
      <c r="E297" s="1">
        <v>45790</v>
      </c>
      <c r="F297">
        <v>398</v>
      </c>
      <c r="G297" t="s">
        <v>34</v>
      </c>
      <c r="H297" t="str">
        <f>TEXT(sales[[#This Row],[sale_date]],"dddd")</f>
        <v>Tuesday</v>
      </c>
      <c r="I297">
        <f>_xlfn.XLOOKUP(A297,salesitems[sale_id],salesitems[revenue],0)</f>
        <v>16.190000000000001</v>
      </c>
      <c r="J297">
        <v>1</v>
      </c>
      <c r="K297" s="10" t="str">
        <f>_xlfn.XLOOKUP(F297,customers[customer_id],customers[age_range])</f>
        <v>16-25</v>
      </c>
      <c r="L297" s="1">
        <f>_xlfn.XLOOKUP(F297,customers[customer_id],customers[signup_date])</f>
        <v>45683</v>
      </c>
      <c r="M297">
        <f>sales[[#This Row],[sale_date]]-sales[[#This Row],[sighnup_date]]</f>
        <v>107</v>
      </c>
      <c r="N297" t="str">
        <f t="shared" si="4"/>
        <v>existing customer</v>
      </c>
      <c r="O297" t="str">
        <f>_xlfn.XLOOKUP(A297,salesitems[sale_id],salesitems[category])</f>
        <v>Sleepwear</v>
      </c>
    </row>
    <row r="298" spans="1:15" x14ac:dyDescent="0.45">
      <c r="A298">
        <v>173</v>
      </c>
      <c r="B298" t="s">
        <v>21</v>
      </c>
      <c r="C298">
        <v>0</v>
      </c>
      <c r="D298">
        <v>535.45000000000005</v>
      </c>
      <c r="E298" s="1">
        <v>45792</v>
      </c>
      <c r="F298">
        <v>279</v>
      </c>
      <c r="G298" t="s">
        <v>28</v>
      </c>
      <c r="H298" t="str">
        <f>TEXT(sales[[#This Row],[sale_date]],"dddd")</f>
        <v>Thursday</v>
      </c>
      <c r="I298">
        <f>_xlfn.XLOOKUP(A298,salesitems[sale_id],salesitems[revenue],0)</f>
        <v>200.96999999999997</v>
      </c>
      <c r="J298">
        <v>1</v>
      </c>
      <c r="K298" s="10" t="str">
        <f>_xlfn.XLOOKUP(F298,customers[customer_id],customers[age_range])</f>
        <v>36-45</v>
      </c>
      <c r="L298" s="1">
        <f>_xlfn.XLOOKUP(F298,customers[customer_id],customers[signup_date])</f>
        <v>45756</v>
      </c>
      <c r="M298">
        <f>sales[[#This Row],[sale_date]]-sales[[#This Row],[sighnup_date]]</f>
        <v>36</v>
      </c>
      <c r="N298" t="str">
        <f t="shared" si="4"/>
        <v>new customer</v>
      </c>
      <c r="O298" t="str">
        <f>_xlfn.XLOOKUP(A298,salesitems[sale_id],salesitems[category])</f>
        <v>Pants</v>
      </c>
    </row>
    <row r="299" spans="1:15" x14ac:dyDescent="0.45">
      <c r="A299">
        <v>175</v>
      </c>
      <c r="B299" t="s">
        <v>15</v>
      </c>
      <c r="C299">
        <v>0</v>
      </c>
      <c r="D299">
        <v>339.82</v>
      </c>
      <c r="E299" s="1">
        <v>45765</v>
      </c>
      <c r="F299">
        <v>113</v>
      </c>
      <c r="G299" t="s">
        <v>36</v>
      </c>
      <c r="H299" t="str">
        <f>TEXT(sales[[#This Row],[sale_date]],"dddd")</f>
        <v>Friday</v>
      </c>
      <c r="I299">
        <f>_xlfn.XLOOKUP(A299,salesitems[sale_id],salesitems[revenue],0)</f>
        <v>163.4</v>
      </c>
      <c r="J299">
        <v>1</v>
      </c>
      <c r="K299" s="10" t="str">
        <f>_xlfn.XLOOKUP(F299,customers[customer_id],customers[age_range])</f>
        <v>26-35</v>
      </c>
      <c r="L299" s="1">
        <f>_xlfn.XLOOKUP(F299,customers[customer_id],customers[signup_date])</f>
        <v>45716</v>
      </c>
      <c r="M299">
        <f>sales[[#This Row],[sale_date]]-sales[[#This Row],[sighnup_date]]</f>
        <v>49</v>
      </c>
      <c r="N299" t="str">
        <f t="shared" si="4"/>
        <v>new customer</v>
      </c>
      <c r="O299" t="str">
        <f>_xlfn.XLOOKUP(A299,salesitems[sale_id],salesitems[category])</f>
        <v>T-Shirts</v>
      </c>
    </row>
    <row r="300" spans="1:15" x14ac:dyDescent="0.45">
      <c r="A300">
        <v>179</v>
      </c>
      <c r="B300" t="s">
        <v>15</v>
      </c>
      <c r="C300">
        <v>0</v>
      </c>
      <c r="D300">
        <v>525.72</v>
      </c>
      <c r="E300" s="1">
        <v>45806</v>
      </c>
      <c r="F300">
        <v>663</v>
      </c>
      <c r="G300" t="s">
        <v>31</v>
      </c>
      <c r="H300" t="str">
        <f>TEXT(sales[[#This Row],[sale_date]],"dddd")</f>
        <v>Thursday</v>
      </c>
      <c r="I300">
        <f>_xlfn.XLOOKUP(A300,salesitems[sale_id],salesitems[revenue],0)</f>
        <v>70.819999999999993</v>
      </c>
      <c r="J300">
        <v>1</v>
      </c>
      <c r="K300" s="10" t="str">
        <f>_xlfn.XLOOKUP(F300,customers[customer_id],customers[age_range])</f>
        <v>26-35</v>
      </c>
      <c r="L300" s="1">
        <f>_xlfn.XLOOKUP(F300,customers[customer_id],customers[signup_date])</f>
        <v>45724</v>
      </c>
      <c r="M300">
        <f>sales[[#This Row],[sale_date]]-sales[[#This Row],[sighnup_date]]</f>
        <v>82</v>
      </c>
      <c r="N300" t="str">
        <f t="shared" si="4"/>
        <v>new customer</v>
      </c>
      <c r="O300" t="str">
        <f>_xlfn.XLOOKUP(A300,salesitems[sale_id],salesitems[category])</f>
        <v>Pants</v>
      </c>
    </row>
    <row r="301" spans="1:15" x14ac:dyDescent="0.45">
      <c r="A301">
        <v>180</v>
      </c>
      <c r="B301" t="s">
        <v>15</v>
      </c>
      <c r="C301">
        <v>0</v>
      </c>
      <c r="D301">
        <v>190.08</v>
      </c>
      <c r="E301" s="1">
        <v>45821</v>
      </c>
      <c r="F301">
        <v>641</v>
      </c>
      <c r="G301" t="s">
        <v>34</v>
      </c>
      <c r="H301" t="str">
        <f>TEXT(sales[[#This Row],[sale_date]],"dddd")</f>
        <v>Friday</v>
      </c>
      <c r="I301">
        <f>_xlfn.XLOOKUP(A301,salesitems[sale_id],salesitems[revenue],0)</f>
        <v>66.680000000000007</v>
      </c>
      <c r="J301">
        <v>1</v>
      </c>
      <c r="K301" s="10" t="str">
        <f>_xlfn.XLOOKUP(F301,customers[customer_id],customers[age_range])</f>
        <v>36-45</v>
      </c>
      <c r="L301" s="1">
        <f>_xlfn.XLOOKUP(F301,customers[customer_id],customers[signup_date])</f>
        <v>45737</v>
      </c>
      <c r="M301">
        <f>sales[[#This Row],[sale_date]]-sales[[#This Row],[sighnup_date]]</f>
        <v>84</v>
      </c>
      <c r="N301" t="str">
        <f t="shared" si="4"/>
        <v>new customer</v>
      </c>
      <c r="O301" t="str">
        <f>_xlfn.XLOOKUP(A301,salesitems[sale_id],salesitems[category])</f>
        <v>Shoes</v>
      </c>
    </row>
    <row r="302" spans="1:15" x14ac:dyDescent="0.45">
      <c r="A302">
        <v>181</v>
      </c>
      <c r="B302" t="s">
        <v>15</v>
      </c>
      <c r="C302">
        <v>0</v>
      </c>
      <c r="D302">
        <v>659.3</v>
      </c>
      <c r="E302" s="1">
        <v>45783</v>
      </c>
      <c r="F302">
        <v>252</v>
      </c>
      <c r="G302" t="s">
        <v>33</v>
      </c>
      <c r="H302" t="str">
        <f>TEXT(sales[[#This Row],[sale_date]],"dddd")</f>
        <v>Tuesday</v>
      </c>
      <c r="I302">
        <f>_xlfn.XLOOKUP(A302,salesitems[sale_id],salesitems[revenue],0)</f>
        <v>149.62</v>
      </c>
      <c r="J302">
        <v>1</v>
      </c>
      <c r="K302" s="10" t="str">
        <f>_xlfn.XLOOKUP(F302,customers[customer_id],customers[age_range])</f>
        <v>16-25</v>
      </c>
      <c r="L302" s="1">
        <f>_xlfn.XLOOKUP(F302,customers[customer_id],customers[signup_date])</f>
        <v>45718</v>
      </c>
      <c r="M302">
        <f>sales[[#This Row],[sale_date]]-sales[[#This Row],[sighnup_date]]</f>
        <v>65</v>
      </c>
      <c r="N302" t="str">
        <f t="shared" si="4"/>
        <v>new customer</v>
      </c>
      <c r="O302" t="str">
        <f>_xlfn.XLOOKUP(A302,salesitems[sale_id],salesitems[category])</f>
        <v>Pants</v>
      </c>
    </row>
    <row r="303" spans="1:15" x14ac:dyDescent="0.45">
      <c r="A303">
        <v>183</v>
      </c>
      <c r="B303" t="s">
        <v>21</v>
      </c>
      <c r="C303">
        <v>0</v>
      </c>
      <c r="D303">
        <v>161.43</v>
      </c>
      <c r="E303" s="1">
        <v>45793</v>
      </c>
      <c r="F303">
        <v>871</v>
      </c>
      <c r="G303" t="s">
        <v>31</v>
      </c>
      <c r="H303" t="str">
        <f>TEXT(sales[[#This Row],[sale_date]],"dddd")</f>
        <v>Friday</v>
      </c>
      <c r="I303">
        <f>_xlfn.XLOOKUP(A303,salesitems[sale_id],salesitems[revenue],0)</f>
        <v>66.33</v>
      </c>
      <c r="J303">
        <v>1</v>
      </c>
      <c r="K303" s="10" t="str">
        <f>_xlfn.XLOOKUP(F303,customers[customer_id],customers[age_range])</f>
        <v>26-35</v>
      </c>
      <c r="L303" s="1">
        <f>_xlfn.XLOOKUP(F303,customers[customer_id],customers[signup_date])</f>
        <v>45755</v>
      </c>
      <c r="M303">
        <f>sales[[#This Row],[sale_date]]-sales[[#This Row],[sighnup_date]]</f>
        <v>38</v>
      </c>
      <c r="N303" t="str">
        <f t="shared" si="4"/>
        <v>new customer</v>
      </c>
      <c r="O303" t="str">
        <f>_xlfn.XLOOKUP(A303,salesitems[sale_id],salesitems[category])</f>
        <v>Dresses</v>
      </c>
    </row>
    <row r="304" spans="1:15" x14ac:dyDescent="0.45">
      <c r="A304">
        <v>184</v>
      </c>
      <c r="B304" t="s">
        <v>21</v>
      </c>
      <c r="C304">
        <v>0</v>
      </c>
      <c r="D304">
        <v>403.3</v>
      </c>
      <c r="E304" s="1">
        <v>45765</v>
      </c>
      <c r="F304">
        <v>192</v>
      </c>
      <c r="G304" t="s">
        <v>34</v>
      </c>
      <c r="H304" t="str">
        <f>TEXT(sales[[#This Row],[sale_date]],"dddd")</f>
        <v>Friday</v>
      </c>
      <c r="I304">
        <f>_xlfn.XLOOKUP(A304,salesitems[sale_id],salesitems[revenue],0)</f>
        <v>86.8</v>
      </c>
      <c r="J304">
        <v>1</v>
      </c>
      <c r="K304" s="10" t="str">
        <f>_xlfn.XLOOKUP(F304,customers[customer_id],customers[age_range])</f>
        <v>46-55</v>
      </c>
      <c r="L304" s="1">
        <f>_xlfn.XLOOKUP(F304,customers[customer_id],customers[signup_date])</f>
        <v>45719</v>
      </c>
      <c r="M304">
        <f>sales[[#This Row],[sale_date]]-sales[[#This Row],[sighnup_date]]</f>
        <v>46</v>
      </c>
      <c r="N304" t="str">
        <f t="shared" si="4"/>
        <v>new customer</v>
      </c>
      <c r="O304" t="str">
        <f>_xlfn.XLOOKUP(A304,salesitems[sale_id],salesitems[category])</f>
        <v>T-Shirts</v>
      </c>
    </row>
    <row r="305" spans="1:15" x14ac:dyDescent="0.45">
      <c r="A305">
        <v>188</v>
      </c>
      <c r="B305" t="s">
        <v>21</v>
      </c>
      <c r="C305">
        <v>0</v>
      </c>
      <c r="D305">
        <v>530.73</v>
      </c>
      <c r="E305" s="1">
        <v>45752</v>
      </c>
      <c r="F305">
        <v>192</v>
      </c>
      <c r="G305" t="s">
        <v>34</v>
      </c>
      <c r="H305" t="str">
        <f>TEXT(sales[[#This Row],[sale_date]],"dddd")</f>
        <v>Saturday</v>
      </c>
      <c r="I305">
        <f>_xlfn.XLOOKUP(A305,salesitems[sale_id],salesitems[revenue],0)</f>
        <v>99.52</v>
      </c>
      <c r="J305">
        <v>1</v>
      </c>
      <c r="K305" s="10" t="str">
        <f>_xlfn.XLOOKUP(F305,customers[customer_id],customers[age_range])</f>
        <v>46-55</v>
      </c>
      <c r="L305" s="1">
        <f>_xlfn.XLOOKUP(F305,customers[customer_id],customers[signup_date])</f>
        <v>45719</v>
      </c>
      <c r="M305">
        <f>sales[[#This Row],[sale_date]]-sales[[#This Row],[sighnup_date]]</f>
        <v>33</v>
      </c>
      <c r="N305" t="str">
        <f t="shared" si="4"/>
        <v>new customer</v>
      </c>
      <c r="O305" t="str">
        <f>_xlfn.XLOOKUP(A305,salesitems[sale_id],salesitems[category])</f>
        <v>Shoes</v>
      </c>
    </row>
    <row r="306" spans="1:15" x14ac:dyDescent="0.45">
      <c r="A306">
        <v>189</v>
      </c>
      <c r="B306" t="s">
        <v>21</v>
      </c>
      <c r="C306">
        <v>0</v>
      </c>
      <c r="D306">
        <v>371.17</v>
      </c>
      <c r="E306" s="1">
        <v>45772</v>
      </c>
      <c r="F306">
        <v>684</v>
      </c>
      <c r="G306" t="s">
        <v>31</v>
      </c>
      <c r="H306" t="str">
        <f>TEXT(sales[[#This Row],[sale_date]],"dddd")</f>
        <v>Friday</v>
      </c>
      <c r="I306">
        <f>_xlfn.XLOOKUP(A306,salesitems[sale_id],salesitems[revenue],0)</f>
        <v>115.56</v>
      </c>
      <c r="J306">
        <v>1</v>
      </c>
      <c r="K306" s="10" t="str">
        <f>_xlfn.XLOOKUP(F306,customers[customer_id],customers[age_range])</f>
        <v>56-65</v>
      </c>
      <c r="L306" s="1">
        <f>_xlfn.XLOOKUP(F306,customers[customer_id],customers[signup_date])</f>
        <v>45753</v>
      </c>
      <c r="M306">
        <f>sales[[#This Row],[sale_date]]-sales[[#This Row],[sighnup_date]]</f>
        <v>19</v>
      </c>
      <c r="N306" t="str">
        <f t="shared" si="4"/>
        <v>new customer</v>
      </c>
      <c r="O306" t="str">
        <f>_xlfn.XLOOKUP(A306,salesitems[sale_id],salesitems[category])</f>
        <v>Sleepwear</v>
      </c>
    </row>
    <row r="307" spans="1:15" x14ac:dyDescent="0.45">
      <c r="A307">
        <v>190</v>
      </c>
      <c r="B307" t="s">
        <v>15</v>
      </c>
      <c r="C307">
        <v>0</v>
      </c>
      <c r="D307">
        <v>291.5</v>
      </c>
      <c r="E307" s="1">
        <v>45825</v>
      </c>
      <c r="F307">
        <v>247</v>
      </c>
      <c r="G307" t="s">
        <v>31</v>
      </c>
      <c r="H307" t="str">
        <f>TEXT(sales[[#This Row],[sale_date]],"dddd")</f>
        <v>Tuesday</v>
      </c>
      <c r="I307">
        <f>_xlfn.XLOOKUP(A307,salesitems[sale_id],salesitems[revenue],0)</f>
        <v>59.38</v>
      </c>
      <c r="J307">
        <v>1</v>
      </c>
      <c r="K307" s="10" t="str">
        <f>_xlfn.XLOOKUP(F307,customers[customer_id],customers[age_range])</f>
        <v>46-55</v>
      </c>
      <c r="L307" s="1">
        <f>_xlfn.XLOOKUP(F307,customers[customer_id],customers[signup_date])</f>
        <v>45702</v>
      </c>
      <c r="M307">
        <f>sales[[#This Row],[sale_date]]-sales[[#This Row],[sighnup_date]]</f>
        <v>123</v>
      </c>
      <c r="N307" t="str">
        <f t="shared" si="4"/>
        <v>existing customer</v>
      </c>
      <c r="O307" t="str">
        <f>_xlfn.XLOOKUP(A307,salesitems[sale_id],salesitems[category])</f>
        <v>Sleepwear</v>
      </c>
    </row>
    <row r="308" spans="1:15" x14ac:dyDescent="0.45">
      <c r="A308">
        <v>191</v>
      </c>
      <c r="B308" t="s">
        <v>15</v>
      </c>
      <c r="C308">
        <v>0</v>
      </c>
      <c r="D308">
        <v>381.4</v>
      </c>
      <c r="E308" s="1">
        <v>45800</v>
      </c>
      <c r="F308">
        <v>367</v>
      </c>
      <c r="G308" t="s">
        <v>31</v>
      </c>
      <c r="H308" t="str">
        <f>TEXT(sales[[#This Row],[sale_date]],"dddd")</f>
        <v>Friday</v>
      </c>
      <c r="I308">
        <f>_xlfn.XLOOKUP(A308,salesitems[sale_id],salesitems[revenue],0)</f>
        <v>74.260000000000005</v>
      </c>
      <c r="J308">
        <v>1</v>
      </c>
      <c r="K308" s="10" t="str">
        <f>_xlfn.XLOOKUP(F308,customers[customer_id],customers[age_range])</f>
        <v>46-55</v>
      </c>
      <c r="L308" s="1">
        <f>_xlfn.XLOOKUP(F308,customers[customer_id],customers[signup_date])</f>
        <v>45735</v>
      </c>
      <c r="M308">
        <f>sales[[#This Row],[sale_date]]-sales[[#This Row],[sighnup_date]]</f>
        <v>65</v>
      </c>
      <c r="N308" t="str">
        <f t="shared" si="4"/>
        <v>new customer</v>
      </c>
      <c r="O308" t="str">
        <f>_xlfn.XLOOKUP(A308,salesitems[sale_id],salesitems[category])</f>
        <v>Dresses</v>
      </c>
    </row>
    <row r="309" spans="1:15" x14ac:dyDescent="0.45">
      <c r="A309">
        <v>193</v>
      </c>
      <c r="B309" t="s">
        <v>21</v>
      </c>
      <c r="C309">
        <v>0</v>
      </c>
      <c r="D309">
        <v>433.24</v>
      </c>
      <c r="E309" s="1">
        <v>45795</v>
      </c>
      <c r="F309">
        <v>92</v>
      </c>
      <c r="G309" t="s">
        <v>33</v>
      </c>
      <c r="H309" t="str">
        <f>TEXT(sales[[#This Row],[sale_date]],"dddd")</f>
        <v>Sunday</v>
      </c>
      <c r="I309">
        <f>_xlfn.XLOOKUP(A309,salesitems[sale_id],salesitems[revenue],0)</f>
        <v>54.28</v>
      </c>
      <c r="J309">
        <v>1</v>
      </c>
      <c r="K309" s="10" t="str">
        <f>_xlfn.XLOOKUP(F309,customers[customer_id],customers[age_range])</f>
        <v>46-55</v>
      </c>
      <c r="L309" s="1">
        <f>_xlfn.XLOOKUP(F309,customers[customer_id],customers[signup_date])</f>
        <v>45730</v>
      </c>
      <c r="M309">
        <f>sales[[#This Row],[sale_date]]-sales[[#This Row],[sighnup_date]]</f>
        <v>65</v>
      </c>
      <c r="N309" t="str">
        <f t="shared" si="4"/>
        <v>new customer</v>
      </c>
      <c r="O309" t="str">
        <f>_xlfn.XLOOKUP(A309,salesitems[sale_id],salesitems[category])</f>
        <v>Shoes</v>
      </c>
    </row>
    <row r="310" spans="1:15" x14ac:dyDescent="0.45">
      <c r="A310">
        <v>195</v>
      </c>
      <c r="B310" t="s">
        <v>15</v>
      </c>
      <c r="C310">
        <v>0</v>
      </c>
      <c r="D310">
        <v>699.78</v>
      </c>
      <c r="E310" s="1">
        <v>45797</v>
      </c>
      <c r="F310">
        <v>220</v>
      </c>
      <c r="G310" t="s">
        <v>36</v>
      </c>
      <c r="H310" t="str">
        <f>TEXT(sales[[#This Row],[sale_date]],"dddd")</f>
        <v>Tuesday</v>
      </c>
      <c r="I310">
        <f>_xlfn.XLOOKUP(A310,salesitems[sale_id],salesitems[revenue],0)</f>
        <v>174.32999999999998</v>
      </c>
      <c r="J310">
        <v>1</v>
      </c>
      <c r="K310" s="10" t="str">
        <f>_xlfn.XLOOKUP(F310,customers[customer_id],customers[age_range])</f>
        <v>26-35</v>
      </c>
      <c r="L310" s="1">
        <f>_xlfn.XLOOKUP(F310,customers[customer_id],customers[signup_date])</f>
        <v>45687</v>
      </c>
      <c r="M310">
        <f>sales[[#This Row],[sale_date]]-sales[[#This Row],[sighnup_date]]</f>
        <v>110</v>
      </c>
      <c r="N310" t="str">
        <f t="shared" si="4"/>
        <v>existing customer</v>
      </c>
      <c r="O310" t="str">
        <f>_xlfn.XLOOKUP(A310,salesitems[sale_id],salesitems[category])</f>
        <v>T-Shirts</v>
      </c>
    </row>
    <row r="311" spans="1:15" x14ac:dyDescent="0.45">
      <c r="A311">
        <v>198</v>
      </c>
      <c r="B311" t="s">
        <v>15</v>
      </c>
      <c r="C311">
        <v>0</v>
      </c>
      <c r="D311">
        <v>458.63</v>
      </c>
      <c r="E311" s="1">
        <v>45770</v>
      </c>
      <c r="F311">
        <v>302</v>
      </c>
      <c r="G311" t="s">
        <v>36</v>
      </c>
      <c r="H311" t="str">
        <f>TEXT(sales[[#This Row],[sale_date]],"dddd")</f>
        <v>Wednesday</v>
      </c>
      <c r="I311">
        <f>_xlfn.XLOOKUP(A311,salesitems[sale_id],salesitems[revenue],0)</f>
        <v>179.7</v>
      </c>
      <c r="J311">
        <v>1</v>
      </c>
      <c r="K311" s="10" t="str">
        <f>_xlfn.XLOOKUP(F311,customers[customer_id],customers[age_range])</f>
        <v>56-65</v>
      </c>
      <c r="L311" s="1">
        <f>_xlfn.XLOOKUP(F311,customers[customer_id],customers[signup_date])</f>
        <v>45729</v>
      </c>
      <c r="M311">
        <f>sales[[#This Row],[sale_date]]-sales[[#This Row],[sighnup_date]]</f>
        <v>41</v>
      </c>
      <c r="N311" t="str">
        <f t="shared" si="4"/>
        <v>new customer</v>
      </c>
      <c r="O311" t="str">
        <f>_xlfn.XLOOKUP(A311,salesitems[sale_id],salesitems[category])</f>
        <v>T-Shirts</v>
      </c>
    </row>
    <row r="312" spans="1:15" x14ac:dyDescent="0.45">
      <c r="A312">
        <v>199</v>
      </c>
      <c r="B312" t="s">
        <v>15</v>
      </c>
      <c r="C312">
        <v>1</v>
      </c>
      <c r="D312">
        <v>155.22999999999999</v>
      </c>
      <c r="E312" s="1">
        <v>45796</v>
      </c>
      <c r="F312">
        <v>929</v>
      </c>
      <c r="G312" t="s">
        <v>31</v>
      </c>
      <c r="H312" t="str">
        <f>TEXT(sales[[#This Row],[sale_date]],"dddd")</f>
        <v>Monday</v>
      </c>
      <c r="I312">
        <f>_xlfn.XLOOKUP(A312,salesitems[sale_id],salesitems[revenue],0)</f>
        <v>38.54</v>
      </c>
      <c r="J312">
        <v>1</v>
      </c>
      <c r="K312" s="10" t="str">
        <f>_xlfn.XLOOKUP(F312,customers[customer_id],customers[age_range])</f>
        <v>26-35</v>
      </c>
      <c r="L312" s="1">
        <f>_xlfn.XLOOKUP(F312,customers[customer_id],customers[signup_date])</f>
        <v>45668</v>
      </c>
      <c r="M312">
        <f>sales[[#This Row],[sale_date]]-sales[[#This Row],[sighnup_date]]</f>
        <v>128</v>
      </c>
      <c r="N312" t="str">
        <f t="shared" si="4"/>
        <v>existing customer</v>
      </c>
      <c r="O312" t="str">
        <f>_xlfn.XLOOKUP(A312,salesitems[sale_id],salesitems[category])</f>
        <v>Shoes</v>
      </c>
    </row>
    <row r="313" spans="1:15" x14ac:dyDescent="0.45">
      <c r="A313">
        <v>2</v>
      </c>
      <c r="B313" t="s">
        <v>21</v>
      </c>
      <c r="C313">
        <v>0</v>
      </c>
      <c r="D313">
        <v>357.54</v>
      </c>
      <c r="E313" s="1">
        <v>45793</v>
      </c>
      <c r="F313">
        <v>41</v>
      </c>
      <c r="G313" t="s">
        <v>36</v>
      </c>
      <c r="H313" t="str">
        <f>TEXT(sales[[#This Row],[sale_date]],"dddd")</f>
        <v>Friday</v>
      </c>
      <c r="I313">
        <f>_xlfn.XLOOKUP(A313,salesitems[sale_id],salesitems[revenue],0)</f>
        <v>39.18</v>
      </c>
      <c r="J313">
        <v>1</v>
      </c>
      <c r="K313" s="10" t="str">
        <f>_xlfn.XLOOKUP(F313,customers[customer_id],customers[age_range])</f>
        <v>36-45</v>
      </c>
      <c r="L313" s="1">
        <f>_xlfn.XLOOKUP(F313,customers[customer_id],customers[signup_date])</f>
        <v>45753</v>
      </c>
      <c r="M313">
        <f>sales[[#This Row],[sale_date]]-sales[[#This Row],[sighnup_date]]</f>
        <v>40</v>
      </c>
      <c r="N313" t="str">
        <f t="shared" si="4"/>
        <v>new customer</v>
      </c>
      <c r="O313" t="str">
        <f>_xlfn.XLOOKUP(A313,salesitems[sale_id],salesitems[category])</f>
        <v>Dresses</v>
      </c>
    </row>
    <row r="314" spans="1:15" x14ac:dyDescent="0.45">
      <c r="A314">
        <v>20</v>
      </c>
      <c r="B314" t="s">
        <v>21</v>
      </c>
      <c r="C314">
        <v>0</v>
      </c>
      <c r="D314">
        <v>665.8</v>
      </c>
      <c r="E314" s="1">
        <v>45751</v>
      </c>
      <c r="F314">
        <v>638</v>
      </c>
      <c r="G314" t="s">
        <v>28</v>
      </c>
      <c r="H314" t="str">
        <f>TEXT(sales[[#This Row],[sale_date]],"dddd")</f>
        <v>Friday</v>
      </c>
      <c r="I314">
        <f>_xlfn.XLOOKUP(A314,salesitems[sale_id],salesitems[revenue],0)</f>
        <v>105.60000000000001</v>
      </c>
      <c r="J314">
        <v>1</v>
      </c>
      <c r="K314" s="10" t="str">
        <f>_xlfn.XLOOKUP(F314,customers[customer_id],customers[age_range])</f>
        <v>46-55</v>
      </c>
      <c r="L314" s="1">
        <f>_xlfn.XLOOKUP(F314,customers[customer_id],customers[signup_date])</f>
        <v>45758</v>
      </c>
      <c r="M314">
        <f>sales[[#This Row],[sale_date]]-sales[[#This Row],[sighnup_date]]</f>
        <v>-7</v>
      </c>
      <c r="N314" t="str">
        <f t="shared" si="4"/>
        <v>data issue</v>
      </c>
      <c r="O314" t="str">
        <f>_xlfn.XLOOKUP(A314,salesitems[sale_id],salesitems[category])</f>
        <v>Sleepwear</v>
      </c>
    </row>
    <row r="315" spans="1:15" x14ac:dyDescent="0.45">
      <c r="A315">
        <v>200</v>
      </c>
      <c r="B315" t="s">
        <v>15</v>
      </c>
      <c r="C315">
        <v>0</v>
      </c>
      <c r="D315">
        <v>317.70999999999998</v>
      </c>
      <c r="E315" s="1">
        <v>45752</v>
      </c>
      <c r="F315">
        <v>162</v>
      </c>
      <c r="G315" t="s">
        <v>36</v>
      </c>
      <c r="H315" t="str">
        <f>TEXT(sales[[#This Row],[sale_date]],"dddd")</f>
        <v>Saturday</v>
      </c>
      <c r="I315">
        <f>_xlfn.XLOOKUP(A315,salesitems[sale_id],salesitems[revenue],0)</f>
        <v>40.770000000000003</v>
      </c>
      <c r="J315">
        <v>1</v>
      </c>
      <c r="K315" s="10" t="str">
        <f>_xlfn.XLOOKUP(F315,customers[customer_id],customers[age_range])</f>
        <v>36-45</v>
      </c>
      <c r="L315" s="1">
        <f>_xlfn.XLOOKUP(F315,customers[customer_id],customers[signup_date])</f>
        <v>45721</v>
      </c>
      <c r="M315">
        <f>sales[[#This Row],[sale_date]]-sales[[#This Row],[sighnup_date]]</f>
        <v>31</v>
      </c>
      <c r="N315" t="str">
        <f t="shared" si="4"/>
        <v>new customer</v>
      </c>
      <c r="O315" t="str">
        <f>_xlfn.XLOOKUP(A315,salesitems[sale_id],salesitems[category])</f>
        <v>Shoes</v>
      </c>
    </row>
    <row r="316" spans="1:15" x14ac:dyDescent="0.45">
      <c r="A316">
        <v>201</v>
      </c>
      <c r="B316" t="s">
        <v>15</v>
      </c>
      <c r="C316">
        <v>0</v>
      </c>
      <c r="D316">
        <v>492.32</v>
      </c>
      <c r="E316" s="1">
        <v>45804</v>
      </c>
      <c r="F316">
        <v>675</v>
      </c>
      <c r="G316" t="s">
        <v>33</v>
      </c>
      <c r="H316" t="str">
        <f>TEXT(sales[[#This Row],[sale_date]],"dddd")</f>
        <v>Tuesday</v>
      </c>
      <c r="I316">
        <f>_xlfn.XLOOKUP(A316,salesitems[sale_id],salesitems[revenue],0)</f>
        <v>187.44</v>
      </c>
      <c r="J316">
        <v>1</v>
      </c>
      <c r="K316" s="10" t="str">
        <f>_xlfn.XLOOKUP(F316,customers[customer_id],customers[age_range])</f>
        <v>36-45</v>
      </c>
      <c r="L316" s="1">
        <f>_xlfn.XLOOKUP(F316,customers[customer_id],customers[signup_date])</f>
        <v>45676</v>
      </c>
      <c r="M316">
        <f>sales[[#This Row],[sale_date]]-sales[[#This Row],[sighnup_date]]</f>
        <v>128</v>
      </c>
      <c r="N316" t="str">
        <f t="shared" si="4"/>
        <v>existing customer</v>
      </c>
      <c r="O316" t="str">
        <f>_xlfn.XLOOKUP(A316,salesitems[sale_id],salesitems[category])</f>
        <v>Dresses</v>
      </c>
    </row>
    <row r="317" spans="1:15" x14ac:dyDescent="0.45">
      <c r="A317">
        <v>202</v>
      </c>
      <c r="B317" t="s">
        <v>15</v>
      </c>
      <c r="C317">
        <v>0</v>
      </c>
      <c r="D317">
        <v>516.82000000000005</v>
      </c>
      <c r="E317" s="1">
        <v>45805</v>
      </c>
      <c r="F317">
        <v>972</v>
      </c>
      <c r="G317" t="s">
        <v>28</v>
      </c>
      <c r="H317" t="str">
        <f>TEXT(sales[[#This Row],[sale_date]],"dddd")</f>
        <v>Wednesday</v>
      </c>
      <c r="I317">
        <f>_xlfn.XLOOKUP(A317,salesitems[sale_id],salesitems[revenue],0)</f>
        <v>120.66</v>
      </c>
      <c r="J317">
        <v>1</v>
      </c>
      <c r="K317" s="10" t="str">
        <f>_xlfn.XLOOKUP(F317,customers[customer_id],customers[age_range])</f>
        <v>26-35</v>
      </c>
      <c r="L317" s="1">
        <f>_xlfn.XLOOKUP(F317,customers[customer_id],customers[signup_date])</f>
        <v>45727</v>
      </c>
      <c r="M317">
        <f>sales[[#This Row],[sale_date]]-sales[[#This Row],[sighnup_date]]</f>
        <v>78</v>
      </c>
      <c r="N317" t="str">
        <f t="shared" si="4"/>
        <v>new customer</v>
      </c>
      <c r="O317" t="str">
        <f>_xlfn.XLOOKUP(A317,salesitems[sale_id],salesitems[category])</f>
        <v>Dresses</v>
      </c>
    </row>
    <row r="318" spans="1:15" x14ac:dyDescent="0.45">
      <c r="A318">
        <v>204</v>
      </c>
      <c r="B318" t="s">
        <v>21</v>
      </c>
      <c r="C318">
        <v>0</v>
      </c>
      <c r="D318">
        <v>206.76</v>
      </c>
      <c r="E318" s="1">
        <v>45813</v>
      </c>
      <c r="F318">
        <v>163</v>
      </c>
      <c r="G318" t="s">
        <v>33</v>
      </c>
      <c r="H318" t="str">
        <f>TEXT(sales[[#This Row],[sale_date]],"dddd")</f>
        <v>Thursday</v>
      </c>
      <c r="I318">
        <f>_xlfn.XLOOKUP(A318,salesitems[sale_id],salesitems[revenue],0)</f>
        <v>64.44</v>
      </c>
      <c r="J318">
        <v>1</v>
      </c>
      <c r="K318" s="10" t="str">
        <f>_xlfn.XLOOKUP(F318,customers[customer_id],customers[age_range])</f>
        <v>16-25</v>
      </c>
      <c r="L318" s="1">
        <f>_xlfn.XLOOKUP(F318,customers[customer_id],customers[signup_date])</f>
        <v>45734</v>
      </c>
      <c r="M318">
        <f>sales[[#This Row],[sale_date]]-sales[[#This Row],[sighnup_date]]</f>
        <v>79</v>
      </c>
      <c r="N318" t="str">
        <f t="shared" si="4"/>
        <v>new customer</v>
      </c>
      <c r="O318" t="str">
        <f>_xlfn.XLOOKUP(A318,salesitems[sale_id],salesitems[category])</f>
        <v>T-Shirts</v>
      </c>
    </row>
    <row r="319" spans="1:15" x14ac:dyDescent="0.45">
      <c r="A319">
        <v>207</v>
      </c>
      <c r="B319" t="s">
        <v>21</v>
      </c>
      <c r="C319">
        <v>0</v>
      </c>
      <c r="D319">
        <v>438.51</v>
      </c>
      <c r="E319" s="1">
        <v>45792</v>
      </c>
      <c r="F319">
        <v>884</v>
      </c>
      <c r="G319" t="s">
        <v>34</v>
      </c>
      <c r="H319" t="str">
        <f>TEXT(sales[[#This Row],[sale_date]],"dddd")</f>
        <v>Thursday</v>
      </c>
      <c r="I319">
        <f>_xlfn.XLOOKUP(A319,salesitems[sale_id],salesitems[revenue],0)</f>
        <v>62.92</v>
      </c>
      <c r="J319">
        <v>1</v>
      </c>
      <c r="K319" s="10" t="str">
        <f>_xlfn.XLOOKUP(F319,customers[customer_id],customers[age_range])</f>
        <v>26-35</v>
      </c>
      <c r="L319" s="1">
        <f>_xlfn.XLOOKUP(F319,customers[customer_id],customers[signup_date])</f>
        <v>45760</v>
      </c>
      <c r="M319">
        <f>sales[[#This Row],[sale_date]]-sales[[#This Row],[sighnup_date]]</f>
        <v>32</v>
      </c>
      <c r="N319" t="str">
        <f t="shared" si="4"/>
        <v>new customer</v>
      </c>
      <c r="O319" t="str">
        <f>_xlfn.XLOOKUP(A319,salesitems[sale_id],salesitems[category])</f>
        <v>Shoes</v>
      </c>
    </row>
    <row r="320" spans="1:15" x14ac:dyDescent="0.45">
      <c r="A320">
        <v>209</v>
      </c>
      <c r="B320" t="s">
        <v>15</v>
      </c>
      <c r="C320">
        <v>0</v>
      </c>
      <c r="D320">
        <v>343.05</v>
      </c>
      <c r="E320" s="1">
        <v>45808</v>
      </c>
      <c r="F320">
        <v>436</v>
      </c>
      <c r="G320" t="s">
        <v>36</v>
      </c>
      <c r="H320" t="str">
        <f>TEXT(sales[[#This Row],[sale_date]],"dddd")</f>
        <v>Saturday</v>
      </c>
      <c r="I320">
        <f>_xlfn.XLOOKUP(A320,salesitems[sale_id],salesitems[revenue],0)</f>
        <v>68.47</v>
      </c>
      <c r="J320">
        <v>1</v>
      </c>
      <c r="K320" s="10" t="str">
        <f>_xlfn.XLOOKUP(F320,customers[customer_id],customers[age_range])</f>
        <v>26-35</v>
      </c>
      <c r="L320" s="1">
        <f>_xlfn.XLOOKUP(F320,customers[customer_id],customers[signup_date])</f>
        <v>45726</v>
      </c>
      <c r="M320">
        <f>sales[[#This Row],[sale_date]]-sales[[#This Row],[sighnup_date]]</f>
        <v>82</v>
      </c>
      <c r="N320" t="str">
        <f t="shared" si="4"/>
        <v>new customer</v>
      </c>
      <c r="O320" t="str">
        <f>_xlfn.XLOOKUP(A320,salesitems[sale_id],salesitems[category])</f>
        <v>Shoes</v>
      </c>
    </row>
    <row r="321" spans="1:15" x14ac:dyDescent="0.45">
      <c r="A321">
        <v>21</v>
      </c>
      <c r="B321" t="s">
        <v>21</v>
      </c>
      <c r="C321">
        <v>0</v>
      </c>
      <c r="D321">
        <v>538.23</v>
      </c>
      <c r="E321" s="1">
        <v>45822</v>
      </c>
      <c r="F321">
        <v>685</v>
      </c>
      <c r="G321" t="s">
        <v>34</v>
      </c>
      <c r="H321" t="str">
        <f>TEXT(sales[[#This Row],[sale_date]],"dddd")</f>
        <v>Saturday</v>
      </c>
      <c r="I321">
        <f>_xlfn.XLOOKUP(A321,salesitems[sale_id],salesitems[revenue],0)</f>
        <v>130.29</v>
      </c>
      <c r="J321">
        <v>1</v>
      </c>
      <c r="K321" s="10" t="str">
        <f>_xlfn.XLOOKUP(F321,customers[customer_id],customers[age_range])</f>
        <v>36-45</v>
      </c>
      <c r="L321" s="1">
        <f>_xlfn.XLOOKUP(F321,customers[customer_id],customers[signup_date])</f>
        <v>45761</v>
      </c>
      <c r="M321">
        <f>sales[[#This Row],[sale_date]]-sales[[#This Row],[sighnup_date]]</f>
        <v>61</v>
      </c>
      <c r="N321" t="str">
        <f t="shared" si="4"/>
        <v>new customer</v>
      </c>
      <c r="O321" t="str">
        <f>_xlfn.XLOOKUP(A321,salesitems[sale_id],salesitems[category])</f>
        <v>Sleepwear</v>
      </c>
    </row>
    <row r="322" spans="1:15" x14ac:dyDescent="0.45">
      <c r="A322">
        <v>210</v>
      </c>
      <c r="B322" t="s">
        <v>21</v>
      </c>
      <c r="C322">
        <v>0</v>
      </c>
      <c r="D322">
        <v>598.88</v>
      </c>
      <c r="E322" s="1">
        <v>45799</v>
      </c>
      <c r="F322">
        <v>392</v>
      </c>
      <c r="G322" t="s">
        <v>31</v>
      </c>
      <c r="H322" t="str">
        <f>TEXT(sales[[#This Row],[sale_date]],"dddd")</f>
        <v>Thursday</v>
      </c>
      <c r="I322">
        <f>_xlfn.XLOOKUP(A322,salesitems[sale_id],salesitems[revenue],0)</f>
        <v>222.51</v>
      </c>
      <c r="J322">
        <v>1</v>
      </c>
      <c r="K322" s="10" t="str">
        <f>_xlfn.XLOOKUP(F322,customers[customer_id],customers[age_range])</f>
        <v>36-45</v>
      </c>
      <c r="L322" s="1">
        <f>_xlfn.XLOOKUP(F322,customers[customer_id],customers[signup_date])</f>
        <v>45708</v>
      </c>
      <c r="M322">
        <f>sales[[#This Row],[sale_date]]-sales[[#This Row],[sighnup_date]]</f>
        <v>91</v>
      </c>
      <c r="N322" t="str">
        <f t="shared" ref="N322:N385" si="5">IF(M322&lt;0,"data issue",IF(M322&lt;=90,"new customer","existing customer"))</f>
        <v>existing customer</v>
      </c>
      <c r="O322" t="str">
        <f>_xlfn.XLOOKUP(A322,salesitems[sale_id],salesitems[category])</f>
        <v>Shoes</v>
      </c>
    </row>
    <row r="323" spans="1:15" x14ac:dyDescent="0.45">
      <c r="A323">
        <v>211</v>
      </c>
      <c r="B323" t="s">
        <v>21</v>
      </c>
      <c r="C323">
        <v>1</v>
      </c>
      <c r="D323">
        <v>490.53</v>
      </c>
      <c r="E323" s="1">
        <v>45783</v>
      </c>
      <c r="F323">
        <v>676</v>
      </c>
      <c r="G323" t="s">
        <v>38</v>
      </c>
      <c r="H323" t="str">
        <f>TEXT(sales[[#This Row],[sale_date]],"dddd")</f>
        <v>Tuesday</v>
      </c>
      <c r="I323">
        <f>_xlfn.XLOOKUP(A323,salesitems[sale_id],salesitems[revenue],0)</f>
        <v>97.22999999999999</v>
      </c>
      <c r="J323">
        <v>1</v>
      </c>
      <c r="K323" s="10" t="str">
        <f>_xlfn.XLOOKUP(F323,customers[customer_id],customers[age_range])</f>
        <v>26-35</v>
      </c>
      <c r="L323" s="1">
        <f>_xlfn.XLOOKUP(F323,customers[customer_id],customers[signup_date])</f>
        <v>45773</v>
      </c>
      <c r="M323">
        <f>sales[[#This Row],[sale_date]]-sales[[#This Row],[sighnup_date]]</f>
        <v>10</v>
      </c>
      <c r="N323" t="str">
        <f t="shared" si="5"/>
        <v>new customer</v>
      </c>
      <c r="O323" t="str">
        <f>_xlfn.XLOOKUP(A323,salesitems[sale_id],salesitems[category])</f>
        <v>Sleepwear</v>
      </c>
    </row>
    <row r="324" spans="1:15" x14ac:dyDescent="0.45">
      <c r="A324">
        <v>212</v>
      </c>
      <c r="B324" t="s">
        <v>15</v>
      </c>
      <c r="C324">
        <v>0</v>
      </c>
      <c r="D324">
        <v>300.97000000000003</v>
      </c>
      <c r="E324" s="1">
        <v>45782</v>
      </c>
      <c r="F324">
        <v>302</v>
      </c>
      <c r="G324" t="s">
        <v>36</v>
      </c>
      <c r="H324" t="str">
        <f>TEXT(sales[[#This Row],[sale_date]],"dddd")</f>
        <v>Monday</v>
      </c>
      <c r="I324">
        <f>_xlfn.XLOOKUP(A324,salesitems[sale_id],salesitems[revenue],0)</f>
        <v>53.93</v>
      </c>
      <c r="J324">
        <v>1</v>
      </c>
      <c r="K324" s="10" t="str">
        <f>_xlfn.XLOOKUP(F324,customers[customer_id],customers[age_range])</f>
        <v>56-65</v>
      </c>
      <c r="L324" s="1">
        <f>_xlfn.XLOOKUP(F324,customers[customer_id],customers[signup_date])</f>
        <v>45729</v>
      </c>
      <c r="M324">
        <f>sales[[#This Row],[sale_date]]-sales[[#This Row],[sighnup_date]]</f>
        <v>53</v>
      </c>
      <c r="N324" t="str">
        <f t="shared" si="5"/>
        <v>new customer</v>
      </c>
      <c r="O324" t="str">
        <f>_xlfn.XLOOKUP(A324,salesitems[sale_id],salesitems[category])</f>
        <v>Pants</v>
      </c>
    </row>
    <row r="325" spans="1:15" x14ac:dyDescent="0.45">
      <c r="A325">
        <v>214</v>
      </c>
      <c r="B325" t="s">
        <v>15</v>
      </c>
      <c r="C325">
        <v>0</v>
      </c>
      <c r="D325">
        <v>583.41999999999996</v>
      </c>
      <c r="E325" s="1">
        <v>45775</v>
      </c>
      <c r="F325">
        <v>572</v>
      </c>
      <c r="G325" t="s">
        <v>31</v>
      </c>
      <c r="H325" t="str">
        <f>TEXT(sales[[#This Row],[sale_date]],"dddd")</f>
        <v>Monday</v>
      </c>
      <c r="I325">
        <f>_xlfn.XLOOKUP(A325,salesitems[sale_id],salesitems[revenue],0)</f>
        <v>167.73</v>
      </c>
      <c r="J325">
        <v>1</v>
      </c>
      <c r="K325" s="10" t="str">
        <f>_xlfn.XLOOKUP(F325,customers[customer_id],customers[age_range])</f>
        <v>56-65</v>
      </c>
      <c r="L325" s="1">
        <f>_xlfn.XLOOKUP(F325,customers[customer_id],customers[signup_date])</f>
        <v>45694</v>
      </c>
      <c r="M325">
        <f>sales[[#This Row],[sale_date]]-sales[[#This Row],[sighnup_date]]</f>
        <v>81</v>
      </c>
      <c r="N325" t="str">
        <f t="shared" si="5"/>
        <v>new customer</v>
      </c>
      <c r="O325" t="str">
        <f>_xlfn.XLOOKUP(A325,salesitems[sale_id],salesitems[category])</f>
        <v>Sleepwear</v>
      </c>
    </row>
    <row r="326" spans="1:15" x14ac:dyDescent="0.45">
      <c r="A326">
        <v>215</v>
      </c>
      <c r="B326" t="s">
        <v>21</v>
      </c>
      <c r="C326">
        <v>1</v>
      </c>
      <c r="D326">
        <v>399.74</v>
      </c>
      <c r="E326" s="1">
        <v>45753</v>
      </c>
      <c r="F326">
        <v>691</v>
      </c>
      <c r="G326" t="s">
        <v>33</v>
      </c>
      <c r="H326" t="str">
        <f>TEXT(sales[[#This Row],[sale_date]],"dddd")</f>
        <v>Sunday</v>
      </c>
      <c r="I326">
        <f>_xlfn.XLOOKUP(A326,salesitems[sale_id],salesitems[revenue],0)</f>
        <v>35.28</v>
      </c>
      <c r="J326">
        <v>1</v>
      </c>
      <c r="K326" s="10" t="str">
        <f>_xlfn.XLOOKUP(F326,customers[customer_id],customers[age_range])</f>
        <v>46-55</v>
      </c>
      <c r="L326" s="1">
        <f>_xlfn.XLOOKUP(F326,customers[customer_id],customers[signup_date])</f>
        <v>45751</v>
      </c>
      <c r="M326">
        <f>sales[[#This Row],[sale_date]]-sales[[#This Row],[sighnup_date]]</f>
        <v>2</v>
      </c>
      <c r="N326" t="str">
        <f t="shared" si="5"/>
        <v>new customer</v>
      </c>
      <c r="O326" t="str">
        <f>_xlfn.XLOOKUP(A326,salesitems[sale_id],salesitems[category])</f>
        <v>Dresses</v>
      </c>
    </row>
    <row r="327" spans="1:15" x14ac:dyDescent="0.45">
      <c r="A327">
        <v>216</v>
      </c>
      <c r="B327" t="s">
        <v>21</v>
      </c>
      <c r="C327">
        <v>0</v>
      </c>
      <c r="D327">
        <v>238.58</v>
      </c>
      <c r="E327" s="1">
        <v>45799</v>
      </c>
      <c r="F327">
        <v>968</v>
      </c>
      <c r="G327" t="s">
        <v>33</v>
      </c>
      <c r="H327" t="str">
        <f>TEXT(sales[[#This Row],[sale_date]],"dddd")</f>
        <v>Thursday</v>
      </c>
      <c r="I327">
        <f>_xlfn.XLOOKUP(A327,salesitems[sale_id],salesitems[revenue],0)</f>
        <v>24.8</v>
      </c>
      <c r="J327">
        <v>1</v>
      </c>
      <c r="K327" s="10" t="str">
        <f>_xlfn.XLOOKUP(F327,customers[customer_id],customers[age_range])</f>
        <v>16-25</v>
      </c>
      <c r="L327" s="1">
        <f>_xlfn.XLOOKUP(F327,customers[customer_id],customers[signup_date])</f>
        <v>45763</v>
      </c>
      <c r="M327">
        <f>sales[[#This Row],[sale_date]]-sales[[#This Row],[sighnup_date]]</f>
        <v>36</v>
      </c>
      <c r="N327" t="str">
        <f t="shared" si="5"/>
        <v>new customer</v>
      </c>
      <c r="O327" t="str">
        <f>_xlfn.XLOOKUP(A327,salesitems[sale_id],salesitems[category])</f>
        <v>Pants</v>
      </c>
    </row>
    <row r="328" spans="1:15" x14ac:dyDescent="0.45">
      <c r="A328">
        <v>217</v>
      </c>
      <c r="B328" t="s">
        <v>21</v>
      </c>
      <c r="C328">
        <v>0</v>
      </c>
      <c r="D328">
        <v>410.95</v>
      </c>
      <c r="E328" s="1">
        <v>45812</v>
      </c>
      <c r="F328">
        <v>646</v>
      </c>
      <c r="G328" t="s">
        <v>34</v>
      </c>
      <c r="H328" t="str">
        <f>TEXT(sales[[#This Row],[sale_date]],"dddd")</f>
        <v>Wednesday</v>
      </c>
      <c r="I328">
        <f>_xlfn.XLOOKUP(A328,salesitems[sale_id],salesitems[revenue],0)</f>
        <v>106.54</v>
      </c>
      <c r="J328">
        <v>1</v>
      </c>
      <c r="K328" s="10" t="str">
        <f>_xlfn.XLOOKUP(F328,customers[customer_id],customers[age_range])</f>
        <v>56-65</v>
      </c>
      <c r="L328" s="1">
        <f>_xlfn.XLOOKUP(F328,customers[customer_id],customers[signup_date])</f>
        <v>45705</v>
      </c>
      <c r="M328">
        <f>sales[[#This Row],[sale_date]]-sales[[#This Row],[sighnup_date]]</f>
        <v>107</v>
      </c>
      <c r="N328" t="str">
        <f t="shared" si="5"/>
        <v>existing customer</v>
      </c>
      <c r="O328" t="str">
        <f>_xlfn.XLOOKUP(A328,salesitems[sale_id],salesitems[category])</f>
        <v>Dresses</v>
      </c>
    </row>
    <row r="329" spans="1:15" x14ac:dyDescent="0.45">
      <c r="A329">
        <v>220</v>
      </c>
      <c r="B329" t="s">
        <v>21</v>
      </c>
      <c r="C329">
        <v>0</v>
      </c>
      <c r="D329">
        <v>525.54999999999995</v>
      </c>
      <c r="E329" s="1">
        <v>45765</v>
      </c>
      <c r="F329">
        <v>566</v>
      </c>
      <c r="G329" t="s">
        <v>33</v>
      </c>
      <c r="H329" t="str">
        <f>TEXT(sales[[#This Row],[sale_date]],"dddd")</f>
        <v>Friday</v>
      </c>
      <c r="I329">
        <f>_xlfn.XLOOKUP(A329,salesitems[sale_id],salesitems[revenue],0)</f>
        <v>55.04</v>
      </c>
      <c r="J329">
        <v>1</v>
      </c>
      <c r="K329" s="10" t="str">
        <f>_xlfn.XLOOKUP(F329,customers[customer_id],customers[age_range])</f>
        <v>36-45</v>
      </c>
      <c r="L329" s="1">
        <f>_xlfn.XLOOKUP(F329,customers[customer_id],customers[signup_date])</f>
        <v>45699</v>
      </c>
      <c r="M329">
        <f>sales[[#This Row],[sale_date]]-sales[[#This Row],[sighnup_date]]</f>
        <v>66</v>
      </c>
      <c r="N329" t="str">
        <f t="shared" si="5"/>
        <v>new customer</v>
      </c>
      <c r="O329" t="str">
        <f>_xlfn.XLOOKUP(A329,salesitems[sale_id],salesitems[category])</f>
        <v>Sleepwear</v>
      </c>
    </row>
    <row r="330" spans="1:15" x14ac:dyDescent="0.45">
      <c r="A330">
        <v>221</v>
      </c>
      <c r="B330" t="s">
        <v>21</v>
      </c>
      <c r="C330">
        <v>0</v>
      </c>
      <c r="D330">
        <v>466.16</v>
      </c>
      <c r="E330" s="1">
        <v>45793</v>
      </c>
      <c r="F330">
        <v>107</v>
      </c>
      <c r="G330" t="s">
        <v>36</v>
      </c>
      <c r="H330" t="str">
        <f>TEXT(sales[[#This Row],[sale_date]],"dddd")</f>
        <v>Friday</v>
      </c>
      <c r="I330">
        <f>_xlfn.XLOOKUP(A330,salesitems[sale_id],salesitems[revenue],0)</f>
        <v>97.46</v>
      </c>
      <c r="J330">
        <v>1</v>
      </c>
      <c r="K330" s="10" t="str">
        <f>_xlfn.XLOOKUP(F330,customers[customer_id],customers[age_range])</f>
        <v>46-55</v>
      </c>
      <c r="L330" s="1">
        <f>_xlfn.XLOOKUP(F330,customers[customer_id],customers[signup_date])</f>
        <v>45753</v>
      </c>
      <c r="M330">
        <f>sales[[#This Row],[sale_date]]-sales[[#This Row],[sighnup_date]]</f>
        <v>40</v>
      </c>
      <c r="N330" t="str">
        <f t="shared" si="5"/>
        <v>new customer</v>
      </c>
      <c r="O330" t="str">
        <f>_xlfn.XLOOKUP(A330,salesitems[sale_id],salesitems[category])</f>
        <v>Pants</v>
      </c>
    </row>
    <row r="331" spans="1:15" x14ac:dyDescent="0.45">
      <c r="A331">
        <v>222</v>
      </c>
      <c r="B331" t="s">
        <v>15</v>
      </c>
      <c r="C331">
        <v>0</v>
      </c>
      <c r="D331">
        <v>349.66</v>
      </c>
      <c r="E331" s="1">
        <v>45798</v>
      </c>
      <c r="F331">
        <v>288</v>
      </c>
      <c r="G331" t="s">
        <v>33</v>
      </c>
      <c r="H331" t="str">
        <f>TEXT(sales[[#This Row],[sale_date]],"dddd")</f>
        <v>Wednesday</v>
      </c>
      <c r="I331">
        <f>_xlfn.XLOOKUP(A331,salesitems[sale_id],salesitems[revenue],0)</f>
        <v>73.38</v>
      </c>
      <c r="J331">
        <v>1</v>
      </c>
      <c r="K331" s="10" t="str">
        <f>_xlfn.XLOOKUP(F331,customers[customer_id],customers[age_range])</f>
        <v>36-45</v>
      </c>
      <c r="L331" s="1">
        <f>_xlfn.XLOOKUP(F331,customers[customer_id],customers[signup_date])</f>
        <v>45693</v>
      </c>
      <c r="M331">
        <f>sales[[#This Row],[sale_date]]-sales[[#This Row],[sighnup_date]]</f>
        <v>105</v>
      </c>
      <c r="N331" t="str">
        <f t="shared" si="5"/>
        <v>existing customer</v>
      </c>
      <c r="O331" t="str">
        <f>_xlfn.XLOOKUP(A331,salesitems[sale_id],salesitems[category])</f>
        <v>T-Shirts</v>
      </c>
    </row>
    <row r="332" spans="1:15" x14ac:dyDescent="0.45">
      <c r="A332">
        <v>224</v>
      </c>
      <c r="B332" t="s">
        <v>15</v>
      </c>
      <c r="C332">
        <v>0</v>
      </c>
      <c r="D332">
        <v>607.94000000000005</v>
      </c>
      <c r="E332" s="1">
        <v>45772</v>
      </c>
      <c r="F332">
        <v>773</v>
      </c>
      <c r="G332" t="s">
        <v>34</v>
      </c>
      <c r="H332" t="str">
        <f>TEXT(sales[[#This Row],[sale_date]],"dddd")</f>
        <v>Friday</v>
      </c>
      <c r="I332">
        <f>_xlfn.XLOOKUP(A332,salesitems[sale_id],salesitems[revenue],0)</f>
        <v>46.52</v>
      </c>
      <c r="J332">
        <v>1</v>
      </c>
      <c r="K332" s="10" t="str">
        <f>_xlfn.XLOOKUP(F332,customers[customer_id],customers[age_range])</f>
        <v>46-55</v>
      </c>
      <c r="L332" s="1">
        <f>_xlfn.XLOOKUP(F332,customers[customer_id],customers[signup_date])</f>
        <v>45753</v>
      </c>
      <c r="M332">
        <f>sales[[#This Row],[sale_date]]-sales[[#This Row],[sighnup_date]]</f>
        <v>19</v>
      </c>
      <c r="N332" t="str">
        <f t="shared" si="5"/>
        <v>new customer</v>
      </c>
      <c r="O332" t="str">
        <f>_xlfn.XLOOKUP(A332,salesitems[sale_id],salesitems[category])</f>
        <v>Pants</v>
      </c>
    </row>
    <row r="333" spans="1:15" x14ac:dyDescent="0.45">
      <c r="A333">
        <v>225</v>
      </c>
      <c r="B333" t="s">
        <v>15</v>
      </c>
      <c r="C333">
        <v>0</v>
      </c>
      <c r="D333">
        <v>540.02</v>
      </c>
      <c r="E333" s="1">
        <v>45797</v>
      </c>
      <c r="F333">
        <v>806</v>
      </c>
      <c r="G333" t="s">
        <v>33</v>
      </c>
      <c r="H333" t="str">
        <f>TEXT(sales[[#This Row],[sale_date]],"dddd")</f>
        <v>Tuesday</v>
      </c>
      <c r="I333">
        <f>_xlfn.XLOOKUP(A333,salesitems[sale_id],salesitems[revenue],0)</f>
        <v>156.24</v>
      </c>
      <c r="J333">
        <v>1</v>
      </c>
      <c r="K333" s="10" t="str">
        <f>_xlfn.XLOOKUP(F333,customers[customer_id],customers[age_range])</f>
        <v>26-35</v>
      </c>
      <c r="L333" s="1">
        <f>_xlfn.XLOOKUP(F333,customers[customer_id],customers[signup_date])</f>
        <v>45779</v>
      </c>
      <c r="M333">
        <f>sales[[#This Row],[sale_date]]-sales[[#This Row],[sighnup_date]]</f>
        <v>18</v>
      </c>
      <c r="N333" t="str">
        <f t="shared" si="5"/>
        <v>new customer</v>
      </c>
      <c r="O333" t="str">
        <f>_xlfn.XLOOKUP(A333,salesitems[sale_id],salesitems[category])</f>
        <v>Shoes</v>
      </c>
    </row>
    <row r="334" spans="1:15" x14ac:dyDescent="0.45">
      <c r="A334">
        <v>226</v>
      </c>
      <c r="B334" t="s">
        <v>15</v>
      </c>
      <c r="C334">
        <v>0</v>
      </c>
      <c r="D334">
        <v>401.31</v>
      </c>
      <c r="E334" s="1">
        <v>45770</v>
      </c>
      <c r="F334">
        <v>575</v>
      </c>
      <c r="G334" t="s">
        <v>31</v>
      </c>
      <c r="H334" t="str">
        <f>TEXT(sales[[#This Row],[sale_date]],"dddd")</f>
        <v>Wednesday</v>
      </c>
      <c r="I334">
        <f>_xlfn.XLOOKUP(A334,salesitems[sale_id],salesitems[revenue],0)</f>
        <v>61.22</v>
      </c>
      <c r="J334">
        <v>1</v>
      </c>
      <c r="K334" s="10" t="str">
        <f>_xlfn.XLOOKUP(F334,customers[customer_id],customers[age_range])</f>
        <v>26-35</v>
      </c>
      <c r="L334" s="1">
        <f>_xlfn.XLOOKUP(F334,customers[customer_id],customers[signup_date])</f>
        <v>45762</v>
      </c>
      <c r="M334">
        <f>sales[[#This Row],[sale_date]]-sales[[#This Row],[sighnup_date]]</f>
        <v>8</v>
      </c>
      <c r="N334" t="str">
        <f t="shared" si="5"/>
        <v>new customer</v>
      </c>
      <c r="O334" t="str">
        <f>_xlfn.XLOOKUP(A334,salesitems[sale_id],salesitems[category])</f>
        <v>Shoes</v>
      </c>
    </row>
    <row r="335" spans="1:15" x14ac:dyDescent="0.45">
      <c r="A335">
        <v>229</v>
      </c>
      <c r="B335" t="s">
        <v>21</v>
      </c>
      <c r="C335">
        <v>0</v>
      </c>
      <c r="D335">
        <v>543.16999999999996</v>
      </c>
      <c r="E335" s="1">
        <v>45824</v>
      </c>
      <c r="F335">
        <v>699</v>
      </c>
      <c r="G335" t="s">
        <v>31</v>
      </c>
      <c r="H335" t="str">
        <f>TEXT(sales[[#This Row],[sale_date]],"dddd")</f>
        <v>Monday</v>
      </c>
      <c r="I335">
        <f>_xlfn.XLOOKUP(A335,salesitems[sale_id],salesitems[revenue],0)</f>
        <v>212.57999999999998</v>
      </c>
      <c r="J335">
        <v>1</v>
      </c>
      <c r="K335" s="10" t="str">
        <f>_xlfn.XLOOKUP(F335,customers[customer_id],customers[age_range])</f>
        <v>56-65</v>
      </c>
      <c r="L335" s="1">
        <f>_xlfn.XLOOKUP(F335,customers[customer_id],customers[signup_date])</f>
        <v>45713</v>
      </c>
      <c r="M335">
        <f>sales[[#This Row],[sale_date]]-sales[[#This Row],[sighnup_date]]</f>
        <v>111</v>
      </c>
      <c r="N335" t="str">
        <f t="shared" si="5"/>
        <v>existing customer</v>
      </c>
      <c r="O335" t="str">
        <f>_xlfn.XLOOKUP(A335,salesitems[sale_id],salesitems[category])</f>
        <v>Shoes</v>
      </c>
    </row>
    <row r="336" spans="1:15" x14ac:dyDescent="0.45">
      <c r="A336">
        <v>23</v>
      </c>
      <c r="B336" t="s">
        <v>15</v>
      </c>
      <c r="C336">
        <v>0</v>
      </c>
      <c r="D336">
        <v>457.32</v>
      </c>
      <c r="E336" s="1">
        <v>45775</v>
      </c>
      <c r="F336">
        <v>987</v>
      </c>
      <c r="G336" t="s">
        <v>38</v>
      </c>
      <c r="H336" t="str">
        <f>TEXT(sales[[#This Row],[sale_date]],"dddd")</f>
        <v>Monday</v>
      </c>
      <c r="I336">
        <f>_xlfn.XLOOKUP(A336,salesitems[sale_id],salesitems[revenue],0)</f>
        <v>55.24</v>
      </c>
      <c r="J336">
        <v>1</v>
      </c>
      <c r="K336" s="10" t="str">
        <f>_xlfn.XLOOKUP(F336,customers[customer_id],customers[age_range])</f>
        <v>46-55</v>
      </c>
      <c r="L336" s="1">
        <f>_xlfn.XLOOKUP(F336,customers[customer_id],customers[signup_date])</f>
        <v>45771</v>
      </c>
      <c r="M336">
        <f>sales[[#This Row],[sale_date]]-sales[[#This Row],[sighnup_date]]</f>
        <v>4</v>
      </c>
      <c r="N336" t="str">
        <f t="shared" si="5"/>
        <v>new customer</v>
      </c>
      <c r="O336" t="str">
        <f>_xlfn.XLOOKUP(A336,salesitems[sale_id],salesitems[category])</f>
        <v>Sleepwear</v>
      </c>
    </row>
    <row r="337" spans="1:15" x14ac:dyDescent="0.45">
      <c r="A337">
        <v>230</v>
      </c>
      <c r="B337" t="s">
        <v>15</v>
      </c>
      <c r="C337">
        <v>0</v>
      </c>
      <c r="D337">
        <v>404.19</v>
      </c>
      <c r="E337" s="1">
        <v>45768</v>
      </c>
      <c r="F337">
        <v>428</v>
      </c>
      <c r="G337" t="s">
        <v>34</v>
      </c>
      <c r="H337" t="str">
        <f>TEXT(sales[[#This Row],[sale_date]],"dddd")</f>
        <v>Monday</v>
      </c>
      <c r="I337">
        <f>_xlfn.XLOOKUP(A337,salesitems[sale_id],salesitems[revenue],0)</f>
        <v>63.03</v>
      </c>
      <c r="J337">
        <v>1</v>
      </c>
      <c r="K337" s="10" t="str">
        <f>_xlfn.XLOOKUP(F337,customers[customer_id],customers[age_range])</f>
        <v>56-65</v>
      </c>
      <c r="L337" s="1">
        <f>_xlfn.XLOOKUP(F337,customers[customer_id],customers[signup_date])</f>
        <v>45765</v>
      </c>
      <c r="M337">
        <f>sales[[#This Row],[sale_date]]-sales[[#This Row],[sighnup_date]]</f>
        <v>3</v>
      </c>
      <c r="N337" t="str">
        <f t="shared" si="5"/>
        <v>new customer</v>
      </c>
      <c r="O337" t="str">
        <f>_xlfn.XLOOKUP(A337,salesitems[sale_id],salesitems[category])</f>
        <v>Pants</v>
      </c>
    </row>
    <row r="338" spans="1:15" x14ac:dyDescent="0.45">
      <c r="A338">
        <v>231</v>
      </c>
      <c r="B338" t="s">
        <v>21</v>
      </c>
      <c r="C338">
        <v>0</v>
      </c>
      <c r="D338">
        <v>385.35</v>
      </c>
      <c r="E338" s="1">
        <v>45771</v>
      </c>
      <c r="F338">
        <v>453</v>
      </c>
      <c r="G338" t="s">
        <v>28</v>
      </c>
      <c r="H338" t="str">
        <f>TEXT(sales[[#This Row],[sale_date]],"dddd")</f>
        <v>Thursday</v>
      </c>
      <c r="I338">
        <f>_xlfn.XLOOKUP(A338,salesitems[sale_id],salesitems[revenue],0)</f>
        <v>58.25</v>
      </c>
      <c r="J338">
        <v>1</v>
      </c>
      <c r="K338" s="10" t="str">
        <f>_xlfn.XLOOKUP(F338,customers[customer_id],customers[age_range])</f>
        <v>16-25</v>
      </c>
      <c r="L338" s="1">
        <f>_xlfn.XLOOKUP(F338,customers[customer_id],customers[signup_date])</f>
        <v>45696</v>
      </c>
      <c r="M338">
        <f>sales[[#This Row],[sale_date]]-sales[[#This Row],[sighnup_date]]</f>
        <v>75</v>
      </c>
      <c r="N338" t="str">
        <f t="shared" si="5"/>
        <v>new customer</v>
      </c>
      <c r="O338" t="str">
        <f>_xlfn.XLOOKUP(A338,salesitems[sale_id],salesitems[category])</f>
        <v>Shoes</v>
      </c>
    </row>
    <row r="339" spans="1:15" x14ac:dyDescent="0.45">
      <c r="A339">
        <v>232</v>
      </c>
      <c r="B339" t="s">
        <v>15</v>
      </c>
      <c r="C339">
        <v>0</v>
      </c>
      <c r="D339">
        <v>561.54999999999995</v>
      </c>
      <c r="E339" s="1">
        <v>45807</v>
      </c>
      <c r="F339">
        <v>285</v>
      </c>
      <c r="G339" t="s">
        <v>28</v>
      </c>
      <c r="H339" t="str">
        <f>TEXT(sales[[#This Row],[sale_date]],"dddd")</f>
        <v>Friday</v>
      </c>
      <c r="I339">
        <f>_xlfn.XLOOKUP(A339,salesitems[sale_id],salesitems[revenue],0)</f>
        <v>103.05000000000001</v>
      </c>
      <c r="J339">
        <v>1</v>
      </c>
      <c r="K339" s="10" t="str">
        <f>_xlfn.XLOOKUP(F339,customers[customer_id],customers[age_range])</f>
        <v>16-25</v>
      </c>
      <c r="L339" s="1">
        <f>_xlfn.XLOOKUP(F339,customers[customer_id],customers[signup_date])</f>
        <v>45698</v>
      </c>
      <c r="M339">
        <f>sales[[#This Row],[sale_date]]-sales[[#This Row],[sighnup_date]]</f>
        <v>109</v>
      </c>
      <c r="N339" t="str">
        <f t="shared" si="5"/>
        <v>existing customer</v>
      </c>
      <c r="O339" t="str">
        <f>_xlfn.XLOOKUP(A339,salesitems[sale_id],salesitems[category])</f>
        <v>Sleepwear</v>
      </c>
    </row>
    <row r="340" spans="1:15" x14ac:dyDescent="0.45">
      <c r="A340">
        <v>233</v>
      </c>
      <c r="B340" t="s">
        <v>21</v>
      </c>
      <c r="C340">
        <v>0</v>
      </c>
      <c r="D340">
        <v>374.24</v>
      </c>
      <c r="E340" s="1">
        <v>45775</v>
      </c>
      <c r="F340">
        <v>499</v>
      </c>
      <c r="G340" t="s">
        <v>28</v>
      </c>
      <c r="H340" t="str">
        <f>TEXT(sales[[#This Row],[sale_date]],"dddd")</f>
        <v>Monday</v>
      </c>
      <c r="I340">
        <f>_xlfn.XLOOKUP(A340,salesitems[sale_id],salesitems[revenue],0)</f>
        <v>74.239999999999995</v>
      </c>
      <c r="J340">
        <v>1</v>
      </c>
      <c r="K340" s="10" t="str">
        <f>_xlfn.XLOOKUP(F340,customers[customer_id],customers[age_range])</f>
        <v>36-45</v>
      </c>
      <c r="L340" s="1">
        <f>_xlfn.XLOOKUP(F340,customers[customer_id],customers[signup_date])</f>
        <v>45783</v>
      </c>
      <c r="M340">
        <f>sales[[#This Row],[sale_date]]-sales[[#This Row],[sighnup_date]]</f>
        <v>-8</v>
      </c>
      <c r="N340" t="str">
        <f t="shared" si="5"/>
        <v>data issue</v>
      </c>
      <c r="O340" t="str">
        <f>_xlfn.XLOOKUP(A340,salesitems[sale_id],salesitems[category])</f>
        <v>Pants</v>
      </c>
    </row>
    <row r="341" spans="1:15" x14ac:dyDescent="0.45">
      <c r="A341">
        <v>234</v>
      </c>
      <c r="B341" t="s">
        <v>15</v>
      </c>
      <c r="C341">
        <v>0</v>
      </c>
      <c r="D341">
        <v>533.21</v>
      </c>
      <c r="E341" s="1">
        <v>45797</v>
      </c>
      <c r="F341">
        <v>198</v>
      </c>
      <c r="G341" t="s">
        <v>36</v>
      </c>
      <c r="H341" t="str">
        <f>TEXT(sales[[#This Row],[sale_date]],"dddd")</f>
        <v>Tuesday</v>
      </c>
      <c r="I341">
        <f>_xlfn.XLOOKUP(A341,salesitems[sale_id],salesitems[revenue],0)</f>
        <v>232.77</v>
      </c>
      <c r="J341">
        <v>1</v>
      </c>
      <c r="K341" s="10" t="str">
        <f>_xlfn.XLOOKUP(F341,customers[customer_id],customers[age_range])</f>
        <v>26-35</v>
      </c>
      <c r="L341" s="1">
        <f>_xlfn.XLOOKUP(F341,customers[customer_id],customers[signup_date])</f>
        <v>45730</v>
      </c>
      <c r="M341">
        <f>sales[[#This Row],[sale_date]]-sales[[#This Row],[sighnup_date]]</f>
        <v>67</v>
      </c>
      <c r="N341" t="str">
        <f t="shared" si="5"/>
        <v>new customer</v>
      </c>
      <c r="O341" t="str">
        <f>_xlfn.XLOOKUP(A341,salesitems[sale_id],salesitems[category])</f>
        <v>Dresses</v>
      </c>
    </row>
    <row r="342" spans="1:15" x14ac:dyDescent="0.45">
      <c r="A342">
        <v>235</v>
      </c>
      <c r="B342" t="s">
        <v>21</v>
      </c>
      <c r="C342">
        <v>0</v>
      </c>
      <c r="D342">
        <v>266.42</v>
      </c>
      <c r="E342" s="1">
        <v>45812</v>
      </c>
      <c r="F342">
        <v>411</v>
      </c>
      <c r="G342" t="s">
        <v>36</v>
      </c>
      <c r="H342" t="str">
        <f>TEXT(sales[[#This Row],[sale_date]],"dddd")</f>
        <v>Wednesday</v>
      </c>
      <c r="I342">
        <f>_xlfn.XLOOKUP(A342,salesitems[sale_id],salesitems[revenue],0)</f>
        <v>48.86</v>
      </c>
      <c r="J342">
        <v>1</v>
      </c>
      <c r="K342" s="10" t="str">
        <f>_xlfn.XLOOKUP(F342,customers[customer_id],customers[age_range])</f>
        <v>56-65</v>
      </c>
      <c r="L342" s="1">
        <f>_xlfn.XLOOKUP(F342,customers[customer_id],customers[signup_date])</f>
        <v>45760</v>
      </c>
      <c r="M342">
        <f>sales[[#This Row],[sale_date]]-sales[[#This Row],[sighnup_date]]</f>
        <v>52</v>
      </c>
      <c r="N342" t="str">
        <f t="shared" si="5"/>
        <v>new customer</v>
      </c>
      <c r="O342" t="str">
        <f>_xlfn.XLOOKUP(A342,salesitems[sale_id],salesitems[category])</f>
        <v>Shoes</v>
      </c>
    </row>
    <row r="343" spans="1:15" x14ac:dyDescent="0.45">
      <c r="A343">
        <v>237</v>
      </c>
      <c r="B343" t="s">
        <v>21</v>
      </c>
      <c r="C343">
        <v>0</v>
      </c>
      <c r="D343">
        <v>465.41</v>
      </c>
      <c r="E343" s="1">
        <v>45793</v>
      </c>
      <c r="F343">
        <v>167</v>
      </c>
      <c r="G343" t="s">
        <v>28</v>
      </c>
      <c r="H343" t="str">
        <f>TEXT(sales[[#This Row],[sale_date]],"dddd")</f>
        <v>Friday</v>
      </c>
      <c r="I343">
        <f>_xlfn.XLOOKUP(A343,salesitems[sale_id],salesitems[revenue],0)</f>
        <v>13.51</v>
      </c>
      <c r="J343">
        <v>1</v>
      </c>
      <c r="K343" s="10" t="str">
        <f>_xlfn.XLOOKUP(F343,customers[customer_id],customers[age_range])</f>
        <v>46-55</v>
      </c>
      <c r="L343" s="1">
        <f>_xlfn.XLOOKUP(F343,customers[customer_id],customers[signup_date])</f>
        <v>45723</v>
      </c>
      <c r="M343">
        <f>sales[[#This Row],[sale_date]]-sales[[#This Row],[sighnup_date]]</f>
        <v>70</v>
      </c>
      <c r="N343" t="str">
        <f t="shared" si="5"/>
        <v>new customer</v>
      </c>
      <c r="O343" t="str">
        <f>_xlfn.XLOOKUP(A343,salesitems[sale_id],salesitems[category])</f>
        <v>Sleepwear</v>
      </c>
    </row>
    <row r="344" spans="1:15" x14ac:dyDescent="0.45">
      <c r="A344">
        <v>238</v>
      </c>
      <c r="B344" t="s">
        <v>21</v>
      </c>
      <c r="C344">
        <v>0</v>
      </c>
      <c r="D344">
        <v>378.22</v>
      </c>
      <c r="E344" s="1">
        <v>45796</v>
      </c>
      <c r="F344">
        <v>958</v>
      </c>
      <c r="G344" t="s">
        <v>36</v>
      </c>
      <c r="H344" t="str">
        <f>TEXT(sales[[#This Row],[sale_date]],"dddd")</f>
        <v>Monday</v>
      </c>
      <c r="I344">
        <f>_xlfn.XLOOKUP(A344,salesitems[sale_id],salesitems[revenue],0)</f>
        <v>120.24</v>
      </c>
      <c r="J344">
        <v>1</v>
      </c>
      <c r="K344" s="10" t="str">
        <f>_xlfn.XLOOKUP(F344,customers[customer_id],customers[age_range])</f>
        <v>56-65</v>
      </c>
      <c r="L344" s="1">
        <f>_xlfn.XLOOKUP(F344,customers[customer_id],customers[signup_date])</f>
        <v>45711</v>
      </c>
      <c r="M344">
        <f>sales[[#This Row],[sale_date]]-sales[[#This Row],[sighnup_date]]</f>
        <v>85</v>
      </c>
      <c r="N344" t="str">
        <f t="shared" si="5"/>
        <v>new customer</v>
      </c>
      <c r="O344" t="str">
        <f>_xlfn.XLOOKUP(A344,salesitems[sale_id],salesitems[category])</f>
        <v>Pants</v>
      </c>
    </row>
    <row r="345" spans="1:15" x14ac:dyDescent="0.45">
      <c r="A345">
        <v>239</v>
      </c>
      <c r="B345" t="s">
        <v>21</v>
      </c>
      <c r="C345">
        <v>0</v>
      </c>
      <c r="D345">
        <v>710.55</v>
      </c>
      <c r="E345" s="1">
        <v>45767</v>
      </c>
      <c r="F345">
        <v>2</v>
      </c>
      <c r="G345" t="s">
        <v>28</v>
      </c>
      <c r="H345" t="str">
        <f>TEXT(sales[[#This Row],[sale_date]],"dddd")</f>
        <v>Sunday</v>
      </c>
      <c r="I345">
        <f>_xlfn.XLOOKUP(A345,salesitems[sale_id],salesitems[revenue],0)</f>
        <v>226.8</v>
      </c>
      <c r="J345">
        <v>1</v>
      </c>
      <c r="K345" s="10" t="str">
        <f>_xlfn.XLOOKUP(F345,customers[customer_id],customers[age_range])</f>
        <v>36-45</v>
      </c>
      <c r="L345" s="1">
        <f>_xlfn.XLOOKUP(F345,customers[customer_id],customers[signup_date])</f>
        <v>45712</v>
      </c>
      <c r="M345">
        <f>sales[[#This Row],[sale_date]]-sales[[#This Row],[sighnup_date]]</f>
        <v>55</v>
      </c>
      <c r="N345" t="str">
        <f t="shared" si="5"/>
        <v>new customer</v>
      </c>
      <c r="O345" t="str">
        <f>_xlfn.XLOOKUP(A345,salesitems[sale_id],salesitems[category])</f>
        <v>Dresses</v>
      </c>
    </row>
    <row r="346" spans="1:15" x14ac:dyDescent="0.45">
      <c r="A346">
        <v>24</v>
      </c>
      <c r="B346" t="s">
        <v>15</v>
      </c>
      <c r="C346">
        <v>1</v>
      </c>
      <c r="D346">
        <v>173.28</v>
      </c>
      <c r="E346" s="1">
        <v>45790</v>
      </c>
      <c r="F346">
        <v>750</v>
      </c>
      <c r="G346" t="s">
        <v>34</v>
      </c>
      <c r="H346" t="str">
        <f>TEXT(sales[[#This Row],[sale_date]],"dddd")</f>
        <v>Tuesday</v>
      </c>
      <c r="I346">
        <f>_xlfn.XLOOKUP(A346,salesitems[sale_id],salesitems[revenue],0)</f>
        <v>33.229999999999997</v>
      </c>
      <c r="J346">
        <v>1</v>
      </c>
      <c r="K346" s="10" t="str">
        <f>_xlfn.XLOOKUP(F346,customers[customer_id],customers[age_range])</f>
        <v>46-55</v>
      </c>
      <c r="L346" s="1">
        <f>_xlfn.XLOOKUP(F346,customers[customer_id],customers[signup_date])</f>
        <v>45757</v>
      </c>
      <c r="M346">
        <f>sales[[#This Row],[sale_date]]-sales[[#This Row],[sighnup_date]]</f>
        <v>33</v>
      </c>
      <c r="N346" t="str">
        <f t="shared" si="5"/>
        <v>new customer</v>
      </c>
      <c r="O346" t="str">
        <f>_xlfn.XLOOKUP(A346,salesitems[sale_id],salesitems[category])</f>
        <v>Sleepwear</v>
      </c>
    </row>
    <row r="347" spans="1:15" x14ac:dyDescent="0.45">
      <c r="A347">
        <v>240</v>
      </c>
      <c r="B347" t="s">
        <v>15</v>
      </c>
      <c r="C347">
        <v>0</v>
      </c>
      <c r="D347">
        <v>757.22</v>
      </c>
      <c r="E347" s="1">
        <v>45808</v>
      </c>
      <c r="F347">
        <v>270</v>
      </c>
      <c r="G347" t="s">
        <v>36</v>
      </c>
      <c r="H347" t="str">
        <f>TEXT(sales[[#This Row],[sale_date]],"dddd")</f>
        <v>Saturday</v>
      </c>
      <c r="I347">
        <f>_xlfn.XLOOKUP(A347,salesitems[sale_id],salesitems[revenue],0)</f>
        <v>197.82</v>
      </c>
      <c r="J347">
        <v>1</v>
      </c>
      <c r="K347" s="10" t="str">
        <f>_xlfn.XLOOKUP(F347,customers[customer_id],customers[age_range])</f>
        <v>26-35</v>
      </c>
      <c r="L347" s="1">
        <f>_xlfn.XLOOKUP(F347,customers[customer_id],customers[signup_date])</f>
        <v>45715</v>
      </c>
      <c r="M347">
        <f>sales[[#This Row],[sale_date]]-sales[[#This Row],[sighnup_date]]</f>
        <v>93</v>
      </c>
      <c r="N347" t="str">
        <f t="shared" si="5"/>
        <v>existing customer</v>
      </c>
      <c r="O347" t="str">
        <f>_xlfn.XLOOKUP(A347,salesitems[sale_id],salesitems[category])</f>
        <v>Pants</v>
      </c>
    </row>
    <row r="348" spans="1:15" x14ac:dyDescent="0.45">
      <c r="A348">
        <v>241</v>
      </c>
      <c r="B348" t="s">
        <v>15</v>
      </c>
      <c r="C348">
        <v>0</v>
      </c>
      <c r="D348">
        <v>411.47</v>
      </c>
      <c r="E348" s="1">
        <v>45814</v>
      </c>
      <c r="F348">
        <v>725</v>
      </c>
      <c r="G348" t="s">
        <v>34</v>
      </c>
      <c r="H348" t="str">
        <f>TEXT(sales[[#This Row],[sale_date]],"dddd")</f>
        <v>Friday</v>
      </c>
      <c r="I348">
        <f>_xlfn.XLOOKUP(A348,salesitems[sale_id],salesitems[revenue],0)</f>
        <v>45.42</v>
      </c>
      <c r="J348">
        <v>1</v>
      </c>
      <c r="K348" s="10" t="str">
        <f>_xlfn.XLOOKUP(F348,customers[customer_id],customers[age_range])</f>
        <v>36-45</v>
      </c>
      <c r="L348" s="1">
        <f>_xlfn.XLOOKUP(F348,customers[customer_id],customers[signup_date])</f>
        <v>45761</v>
      </c>
      <c r="M348">
        <f>sales[[#This Row],[sale_date]]-sales[[#This Row],[sighnup_date]]</f>
        <v>53</v>
      </c>
      <c r="N348" t="str">
        <f t="shared" si="5"/>
        <v>new customer</v>
      </c>
      <c r="O348" t="str">
        <f>_xlfn.XLOOKUP(A348,salesitems[sale_id],salesitems[category])</f>
        <v>Dresses</v>
      </c>
    </row>
    <row r="349" spans="1:15" x14ac:dyDescent="0.45">
      <c r="A349">
        <v>242</v>
      </c>
      <c r="B349" t="s">
        <v>15</v>
      </c>
      <c r="C349">
        <v>0</v>
      </c>
      <c r="D349">
        <v>593.44000000000005</v>
      </c>
      <c r="E349" s="1">
        <v>45800</v>
      </c>
      <c r="F349">
        <v>106</v>
      </c>
      <c r="G349" t="s">
        <v>36</v>
      </c>
      <c r="H349" t="str">
        <f>TEXT(sales[[#This Row],[sale_date]],"dddd")</f>
        <v>Friday</v>
      </c>
      <c r="I349">
        <f>_xlfn.XLOOKUP(A349,salesitems[sale_id],salesitems[revenue],0)</f>
        <v>193.32</v>
      </c>
      <c r="J349">
        <v>1</v>
      </c>
      <c r="K349" s="10" t="str">
        <f>_xlfn.XLOOKUP(F349,customers[customer_id],customers[age_range])</f>
        <v>36-45</v>
      </c>
      <c r="L349" s="1">
        <f>_xlfn.XLOOKUP(F349,customers[customer_id],customers[signup_date])</f>
        <v>45781</v>
      </c>
      <c r="M349">
        <f>sales[[#This Row],[sale_date]]-sales[[#This Row],[sighnup_date]]</f>
        <v>19</v>
      </c>
      <c r="N349" t="str">
        <f t="shared" si="5"/>
        <v>new customer</v>
      </c>
      <c r="O349" t="str">
        <f>_xlfn.XLOOKUP(A349,salesitems[sale_id],salesitems[category])</f>
        <v>T-Shirts</v>
      </c>
    </row>
    <row r="350" spans="1:15" x14ac:dyDescent="0.45">
      <c r="A350">
        <v>245</v>
      </c>
      <c r="B350" t="s">
        <v>21</v>
      </c>
      <c r="C350">
        <v>0</v>
      </c>
      <c r="D350">
        <v>221.6</v>
      </c>
      <c r="E350" s="1">
        <v>45806</v>
      </c>
      <c r="F350">
        <v>673</v>
      </c>
      <c r="G350" t="s">
        <v>36</v>
      </c>
      <c r="H350" t="str">
        <f>TEXT(sales[[#This Row],[sale_date]],"dddd")</f>
        <v>Thursday</v>
      </c>
      <c r="I350">
        <f>_xlfn.XLOOKUP(A350,salesitems[sale_id],salesitems[revenue],0)</f>
        <v>44.12</v>
      </c>
      <c r="J350">
        <v>1</v>
      </c>
      <c r="K350" s="10" t="str">
        <f>_xlfn.XLOOKUP(F350,customers[customer_id],customers[age_range])</f>
        <v>36-45</v>
      </c>
      <c r="L350" s="1">
        <f>_xlfn.XLOOKUP(F350,customers[customer_id],customers[signup_date])</f>
        <v>45763</v>
      </c>
      <c r="M350">
        <f>sales[[#This Row],[sale_date]]-sales[[#This Row],[sighnup_date]]</f>
        <v>43</v>
      </c>
      <c r="N350" t="str">
        <f t="shared" si="5"/>
        <v>new customer</v>
      </c>
      <c r="O350" t="str">
        <f>_xlfn.XLOOKUP(A350,salesitems[sale_id],salesitems[category])</f>
        <v>Shoes</v>
      </c>
    </row>
    <row r="351" spans="1:15" x14ac:dyDescent="0.45">
      <c r="A351">
        <v>247</v>
      </c>
      <c r="B351" t="s">
        <v>15</v>
      </c>
      <c r="C351">
        <v>0</v>
      </c>
      <c r="D351">
        <v>288.20999999999998</v>
      </c>
      <c r="E351" s="1">
        <v>45751</v>
      </c>
      <c r="F351">
        <v>672</v>
      </c>
      <c r="G351" t="s">
        <v>36</v>
      </c>
      <c r="H351" t="str">
        <f>TEXT(sales[[#This Row],[sale_date]],"dddd")</f>
        <v>Friday</v>
      </c>
      <c r="I351">
        <f>_xlfn.XLOOKUP(A351,salesitems[sale_id],salesitems[revenue],0)</f>
        <v>60.34</v>
      </c>
      <c r="J351">
        <v>1</v>
      </c>
      <c r="K351" s="10" t="str">
        <f>_xlfn.XLOOKUP(F351,customers[customer_id],customers[age_range])</f>
        <v>56-65</v>
      </c>
      <c r="L351" s="1">
        <f>_xlfn.XLOOKUP(F351,customers[customer_id],customers[signup_date])</f>
        <v>45680</v>
      </c>
      <c r="M351">
        <f>sales[[#This Row],[sale_date]]-sales[[#This Row],[sighnup_date]]</f>
        <v>71</v>
      </c>
      <c r="N351" t="str">
        <f t="shared" si="5"/>
        <v>new customer</v>
      </c>
      <c r="O351" t="str">
        <f>_xlfn.XLOOKUP(A351,salesitems[sale_id],salesitems[category])</f>
        <v>Sleepwear</v>
      </c>
    </row>
    <row r="352" spans="1:15" x14ac:dyDescent="0.45">
      <c r="A352">
        <v>248</v>
      </c>
      <c r="B352" t="s">
        <v>15</v>
      </c>
      <c r="C352">
        <v>0</v>
      </c>
      <c r="D352">
        <v>478.04</v>
      </c>
      <c r="E352" s="1">
        <v>45770</v>
      </c>
      <c r="F352">
        <v>99</v>
      </c>
      <c r="G352" t="s">
        <v>34</v>
      </c>
      <c r="H352" t="str">
        <f>TEXT(sales[[#This Row],[sale_date]],"dddd")</f>
        <v>Wednesday</v>
      </c>
      <c r="I352">
        <f>_xlfn.XLOOKUP(A352,salesitems[sale_id],salesitems[revenue],0)</f>
        <v>78.06</v>
      </c>
      <c r="J352">
        <v>1</v>
      </c>
      <c r="K352" s="10" t="str">
        <f>_xlfn.XLOOKUP(F352,customers[customer_id],customers[age_range])</f>
        <v>36-45</v>
      </c>
      <c r="L352" s="1">
        <f>_xlfn.XLOOKUP(F352,customers[customer_id],customers[signup_date])</f>
        <v>45733</v>
      </c>
      <c r="M352">
        <f>sales[[#This Row],[sale_date]]-sales[[#This Row],[sighnup_date]]</f>
        <v>37</v>
      </c>
      <c r="N352" t="str">
        <f t="shared" si="5"/>
        <v>new customer</v>
      </c>
      <c r="O352" t="str">
        <f>_xlfn.XLOOKUP(A352,salesitems[sale_id],salesitems[category])</f>
        <v>T-Shirts</v>
      </c>
    </row>
    <row r="353" spans="1:15" x14ac:dyDescent="0.45">
      <c r="A353">
        <v>250</v>
      </c>
      <c r="B353" t="s">
        <v>15</v>
      </c>
      <c r="C353">
        <v>0</v>
      </c>
      <c r="D353">
        <v>581.85</v>
      </c>
      <c r="E353" s="1">
        <v>45824</v>
      </c>
      <c r="F353">
        <v>49</v>
      </c>
      <c r="G353" t="s">
        <v>31</v>
      </c>
      <c r="H353" t="str">
        <f>TEXT(sales[[#This Row],[sale_date]],"dddd")</f>
        <v>Monday</v>
      </c>
      <c r="I353">
        <f>_xlfn.XLOOKUP(A353,salesitems[sale_id],salesitems[revenue],0)</f>
        <v>52.65</v>
      </c>
      <c r="J353">
        <v>1</v>
      </c>
      <c r="K353" s="10" t="str">
        <f>_xlfn.XLOOKUP(F353,customers[customer_id],customers[age_range])</f>
        <v>16-25</v>
      </c>
      <c r="L353" s="1">
        <f>_xlfn.XLOOKUP(F353,customers[customer_id],customers[signup_date])</f>
        <v>45750</v>
      </c>
      <c r="M353">
        <f>sales[[#This Row],[sale_date]]-sales[[#This Row],[sighnup_date]]</f>
        <v>74</v>
      </c>
      <c r="N353" t="str">
        <f t="shared" si="5"/>
        <v>new customer</v>
      </c>
      <c r="O353" t="str">
        <f>_xlfn.XLOOKUP(A353,salesitems[sale_id],salesitems[category])</f>
        <v>Dresses</v>
      </c>
    </row>
    <row r="354" spans="1:15" x14ac:dyDescent="0.45">
      <c r="A354">
        <v>251</v>
      </c>
      <c r="B354" t="s">
        <v>21</v>
      </c>
      <c r="C354">
        <v>1</v>
      </c>
      <c r="D354">
        <v>318.33999999999997</v>
      </c>
      <c r="E354" s="1">
        <v>45753</v>
      </c>
      <c r="F354">
        <v>996</v>
      </c>
      <c r="G354" t="s">
        <v>36</v>
      </c>
      <c r="H354" t="str">
        <f>TEXT(sales[[#This Row],[sale_date]],"dddd")</f>
        <v>Sunday</v>
      </c>
      <c r="I354">
        <f>_xlfn.XLOOKUP(A354,salesitems[sale_id],salesitems[revenue],0)</f>
        <v>107.82</v>
      </c>
      <c r="J354">
        <v>1</v>
      </c>
      <c r="K354" s="10" t="str">
        <f>_xlfn.XLOOKUP(F354,customers[customer_id],customers[age_range])</f>
        <v>16-25</v>
      </c>
      <c r="L354" s="1">
        <f>_xlfn.XLOOKUP(F354,customers[customer_id],customers[signup_date])</f>
        <v>45785</v>
      </c>
      <c r="M354">
        <f>sales[[#This Row],[sale_date]]-sales[[#This Row],[sighnup_date]]</f>
        <v>-32</v>
      </c>
      <c r="N354" t="str">
        <f t="shared" si="5"/>
        <v>data issue</v>
      </c>
      <c r="O354" t="str">
        <f>_xlfn.XLOOKUP(A354,salesitems[sale_id],salesitems[category])</f>
        <v>Pants</v>
      </c>
    </row>
    <row r="355" spans="1:15" x14ac:dyDescent="0.45">
      <c r="A355">
        <v>252</v>
      </c>
      <c r="B355" t="s">
        <v>15</v>
      </c>
      <c r="C355">
        <v>0</v>
      </c>
      <c r="D355">
        <v>336.11</v>
      </c>
      <c r="E355" s="1">
        <v>45765</v>
      </c>
      <c r="F355">
        <v>836</v>
      </c>
      <c r="G355" t="s">
        <v>36</v>
      </c>
      <c r="H355" t="str">
        <f>TEXT(sales[[#This Row],[sale_date]],"dddd")</f>
        <v>Friday</v>
      </c>
      <c r="I355">
        <f>_xlfn.XLOOKUP(A355,salesitems[sale_id],salesitems[revenue],0)</f>
        <v>47.66</v>
      </c>
      <c r="J355">
        <v>1</v>
      </c>
      <c r="K355" s="10" t="str">
        <f>_xlfn.XLOOKUP(F355,customers[customer_id],customers[age_range])</f>
        <v>56-65</v>
      </c>
      <c r="L355" s="1">
        <f>_xlfn.XLOOKUP(F355,customers[customer_id],customers[signup_date])</f>
        <v>45797</v>
      </c>
      <c r="M355">
        <f>sales[[#This Row],[sale_date]]-sales[[#This Row],[sighnup_date]]</f>
        <v>-32</v>
      </c>
      <c r="N355" t="str">
        <f t="shared" si="5"/>
        <v>data issue</v>
      </c>
      <c r="O355" t="str">
        <f>_xlfn.XLOOKUP(A355,salesitems[sale_id],salesitems[category])</f>
        <v>Dresses</v>
      </c>
    </row>
    <row r="356" spans="1:15" x14ac:dyDescent="0.45">
      <c r="A356">
        <v>253</v>
      </c>
      <c r="B356" t="s">
        <v>15</v>
      </c>
      <c r="C356">
        <v>0</v>
      </c>
      <c r="D356">
        <v>422.76</v>
      </c>
      <c r="E356" s="1">
        <v>45774</v>
      </c>
      <c r="F356">
        <v>233</v>
      </c>
      <c r="G356" t="s">
        <v>28</v>
      </c>
      <c r="H356" t="str">
        <f>TEXT(sales[[#This Row],[sale_date]],"dddd")</f>
        <v>Sunday</v>
      </c>
      <c r="I356">
        <f>_xlfn.XLOOKUP(A356,salesitems[sale_id],salesitems[revenue],0)</f>
        <v>28.98</v>
      </c>
      <c r="J356">
        <v>1</v>
      </c>
      <c r="K356" s="10" t="str">
        <f>_xlfn.XLOOKUP(F356,customers[customer_id],customers[age_range])</f>
        <v>26-35</v>
      </c>
      <c r="L356" s="1">
        <f>_xlfn.XLOOKUP(F356,customers[customer_id],customers[signup_date])</f>
        <v>45743</v>
      </c>
      <c r="M356">
        <f>sales[[#This Row],[sale_date]]-sales[[#This Row],[sighnup_date]]</f>
        <v>31</v>
      </c>
      <c r="N356" t="str">
        <f t="shared" si="5"/>
        <v>new customer</v>
      </c>
      <c r="O356" t="str">
        <f>_xlfn.XLOOKUP(A356,salesitems[sale_id],salesitems[category])</f>
        <v>Dresses</v>
      </c>
    </row>
    <row r="357" spans="1:15" x14ac:dyDescent="0.45">
      <c r="A357">
        <v>255</v>
      </c>
      <c r="B357" t="s">
        <v>21</v>
      </c>
      <c r="C357">
        <v>0</v>
      </c>
      <c r="D357">
        <v>187.46</v>
      </c>
      <c r="E357" s="1">
        <v>45777</v>
      </c>
      <c r="F357">
        <v>509</v>
      </c>
      <c r="G357" t="s">
        <v>31</v>
      </c>
      <c r="H357" t="str">
        <f>TEXT(sales[[#This Row],[sale_date]],"dddd")</f>
        <v>Wednesday</v>
      </c>
      <c r="I357">
        <f>_xlfn.XLOOKUP(A357,salesitems[sale_id],salesitems[revenue],0)</f>
        <v>59.38</v>
      </c>
      <c r="J357">
        <v>1</v>
      </c>
      <c r="K357" s="10" t="str">
        <f>_xlfn.XLOOKUP(F357,customers[customer_id],customers[age_range])</f>
        <v>36-45</v>
      </c>
      <c r="L357" s="1">
        <f>_xlfn.XLOOKUP(F357,customers[customer_id],customers[signup_date])</f>
        <v>45686</v>
      </c>
      <c r="M357">
        <f>sales[[#This Row],[sale_date]]-sales[[#This Row],[sighnup_date]]</f>
        <v>91</v>
      </c>
      <c r="N357" t="str">
        <f t="shared" si="5"/>
        <v>existing customer</v>
      </c>
      <c r="O357" t="str">
        <f>_xlfn.XLOOKUP(A357,salesitems[sale_id],salesitems[category])</f>
        <v>Sleepwear</v>
      </c>
    </row>
    <row r="358" spans="1:15" x14ac:dyDescent="0.45">
      <c r="A358">
        <v>256</v>
      </c>
      <c r="B358" t="s">
        <v>21</v>
      </c>
      <c r="C358">
        <v>0</v>
      </c>
      <c r="D358">
        <v>432.34</v>
      </c>
      <c r="E358" s="1">
        <v>45798</v>
      </c>
      <c r="F358">
        <v>881</v>
      </c>
      <c r="G358" t="s">
        <v>38</v>
      </c>
      <c r="H358" t="str">
        <f>TEXT(sales[[#This Row],[sale_date]],"dddd")</f>
        <v>Wednesday</v>
      </c>
      <c r="I358">
        <f>_xlfn.XLOOKUP(A358,salesitems[sale_id],salesitems[revenue],0)</f>
        <v>147.63</v>
      </c>
      <c r="J358">
        <v>1</v>
      </c>
      <c r="K358" s="10" t="str">
        <f>_xlfn.XLOOKUP(F358,customers[customer_id],customers[age_range])</f>
        <v>36-45</v>
      </c>
      <c r="L358" s="1">
        <f>_xlfn.XLOOKUP(F358,customers[customer_id],customers[signup_date])</f>
        <v>45719</v>
      </c>
      <c r="M358">
        <f>sales[[#This Row],[sale_date]]-sales[[#This Row],[sighnup_date]]</f>
        <v>79</v>
      </c>
      <c r="N358" t="str">
        <f t="shared" si="5"/>
        <v>new customer</v>
      </c>
      <c r="O358" t="str">
        <f>_xlfn.XLOOKUP(A358,salesitems[sale_id],salesitems[category])</f>
        <v>Shoes</v>
      </c>
    </row>
    <row r="359" spans="1:15" x14ac:dyDescent="0.45">
      <c r="A359">
        <v>258</v>
      </c>
      <c r="B359" t="s">
        <v>21</v>
      </c>
      <c r="C359">
        <v>0</v>
      </c>
      <c r="D359">
        <v>439.49</v>
      </c>
      <c r="E359" s="1">
        <v>45806</v>
      </c>
      <c r="F359">
        <v>94</v>
      </c>
      <c r="G359" t="s">
        <v>28</v>
      </c>
      <c r="H359" t="str">
        <f>TEXT(sales[[#This Row],[sale_date]],"dddd")</f>
        <v>Thursday</v>
      </c>
      <c r="I359">
        <f>_xlfn.XLOOKUP(A359,salesitems[sale_id],salesitems[revenue],0)</f>
        <v>75.47</v>
      </c>
      <c r="J359">
        <v>1</v>
      </c>
      <c r="K359" s="10" t="str">
        <f>_xlfn.XLOOKUP(F359,customers[customer_id],customers[age_range])</f>
        <v>16-25</v>
      </c>
      <c r="L359" s="1">
        <f>_xlfn.XLOOKUP(F359,customers[customer_id],customers[signup_date])</f>
        <v>45751</v>
      </c>
      <c r="M359">
        <f>sales[[#This Row],[sale_date]]-sales[[#This Row],[sighnup_date]]</f>
        <v>55</v>
      </c>
      <c r="N359" t="str">
        <f t="shared" si="5"/>
        <v>new customer</v>
      </c>
      <c r="O359" t="str">
        <f>_xlfn.XLOOKUP(A359,salesitems[sale_id],salesitems[category])</f>
        <v>Shoes</v>
      </c>
    </row>
    <row r="360" spans="1:15" x14ac:dyDescent="0.45">
      <c r="A360">
        <v>259</v>
      </c>
      <c r="B360" t="s">
        <v>15</v>
      </c>
      <c r="C360">
        <v>1</v>
      </c>
      <c r="D360">
        <v>296.87</v>
      </c>
      <c r="E360" s="1">
        <v>45796</v>
      </c>
      <c r="F360">
        <v>48</v>
      </c>
      <c r="G360" t="s">
        <v>36</v>
      </c>
      <c r="H360" t="str">
        <f>TEXT(sales[[#This Row],[sale_date]],"dddd")</f>
        <v>Monday</v>
      </c>
      <c r="I360">
        <f>_xlfn.XLOOKUP(A360,salesitems[sale_id],salesitems[revenue],0)</f>
        <v>42.24</v>
      </c>
      <c r="J360">
        <v>1</v>
      </c>
      <c r="K360" s="10" t="str">
        <f>_xlfn.XLOOKUP(F360,customers[customer_id],customers[age_range])</f>
        <v>56-65</v>
      </c>
      <c r="L360" s="1">
        <f>_xlfn.XLOOKUP(F360,customers[customer_id],customers[signup_date])</f>
        <v>45738</v>
      </c>
      <c r="M360">
        <f>sales[[#This Row],[sale_date]]-sales[[#This Row],[sighnup_date]]</f>
        <v>58</v>
      </c>
      <c r="N360" t="str">
        <f t="shared" si="5"/>
        <v>new customer</v>
      </c>
      <c r="O360" t="str">
        <f>_xlfn.XLOOKUP(A360,salesitems[sale_id],salesitems[category])</f>
        <v>Sleepwear</v>
      </c>
    </row>
    <row r="361" spans="1:15" x14ac:dyDescent="0.45">
      <c r="A361">
        <v>260</v>
      </c>
      <c r="B361" t="s">
        <v>21</v>
      </c>
      <c r="C361">
        <v>0</v>
      </c>
      <c r="D361">
        <v>528.34</v>
      </c>
      <c r="E361" s="1">
        <v>45791</v>
      </c>
      <c r="F361">
        <v>41</v>
      </c>
      <c r="G361" t="s">
        <v>36</v>
      </c>
      <c r="H361" t="str">
        <f>TEXT(sales[[#This Row],[sale_date]],"dddd")</f>
        <v>Wednesday</v>
      </c>
      <c r="I361">
        <f>_xlfn.XLOOKUP(A361,salesitems[sale_id],salesitems[revenue],0)</f>
        <v>64.819999999999993</v>
      </c>
      <c r="J361">
        <v>1</v>
      </c>
      <c r="K361" s="10" t="str">
        <f>_xlfn.XLOOKUP(F361,customers[customer_id],customers[age_range])</f>
        <v>36-45</v>
      </c>
      <c r="L361" s="1">
        <f>_xlfn.XLOOKUP(F361,customers[customer_id],customers[signup_date])</f>
        <v>45753</v>
      </c>
      <c r="M361">
        <f>sales[[#This Row],[sale_date]]-sales[[#This Row],[sighnup_date]]</f>
        <v>38</v>
      </c>
      <c r="N361" t="str">
        <f t="shared" si="5"/>
        <v>new customer</v>
      </c>
      <c r="O361" t="str">
        <f>_xlfn.XLOOKUP(A361,salesitems[sale_id],salesitems[category])</f>
        <v>Shoes</v>
      </c>
    </row>
    <row r="362" spans="1:15" x14ac:dyDescent="0.45">
      <c r="A362">
        <v>262</v>
      </c>
      <c r="B362" t="s">
        <v>15</v>
      </c>
      <c r="C362">
        <v>0</v>
      </c>
      <c r="D362">
        <v>480.78</v>
      </c>
      <c r="E362" s="1">
        <v>45776</v>
      </c>
      <c r="F362">
        <v>28</v>
      </c>
      <c r="G362" t="s">
        <v>34</v>
      </c>
      <c r="H362" t="str">
        <f>TEXT(sales[[#This Row],[sale_date]],"dddd")</f>
        <v>Tuesday</v>
      </c>
      <c r="I362">
        <f>_xlfn.XLOOKUP(A362,salesitems[sale_id],salesitems[revenue],0)</f>
        <v>117.34</v>
      </c>
      <c r="J362">
        <v>1</v>
      </c>
      <c r="K362" s="10" t="str">
        <f>_xlfn.XLOOKUP(F362,customers[customer_id],customers[age_range])</f>
        <v>16-25</v>
      </c>
      <c r="L362" s="1">
        <f>_xlfn.XLOOKUP(F362,customers[customer_id],customers[signup_date])</f>
        <v>45749</v>
      </c>
      <c r="M362">
        <f>sales[[#This Row],[sale_date]]-sales[[#This Row],[sighnup_date]]</f>
        <v>27</v>
      </c>
      <c r="N362" t="str">
        <f t="shared" si="5"/>
        <v>new customer</v>
      </c>
      <c r="O362" t="str">
        <f>_xlfn.XLOOKUP(A362,salesitems[sale_id],salesitems[category])</f>
        <v>Sleepwear</v>
      </c>
    </row>
    <row r="363" spans="1:15" x14ac:dyDescent="0.45">
      <c r="A363">
        <v>264</v>
      </c>
      <c r="B363" t="s">
        <v>15</v>
      </c>
      <c r="C363">
        <v>0</v>
      </c>
      <c r="D363">
        <v>253.51</v>
      </c>
      <c r="E363" s="1">
        <v>45808</v>
      </c>
      <c r="F363">
        <v>131</v>
      </c>
      <c r="G363" t="s">
        <v>36</v>
      </c>
      <c r="H363" t="str">
        <f>TEXT(sales[[#This Row],[sale_date]],"dddd")</f>
        <v>Saturday</v>
      </c>
      <c r="I363">
        <f>_xlfn.XLOOKUP(A363,salesitems[sale_id],salesitems[revenue],0)</f>
        <v>58.09</v>
      </c>
      <c r="J363">
        <v>1</v>
      </c>
      <c r="K363" s="10" t="str">
        <f>_xlfn.XLOOKUP(F363,customers[customer_id],customers[age_range])</f>
        <v>46-55</v>
      </c>
      <c r="L363" s="1">
        <f>_xlfn.XLOOKUP(F363,customers[customer_id],customers[signup_date])</f>
        <v>45744</v>
      </c>
      <c r="M363">
        <f>sales[[#This Row],[sale_date]]-sales[[#This Row],[sighnup_date]]</f>
        <v>64</v>
      </c>
      <c r="N363" t="str">
        <f t="shared" si="5"/>
        <v>new customer</v>
      </c>
      <c r="O363" t="str">
        <f>_xlfn.XLOOKUP(A363,salesitems[sale_id],salesitems[category])</f>
        <v>Pants</v>
      </c>
    </row>
    <row r="364" spans="1:15" x14ac:dyDescent="0.45">
      <c r="A364">
        <v>265</v>
      </c>
      <c r="B364" t="s">
        <v>15</v>
      </c>
      <c r="C364">
        <v>0</v>
      </c>
      <c r="D364">
        <v>307.83</v>
      </c>
      <c r="E364" s="1">
        <v>45803</v>
      </c>
      <c r="F364">
        <v>346</v>
      </c>
      <c r="G364" t="s">
        <v>33</v>
      </c>
      <c r="H364" t="str">
        <f>TEXT(sales[[#This Row],[sale_date]],"dddd")</f>
        <v>Monday</v>
      </c>
      <c r="I364">
        <f>_xlfn.XLOOKUP(A364,salesitems[sale_id],salesitems[revenue],0)</f>
        <v>55.39</v>
      </c>
      <c r="J364">
        <v>1</v>
      </c>
      <c r="K364" s="10" t="str">
        <f>_xlfn.XLOOKUP(F364,customers[customer_id],customers[age_range])</f>
        <v>56-65</v>
      </c>
      <c r="L364" s="1">
        <f>_xlfn.XLOOKUP(F364,customers[customer_id],customers[signup_date])</f>
        <v>45683</v>
      </c>
      <c r="M364">
        <f>sales[[#This Row],[sale_date]]-sales[[#This Row],[sighnup_date]]</f>
        <v>120</v>
      </c>
      <c r="N364" t="str">
        <f t="shared" si="5"/>
        <v>existing customer</v>
      </c>
      <c r="O364" t="str">
        <f>_xlfn.XLOOKUP(A364,salesitems[sale_id],salesitems[category])</f>
        <v>Dresses</v>
      </c>
    </row>
    <row r="365" spans="1:15" x14ac:dyDescent="0.45">
      <c r="A365">
        <v>269</v>
      </c>
      <c r="B365" t="s">
        <v>15</v>
      </c>
      <c r="C365">
        <v>0</v>
      </c>
      <c r="D365">
        <v>503.93</v>
      </c>
      <c r="E365" s="1">
        <v>45801</v>
      </c>
      <c r="F365">
        <v>298</v>
      </c>
      <c r="G365" t="s">
        <v>36</v>
      </c>
      <c r="H365" t="str">
        <f>TEXT(sales[[#This Row],[sale_date]],"dddd")</f>
        <v>Saturday</v>
      </c>
      <c r="I365">
        <f>_xlfn.XLOOKUP(A365,salesitems[sale_id],salesitems[revenue],0)</f>
        <v>23.13</v>
      </c>
      <c r="J365">
        <v>1</v>
      </c>
      <c r="K365" s="10" t="str">
        <f>_xlfn.XLOOKUP(F365,customers[customer_id],customers[age_range])</f>
        <v>16-25</v>
      </c>
      <c r="L365" s="1">
        <f>_xlfn.XLOOKUP(F365,customers[customer_id],customers[signup_date])</f>
        <v>45780</v>
      </c>
      <c r="M365">
        <f>sales[[#This Row],[sale_date]]-sales[[#This Row],[sighnup_date]]</f>
        <v>21</v>
      </c>
      <c r="N365" t="str">
        <f t="shared" si="5"/>
        <v>new customer</v>
      </c>
      <c r="O365" t="str">
        <f>_xlfn.XLOOKUP(A365,salesitems[sale_id],salesitems[category])</f>
        <v>Sleepwear</v>
      </c>
    </row>
    <row r="366" spans="1:15" x14ac:dyDescent="0.45">
      <c r="A366">
        <v>272</v>
      </c>
      <c r="B366" t="s">
        <v>15</v>
      </c>
      <c r="C366">
        <v>0</v>
      </c>
      <c r="D366">
        <v>487.95</v>
      </c>
      <c r="E366" s="1">
        <v>45782</v>
      </c>
      <c r="F366">
        <v>718</v>
      </c>
      <c r="G366" t="s">
        <v>33</v>
      </c>
      <c r="H366" t="str">
        <f>TEXT(sales[[#This Row],[sale_date]],"dddd")</f>
        <v>Monday</v>
      </c>
      <c r="I366">
        <f>_xlfn.XLOOKUP(A366,salesitems[sale_id],salesitems[revenue],0)</f>
        <v>51.17</v>
      </c>
      <c r="J366">
        <v>1</v>
      </c>
      <c r="K366" s="10" t="str">
        <f>_xlfn.XLOOKUP(F366,customers[customer_id],customers[age_range])</f>
        <v>16-25</v>
      </c>
      <c r="L366" s="1">
        <f>_xlfn.XLOOKUP(F366,customers[customer_id],customers[signup_date])</f>
        <v>45748</v>
      </c>
      <c r="M366">
        <f>sales[[#This Row],[sale_date]]-sales[[#This Row],[sighnup_date]]</f>
        <v>34</v>
      </c>
      <c r="N366" t="str">
        <f t="shared" si="5"/>
        <v>new customer</v>
      </c>
      <c r="O366" t="str">
        <f>_xlfn.XLOOKUP(A366,salesitems[sale_id],salesitems[category])</f>
        <v>T-Shirts</v>
      </c>
    </row>
    <row r="367" spans="1:15" x14ac:dyDescent="0.45">
      <c r="A367">
        <v>273</v>
      </c>
      <c r="B367" t="s">
        <v>15</v>
      </c>
      <c r="C367">
        <v>0</v>
      </c>
      <c r="D367">
        <v>489.56</v>
      </c>
      <c r="E367" s="1">
        <v>45824</v>
      </c>
      <c r="F367">
        <v>682</v>
      </c>
      <c r="G367" t="s">
        <v>38</v>
      </c>
      <c r="H367" t="str">
        <f>TEXT(sales[[#This Row],[sale_date]],"dddd")</f>
        <v>Monday</v>
      </c>
      <c r="I367">
        <f>_xlfn.XLOOKUP(A367,salesitems[sale_id],salesitems[revenue],0)</f>
        <v>57</v>
      </c>
      <c r="J367">
        <v>1</v>
      </c>
      <c r="K367" s="10" t="str">
        <f>_xlfn.XLOOKUP(F367,customers[customer_id],customers[age_range])</f>
        <v>16-25</v>
      </c>
      <c r="L367" s="1">
        <f>_xlfn.XLOOKUP(F367,customers[customer_id],customers[signup_date])</f>
        <v>45726</v>
      </c>
      <c r="M367">
        <f>sales[[#This Row],[sale_date]]-sales[[#This Row],[sighnup_date]]</f>
        <v>98</v>
      </c>
      <c r="N367" t="str">
        <f t="shared" si="5"/>
        <v>existing customer</v>
      </c>
      <c r="O367" t="str">
        <f>_xlfn.XLOOKUP(A367,salesitems[sale_id],salesitems[category])</f>
        <v>T-Shirts</v>
      </c>
    </row>
    <row r="368" spans="1:15" x14ac:dyDescent="0.45">
      <c r="A368">
        <v>274</v>
      </c>
      <c r="B368" t="s">
        <v>21</v>
      </c>
      <c r="C368">
        <v>0</v>
      </c>
      <c r="D368">
        <v>157.15</v>
      </c>
      <c r="E368" s="1">
        <v>45766</v>
      </c>
      <c r="F368">
        <v>349</v>
      </c>
      <c r="G368" t="s">
        <v>36</v>
      </c>
      <c r="H368" t="str">
        <f>TEXT(sales[[#This Row],[sale_date]],"dddd")</f>
        <v>Saturday</v>
      </c>
      <c r="I368">
        <f>_xlfn.XLOOKUP(A368,salesitems[sale_id],salesitems[revenue],0)</f>
        <v>45.8</v>
      </c>
      <c r="J368">
        <v>1</v>
      </c>
      <c r="K368" s="10" t="str">
        <f>_xlfn.XLOOKUP(F368,customers[customer_id],customers[age_range])</f>
        <v>26-35</v>
      </c>
      <c r="L368" s="1">
        <f>_xlfn.XLOOKUP(F368,customers[customer_id],customers[signup_date])</f>
        <v>45736</v>
      </c>
      <c r="M368">
        <f>sales[[#This Row],[sale_date]]-sales[[#This Row],[sighnup_date]]</f>
        <v>30</v>
      </c>
      <c r="N368" t="str">
        <f t="shared" si="5"/>
        <v>new customer</v>
      </c>
      <c r="O368" t="str">
        <f>_xlfn.XLOOKUP(A368,salesitems[sale_id],salesitems[category])</f>
        <v>Shoes</v>
      </c>
    </row>
    <row r="369" spans="1:15" x14ac:dyDescent="0.45">
      <c r="A369">
        <v>275</v>
      </c>
      <c r="B369" t="s">
        <v>15</v>
      </c>
      <c r="C369">
        <v>0</v>
      </c>
      <c r="D369">
        <v>391.32</v>
      </c>
      <c r="E369" s="1">
        <v>45765</v>
      </c>
      <c r="F369">
        <v>58</v>
      </c>
      <c r="G369" t="s">
        <v>36</v>
      </c>
      <c r="H369" t="str">
        <f>TEXT(sales[[#This Row],[sale_date]],"dddd")</f>
        <v>Friday</v>
      </c>
      <c r="I369">
        <f>_xlfn.XLOOKUP(A369,salesitems[sale_id],salesitems[revenue],0)</f>
        <v>61.7</v>
      </c>
      <c r="J369">
        <v>1</v>
      </c>
      <c r="K369" s="10" t="str">
        <f>_xlfn.XLOOKUP(F369,customers[customer_id],customers[age_range])</f>
        <v>46-55</v>
      </c>
      <c r="L369" s="1">
        <f>_xlfn.XLOOKUP(F369,customers[customer_id],customers[signup_date])</f>
        <v>45758</v>
      </c>
      <c r="M369">
        <f>sales[[#This Row],[sale_date]]-sales[[#This Row],[sighnup_date]]</f>
        <v>7</v>
      </c>
      <c r="N369" t="str">
        <f t="shared" si="5"/>
        <v>new customer</v>
      </c>
      <c r="O369" t="str">
        <f>_xlfn.XLOOKUP(A369,salesitems[sale_id],salesitems[category])</f>
        <v>Dresses</v>
      </c>
    </row>
    <row r="370" spans="1:15" x14ac:dyDescent="0.45">
      <c r="A370">
        <v>276</v>
      </c>
      <c r="B370" t="s">
        <v>15</v>
      </c>
      <c r="C370">
        <v>0</v>
      </c>
      <c r="D370">
        <v>395.94</v>
      </c>
      <c r="E370" s="1">
        <v>45812</v>
      </c>
      <c r="F370">
        <v>420</v>
      </c>
      <c r="G370" t="s">
        <v>36</v>
      </c>
      <c r="H370" t="str">
        <f>TEXT(sales[[#This Row],[sale_date]],"dddd")</f>
        <v>Wednesday</v>
      </c>
      <c r="I370">
        <f>_xlfn.XLOOKUP(A370,salesitems[sale_id],salesitems[revenue],0)</f>
        <v>71.86</v>
      </c>
      <c r="J370">
        <v>1</v>
      </c>
      <c r="K370" s="10" t="str">
        <f>_xlfn.XLOOKUP(F370,customers[customer_id],customers[age_range])</f>
        <v>36-45</v>
      </c>
      <c r="L370" s="1">
        <f>_xlfn.XLOOKUP(F370,customers[customer_id],customers[signup_date])</f>
        <v>45723</v>
      </c>
      <c r="M370">
        <f>sales[[#This Row],[sale_date]]-sales[[#This Row],[sighnup_date]]</f>
        <v>89</v>
      </c>
      <c r="N370" t="str">
        <f t="shared" si="5"/>
        <v>new customer</v>
      </c>
      <c r="O370" t="str">
        <f>_xlfn.XLOOKUP(A370,salesitems[sale_id],salesitems[category])</f>
        <v>Sleepwear</v>
      </c>
    </row>
    <row r="371" spans="1:15" x14ac:dyDescent="0.45">
      <c r="A371">
        <v>277</v>
      </c>
      <c r="B371" t="s">
        <v>21</v>
      </c>
      <c r="C371">
        <v>0</v>
      </c>
      <c r="D371">
        <v>534.45000000000005</v>
      </c>
      <c r="E371" s="1">
        <v>45803</v>
      </c>
      <c r="F371">
        <v>791</v>
      </c>
      <c r="G371" t="s">
        <v>38</v>
      </c>
      <c r="H371" t="str">
        <f>TEXT(sales[[#This Row],[sale_date]],"dddd")</f>
        <v>Monday</v>
      </c>
      <c r="I371">
        <f>_xlfn.XLOOKUP(A371,salesitems[sale_id],salesitems[revenue],0)</f>
        <v>59.56</v>
      </c>
      <c r="J371">
        <v>1</v>
      </c>
      <c r="K371" s="10" t="str">
        <f>_xlfn.XLOOKUP(F371,customers[customer_id],customers[age_range])</f>
        <v>16-25</v>
      </c>
      <c r="L371" s="1">
        <f>_xlfn.XLOOKUP(F371,customers[customer_id],customers[signup_date])</f>
        <v>45752</v>
      </c>
      <c r="M371">
        <f>sales[[#This Row],[sale_date]]-sales[[#This Row],[sighnup_date]]</f>
        <v>51</v>
      </c>
      <c r="N371" t="str">
        <f t="shared" si="5"/>
        <v>new customer</v>
      </c>
      <c r="O371" t="str">
        <f>_xlfn.XLOOKUP(A371,salesitems[sale_id],salesitems[category])</f>
        <v>Shoes</v>
      </c>
    </row>
    <row r="372" spans="1:15" x14ac:dyDescent="0.45">
      <c r="A372">
        <v>278</v>
      </c>
      <c r="B372" t="s">
        <v>15</v>
      </c>
      <c r="C372">
        <v>0</v>
      </c>
      <c r="D372">
        <v>295.83</v>
      </c>
      <c r="E372" s="1">
        <v>45821</v>
      </c>
      <c r="F372">
        <v>626</v>
      </c>
      <c r="G372" t="s">
        <v>33</v>
      </c>
      <c r="H372" t="str">
        <f>TEXT(sales[[#This Row],[sale_date]],"dddd")</f>
        <v>Friday</v>
      </c>
      <c r="I372">
        <f>_xlfn.XLOOKUP(A372,salesitems[sale_id],salesitems[revenue],0)</f>
        <v>47.59</v>
      </c>
      <c r="J372">
        <v>1</v>
      </c>
      <c r="K372" s="10" t="str">
        <f>_xlfn.XLOOKUP(F372,customers[customer_id],customers[age_range])</f>
        <v>36-45</v>
      </c>
      <c r="L372" s="1">
        <f>_xlfn.XLOOKUP(F372,customers[customer_id],customers[signup_date])</f>
        <v>45707</v>
      </c>
      <c r="M372">
        <f>sales[[#This Row],[sale_date]]-sales[[#This Row],[sighnup_date]]</f>
        <v>114</v>
      </c>
      <c r="N372" t="str">
        <f t="shared" si="5"/>
        <v>existing customer</v>
      </c>
      <c r="O372" t="str">
        <f>_xlfn.XLOOKUP(A372,salesitems[sale_id],salesitems[category])</f>
        <v>Dresses</v>
      </c>
    </row>
    <row r="373" spans="1:15" x14ac:dyDescent="0.45">
      <c r="A373">
        <v>279</v>
      </c>
      <c r="B373" t="s">
        <v>21</v>
      </c>
      <c r="C373">
        <v>0</v>
      </c>
      <c r="D373">
        <v>330.38</v>
      </c>
      <c r="E373" s="1">
        <v>45824</v>
      </c>
      <c r="F373">
        <v>852</v>
      </c>
      <c r="G373" t="s">
        <v>38</v>
      </c>
      <c r="H373" t="str">
        <f>TEXT(sales[[#This Row],[sale_date]],"dddd")</f>
        <v>Monday</v>
      </c>
      <c r="I373">
        <f>_xlfn.XLOOKUP(A373,salesitems[sale_id],salesitems[revenue],0)</f>
        <v>76.819999999999993</v>
      </c>
      <c r="J373">
        <v>1</v>
      </c>
      <c r="K373" s="10" t="str">
        <f>_xlfn.XLOOKUP(F373,customers[customer_id],customers[age_range])</f>
        <v>46-55</v>
      </c>
      <c r="L373" s="1">
        <f>_xlfn.XLOOKUP(F373,customers[customer_id],customers[signup_date])</f>
        <v>45740</v>
      </c>
      <c r="M373">
        <f>sales[[#This Row],[sale_date]]-sales[[#This Row],[sighnup_date]]</f>
        <v>84</v>
      </c>
      <c r="N373" t="str">
        <f t="shared" si="5"/>
        <v>new customer</v>
      </c>
      <c r="O373" t="str">
        <f>_xlfn.XLOOKUP(A373,salesitems[sale_id],salesitems[category])</f>
        <v>Sleepwear</v>
      </c>
    </row>
    <row r="374" spans="1:15" x14ac:dyDescent="0.45">
      <c r="A374">
        <v>281</v>
      </c>
      <c r="B374" t="s">
        <v>15</v>
      </c>
      <c r="C374">
        <v>1</v>
      </c>
      <c r="D374">
        <v>375.37</v>
      </c>
      <c r="E374" s="1">
        <v>45794</v>
      </c>
      <c r="F374">
        <v>730</v>
      </c>
      <c r="G374" t="s">
        <v>34</v>
      </c>
      <c r="H374" t="str">
        <f>TEXT(sales[[#This Row],[sale_date]],"dddd")</f>
        <v>Saturday</v>
      </c>
      <c r="I374">
        <f>_xlfn.XLOOKUP(A374,salesitems[sale_id],salesitems[revenue],0)</f>
        <v>40.46</v>
      </c>
      <c r="J374">
        <v>1</v>
      </c>
      <c r="K374" s="10" t="str">
        <f>_xlfn.XLOOKUP(F374,customers[customer_id],customers[age_range])</f>
        <v>16-25</v>
      </c>
      <c r="L374" s="1">
        <f>_xlfn.XLOOKUP(F374,customers[customer_id],customers[signup_date])</f>
        <v>45704</v>
      </c>
      <c r="M374">
        <f>sales[[#This Row],[sale_date]]-sales[[#This Row],[sighnup_date]]</f>
        <v>90</v>
      </c>
      <c r="N374" t="str">
        <f t="shared" si="5"/>
        <v>new customer</v>
      </c>
      <c r="O374" t="str">
        <f>_xlfn.XLOOKUP(A374,salesitems[sale_id],salesitems[category])</f>
        <v>T-Shirts</v>
      </c>
    </row>
    <row r="375" spans="1:15" x14ac:dyDescent="0.45">
      <c r="A375">
        <v>282</v>
      </c>
      <c r="B375" t="s">
        <v>15</v>
      </c>
      <c r="C375">
        <v>0</v>
      </c>
      <c r="D375">
        <v>391.74</v>
      </c>
      <c r="E375" s="1">
        <v>45803</v>
      </c>
      <c r="F375">
        <v>736</v>
      </c>
      <c r="G375" t="s">
        <v>36</v>
      </c>
      <c r="H375" t="str">
        <f>TEXT(sales[[#This Row],[sale_date]],"dddd")</f>
        <v>Monday</v>
      </c>
      <c r="I375">
        <f>_xlfn.XLOOKUP(A375,salesitems[sale_id],salesitems[revenue],0)</f>
        <v>105.82</v>
      </c>
      <c r="J375">
        <v>1</v>
      </c>
      <c r="K375" s="10" t="str">
        <f>_xlfn.XLOOKUP(F375,customers[customer_id],customers[age_range])</f>
        <v>26-35</v>
      </c>
      <c r="L375" s="1">
        <f>_xlfn.XLOOKUP(F375,customers[customer_id],customers[signup_date])</f>
        <v>45707</v>
      </c>
      <c r="M375">
        <f>sales[[#This Row],[sale_date]]-sales[[#This Row],[sighnup_date]]</f>
        <v>96</v>
      </c>
      <c r="N375" t="str">
        <f t="shared" si="5"/>
        <v>existing customer</v>
      </c>
      <c r="O375" t="str">
        <f>_xlfn.XLOOKUP(A375,salesitems[sale_id],salesitems[category])</f>
        <v>Shoes</v>
      </c>
    </row>
    <row r="376" spans="1:15" x14ac:dyDescent="0.45">
      <c r="A376">
        <v>284</v>
      </c>
      <c r="B376" t="s">
        <v>15</v>
      </c>
      <c r="C376">
        <v>0</v>
      </c>
      <c r="D376">
        <v>362.54</v>
      </c>
      <c r="E376" s="1">
        <v>45776</v>
      </c>
      <c r="F376">
        <v>880</v>
      </c>
      <c r="G376" t="s">
        <v>38</v>
      </c>
      <c r="H376" t="str">
        <f>TEXT(sales[[#This Row],[sale_date]],"dddd")</f>
        <v>Tuesday</v>
      </c>
      <c r="I376">
        <f>_xlfn.XLOOKUP(A376,salesitems[sale_id],salesitems[revenue],0)</f>
        <v>49.84</v>
      </c>
      <c r="J376">
        <v>1</v>
      </c>
      <c r="K376" s="10" t="str">
        <f>_xlfn.XLOOKUP(F376,customers[customer_id],customers[age_range])</f>
        <v>16-25</v>
      </c>
      <c r="L376" s="1">
        <f>_xlfn.XLOOKUP(F376,customers[customer_id],customers[signup_date])</f>
        <v>45664</v>
      </c>
      <c r="M376">
        <f>sales[[#This Row],[sale_date]]-sales[[#This Row],[sighnup_date]]</f>
        <v>112</v>
      </c>
      <c r="N376" t="str">
        <f t="shared" si="5"/>
        <v>existing customer</v>
      </c>
      <c r="O376" t="str">
        <f>_xlfn.XLOOKUP(A376,salesitems[sale_id],salesitems[category])</f>
        <v>Shoes</v>
      </c>
    </row>
    <row r="377" spans="1:15" x14ac:dyDescent="0.45">
      <c r="A377">
        <v>285</v>
      </c>
      <c r="B377" t="s">
        <v>15</v>
      </c>
      <c r="C377">
        <v>0</v>
      </c>
      <c r="D377">
        <v>448.77</v>
      </c>
      <c r="E377" s="1">
        <v>45806</v>
      </c>
      <c r="F377">
        <v>415</v>
      </c>
      <c r="G377" t="s">
        <v>28</v>
      </c>
      <c r="H377" t="str">
        <f>TEXT(sales[[#This Row],[sale_date]],"dddd")</f>
        <v>Thursday</v>
      </c>
      <c r="I377">
        <f>_xlfn.XLOOKUP(A377,salesitems[sale_id],salesitems[revenue],0)</f>
        <v>106.5</v>
      </c>
      <c r="J377">
        <v>1</v>
      </c>
      <c r="K377" s="10" t="str">
        <f>_xlfn.XLOOKUP(F377,customers[customer_id],customers[age_range])</f>
        <v>36-45</v>
      </c>
      <c r="L377" s="1">
        <f>_xlfn.XLOOKUP(F377,customers[customer_id],customers[signup_date])</f>
        <v>45724</v>
      </c>
      <c r="M377">
        <f>sales[[#This Row],[sale_date]]-sales[[#This Row],[sighnup_date]]</f>
        <v>82</v>
      </c>
      <c r="N377" t="str">
        <f t="shared" si="5"/>
        <v>new customer</v>
      </c>
      <c r="O377" t="str">
        <f>_xlfn.XLOOKUP(A377,salesitems[sale_id],salesitems[category])</f>
        <v>Sleepwear</v>
      </c>
    </row>
    <row r="378" spans="1:15" x14ac:dyDescent="0.45">
      <c r="A378">
        <v>286</v>
      </c>
      <c r="B378" t="s">
        <v>15</v>
      </c>
      <c r="C378">
        <v>1</v>
      </c>
      <c r="D378">
        <v>348.33</v>
      </c>
      <c r="E378" s="1">
        <v>45795</v>
      </c>
      <c r="F378">
        <v>184</v>
      </c>
      <c r="G378" t="s">
        <v>28</v>
      </c>
      <c r="H378" t="str">
        <f>TEXT(sales[[#This Row],[sale_date]],"dddd")</f>
        <v>Sunday</v>
      </c>
      <c r="I378">
        <f>_xlfn.XLOOKUP(A378,salesitems[sale_id],salesitems[revenue],0)</f>
        <v>38.51</v>
      </c>
      <c r="J378">
        <v>1</v>
      </c>
      <c r="K378" s="10" t="str">
        <f>_xlfn.XLOOKUP(F378,customers[customer_id],customers[age_range])</f>
        <v>46-55</v>
      </c>
      <c r="L378" s="1">
        <f>_xlfn.XLOOKUP(F378,customers[customer_id],customers[signup_date])</f>
        <v>45758</v>
      </c>
      <c r="M378">
        <f>sales[[#This Row],[sale_date]]-sales[[#This Row],[sighnup_date]]</f>
        <v>37</v>
      </c>
      <c r="N378" t="str">
        <f t="shared" si="5"/>
        <v>new customer</v>
      </c>
      <c r="O378" t="str">
        <f>_xlfn.XLOOKUP(A378,salesitems[sale_id],salesitems[category])</f>
        <v>Shoes</v>
      </c>
    </row>
    <row r="379" spans="1:15" x14ac:dyDescent="0.45">
      <c r="A379">
        <v>287</v>
      </c>
      <c r="B379" t="s">
        <v>21</v>
      </c>
      <c r="C379">
        <v>0</v>
      </c>
      <c r="D379">
        <v>578.5</v>
      </c>
      <c r="E379" s="1">
        <v>45792</v>
      </c>
      <c r="F379">
        <v>556</v>
      </c>
      <c r="G379" t="s">
        <v>33</v>
      </c>
      <c r="H379" t="str">
        <f>TEXT(sales[[#This Row],[sale_date]],"dddd")</f>
        <v>Thursday</v>
      </c>
      <c r="I379">
        <f>_xlfn.XLOOKUP(A379,salesitems[sale_id],salesitems[revenue],0)</f>
        <v>275.3</v>
      </c>
      <c r="J379">
        <v>1</v>
      </c>
      <c r="K379" s="10" t="str">
        <f>_xlfn.XLOOKUP(F379,customers[customer_id],customers[age_range])</f>
        <v>16-25</v>
      </c>
      <c r="L379" s="1">
        <f>_xlfn.XLOOKUP(F379,customers[customer_id],customers[signup_date])</f>
        <v>45743</v>
      </c>
      <c r="M379">
        <f>sales[[#This Row],[sale_date]]-sales[[#This Row],[sighnup_date]]</f>
        <v>49</v>
      </c>
      <c r="N379" t="str">
        <f t="shared" si="5"/>
        <v>new customer</v>
      </c>
      <c r="O379" t="str">
        <f>_xlfn.XLOOKUP(A379,salesitems[sale_id],salesitems[category])</f>
        <v>Shoes</v>
      </c>
    </row>
    <row r="380" spans="1:15" x14ac:dyDescent="0.45">
      <c r="A380">
        <v>288</v>
      </c>
      <c r="B380" t="s">
        <v>15</v>
      </c>
      <c r="C380">
        <v>0</v>
      </c>
      <c r="D380">
        <v>732.73</v>
      </c>
      <c r="E380" s="1">
        <v>45752</v>
      </c>
      <c r="F380">
        <v>750</v>
      </c>
      <c r="G380" t="s">
        <v>34</v>
      </c>
      <c r="H380" t="str">
        <f>TEXT(sales[[#This Row],[sale_date]],"dddd")</f>
        <v>Saturday</v>
      </c>
      <c r="I380">
        <f>_xlfn.XLOOKUP(A380,salesitems[sale_id],salesitems[revenue],0)</f>
        <v>171.93</v>
      </c>
      <c r="J380">
        <v>1</v>
      </c>
      <c r="K380" s="10" t="str">
        <f>_xlfn.XLOOKUP(F380,customers[customer_id],customers[age_range])</f>
        <v>46-55</v>
      </c>
      <c r="L380" s="1">
        <f>_xlfn.XLOOKUP(F380,customers[customer_id],customers[signup_date])</f>
        <v>45757</v>
      </c>
      <c r="M380">
        <f>sales[[#This Row],[sale_date]]-sales[[#This Row],[sighnup_date]]</f>
        <v>-5</v>
      </c>
      <c r="N380" t="str">
        <f t="shared" si="5"/>
        <v>data issue</v>
      </c>
      <c r="O380" t="str">
        <f>_xlfn.XLOOKUP(A380,salesitems[sale_id],salesitems[category])</f>
        <v>T-Shirts</v>
      </c>
    </row>
    <row r="381" spans="1:15" x14ac:dyDescent="0.45">
      <c r="A381">
        <v>289</v>
      </c>
      <c r="B381" t="s">
        <v>15</v>
      </c>
      <c r="C381">
        <v>1</v>
      </c>
      <c r="D381">
        <v>268.8</v>
      </c>
      <c r="E381" s="1">
        <v>45795</v>
      </c>
      <c r="F381">
        <v>190</v>
      </c>
      <c r="G381" t="s">
        <v>33</v>
      </c>
      <c r="H381" t="str">
        <f>TEXT(sales[[#This Row],[sale_date]],"dddd")</f>
        <v>Sunday</v>
      </c>
      <c r="I381">
        <f>_xlfn.XLOOKUP(A381,salesitems[sale_id],salesitems[revenue],0)</f>
        <v>90</v>
      </c>
      <c r="J381">
        <v>1</v>
      </c>
      <c r="K381" s="10" t="str">
        <f>_xlfn.XLOOKUP(F381,customers[customer_id],customers[age_range])</f>
        <v>26-35</v>
      </c>
      <c r="L381" s="1">
        <f>_xlfn.XLOOKUP(F381,customers[customer_id],customers[signup_date])</f>
        <v>45739</v>
      </c>
      <c r="M381">
        <f>sales[[#This Row],[sale_date]]-sales[[#This Row],[sighnup_date]]</f>
        <v>56</v>
      </c>
      <c r="N381" t="str">
        <f t="shared" si="5"/>
        <v>new customer</v>
      </c>
      <c r="O381" t="str">
        <f>_xlfn.XLOOKUP(A381,salesitems[sale_id],salesitems[category])</f>
        <v>Dresses</v>
      </c>
    </row>
    <row r="382" spans="1:15" x14ac:dyDescent="0.45">
      <c r="A382">
        <v>29</v>
      </c>
      <c r="B382" t="s">
        <v>15</v>
      </c>
      <c r="C382">
        <v>0</v>
      </c>
      <c r="D382">
        <v>445.12</v>
      </c>
      <c r="E382" s="1">
        <v>45772</v>
      </c>
      <c r="F382">
        <v>208</v>
      </c>
      <c r="G382" t="s">
        <v>28</v>
      </c>
      <c r="H382" t="str">
        <f>TEXT(sales[[#This Row],[sale_date]],"dddd")</f>
        <v>Friday</v>
      </c>
      <c r="I382">
        <f>_xlfn.XLOOKUP(A382,salesitems[sale_id],salesitems[revenue],0)</f>
        <v>94.54</v>
      </c>
      <c r="J382">
        <v>1</v>
      </c>
      <c r="K382" s="10" t="str">
        <f>_xlfn.XLOOKUP(F382,customers[customer_id],customers[age_range])</f>
        <v>36-45</v>
      </c>
      <c r="L382" s="1">
        <f>_xlfn.XLOOKUP(F382,customers[customer_id],customers[signup_date])</f>
        <v>45690</v>
      </c>
      <c r="M382">
        <f>sales[[#This Row],[sale_date]]-sales[[#This Row],[sighnup_date]]</f>
        <v>82</v>
      </c>
      <c r="N382" t="str">
        <f t="shared" si="5"/>
        <v>new customer</v>
      </c>
      <c r="O382" t="str">
        <f>_xlfn.XLOOKUP(A382,salesitems[sale_id],salesitems[category])</f>
        <v>Sleepwear</v>
      </c>
    </row>
    <row r="383" spans="1:15" x14ac:dyDescent="0.45">
      <c r="A383">
        <v>291</v>
      </c>
      <c r="B383" t="s">
        <v>21</v>
      </c>
      <c r="C383">
        <v>0</v>
      </c>
      <c r="D383">
        <v>696.69</v>
      </c>
      <c r="E383" s="1">
        <v>45777</v>
      </c>
      <c r="F383">
        <v>379</v>
      </c>
      <c r="G383" t="s">
        <v>36</v>
      </c>
      <c r="H383" t="str">
        <f>TEXT(sales[[#This Row],[sale_date]],"dddd")</f>
        <v>Wednesday</v>
      </c>
      <c r="I383">
        <f>_xlfn.XLOOKUP(A383,salesitems[sale_id],salesitems[revenue],0)</f>
        <v>93.04</v>
      </c>
      <c r="J383">
        <v>1</v>
      </c>
      <c r="K383" s="10" t="str">
        <f>_xlfn.XLOOKUP(F383,customers[customer_id],customers[age_range])</f>
        <v>46-55</v>
      </c>
      <c r="L383" s="1">
        <f>_xlfn.XLOOKUP(F383,customers[customer_id],customers[signup_date])</f>
        <v>45750</v>
      </c>
      <c r="M383">
        <f>sales[[#This Row],[sale_date]]-sales[[#This Row],[sighnup_date]]</f>
        <v>27</v>
      </c>
      <c r="N383" t="str">
        <f t="shared" si="5"/>
        <v>new customer</v>
      </c>
      <c r="O383" t="str">
        <f>_xlfn.XLOOKUP(A383,salesitems[sale_id],salesitems[category])</f>
        <v>Pants</v>
      </c>
    </row>
    <row r="384" spans="1:15" x14ac:dyDescent="0.45">
      <c r="A384">
        <v>292</v>
      </c>
      <c r="B384" t="s">
        <v>15</v>
      </c>
      <c r="C384">
        <v>0</v>
      </c>
      <c r="D384">
        <v>317.3</v>
      </c>
      <c r="E384" s="1">
        <v>45777</v>
      </c>
      <c r="F384">
        <v>103</v>
      </c>
      <c r="G384" t="s">
        <v>28</v>
      </c>
      <c r="H384" t="str">
        <f>TEXT(sales[[#This Row],[sale_date]],"dddd")</f>
        <v>Wednesday</v>
      </c>
      <c r="I384">
        <f>_xlfn.XLOOKUP(A384,salesitems[sale_id],salesitems[revenue],0)</f>
        <v>119.84</v>
      </c>
      <c r="J384">
        <v>1</v>
      </c>
      <c r="K384" s="10" t="str">
        <f>_xlfn.XLOOKUP(F384,customers[customer_id],customers[age_range])</f>
        <v>56-65</v>
      </c>
      <c r="L384" s="1">
        <f>_xlfn.XLOOKUP(F384,customers[customer_id],customers[signup_date])</f>
        <v>45705</v>
      </c>
      <c r="M384">
        <f>sales[[#This Row],[sale_date]]-sales[[#This Row],[sighnup_date]]</f>
        <v>72</v>
      </c>
      <c r="N384" t="str">
        <f t="shared" si="5"/>
        <v>new customer</v>
      </c>
      <c r="O384" t="str">
        <f>_xlfn.XLOOKUP(A384,salesitems[sale_id],salesitems[category])</f>
        <v>T-Shirts</v>
      </c>
    </row>
    <row r="385" spans="1:15" x14ac:dyDescent="0.45">
      <c r="A385">
        <v>293</v>
      </c>
      <c r="B385" t="s">
        <v>21</v>
      </c>
      <c r="C385">
        <v>0</v>
      </c>
      <c r="D385">
        <v>391.81</v>
      </c>
      <c r="E385" s="1">
        <v>45752</v>
      </c>
      <c r="F385">
        <v>373</v>
      </c>
      <c r="G385" t="s">
        <v>34</v>
      </c>
      <c r="H385" t="str">
        <f>TEXT(sales[[#This Row],[sale_date]],"dddd")</f>
        <v>Saturday</v>
      </c>
      <c r="I385">
        <f>_xlfn.XLOOKUP(A385,salesitems[sale_id],salesitems[revenue],0)</f>
        <v>52.58</v>
      </c>
      <c r="J385">
        <v>1</v>
      </c>
      <c r="K385" s="10" t="str">
        <f>_xlfn.XLOOKUP(F385,customers[customer_id],customers[age_range])</f>
        <v>56-65</v>
      </c>
      <c r="L385" s="1">
        <f>_xlfn.XLOOKUP(F385,customers[customer_id],customers[signup_date])</f>
        <v>45713</v>
      </c>
      <c r="M385">
        <f>sales[[#This Row],[sale_date]]-sales[[#This Row],[sighnup_date]]</f>
        <v>39</v>
      </c>
      <c r="N385" t="str">
        <f t="shared" si="5"/>
        <v>new customer</v>
      </c>
      <c r="O385" t="str">
        <f>_xlfn.XLOOKUP(A385,salesitems[sale_id],salesitems[category])</f>
        <v>T-Shirts</v>
      </c>
    </row>
    <row r="386" spans="1:15" x14ac:dyDescent="0.45">
      <c r="A386">
        <v>294</v>
      </c>
      <c r="B386" t="s">
        <v>21</v>
      </c>
      <c r="C386">
        <v>0</v>
      </c>
      <c r="D386">
        <v>290.39</v>
      </c>
      <c r="E386" s="1">
        <v>45825</v>
      </c>
      <c r="F386">
        <v>489</v>
      </c>
      <c r="G386" t="s">
        <v>36</v>
      </c>
      <c r="H386" t="str">
        <f>TEXT(sales[[#This Row],[sale_date]],"dddd")</f>
        <v>Tuesday</v>
      </c>
      <c r="I386">
        <f>_xlfn.XLOOKUP(A386,salesitems[sale_id],salesitems[revenue],0)</f>
        <v>57.51</v>
      </c>
      <c r="J386">
        <v>1</v>
      </c>
      <c r="K386" s="10" t="str">
        <f>_xlfn.XLOOKUP(F386,customers[customer_id],customers[age_range])</f>
        <v>56-65</v>
      </c>
      <c r="L386" s="1">
        <f>_xlfn.XLOOKUP(F386,customers[customer_id],customers[signup_date])</f>
        <v>45794</v>
      </c>
      <c r="M386">
        <f>sales[[#This Row],[sale_date]]-sales[[#This Row],[sighnup_date]]</f>
        <v>31</v>
      </c>
      <c r="N386" t="str">
        <f t="shared" ref="N386:N449" si="6">IF(M386&lt;0,"data issue",IF(M386&lt;=90,"new customer","existing customer"))</f>
        <v>new customer</v>
      </c>
      <c r="O386" t="str">
        <f>_xlfn.XLOOKUP(A386,salesitems[sale_id],salesitems[category])</f>
        <v>T-Shirts</v>
      </c>
    </row>
    <row r="387" spans="1:15" x14ac:dyDescent="0.45">
      <c r="A387">
        <v>295</v>
      </c>
      <c r="B387" t="s">
        <v>15</v>
      </c>
      <c r="C387">
        <v>1</v>
      </c>
      <c r="D387">
        <v>408.14</v>
      </c>
      <c r="E387" s="1">
        <v>45790</v>
      </c>
      <c r="F387">
        <v>720</v>
      </c>
      <c r="G387" t="s">
        <v>34</v>
      </c>
      <c r="H387" t="str">
        <f>TEXT(sales[[#This Row],[sale_date]],"dddd")</f>
        <v>Tuesday</v>
      </c>
      <c r="I387">
        <f>_xlfn.XLOOKUP(A387,salesitems[sale_id],salesitems[revenue],0)</f>
        <v>117.16</v>
      </c>
      <c r="J387">
        <v>1</v>
      </c>
      <c r="K387" s="10" t="str">
        <f>_xlfn.XLOOKUP(F387,customers[customer_id],customers[age_range])</f>
        <v>46-55</v>
      </c>
      <c r="L387" s="1">
        <f>_xlfn.XLOOKUP(F387,customers[customer_id],customers[signup_date])</f>
        <v>45737</v>
      </c>
      <c r="M387">
        <f>sales[[#This Row],[sale_date]]-sales[[#This Row],[sighnup_date]]</f>
        <v>53</v>
      </c>
      <c r="N387" t="str">
        <f t="shared" si="6"/>
        <v>new customer</v>
      </c>
      <c r="O387" t="str">
        <f>_xlfn.XLOOKUP(A387,salesitems[sale_id],salesitems[category])</f>
        <v>Pants</v>
      </c>
    </row>
    <row r="388" spans="1:15" x14ac:dyDescent="0.45">
      <c r="A388">
        <v>297</v>
      </c>
      <c r="B388" t="s">
        <v>15</v>
      </c>
      <c r="C388">
        <v>1</v>
      </c>
      <c r="D388">
        <v>275.27</v>
      </c>
      <c r="E388" s="1">
        <v>45794</v>
      </c>
      <c r="F388">
        <v>235</v>
      </c>
      <c r="G388" t="s">
        <v>33</v>
      </c>
      <c r="H388" t="str">
        <f>TEXT(sales[[#This Row],[sale_date]],"dddd")</f>
        <v>Saturday</v>
      </c>
      <c r="I388">
        <f>_xlfn.XLOOKUP(A388,salesitems[sale_id],salesitems[revenue],0)</f>
        <v>40.840000000000003</v>
      </c>
      <c r="J388">
        <v>1</v>
      </c>
      <c r="K388" s="10" t="str">
        <f>_xlfn.XLOOKUP(F388,customers[customer_id],customers[age_range])</f>
        <v>56-65</v>
      </c>
      <c r="L388" s="1">
        <f>_xlfn.XLOOKUP(F388,customers[customer_id],customers[signup_date])</f>
        <v>45755</v>
      </c>
      <c r="M388">
        <f>sales[[#This Row],[sale_date]]-sales[[#This Row],[sighnup_date]]</f>
        <v>39</v>
      </c>
      <c r="N388" t="str">
        <f t="shared" si="6"/>
        <v>new customer</v>
      </c>
      <c r="O388" t="str">
        <f>_xlfn.XLOOKUP(A388,salesitems[sale_id],salesitems[category])</f>
        <v>Pants</v>
      </c>
    </row>
    <row r="389" spans="1:15" x14ac:dyDescent="0.45">
      <c r="A389">
        <v>298</v>
      </c>
      <c r="B389" t="s">
        <v>21</v>
      </c>
      <c r="C389">
        <v>0</v>
      </c>
      <c r="D389">
        <v>376.14</v>
      </c>
      <c r="E389" s="1">
        <v>45795</v>
      </c>
      <c r="F389">
        <v>401</v>
      </c>
      <c r="G389" t="s">
        <v>28</v>
      </c>
      <c r="H389" t="str">
        <f>TEXT(sales[[#This Row],[sale_date]],"dddd")</f>
        <v>Sunday</v>
      </c>
      <c r="I389">
        <f>_xlfn.XLOOKUP(A389,salesitems[sale_id],salesitems[revenue],0)</f>
        <v>53.61</v>
      </c>
      <c r="J389">
        <v>1</v>
      </c>
      <c r="K389" s="10" t="str">
        <f>_xlfn.XLOOKUP(F389,customers[customer_id],customers[age_range])</f>
        <v>26-35</v>
      </c>
      <c r="L389" s="1">
        <f>_xlfn.XLOOKUP(F389,customers[customer_id],customers[signup_date])</f>
        <v>45766</v>
      </c>
      <c r="M389">
        <f>sales[[#This Row],[sale_date]]-sales[[#This Row],[sighnup_date]]</f>
        <v>29</v>
      </c>
      <c r="N389" t="str">
        <f t="shared" si="6"/>
        <v>new customer</v>
      </c>
      <c r="O389" t="str">
        <f>_xlfn.XLOOKUP(A389,salesitems[sale_id],salesitems[category])</f>
        <v>T-Shirts</v>
      </c>
    </row>
    <row r="390" spans="1:15" x14ac:dyDescent="0.45">
      <c r="A390">
        <v>299</v>
      </c>
      <c r="B390" t="s">
        <v>15</v>
      </c>
      <c r="C390">
        <v>1</v>
      </c>
      <c r="D390">
        <v>489.11</v>
      </c>
      <c r="E390" s="1">
        <v>45790</v>
      </c>
      <c r="F390">
        <v>403</v>
      </c>
      <c r="G390" t="s">
        <v>36</v>
      </c>
      <c r="H390" t="str">
        <f>TEXT(sales[[#This Row],[sale_date]],"dddd")</f>
        <v>Tuesday</v>
      </c>
      <c r="I390">
        <f>_xlfn.XLOOKUP(A390,salesitems[sale_id],salesitems[revenue],0)</f>
        <v>93.9</v>
      </c>
      <c r="J390">
        <v>1</v>
      </c>
      <c r="K390" s="10" t="str">
        <f>_xlfn.XLOOKUP(F390,customers[customer_id],customers[age_range])</f>
        <v>26-35</v>
      </c>
      <c r="L390" s="1">
        <f>_xlfn.XLOOKUP(F390,customers[customer_id],customers[signup_date])</f>
        <v>45740</v>
      </c>
      <c r="M390">
        <f>sales[[#This Row],[sale_date]]-sales[[#This Row],[sighnup_date]]</f>
        <v>50</v>
      </c>
      <c r="N390" t="str">
        <f t="shared" si="6"/>
        <v>new customer</v>
      </c>
      <c r="O390" t="str">
        <f>_xlfn.XLOOKUP(A390,salesitems[sale_id],salesitems[category])</f>
        <v>Dresses</v>
      </c>
    </row>
    <row r="391" spans="1:15" x14ac:dyDescent="0.45">
      <c r="A391">
        <v>3</v>
      </c>
      <c r="B391" t="s">
        <v>15</v>
      </c>
      <c r="C391">
        <v>0</v>
      </c>
      <c r="D391">
        <v>337.56</v>
      </c>
      <c r="E391" s="1">
        <v>45769</v>
      </c>
      <c r="F391">
        <v>139</v>
      </c>
      <c r="G391" t="s">
        <v>36</v>
      </c>
      <c r="H391" t="str">
        <f>TEXT(sales[[#This Row],[sale_date]],"dddd")</f>
        <v>Tuesday</v>
      </c>
      <c r="I391">
        <f>_xlfn.XLOOKUP(A391,salesitems[sale_id],salesitems[revenue],0)</f>
        <v>73.8</v>
      </c>
      <c r="J391">
        <v>1</v>
      </c>
      <c r="K391" s="10" t="str">
        <f>_xlfn.XLOOKUP(F391,customers[customer_id],customers[age_range])</f>
        <v>16-25</v>
      </c>
      <c r="L391" s="1">
        <f>_xlfn.XLOOKUP(F391,customers[customer_id],customers[signup_date])</f>
        <v>45714</v>
      </c>
      <c r="M391">
        <f>sales[[#This Row],[sale_date]]-sales[[#This Row],[sighnup_date]]</f>
        <v>55</v>
      </c>
      <c r="N391" t="str">
        <f t="shared" si="6"/>
        <v>new customer</v>
      </c>
      <c r="O391" t="str">
        <f>_xlfn.XLOOKUP(A391,salesitems[sale_id],salesitems[category])</f>
        <v>T-Shirts</v>
      </c>
    </row>
    <row r="392" spans="1:15" x14ac:dyDescent="0.45">
      <c r="A392">
        <v>301</v>
      </c>
      <c r="B392" t="s">
        <v>15</v>
      </c>
      <c r="C392">
        <v>1</v>
      </c>
      <c r="D392">
        <v>241.1</v>
      </c>
      <c r="E392" s="1">
        <v>45794</v>
      </c>
      <c r="F392">
        <v>825</v>
      </c>
      <c r="G392" t="s">
        <v>31</v>
      </c>
      <c r="H392" t="str">
        <f>TEXT(sales[[#This Row],[sale_date]],"dddd")</f>
        <v>Saturday</v>
      </c>
      <c r="I392">
        <f>_xlfn.XLOOKUP(A392,salesitems[sale_id],salesitems[revenue],0)</f>
        <v>85.24</v>
      </c>
      <c r="J392">
        <v>1</v>
      </c>
      <c r="K392" s="10" t="str">
        <f>_xlfn.XLOOKUP(F392,customers[customer_id],customers[age_range])</f>
        <v>26-35</v>
      </c>
      <c r="L392" s="1">
        <f>_xlfn.XLOOKUP(F392,customers[customer_id],customers[signup_date])</f>
        <v>45697</v>
      </c>
      <c r="M392">
        <f>sales[[#This Row],[sale_date]]-sales[[#This Row],[sighnup_date]]</f>
        <v>97</v>
      </c>
      <c r="N392" t="str">
        <f t="shared" si="6"/>
        <v>existing customer</v>
      </c>
      <c r="O392" t="str">
        <f>_xlfn.XLOOKUP(A392,salesitems[sale_id],salesitems[category])</f>
        <v>T-Shirts</v>
      </c>
    </row>
    <row r="393" spans="1:15" x14ac:dyDescent="0.45">
      <c r="A393">
        <v>303</v>
      </c>
      <c r="B393" t="s">
        <v>15</v>
      </c>
      <c r="C393">
        <v>0</v>
      </c>
      <c r="D393">
        <v>635.02</v>
      </c>
      <c r="E393" s="1">
        <v>45783</v>
      </c>
      <c r="F393">
        <v>396</v>
      </c>
      <c r="G393" t="s">
        <v>31</v>
      </c>
      <c r="H393" t="str">
        <f>TEXT(sales[[#This Row],[sale_date]],"dddd")</f>
        <v>Tuesday</v>
      </c>
      <c r="I393">
        <f>_xlfn.XLOOKUP(A393,salesitems[sale_id],salesitems[revenue],0)</f>
        <v>83.76</v>
      </c>
      <c r="J393">
        <v>1</v>
      </c>
      <c r="K393" s="10" t="str">
        <f>_xlfn.XLOOKUP(F393,customers[customer_id],customers[age_range])</f>
        <v>36-45</v>
      </c>
      <c r="L393" s="1">
        <f>_xlfn.XLOOKUP(F393,customers[customer_id],customers[signup_date])</f>
        <v>45754</v>
      </c>
      <c r="M393">
        <f>sales[[#This Row],[sale_date]]-sales[[#This Row],[sighnup_date]]</f>
        <v>29</v>
      </c>
      <c r="N393" t="str">
        <f t="shared" si="6"/>
        <v>new customer</v>
      </c>
      <c r="O393" t="str">
        <f>_xlfn.XLOOKUP(A393,salesitems[sale_id],salesitems[category])</f>
        <v>T-Shirts</v>
      </c>
    </row>
    <row r="394" spans="1:15" x14ac:dyDescent="0.45">
      <c r="A394">
        <v>305</v>
      </c>
      <c r="B394" t="s">
        <v>21</v>
      </c>
      <c r="C394">
        <v>0</v>
      </c>
      <c r="D394">
        <v>541.03</v>
      </c>
      <c r="E394" s="1">
        <v>45775</v>
      </c>
      <c r="F394">
        <v>878</v>
      </c>
      <c r="G394" t="s">
        <v>36</v>
      </c>
      <c r="H394" t="str">
        <f>TEXT(sales[[#This Row],[sale_date]],"dddd")</f>
        <v>Monday</v>
      </c>
      <c r="I394">
        <f>_xlfn.XLOOKUP(A394,salesitems[sale_id],salesitems[revenue],0)</f>
        <v>182.37</v>
      </c>
      <c r="J394">
        <v>1</v>
      </c>
      <c r="K394" s="10" t="str">
        <f>_xlfn.XLOOKUP(F394,customers[customer_id],customers[age_range])</f>
        <v>26-35</v>
      </c>
      <c r="L394" s="1">
        <f>_xlfn.XLOOKUP(F394,customers[customer_id],customers[signup_date])</f>
        <v>45745</v>
      </c>
      <c r="M394">
        <f>sales[[#This Row],[sale_date]]-sales[[#This Row],[sighnup_date]]</f>
        <v>30</v>
      </c>
      <c r="N394" t="str">
        <f t="shared" si="6"/>
        <v>new customer</v>
      </c>
      <c r="O394" t="str">
        <f>_xlfn.XLOOKUP(A394,salesitems[sale_id],salesitems[category])</f>
        <v>Pants</v>
      </c>
    </row>
    <row r="395" spans="1:15" x14ac:dyDescent="0.45">
      <c r="A395">
        <v>306</v>
      </c>
      <c r="B395" t="s">
        <v>21</v>
      </c>
      <c r="C395">
        <v>0</v>
      </c>
      <c r="D395">
        <v>257.31</v>
      </c>
      <c r="E395" s="1">
        <v>45773</v>
      </c>
      <c r="F395">
        <v>566</v>
      </c>
      <c r="G395" t="s">
        <v>33</v>
      </c>
      <c r="H395" t="str">
        <f>TEXT(sales[[#This Row],[sale_date]],"dddd")</f>
        <v>Saturday</v>
      </c>
      <c r="I395">
        <f>_xlfn.XLOOKUP(A395,salesitems[sale_id],salesitems[revenue],0)</f>
        <v>68.03</v>
      </c>
      <c r="J395">
        <v>1</v>
      </c>
      <c r="K395" s="10" t="str">
        <f>_xlfn.XLOOKUP(F395,customers[customer_id],customers[age_range])</f>
        <v>36-45</v>
      </c>
      <c r="L395" s="1">
        <f>_xlfn.XLOOKUP(F395,customers[customer_id],customers[signup_date])</f>
        <v>45699</v>
      </c>
      <c r="M395">
        <f>sales[[#This Row],[sale_date]]-sales[[#This Row],[sighnup_date]]</f>
        <v>74</v>
      </c>
      <c r="N395" t="str">
        <f t="shared" si="6"/>
        <v>new customer</v>
      </c>
      <c r="O395" t="str">
        <f>_xlfn.XLOOKUP(A395,salesitems[sale_id],salesitems[category])</f>
        <v>T-Shirts</v>
      </c>
    </row>
    <row r="396" spans="1:15" x14ac:dyDescent="0.45">
      <c r="A396">
        <v>307</v>
      </c>
      <c r="B396" t="s">
        <v>21</v>
      </c>
      <c r="C396">
        <v>0</v>
      </c>
      <c r="D396">
        <v>332</v>
      </c>
      <c r="E396" s="1">
        <v>45798</v>
      </c>
      <c r="F396">
        <v>567</v>
      </c>
      <c r="G396" t="s">
        <v>31</v>
      </c>
      <c r="H396" t="str">
        <f>TEXT(sales[[#This Row],[sale_date]],"dddd")</f>
        <v>Wednesday</v>
      </c>
      <c r="I396">
        <f>_xlfn.XLOOKUP(A396,salesitems[sale_id],salesitems[revenue],0)</f>
        <v>50.52</v>
      </c>
      <c r="J396">
        <v>1</v>
      </c>
      <c r="K396" s="10" t="str">
        <f>_xlfn.XLOOKUP(F396,customers[customer_id],customers[age_range])</f>
        <v>26-35</v>
      </c>
      <c r="L396" s="1">
        <f>_xlfn.XLOOKUP(F396,customers[customer_id],customers[signup_date])</f>
        <v>45766</v>
      </c>
      <c r="M396">
        <f>sales[[#This Row],[sale_date]]-sales[[#This Row],[sighnup_date]]</f>
        <v>32</v>
      </c>
      <c r="N396" t="str">
        <f t="shared" si="6"/>
        <v>new customer</v>
      </c>
      <c r="O396" t="str">
        <f>_xlfn.XLOOKUP(A396,salesitems[sale_id],salesitems[category])</f>
        <v>T-Shirts</v>
      </c>
    </row>
    <row r="397" spans="1:15" x14ac:dyDescent="0.45">
      <c r="A397">
        <v>309</v>
      </c>
      <c r="B397" t="s">
        <v>15</v>
      </c>
      <c r="C397">
        <v>0</v>
      </c>
      <c r="D397">
        <v>414.75</v>
      </c>
      <c r="E397" s="1">
        <v>45802</v>
      </c>
      <c r="F397">
        <v>365</v>
      </c>
      <c r="G397" t="s">
        <v>28</v>
      </c>
      <c r="H397" t="str">
        <f>TEXT(sales[[#This Row],[sale_date]],"dddd")</f>
        <v>Sunday</v>
      </c>
      <c r="I397">
        <f>_xlfn.XLOOKUP(A397,salesitems[sale_id],salesitems[revenue],0)</f>
        <v>142.41</v>
      </c>
      <c r="J397">
        <v>1</v>
      </c>
      <c r="K397" s="10" t="str">
        <f>_xlfn.XLOOKUP(F397,customers[customer_id],customers[age_range])</f>
        <v>56-65</v>
      </c>
      <c r="L397" s="1">
        <f>_xlfn.XLOOKUP(F397,customers[customer_id],customers[signup_date])</f>
        <v>45740</v>
      </c>
      <c r="M397">
        <f>sales[[#This Row],[sale_date]]-sales[[#This Row],[sighnup_date]]</f>
        <v>62</v>
      </c>
      <c r="N397" t="str">
        <f t="shared" si="6"/>
        <v>new customer</v>
      </c>
      <c r="O397" t="str">
        <f>_xlfn.XLOOKUP(A397,salesitems[sale_id],salesitems[category])</f>
        <v>Sleepwear</v>
      </c>
    </row>
    <row r="398" spans="1:15" x14ac:dyDescent="0.45">
      <c r="A398">
        <v>31</v>
      </c>
      <c r="B398" t="s">
        <v>15</v>
      </c>
      <c r="C398">
        <v>0</v>
      </c>
      <c r="D398">
        <v>292.77999999999997</v>
      </c>
      <c r="E398" s="1">
        <v>45797</v>
      </c>
      <c r="F398">
        <v>776</v>
      </c>
      <c r="G398" t="s">
        <v>38</v>
      </c>
      <c r="H398" t="str">
        <f>TEXT(sales[[#This Row],[sale_date]],"dddd")</f>
        <v>Tuesday</v>
      </c>
      <c r="I398">
        <f>_xlfn.XLOOKUP(A398,salesitems[sale_id],salesitems[revenue],0)</f>
        <v>69.819999999999993</v>
      </c>
      <c r="J398">
        <v>1</v>
      </c>
      <c r="K398" s="10" t="str">
        <f>_xlfn.XLOOKUP(F398,customers[customer_id],customers[age_range])</f>
        <v>56-65</v>
      </c>
      <c r="L398" s="1">
        <f>_xlfn.XLOOKUP(F398,customers[customer_id],customers[signup_date])</f>
        <v>45734</v>
      </c>
      <c r="M398">
        <f>sales[[#This Row],[sale_date]]-sales[[#This Row],[sighnup_date]]</f>
        <v>63</v>
      </c>
      <c r="N398" t="str">
        <f t="shared" si="6"/>
        <v>new customer</v>
      </c>
      <c r="O398" t="str">
        <f>_xlfn.XLOOKUP(A398,salesitems[sale_id],salesitems[category])</f>
        <v>Pants</v>
      </c>
    </row>
    <row r="399" spans="1:15" x14ac:dyDescent="0.45">
      <c r="A399">
        <v>310</v>
      </c>
      <c r="B399" t="s">
        <v>21</v>
      </c>
      <c r="C399">
        <v>0</v>
      </c>
      <c r="D399">
        <v>503.83</v>
      </c>
      <c r="E399" s="1">
        <v>45765</v>
      </c>
      <c r="F399">
        <v>726</v>
      </c>
      <c r="G399" t="s">
        <v>36</v>
      </c>
      <c r="H399" t="str">
        <f>TEXT(sales[[#This Row],[sale_date]],"dddd")</f>
        <v>Friday</v>
      </c>
      <c r="I399">
        <f>_xlfn.XLOOKUP(A399,salesitems[sale_id],salesitems[revenue],0)</f>
        <v>107.19</v>
      </c>
      <c r="J399">
        <v>1</v>
      </c>
      <c r="K399" s="10" t="str">
        <f>_xlfn.XLOOKUP(F399,customers[customer_id],customers[age_range])</f>
        <v>56-65</v>
      </c>
      <c r="L399" s="1">
        <f>_xlfn.XLOOKUP(F399,customers[customer_id],customers[signup_date])</f>
        <v>45750</v>
      </c>
      <c r="M399">
        <f>sales[[#This Row],[sale_date]]-sales[[#This Row],[sighnup_date]]</f>
        <v>15</v>
      </c>
      <c r="N399" t="str">
        <f t="shared" si="6"/>
        <v>new customer</v>
      </c>
      <c r="O399" t="str">
        <f>_xlfn.XLOOKUP(A399,salesitems[sale_id],salesitems[category])</f>
        <v>Pants</v>
      </c>
    </row>
    <row r="400" spans="1:15" x14ac:dyDescent="0.45">
      <c r="A400">
        <v>312</v>
      </c>
      <c r="B400" t="s">
        <v>21</v>
      </c>
      <c r="C400">
        <v>0</v>
      </c>
      <c r="D400">
        <v>509.07</v>
      </c>
      <c r="E400" s="1">
        <v>45808</v>
      </c>
      <c r="F400">
        <v>72</v>
      </c>
      <c r="G400" t="s">
        <v>34</v>
      </c>
      <c r="H400" t="str">
        <f>TEXT(sales[[#This Row],[sale_date]],"dddd")</f>
        <v>Saturday</v>
      </c>
      <c r="I400">
        <f>_xlfn.XLOOKUP(A400,salesitems[sale_id],salesitems[revenue],0)</f>
        <v>177.99</v>
      </c>
      <c r="J400">
        <v>1</v>
      </c>
      <c r="K400" s="10" t="str">
        <f>_xlfn.XLOOKUP(F400,customers[customer_id],customers[age_range])</f>
        <v>36-45</v>
      </c>
      <c r="L400" s="1">
        <f>_xlfn.XLOOKUP(F400,customers[customer_id],customers[signup_date])</f>
        <v>45708</v>
      </c>
      <c r="M400">
        <f>sales[[#This Row],[sale_date]]-sales[[#This Row],[sighnup_date]]</f>
        <v>100</v>
      </c>
      <c r="N400" t="str">
        <f t="shared" si="6"/>
        <v>existing customer</v>
      </c>
      <c r="O400" t="str">
        <f>_xlfn.XLOOKUP(A400,salesitems[sale_id],salesitems[category])</f>
        <v>Shoes</v>
      </c>
    </row>
    <row r="401" spans="1:15" x14ac:dyDescent="0.45">
      <c r="A401">
        <v>313</v>
      </c>
      <c r="B401" t="s">
        <v>15</v>
      </c>
      <c r="C401">
        <v>0</v>
      </c>
      <c r="D401">
        <v>712.86</v>
      </c>
      <c r="E401" s="1">
        <v>45814</v>
      </c>
      <c r="F401">
        <v>271</v>
      </c>
      <c r="G401" t="s">
        <v>36</v>
      </c>
      <c r="H401" t="str">
        <f>TEXT(sales[[#This Row],[sale_date]],"dddd")</f>
        <v>Friday</v>
      </c>
      <c r="I401">
        <f>_xlfn.XLOOKUP(A401,salesitems[sale_id],salesitems[revenue],0)</f>
        <v>267.95999999999998</v>
      </c>
      <c r="J401">
        <v>1</v>
      </c>
      <c r="K401" s="10" t="str">
        <f>_xlfn.XLOOKUP(F401,customers[customer_id],customers[age_range])</f>
        <v>16-25</v>
      </c>
      <c r="L401" s="1">
        <f>_xlfn.XLOOKUP(F401,customers[customer_id],customers[signup_date])</f>
        <v>45729</v>
      </c>
      <c r="M401">
        <f>sales[[#This Row],[sale_date]]-sales[[#This Row],[sighnup_date]]</f>
        <v>85</v>
      </c>
      <c r="N401" t="str">
        <f t="shared" si="6"/>
        <v>new customer</v>
      </c>
      <c r="O401" t="str">
        <f>_xlfn.XLOOKUP(A401,salesitems[sale_id],salesitems[category])</f>
        <v>Pants</v>
      </c>
    </row>
    <row r="402" spans="1:15" x14ac:dyDescent="0.45">
      <c r="A402">
        <v>314</v>
      </c>
      <c r="B402" t="s">
        <v>21</v>
      </c>
      <c r="C402">
        <v>0</v>
      </c>
      <c r="D402">
        <v>446.09</v>
      </c>
      <c r="E402" s="1">
        <v>45795</v>
      </c>
      <c r="F402">
        <v>377</v>
      </c>
      <c r="G402" t="s">
        <v>34</v>
      </c>
      <c r="H402" t="str">
        <f>TEXT(sales[[#This Row],[sale_date]],"dddd")</f>
        <v>Sunday</v>
      </c>
      <c r="I402">
        <f>_xlfn.XLOOKUP(A402,salesitems[sale_id],salesitems[revenue],0)</f>
        <v>161.52000000000001</v>
      </c>
      <c r="J402">
        <v>1</v>
      </c>
      <c r="K402" s="10" t="str">
        <f>_xlfn.XLOOKUP(F402,customers[customer_id],customers[age_range])</f>
        <v>16-25</v>
      </c>
      <c r="L402" s="1">
        <f>_xlfn.XLOOKUP(F402,customers[customer_id],customers[signup_date])</f>
        <v>45691</v>
      </c>
      <c r="M402">
        <f>sales[[#This Row],[sale_date]]-sales[[#This Row],[sighnup_date]]</f>
        <v>104</v>
      </c>
      <c r="N402" t="str">
        <f t="shared" si="6"/>
        <v>existing customer</v>
      </c>
      <c r="O402" t="str">
        <f>_xlfn.XLOOKUP(A402,salesitems[sale_id],salesitems[category])</f>
        <v>Pants</v>
      </c>
    </row>
    <row r="403" spans="1:15" x14ac:dyDescent="0.45">
      <c r="A403">
        <v>318</v>
      </c>
      <c r="B403" t="s">
        <v>21</v>
      </c>
      <c r="C403">
        <v>0</v>
      </c>
      <c r="D403">
        <v>376.3</v>
      </c>
      <c r="E403" s="1">
        <v>45764</v>
      </c>
      <c r="F403">
        <v>681</v>
      </c>
      <c r="G403" t="s">
        <v>36</v>
      </c>
      <c r="H403" t="str">
        <f>TEXT(sales[[#This Row],[sale_date]],"dddd")</f>
        <v>Thursday</v>
      </c>
      <c r="I403">
        <f>_xlfn.XLOOKUP(A403,salesitems[sale_id],salesitems[revenue],0)</f>
        <v>44.06</v>
      </c>
      <c r="J403">
        <v>1</v>
      </c>
      <c r="K403" s="10" t="str">
        <f>_xlfn.XLOOKUP(F403,customers[customer_id],customers[age_range])</f>
        <v>16-25</v>
      </c>
      <c r="L403" s="1">
        <f>_xlfn.XLOOKUP(F403,customers[customer_id],customers[signup_date])</f>
        <v>45695</v>
      </c>
      <c r="M403">
        <f>sales[[#This Row],[sale_date]]-sales[[#This Row],[sighnup_date]]</f>
        <v>69</v>
      </c>
      <c r="N403" t="str">
        <f t="shared" si="6"/>
        <v>new customer</v>
      </c>
      <c r="O403" t="str">
        <f>_xlfn.XLOOKUP(A403,salesitems[sale_id],salesitems[category])</f>
        <v>Shoes</v>
      </c>
    </row>
    <row r="404" spans="1:15" x14ac:dyDescent="0.45">
      <c r="A404">
        <v>319</v>
      </c>
      <c r="B404" t="s">
        <v>15</v>
      </c>
      <c r="C404">
        <v>0</v>
      </c>
      <c r="D404">
        <v>431.38</v>
      </c>
      <c r="E404" s="1">
        <v>45808</v>
      </c>
      <c r="F404">
        <v>728</v>
      </c>
      <c r="G404" t="s">
        <v>31</v>
      </c>
      <c r="H404" t="str">
        <f>TEXT(sales[[#This Row],[sale_date]],"dddd")</f>
        <v>Saturday</v>
      </c>
      <c r="I404">
        <f>_xlfn.XLOOKUP(A404,salesitems[sale_id],salesitems[revenue],0)</f>
        <v>28.98</v>
      </c>
      <c r="J404">
        <v>1</v>
      </c>
      <c r="K404" s="10" t="str">
        <f>_xlfn.XLOOKUP(F404,customers[customer_id],customers[age_range])</f>
        <v>56-65</v>
      </c>
      <c r="L404" s="1">
        <f>_xlfn.XLOOKUP(F404,customers[customer_id],customers[signup_date])</f>
        <v>45749</v>
      </c>
      <c r="M404">
        <f>sales[[#This Row],[sale_date]]-sales[[#This Row],[sighnup_date]]</f>
        <v>59</v>
      </c>
      <c r="N404" t="str">
        <f t="shared" si="6"/>
        <v>new customer</v>
      </c>
      <c r="O404" t="str">
        <f>_xlfn.XLOOKUP(A404,salesitems[sale_id],salesitems[category])</f>
        <v>Dresses</v>
      </c>
    </row>
    <row r="405" spans="1:15" x14ac:dyDescent="0.45">
      <c r="A405">
        <v>32</v>
      </c>
      <c r="B405" t="s">
        <v>15</v>
      </c>
      <c r="C405">
        <v>0</v>
      </c>
      <c r="D405">
        <v>540.69000000000005</v>
      </c>
      <c r="E405" s="1">
        <v>45768</v>
      </c>
      <c r="F405">
        <v>982</v>
      </c>
      <c r="G405" t="s">
        <v>33</v>
      </c>
      <c r="H405" t="str">
        <f>TEXT(sales[[#This Row],[sale_date]],"dddd")</f>
        <v>Monday</v>
      </c>
      <c r="I405">
        <f>_xlfn.XLOOKUP(A405,salesitems[sale_id],salesitems[revenue],0)</f>
        <v>141.72</v>
      </c>
      <c r="J405">
        <v>1</v>
      </c>
      <c r="K405" s="10" t="str">
        <f>_xlfn.XLOOKUP(F405,customers[customer_id],customers[age_range])</f>
        <v>56-65</v>
      </c>
      <c r="L405" s="1">
        <f>_xlfn.XLOOKUP(F405,customers[customer_id],customers[signup_date])</f>
        <v>45684</v>
      </c>
      <c r="M405">
        <f>sales[[#This Row],[sale_date]]-sales[[#This Row],[sighnup_date]]</f>
        <v>84</v>
      </c>
      <c r="N405" t="str">
        <f t="shared" si="6"/>
        <v>new customer</v>
      </c>
      <c r="O405" t="str">
        <f>_xlfn.XLOOKUP(A405,salesitems[sale_id],salesitems[category])</f>
        <v>Shoes</v>
      </c>
    </row>
    <row r="406" spans="1:15" x14ac:dyDescent="0.45">
      <c r="A406">
        <v>321</v>
      </c>
      <c r="B406" t="s">
        <v>15</v>
      </c>
      <c r="C406">
        <v>0</v>
      </c>
      <c r="D406">
        <v>465.62</v>
      </c>
      <c r="E406" s="1">
        <v>45808</v>
      </c>
      <c r="F406">
        <v>779</v>
      </c>
      <c r="G406" t="s">
        <v>31</v>
      </c>
      <c r="H406" t="str">
        <f>TEXT(sales[[#This Row],[sale_date]],"dddd")</f>
        <v>Saturday</v>
      </c>
      <c r="I406">
        <f>_xlfn.XLOOKUP(A406,salesitems[sale_id],salesitems[revenue],0)</f>
        <v>75.449999999999989</v>
      </c>
      <c r="J406">
        <v>1</v>
      </c>
      <c r="K406" s="10" t="str">
        <f>_xlfn.XLOOKUP(F406,customers[customer_id],customers[age_range])</f>
        <v>36-45</v>
      </c>
      <c r="L406" s="1">
        <f>_xlfn.XLOOKUP(F406,customers[customer_id],customers[signup_date])</f>
        <v>45759</v>
      </c>
      <c r="M406">
        <f>sales[[#This Row],[sale_date]]-sales[[#This Row],[sighnup_date]]</f>
        <v>49</v>
      </c>
      <c r="N406" t="str">
        <f t="shared" si="6"/>
        <v>new customer</v>
      </c>
      <c r="O406" t="str">
        <f>_xlfn.XLOOKUP(A406,salesitems[sale_id],salesitems[category])</f>
        <v>Sleepwear</v>
      </c>
    </row>
    <row r="407" spans="1:15" x14ac:dyDescent="0.45">
      <c r="A407">
        <v>323</v>
      </c>
      <c r="B407" t="s">
        <v>21</v>
      </c>
      <c r="C407">
        <v>0</v>
      </c>
      <c r="D407">
        <v>265.56</v>
      </c>
      <c r="E407" s="1">
        <v>45813</v>
      </c>
      <c r="F407">
        <v>512</v>
      </c>
      <c r="G407" t="s">
        <v>36</v>
      </c>
      <c r="H407" t="str">
        <f>TEXT(sales[[#This Row],[sale_date]],"dddd")</f>
        <v>Thursday</v>
      </c>
      <c r="I407">
        <f>_xlfn.XLOOKUP(A407,salesitems[sale_id],salesitems[revenue],0)</f>
        <v>58.26</v>
      </c>
      <c r="J407">
        <v>1</v>
      </c>
      <c r="K407" s="10" t="str">
        <f>_xlfn.XLOOKUP(F407,customers[customer_id],customers[age_range])</f>
        <v>56-65</v>
      </c>
      <c r="L407" s="1">
        <f>_xlfn.XLOOKUP(F407,customers[customer_id],customers[signup_date])</f>
        <v>45689</v>
      </c>
      <c r="M407">
        <f>sales[[#This Row],[sale_date]]-sales[[#This Row],[sighnup_date]]</f>
        <v>124</v>
      </c>
      <c r="N407" t="str">
        <f t="shared" si="6"/>
        <v>existing customer</v>
      </c>
      <c r="O407" t="str">
        <f>_xlfn.XLOOKUP(A407,salesitems[sale_id],salesitems[category])</f>
        <v>T-Shirts</v>
      </c>
    </row>
    <row r="408" spans="1:15" x14ac:dyDescent="0.45">
      <c r="A408">
        <v>326</v>
      </c>
      <c r="B408" t="s">
        <v>21</v>
      </c>
      <c r="C408">
        <v>0</v>
      </c>
      <c r="D408">
        <v>666.64</v>
      </c>
      <c r="E408" s="1">
        <v>45766</v>
      </c>
      <c r="F408">
        <v>472</v>
      </c>
      <c r="G408" t="s">
        <v>28</v>
      </c>
      <c r="H408" t="str">
        <f>TEXT(sales[[#This Row],[sale_date]],"dddd")</f>
        <v>Saturday</v>
      </c>
      <c r="I408">
        <f>_xlfn.XLOOKUP(A408,salesitems[sale_id],salesitems[revenue],0)</f>
        <v>97.28</v>
      </c>
      <c r="J408">
        <v>1</v>
      </c>
      <c r="K408" s="10" t="str">
        <f>_xlfn.XLOOKUP(F408,customers[customer_id],customers[age_range])</f>
        <v>36-45</v>
      </c>
      <c r="L408" s="1">
        <f>_xlfn.XLOOKUP(F408,customers[customer_id],customers[signup_date])</f>
        <v>45732</v>
      </c>
      <c r="M408">
        <f>sales[[#This Row],[sale_date]]-sales[[#This Row],[sighnup_date]]</f>
        <v>34</v>
      </c>
      <c r="N408" t="str">
        <f t="shared" si="6"/>
        <v>new customer</v>
      </c>
      <c r="O408" t="str">
        <f>_xlfn.XLOOKUP(A408,salesitems[sale_id],salesitems[category])</f>
        <v>T-Shirts</v>
      </c>
    </row>
    <row r="409" spans="1:15" x14ac:dyDescent="0.45">
      <c r="A409">
        <v>328</v>
      </c>
      <c r="B409" t="s">
        <v>21</v>
      </c>
      <c r="C409">
        <v>0</v>
      </c>
      <c r="D409">
        <v>218.19</v>
      </c>
      <c r="E409" s="1">
        <v>45790</v>
      </c>
      <c r="F409">
        <v>316</v>
      </c>
      <c r="G409" t="s">
        <v>28</v>
      </c>
      <c r="H409" t="str">
        <f>TEXT(sales[[#This Row],[sale_date]],"dddd")</f>
        <v>Tuesday</v>
      </c>
      <c r="I409">
        <f>_xlfn.XLOOKUP(A409,salesitems[sale_id],salesitems[revenue],0)</f>
        <v>30.41</v>
      </c>
      <c r="J409">
        <v>1</v>
      </c>
      <c r="K409" s="10" t="str">
        <f>_xlfn.XLOOKUP(F409,customers[customer_id],customers[age_range])</f>
        <v>36-45</v>
      </c>
      <c r="L409" s="1">
        <f>_xlfn.XLOOKUP(F409,customers[customer_id],customers[signup_date])</f>
        <v>45703</v>
      </c>
      <c r="M409">
        <f>sales[[#This Row],[sale_date]]-sales[[#This Row],[sighnup_date]]</f>
        <v>87</v>
      </c>
      <c r="N409" t="str">
        <f t="shared" si="6"/>
        <v>new customer</v>
      </c>
      <c r="O409" t="str">
        <f>_xlfn.XLOOKUP(A409,salesitems[sale_id],salesitems[category])</f>
        <v>Shoes</v>
      </c>
    </row>
    <row r="410" spans="1:15" x14ac:dyDescent="0.45">
      <c r="A410">
        <v>329</v>
      </c>
      <c r="B410" t="s">
        <v>21</v>
      </c>
      <c r="C410">
        <v>0</v>
      </c>
      <c r="D410">
        <v>605.24</v>
      </c>
      <c r="E410" s="1">
        <v>45751</v>
      </c>
      <c r="F410">
        <v>388</v>
      </c>
      <c r="G410" t="s">
        <v>28</v>
      </c>
      <c r="H410" t="str">
        <f>TEXT(sales[[#This Row],[sale_date]],"dddd")</f>
        <v>Friday</v>
      </c>
      <c r="I410">
        <f>_xlfn.XLOOKUP(A410,salesitems[sale_id],salesitems[revenue],0)</f>
        <v>105.3</v>
      </c>
      <c r="J410">
        <v>1</v>
      </c>
      <c r="K410" s="10" t="str">
        <f>_xlfn.XLOOKUP(F410,customers[customer_id],customers[age_range])</f>
        <v>26-35</v>
      </c>
      <c r="L410" s="1">
        <f>_xlfn.XLOOKUP(F410,customers[customer_id],customers[signup_date])</f>
        <v>45756</v>
      </c>
      <c r="M410">
        <f>sales[[#This Row],[sale_date]]-sales[[#This Row],[sighnup_date]]</f>
        <v>-5</v>
      </c>
      <c r="N410" t="str">
        <f t="shared" si="6"/>
        <v>data issue</v>
      </c>
      <c r="O410" t="str">
        <f>_xlfn.XLOOKUP(A410,salesitems[sale_id],salesitems[category])</f>
        <v>Dresses</v>
      </c>
    </row>
    <row r="411" spans="1:15" x14ac:dyDescent="0.45">
      <c r="A411">
        <v>33</v>
      </c>
      <c r="B411" t="s">
        <v>21</v>
      </c>
      <c r="C411">
        <v>0</v>
      </c>
      <c r="D411">
        <v>227.32</v>
      </c>
      <c r="E411" s="1">
        <v>45770</v>
      </c>
      <c r="F411">
        <v>805</v>
      </c>
      <c r="G411" t="s">
        <v>36</v>
      </c>
      <c r="H411" t="str">
        <f>TEXT(sales[[#This Row],[sale_date]],"dddd")</f>
        <v>Wednesday</v>
      </c>
      <c r="I411">
        <f>_xlfn.XLOOKUP(A411,salesitems[sale_id],salesitems[revenue],0)</f>
        <v>69.540000000000006</v>
      </c>
      <c r="J411">
        <v>1</v>
      </c>
      <c r="K411" s="10" t="str">
        <f>_xlfn.XLOOKUP(F411,customers[customer_id],customers[age_range])</f>
        <v>26-35</v>
      </c>
      <c r="L411" s="1">
        <f>_xlfn.XLOOKUP(F411,customers[customer_id],customers[signup_date])</f>
        <v>45709</v>
      </c>
      <c r="M411">
        <f>sales[[#This Row],[sale_date]]-sales[[#This Row],[sighnup_date]]</f>
        <v>61</v>
      </c>
      <c r="N411" t="str">
        <f t="shared" si="6"/>
        <v>new customer</v>
      </c>
      <c r="O411" t="str">
        <f>_xlfn.XLOOKUP(A411,salesitems[sale_id],salesitems[category])</f>
        <v>Pants</v>
      </c>
    </row>
    <row r="412" spans="1:15" x14ac:dyDescent="0.45">
      <c r="A412">
        <v>330</v>
      </c>
      <c r="B412" t="s">
        <v>21</v>
      </c>
      <c r="C412">
        <v>0</v>
      </c>
      <c r="D412">
        <v>558.38</v>
      </c>
      <c r="E412" s="1">
        <v>45771</v>
      </c>
      <c r="F412">
        <v>920</v>
      </c>
      <c r="G412" t="s">
        <v>34</v>
      </c>
      <c r="H412" t="str">
        <f>TEXT(sales[[#This Row],[sale_date]],"dddd")</f>
        <v>Thursday</v>
      </c>
      <c r="I412">
        <f>_xlfn.XLOOKUP(A412,salesitems[sale_id],salesitems[revenue],0)</f>
        <v>90.3</v>
      </c>
      <c r="J412">
        <v>1</v>
      </c>
      <c r="K412" s="10" t="str">
        <f>_xlfn.XLOOKUP(F412,customers[customer_id],customers[age_range])</f>
        <v>16-25</v>
      </c>
      <c r="L412" s="1">
        <f>_xlfn.XLOOKUP(F412,customers[customer_id],customers[signup_date])</f>
        <v>45710</v>
      </c>
      <c r="M412">
        <f>sales[[#This Row],[sale_date]]-sales[[#This Row],[sighnup_date]]</f>
        <v>61</v>
      </c>
      <c r="N412" t="str">
        <f t="shared" si="6"/>
        <v>new customer</v>
      </c>
      <c r="O412" t="str">
        <f>_xlfn.XLOOKUP(A412,salesitems[sale_id],salesitems[category])</f>
        <v>Dresses</v>
      </c>
    </row>
    <row r="413" spans="1:15" x14ac:dyDescent="0.45">
      <c r="A413">
        <v>331</v>
      </c>
      <c r="B413" t="s">
        <v>15</v>
      </c>
      <c r="C413">
        <v>0</v>
      </c>
      <c r="D413">
        <v>263.87</v>
      </c>
      <c r="E413" s="1">
        <v>45813</v>
      </c>
      <c r="F413">
        <v>100</v>
      </c>
      <c r="G413" t="s">
        <v>33</v>
      </c>
      <c r="H413" t="str">
        <f>TEXT(sales[[#This Row],[sale_date]],"dddd")</f>
        <v>Thursday</v>
      </c>
      <c r="I413">
        <f>_xlfn.XLOOKUP(A413,salesitems[sale_id],salesitems[revenue],0)</f>
        <v>78.52</v>
      </c>
      <c r="J413">
        <v>1</v>
      </c>
      <c r="K413" s="10" t="str">
        <f>_xlfn.XLOOKUP(F413,customers[customer_id],customers[age_range])</f>
        <v>26-35</v>
      </c>
      <c r="L413" s="1">
        <f>_xlfn.XLOOKUP(F413,customers[customer_id],customers[signup_date])</f>
        <v>45687</v>
      </c>
      <c r="M413">
        <f>sales[[#This Row],[sale_date]]-sales[[#This Row],[sighnup_date]]</f>
        <v>126</v>
      </c>
      <c r="N413" t="str">
        <f t="shared" si="6"/>
        <v>existing customer</v>
      </c>
      <c r="O413" t="str">
        <f>_xlfn.XLOOKUP(A413,salesitems[sale_id],salesitems[category])</f>
        <v>Shoes</v>
      </c>
    </row>
    <row r="414" spans="1:15" x14ac:dyDescent="0.45">
      <c r="A414">
        <v>332</v>
      </c>
      <c r="B414" t="s">
        <v>15</v>
      </c>
      <c r="C414">
        <v>0</v>
      </c>
      <c r="D414">
        <v>380.25</v>
      </c>
      <c r="E414" s="1">
        <v>45801</v>
      </c>
      <c r="F414">
        <v>932</v>
      </c>
      <c r="G414" t="s">
        <v>28</v>
      </c>
      <c r="H414" t="str">
        <f>TEXT(sales[[#This Row],[sale_date]],"dddd")</f>
        <v>Saturday</v>
      </c>
      <c r="I414">
        <f>_xlfn.XLOOKUP(A414,salesitems[sale_id],salesitems[revenue],0)</f>
        <v>44.45</v>
      </c>
      <c r="J414">
        <v>1</v>
      </c>
      <c r="K414" s="10" t="str">
        <f>_xlfn.XLOOKUP(F414,customers[customer_id],customers[age_range])</f>
        <v>26-35</v>
      </c>
      <c r="L414" s="1">
        <f>_xlfn.XLOOKUP(F414,customers[customer_id],customers[signup_date])</f>
        <v>45728</v>
      </c>
      <c r="M414">
        <f>sales[[#This Row],[sale_date]]-sales[[#This Row],[sighnup_date]]</f>
        <v>73</v>
      </c>
      <c r="N414" t="str">
        <f t="shared" si="6"/>
        <v>new customer</v>
      </c>
      <c r="O414" t="str">
        <f>_xlfn.XLOOKUP(A414,salesitems[sale_id],salesitems[category])</f>
        <v>Dresses</v>
      </c>
    </row>
    <row r="415" spans="1:15" x14ac:dyDescent="0.45">
      <c r="A415">
        <v>333</v>
      </c>
      <c r="B415" t="s">
        <v>21</v>
      </c>
      <c r="C415">
        <v>0</v>
      </c>
      <c r="D415">
        <v>427.6</v>
      </c>
      <c r="E415" s="1">
        <v>45799</v>
      </c>
      <c r="F415">
        <v>842</v>
      </c>
      <c r="G415" t="s">
        <v>33</v>
      </c>
      <c r="H415" t="str">
        <f>TEXT(sales[[#This Row],[sale_date]],"dddd")</f>
        <v>Thursday</v>
      </c>
      <c r="I415">
        <f>_xlfn.XLOOKUP(A415,salesitems[sale_id],salesitems[revenue],0)</f>
        <v>109.82</v>
      </c>
      <c r="J415">
        <v>1</v>
      </c>
      <c r="K415" s="10" t="str">
        <f>_xlfn.XLOOKUP(F415,customers[customer_id],customers[age_range])</f>
        <v>46-55</v>
      </c>
      <c r="L415" s="1">
        <f>_xlfn.XLOOKUP(F415,customers[customer_id],customers[signup_date])</f>
        <v>45705</v>
      </c>
      <c r="M415">
        <f>sales[[#This Row],[sale_date]]-sales[[#This Row],[sighnup_date]]</f>
        <v>94</v>
      </c>
      <c r="N415" t="str">
        <f t="shared" si="6"/>
        <v>existing customer</v>
      </c>
      <c r="O415" t="str">
        <f>_xlfn.XLOOKUP(A415,salesitems[sale_id],salesitems[category])</f>
        <v>T-Shirts</v>
      </c>
    </row>
    <row r="416" spans="1:15" x14ac:dyDescent="0.45">
      <c r="A416">
        <v>334</v>
      </c>
      <c r="B416" t="s">
        <v>15</v>
      </c>
      <c r="C416">
        <v>0</v>
      </c>
      <c r="D416">
        <v>496.23</v>
      </c>
      <c r="E416" s="1">
        <v>45806</v>
      </c>
      <c r="F416">
        <v>675</v>
      </c>
      <c r="G416" t="s">
        <v>33</v>
      </c>
      <c r="H416" t="str">
        <f>TEXT(sales[[#This Row],[sale_date]],"dddd")</f>
        <v>Thursday</v>
      </c>
      <c r="I416">
        <f>_xlfn.XLOOKUP(A416,salesitems[sale_id],salesitems[revenue],0)</f>
        <v>139.22999999999999</v>
      </c>
      <c r="J416">
        <v>1</v>
      </c>
      <c r="K416" s="10" t="str">
        <f>_xlfn.XLOOKUP(F416,customers[customer_id],customers[age_range])</f>
        <v>36-45</v>
      </c>
      <c r="L416" s="1">
        <f>_xlfn.XLOOKUP(F416,customers[customer_id],customers[signup_date])</f>
        <v>45676</v>
      </c>
      <c r="M416">
        <f>sales[[#This Row],[sale_date]]-sales[[#This Row],[sighnup_date]]</f>
        <v>130</v>
      </c>
      <c r="N416" t="str">
        <f t="shared" si="6"/>
        <v>existing customer</v>
      </c>
      <c r="O416" t="str">
        <f>_xlfn.XLOOKUP(A416,salesitems[sale_id],salesitems[category])</f>
        <v>Sleepwear</v>
      </c>
    </row>
    <row r="417" spans="1:15" x14ac:dyDescent="0.45">
      <c r="A417">
        <v>335</v>
      </c>
      <c r="B417" t="s">
        <v>15</v>
      </c>
      <c r="C417">
        <v>0</v>
      </c>
      <c r="D417">
        <v>747.5</v>
      </c>
      <c r="E417" s="1">
        <v>45762</v>
      </c>
      <c r="F417">
        <v>642</v>
      </c>
      <c r="G417" t="s">
        <v>38</v>
      </c>
      <c r="H417" t="str">
        <f>TEXT(sales[[#This Row],[sale_date]],"dddd")</f>
        <v>Tuesday</v>
      </c>
      <c r="I417">
        <f>_xlfn.XLOOKUP(A417,salesitems[sale_id],salesitems[revenue],0)</f>
        <v>93.8</v>
      </c>
      <c r="J417">
        <v>1</v>
      </c>
      <c r="K417" s="10" t="str">
        <f>_xlfn.XLOOKUP(F417,customers[customer_id],customers[age_range])</f>
        <v>46-55</v>
      </c>
      <c r="L417" s="1">
        <f>_xlfn.XLOOKUP(F417,customers[customer_id],customers[signup_date])</f>
        <v>45791</v>
      </c>
      <c r="M417">
        <f>sales[[#This Row],[sale_date]]-sales[[#This Row],[sighnup_date]]</f>
        <v>-29</v>
      </c>
      <c r="N417" t="str">
        <f t="shared" si="6"/>
        <v>data issue</v>
      </c>
      <c r="O417" t="str">
        <f>_xlfn.XLOOKUP(A417,salesitems[sale_id],salesitems[category])</f>
        <v>Shoes</v>
      </c>
    </row>
    <row r="418" spans="1:15" x14ac:dyDescent="0.45">
      <c r="A418">
        <v>336</v>
      </c>
      <c r="B418" t="s">
        <v>21</v>
      </c>
      <c r="C418">
        <v>0</v>
      </c>
      <c r="D418">
        <v>536.47</v>
      </c>
      <c r="E418" s="1">
        <v>45825</v>
      </c>
      <c r="F418">
        <v>790</v>
      </c>
      <c r="G418" t="s">
        <v>28</v>
      </c>
      <c r="H418" t="str">
        <f>TEXT(sales[[#This Row],[sale_date]],"dddd")</f>
        <v>Tuesday</v>
      </c>
      <c r="I418">
        <f>_xlfn.XLOOKUP(A418,salesitems[sale_id],salesitems[revenue],0)</f>
        <v>81.790000000000006</v>
      </c>
      <c r="J418">
        <v>1</v>
      </c>
      <c r="K418" s="10" t="str">
        <f>_xlfn.XLOOKUP(F418,customers[customer_id],customers[age_range])</f>
        <v>16-25</v>
      </c>
      <c r="L418" s="1">
        <f>_xlfn.XLOOKUP(F418,customers[customer_id],customers[signup_date])</f>
        <v>45773</v>
      </c>
      <c r="M418">
        <f>sales[[#This Row],[sale_date]]-sales[[#This Row],[sighnup_date]]</f>
        <v>52</v>
      </c>
      <c r="N418" t="str">
        <f t="shared" si="6"/>
        <v>new customer</v>
      </c>
      <c r="O418" t="str">
        <f>_xlfn.XLOOKUP(A418,salesitems[sale_id],salesitems[category])</f>
        <v>Shoes</v>
      </c>
    </row>
    <row r="419" spans="1:15" x14ac:dyDescent="0.45">
      <c r="A419">
        <v>337</v>
      </c>
      <c r="B419" t="s">
        <v>15</v>
      </c>
      <c r="C419">
        <v>0</v>
      </c>
      <c r="D419">
        <v>467.38</v>
      </c>
      <c r="E419" s="1">
        <v>45801</v>
      </c>
      <c r="F419">
        <v>873</v>
      </c>
      <c r="G419" t="s">
        <v>28</v>
      </c>
      <c r="H419" t="str">
        <f>TEXT(sales[[#This Row],[sale_date]],"dddd")</f>
        <v>Saturday</v>
      </c>
      <c r="I419">
        <f>_xlfn.XLOOKUP(A419,salesitems[sale_id],salesitems[revenue],0)</f>
        <v>72.099999999999994</v>
      </c>
      <c r="J419">
        <v>1</v>
      </c>
      <c r="K419" s="10" t="str">
        <f>_xlfn.XLOOKUP(F419,customers[customer_id],customers[age_range])</f>
        <v>16-25</v>
      </c>
      <c r="L419" s="1">
        <f>_xlfn.XLOOKUP(F419,customers[customer_id],customers[signup_date])</f>
        <v>45748</v>
      </c>
      <c r="M419">
        <f>sales[[#This Row],[sale_date]]-sales[[#This Row],[sighnup_date]]</f>
        <v>53</v>
      </c>
      <c r="N419" t="str">
        <f t="shared" si="6"/>
        <v>new customer</v>
      </c>
      <c r="O419" t="str">
        <f>_xlfn.XLOOKUP(A419,salesitems[sale_id],salesitems[category])</f>
        <v>Dresses</v>
      </c>
    </row>
    <row r="420" spans="1:15" x14ac:dyDescent="0.45">
      <c r="A420">
        <v>338</v>
      </c>
      <c r="B420" t="s">
        <v>21</v>
      </c>
      <c r="C420">
        <v>0</v>
      </c>
      <c r="D420">
        <v>410.86</v>
      </c>
      <c r="E420" s="1">
        <v>45768</v>
      </c>
      <c r="F420">
        <v>670</v>
      </c>
      <c r="G420" t="s">
        <v>33</v>
      </c>
      <c r="H420" t="str">
        <f>TEXT(sales[[#This Row],[sale_date]],"dddd")</f>
        <v>Monday</v>
      </c>
      <c r="I420">
        <f>_xlfn.XLOOKUP(A420,salesitems[sale_id],salesitems[revenue],0)</f>
        <v>75.17</v>
      </c>
      <c r="J420">
        <v>1</v>
      </c>
      <c r="K420" s="10" t="str">
        <f>_xlfn.XLOOKUP(F420,customers[customer_id],customers[age_range])</f>
        <v>36-45</v>
      </c>
      <c r="L420" s="1">
        <f>_xlfn.XLOOKUP(F420,customers[customer_id],customers[signup_date])</f>
        <v>45768</v>
      </c>
      <c r="M420">
        <f>sales[[#This Row],[sale_date]]-sales[[#This Row],[sighnup_date]]</f>
        <v>0</v>
      </c>
      <c r="N420" t="str">
        <f t="shared" si="6"/>
        <v>new customer</v>
      </c>
      <c r="O420" t="str">
        <f>_xlfn.XLOOKUP(A420,salesitems[sale_id],salesitems[category])</f>
        <v>Dresses</v>
      </c>
    </row>
    <row r="421" spans="1:15" x14ac:dyDescent="0.45">
      <c r="A421">
        <v>341</v>
      </c>
      <c r="B421" t="s">
        <v>15</v>
      </c>
      <c r="C421">
        <v>1</v>
      </c>
      <c r="D421">
        <v>449.94</v>
      </c>
      <c r="E421" s="1">
        <v>45790</v>
      </c>
      <c r="F421">
        <v>816</v>
      </c>
      <c r="G421" t="s">
        <v>31</v>
      </c>
      <c r="H421" t="str">
        <f>TEXT(sales[[#This Row],[sale_date]],"dddd")</f>
        <v>Tuesday</v>
      </c>
      <c r="I421">
        <f>_xlfn.XLOOKUP(A421,salesitems[sale_id],salesitems[revenue],0)</f>
        <v>66.510000000000005</v>
      </c>
      <c r="J421">
        <v>1</v>
      </c>
      <c r="K421" s="10" t="str">
        <f>_xlfn.XLOOKUP(F421,customers[customer_id],customers[age_range])</f>
        <v>16-25</v>
      </c>
      <c r="L421" s="1">
        <f>_xlfn.XLOOKUP(F421,customers[customer_id],customers[signup_date])</f>
        <v>45692</v>
      </c>
      <c r="M421">
        <f>sales[[#This Row],[sale_date]]-sales[[#This Row],[sighnup_date]]</f>
        <v>98</v>
      </c>
      <c r="N421" t="str">
        <f t="shared" si="6"/>
        <v>existing customer</v>
      </c>
      <c r="O421" t="str">
        <f>_xlfn.XLOOKUP(A421,salesitems[sale_id],salesitems[category])</f>
        <v>Shoes</v>
      </c>
    </row>
    <row r="422" spans="1:15" x14ac:dyDescent="0.45">
      <c r="A422">
        <v>343</v>
      </c>
      <c r="B422" t="s">
        <v>15</v>
      </c>
      <c r="C422">
        <v>0</v>
      </c>
      <c r="D422">
        <v>587.46</v>
      </c>
      <c r="E422" s="1">
        <v>45825</v>
      </c>
      <c r="F422">
        <v>170</v>
      </c>
      <c r="G422" t="s">
        <v>28</v>
      </c>
      <c r="H422" t="str">
        <f>TEXT(sales[[#This Row],[sale_date]],"dddd")</f>
        <v>Tuesday</v>
      </c>
      <c r="I422">
        <f>_xlfn.XLOOKUP(A422,salesitems[sale_id],salesitems[revenue],0)</f>
        <v>187.56</v>
      </c>
      <c r="J422">
        <v>1</v>
      </c>
      <c r="K422" s="10" t="str">
        <f>_xlfn.XLOOKUP(F422,customers[customer_id],customers[age_range])</f>
        <v>36-45</v>
      </c>
      <c r="L422" s="1">
        <f>_xlfn.XLOOKUP(F422,customers[customer_id],customers[signup_date])</f>
        <v>45759</v>
      </c>
      <c r="M422">
        <f>sales[[#This Row],[sale_date]]-sales[[#This Row],[sighnup_date]]</f>
        <v>66</v>
      </c>
      <c r="N422" t="str">
        <f t="shared" si="6"/>
        <v>new customer</v>
      </c>
      <c r="O422" t="str">
        <f>_xlfn.XLOOKUP(A422,salesitems[sale_id],salesitems[category])</f>
        <v>Dresses</v>
      </c>
    </row>
    <row r="423" spans="1:15" x14ac:dyDescent="0.45">
      <c r="A423">
        <v>344</v>
      </c>
      <c r="B423" t="s">
        <v>15</v>
      </c>
      <c r="C423">
        <v>0</v>
      </c>
      <c r="D423">
        <v>291.52</v>
      </c>
      <c r="E423" s="1">
        <v>45822</v>
      </c>
      <c r="F423">
        <v>485</v>
      </c>
      <c r="G423" t="s">
        <v>31</v>
      </c>
      <c r="H423" t="str">
        <f>TEXT(sales[[#This Row],[sale_date]],"dddd")</f>
        <v>Saturday</v>
      </c>
      <c r="I423">
        <f>_xlfn.XLOOKUP(A423,salesitems[sale_id],salesitems[revenue],0)</f>
        <v>50.55</v>
      </c>
      <c r="J423">
        <v>1</v>
      </c>
      <c r="K423" s="10" t="str">
        <f>_xlfn.XLOOKUP(F423,customers[customer_id],customers[age_range])</f>
        <v>36-45</v>
      </c>
      <c r="L423" s="1">
        <f>_xlfn.XLOOKUP(F423,customers[customer_id],customers[signup_date])</f>
        <v>45699</v>
      </c>
      <c r="M423">
        <f>sales[[#This Row],[sale_date]]-sales[[#This Row],[sighnup_date]]</f>
        <v>123</v>
      </c>
      <c r="N423" t="str">
        <f t="shared" si="6"/>
        <v>existing customer</v>
      </c>
      <c r="O423" t="str">
        <f>_xlfn.XLOOKUP(A423,salesitems[sale_id],salesitems[category])</f>
        <v>T-Shirts</v>
      </c>
    </row>
    <row r="424" spans="1:15" x14ac:dyDescent="0.45">
      <c r="A424">
        <v>345</v>
      </c>
      <c r="B424" t="s">
        <v>21</v>
      </c>
      <c r="C424">
        <v>0</v>
      </c>
      <c r="D424">
        <v>648.04</v>
      </c>
      <c r="E424" s="1">
        <v>45761</v>
      </c>
      <c r="F424">
        <v>929</v>
      </c>
      <c r="G424" t="s">
        <v>31</v>
      </c>
      <c r="H424" t="str">
        <f>TEXT(sales[[#This Row],[sale_date]],"dddd")</f>
        <v>Monday</v>
      </c>
      <c r="I424">
        <f>_xlfn.XLOOKUP(A424,salesitems[sale_id],salesitems[revenue],0)</f>
        <v>157.80000000000001</v>
      </c>
      <c r="J424">
        <v>1</v>
      </c>
      <c r="K424" s="10" t="str">
        <f>_xlfn.XLOOKUP(F424,customers[customer_id],customers[age_range])</f>
        <v>26-35</v>
      </c>
      <c r="L424" s="1">
        <f>_xlfn.XLOOKUP(F424,customers[customer_id],customers[signup_date])</f>
        <v>45668</v>
      </c>
      <c r="M424">
        <f>sales[[#This Row],[sale_date]]-sales[[#This Row],[sighnup_date]]</f>
        <v>93</v>
      </c>
      <c r="N424" t="str">
        <f t="shared" si="6"/>
        <v>existing customer</v>
      </c>
      <c r="O424" t="str">
        <f>_xlfn.XLOOKUP(A424,salesitems[sale_id],salesitems[category])</f>
        <v>Sleepwear</v>
      </c>
    </row>
    <row r="425" spans="1:15" x14ac:dyDescent="0.45">
      <c r="A425">
        <v>346</v>
      </c>
      <c r="B425" t="s">
        <v>15</v>
      </c>
      <c r="C425">
        <v>0</v>
      </c>
      <c r="D425">
        <v>318.61</v>
      </c>
      <c r="E425" s="1">
        <v>45803</v>
      </c>
      <c r="F425">
        <v>231</v>
      </c>
      <c r="G425" t="s">
        <v>28</v>
      </c>
      <c r="H425" t="str">
        <f>TEXT(sales[[#This Row],[sale_date]],"dddd")</f>
        <v>Monday</v>
      </c>
      <c r="I425">
        <f>_xlfn.XLOOKUP(A425,salesitems[sale_id],salesitems[revenue],0)</f>
        <v>50.55</v>
      </c>
      <c r="J425">
        <v>1</v>
      </c>
      <c r="K425" s="10" t="str">
        <f>_xlfn.XLOOKUP(F425,customers[customer_id],customers[age_range])</f>
        <v>16-25</v>
      </c>
      <c r="L425" s="1">
        <f>_xlfn.XLOOKUP(F425,customers[customer_id],customers[signup_date])</f>
        <v>45709</v>
      </c>
      <c r="M425">
        <f>sales[[#This Row],[sale_date]]-sales[[#This Row],[sighnup_date]]</f>
        <v>94</v>
      </c>
      <c r="N425" t="str">
        <f t="shared" si="6"/>
        <v>existing customer</v>
      </c>
      <c r="O425" t="str">
        <f>_xlfn.XLOOKUP(A425,salesitems[sale_id],salesitems[category])</f>
        <v>T-Shirts</v>
      </c>
    </row>
    <row r="426" spans="1:15" x14ac:dyDescent="0.45">
      <c r="A426">
        <v>347</v>
      </c>
      <c r="B426" t="s">
        <v>21</v>
      </c>
      <c r="C426">
        <v>0</v>
      </c>
      <c r="D426">
        <v>402.53</v>
      </c>
      <c r="E426" s="1">
        <v>45795</v>
      </c>
      <c r="F426">
        <v>769</v>
      </c>
      <c r="G426" t="s">
        <v>33</v>
      </c>
      <c r="H426" t="str">
        <f>TEXT(sales[[#This Row],[sale_date]],"dddd")</f>
        <v>Sunday</v>
      </c>
      <c r="I426">
        <f>_xlfn.XLOOKUP(A426,salesitems[sale_id],salesitems[revenue],0)</f>
        <v>137.19</v>
      </c>
      <c r="J426">
        <v>1</v>
      </c>
      <c r="K426" s="10" t="str">
        <f>_xlfn.XLOOKUP(F426,customers[customer_id],customers[age_range])</f>
        <v>46-55</v>
      </c>
      <c r="L426" s="1">
        <f>_xlfn.XLOOKUP(F426,customers[customer_id],customers[signup_date])</f>
        <v>45766</v>
      </c>
      <c r="M426">
        <f>sales[[#This Row],[sale_date]]-sales[[#This Row],[sighnup_date]]</f>
        <v>29</v>
      </c>
      <c r="N426" t="str">
        <f t="shared" si="6"/>
        <v>new customer</v>
      </c>
      <c r="O426" t="str">
        <f>_xlfn.XLOOKUP(A426,salesitems[sale_id],salesitems[category])</f>
        <v>T-Shirts</v>
      </c>
    </row>
    <row r="427" spans="1:15" x14ac:dyDescent="0.45">
      <c r="A427">
        <v>348</v>
      </c>
      <c r="B427" t="s">
        <v>21</v>
      </c>
      <c r="C427">
        <v>0</v>
      </c>
      <c r="D427">
        <v>654.98</v>
      </c>
      <c r="E427" s="1">
        <v>45807</v>
      </c>
      <c r="F427">
        <v>776</v>
      </c>
      <c r="G427" t="s">
        <v>38</v>
      </c>
      <c r="H427" t="str">
        <f>TEXT(sales[[#This Row],[sale_date]],"dddd")</f>
        <v>Friday</v>
      </c>
      <c r="I427">
        <f>_xlfn.XLOOKUP(A427,salesitems[sale_id],salesitems[revenue],0)</f>
        <v>103.52</v>
      </c>
      <c r="J427">
        <v>1</v>
      </c>
      <c r="K427" s="10" t="str">
        <f>_xlfn.XLOOKUP(F427,customers[customer_id],customers[age_range])</f>
        <v>56-65</v>
      </c>
      <c r="L427" s="1">
        <f>_xlfn.XLOOKUP(F427,customers[customer_id],customers[signup_date])</f>
        <v>45734</v>
      </c>
      <c r="M427">
        <f>sales[[#This Row],[sale_date]]-sales[[#This Row],[sighnup_date]]</f>
        <v>73</v>
      </c>
      <c r="N427" t="str">
        <f t="shared" si="6"/>
        <v>new customer</v>
      </c>
      <c r="O427" t="str">
        <f>_xlfn.XLOOKUP(A427,salesitems[sale_id],salesitems[category])</f>
        <v>Sleepwear</v>
      </c>
    </row>
    <row r="428" spans="1:15" x14ac:dyDescent="0.45">
      <c r="A428">
        <v>349</v>
      </c>
      <c r="B428" t="s">
        <v>15</v>
      </c>
      <c r="C428">
        <v>0</v>
      </c>
      <c r="D428">
        <v>523.42999999999995</v>
      </c>
      <c r="E428" s="1">
        <v>45823</v>
      </c>
      <c r="F428">
        <v>854</v>
      </c>
      <c r="G428" t="s">
        <v>38</v>
      </c>
      <c r="H428" t="str">
        <f>TEXT(sales[[#This Row],[sale_date]],"dddd")</f>
        <v>Sunday</v>
      </c>
      <c r="I428">
        <f>_xlfn.XLOOKUP(A428,salesitems[sale_id],salesitems[revenue],0)</f>
        <v>40.99</v>
      </c>
      <c r="J428">
        <v>1</v>
      </c>
      <c r="K428" s="10" t="str">
        <f>_xlfn.XLOOKUP(F428,customers[customer_id],customers[age_range])</f>
        <v>36-45</v>
      </c>
      <c r="L428" s="1">
        <f>_xlfn.XLOOKUP(F428,customers[customer_id],customers[signup_date])</f>
        <v>45712</v>
      </c>
      <c r="M428">
        <f>sales[[#This Row],[sale_date]]-sales[[#This Row],[sighnup_date]]</f>
        <v>111</v>
      </c>
      <c r="N428" t="str">
        <f t="shared" si="6"/>
        <v>existing customer</v>
      </c>
      <c r="O428" t="str">
        <f>_xlfn.XLOOKUP(A428,salesitems[sale_id],salesitems[category])</f>
        <v>Shoes</v>
      </c>
    </row>
    <row r="429" spans="1:15" x14ac:dyDescent="0.45">
      <c r="A429">
        <v>35</v>
      </c>
      <c r="B429" t="s">
        <v>21</v>
      </c>
      <c r="C429">
        <v>0</v>
      </c>
      <c r="D429">
        <v>433.96</v>
      </c>
      <c r="E429" s="1">
        <v>45774</v>
      </c>
      <c r="F429">
        <v>574</v>
      </c>
      <c r="G429" t="s">
        <v>33</v>
      </c>
      <c r="H429" t="str">
        <f>TEXT(sales[[#This Row],[sale_date]],"dddd")</f>
        <v>Sunday</v>
      </c>
      <c r="I429">
        <f>_xlfn.XLOOKUP(A429,salesitems[sale_id],salesitems[revenue],0)</f>
        <v>95.82</v>
      </c>
      <c r="J429">
        <v>1</v>
      </c>
      <c r="K429" s="10" t="str">
        <f>_xlfn.XLOOKUP(F429,customers[customer_id],customers[age_range])</f>
        <v>16-25</v>
      </c>
      <c r="L429" s="1">
        <f>_xlfn.XLOOKUP(F429,customers[customer_id],customers[signup_date])</f>
        <v>45772</v>
      </c>
      <c r="M429">
        <f>sales[[#This Row],[sale_date]]-sales[[#This Row],[sighnup_date]]</f>
        <v>2</v>
      </c>
      <c r="N429" t="str">
        <f t="shared" si="6"/>
        <v>new customer</v>
      </c>
      <c r="O429" t="str">
        <f>_xlfn.XLOOKUP(A429,salesitems[sale_id],salesitems[category])</f>
        <v>Shoes</v>
      </c>
    </row>
    <row r="430" spans="1:15" x14ac:dyDescent="0.45">
      <c r="A430">
        <v>350</v>
      </c>
      <c r="B430" t="s">
        <v>21</v>
      </c>
      <c r="C430">
        <v>0</v>
      </c>
      <c r="D430">
        <v>529.4</v>
      </c>
      <c r="E430" s="1">
        <v>45766</v>
      </c>
      <c r="F430">
        <v>129</v>
      </c>
      <c r="G430" t="s">
        <v>28</v>
      </c>
      <c r="H430" t="str">
        <f>TEXT(sales[[#This Row],[sale_date]],"dddd")</f>
        <v>Saturday</v>
      </c>
      <c r="I430">
        <f>_xlfn.XLOOKUP(A430,salesitems[sale_id],salesitems[revenue],0)</f>
        <v>98.32</v>
      </c>
      <c r="J430">
        <v>1</v>
      </c>
      <c r="K430" s="10" t="str">
        <f>_xlfn.XLOOKUP(F430,customers[customer_id],customers[age_range])</f>
        <v>26-35</v>
      </c>
      <c r="L430" s="1">
        <f>_xlfn.XLOOKUP(F430,customers[customer_id],customers[signup_date])</f>
        <v>45743</v>
      </c>
      <c r="M430">
        <f>sales[[#This Row],[sale_date]]-sales[[#This Row],[sighnup_date]]</f>
        <v>23</v>
      </c>
      <c r="N430" t="str">
        <f t="shared" si="6"/>
        <v>new customer</v>
      </c>
      <c r="O430" t="str">
        <f>_xlfn.XLOOKUP(A430,salesitems[sale_id],salesitems[category])</f>
        <v>T-Shirts</v>
      </c>
    </row>
    <row r="431" spans="1:15" x14ac:dyDescent="0.45">
      <c r="A431">
        <v>351</v>
      </c>
      <c r="B431" t="s">
        <v>21</v>
      </c>
      <c r="C431">
        <v>0</v>
      </c>
      <c r="D431">
        <v>494.28</v>
      </c>
      <c r="E431" s="1">
        <v>45804</v>
      </c>
      <c r="F431">
        <v>840</v>
      </c>
      <c r="G431" t="s">
        <v>36</v>
      </c>
      <c r="H431" t="str">
        <f>TEXT(sales[[#This Row],[sale_date]],"dddd")</f>
        <v>Tuesday</v>
      </c>
      <c r="I431">
        <f>_xlfn.XLOOKUP(A431,salesitems[sale_id],salesitems[revenue],0)</f>
        <v>100.08</v>
      </c>
      <c r="J431">
        <v>1</v>
      </c>
      <c r="K431" s="10" t="str">
        <f>_xlfn.XLOOKUP(F431,customers[customer_id],customers[age_range])</f>
        <v>36-45</v>
      </c>
      <c r="L431" s="1">
        <f>_xlfn.XLOOKUP(F431,customers[customer_id],customers[signup_date])</f>
        <v>45765</v>
      </c>
      <c r="M431">
        <f>sales[[#This Row],[sale_date]]-sales[[#This Row],[sighnup_date]]</f>
        <v>39</v>
      </c>
      <c r="N431" t="str">
        <f t="shared" si="6"/>
        <v>new customer</v>
      </c>
      <c r="O431" t="str">
        <f>_xlfn.XLOOKUP(A431,salesitems[sale_id],salesitems[category])</f>
        <v>T-Shirts</v>
      </c>
    </row>
    <row r="432" spans="1:15" x14ac:dyDescent="0.45">
      <c r="A432">
        <v>352</v>
      </c>
      <c r="B432" t="s">
        <v>21</v>
      </c>
      <c r="C432">
        <v>0</v>
      </c>
      <c r="D432">
        <v>698.65</v>
      </c>
      <c r="E432" s="1">
        <v>45781</v>
      </c>
      <c r="F432">
        <v>231</v>
      </c>
      <c r="G432" t="s">
        <v>28</v>
      </c>
      <c r="H432" t="str">
        <f>TEXT(sales[[#This Row],[sale_date]],"dddd")</f>
        <v>Sunday</v>
      </c>
      <c r="I432">
        <f>_xlfn.XLOOKUP(A432,salesitems[sale_id],salesitems[revenue],0)</f>
        <v>313.15000000000003</v>
      </c>
      <c r="J432">
        <v>1</v>
      </c>
      <c r="K432" s="10" t="str">
        <f>_xlfn.XLOOKUP(F432,customers[customer_id],customers[age_range])</f>
        <v>16-25</v>
      </c>
      <c r="L432" s="1">
        <f>_xlfn.XLOOKUP(F432,customers[customer_id],customers[signup_date])</f>
        <v>45709</v>
      </c>
      <c r="M432">
        <f>sales[[#This Row],[sale_date]]-sales[[#This Row],[sighnup_date]]</f>
        <v>72</v>
      </c>
      <c r="N432" t="str">
        <f t="shared" si="6"/>
        <v>new customer</v>
      </c>
      <c r="O432" t="str">
        <f>_xlfn.XLOOKUP(A432,salesitems[sale_id],salesitems[category])</f>
        <v>Sleepwear</v>
      </c>
    </row>
    <row r="433" spans="1:15" x14ac:dyDescent="0.45">
      <c r="A433">
        <v>354</v>
      </c>
      <c r="B433" t="s">
        <v>15</v>
      </c>
      <c r="C433">
        <v>0</v>
      </c>
      <c r="D433">
        <v>342.09</v>
      </c>
      <c r="E433" s="1">
        <v>45751</v>
      </c>
      <c r="F433">
        <v>545</v>
      </c>
      <c r="G433" t="s">
        <v>36</v>
      </c>
      <c r="H433" t="str">
        <f>TEXT(sales[[#This Row],[sale_date]],"dddd")</f>
        <v>Friday</v>
      </c>
      <c r="I433">
        <f>_xlfn.XLOOKUP(A433,salesitems[sale_id],salesitems[revenue],0)</f>
        <v>121.04</v>
      </c>
      <c r="J433">
        <v>1</v>
      </c>
      <c r="K433" s="10" t="str">
        <f>_xlfn.XLOOKUP(F433,customers[customer_id],customers[age_range])</f>
        <v>16-25</v>
      </c>
      <c r="L433" s="1">
        <f>_xlfn.XLOOKUP(F433,customers[customer_id],customers[signup_date])</f>
        <v>45769</v>
      </c>
      <c r="M433">
        <f>sales[[#This Row],[sale_date]]-sales[[#This Row],[sighnup_date]]</f>
        <v>-18</v>
      </c>
      <c r="N433" t="str">
        <f t="shared" si="6"/>
        <v>data issue</v>
      </c>
      <c r="O433" t="str">
        <f>_xlfn.XLOOKUP(A433,salesitems[sale_id],salesitems[category])</f>
        <v>Dresses</v>
      </c>
    </row>
    <row r="434" spans="1:15" x14ac:dyDescent="0.45">
      <c r="A434">
        <v>356</v>
      </c>
      <c r="B434" t="s">
        <v>15</v>
      </c>
      <c r="C434">
        <v>1</v>
      </c>
      <c r="D434">
        <v>344.13</v>
      </c>
      <c r="E434" s="1">
        <v>45790</v>
      </c>
      <c r="F434">
        <v>59</v>
      </c>
      <c r="G434" t="s">
        <v>36</v>
      </c>
      <c r="H434" t="str">
        <f>TEXT(sales[[#This Row],[sale_date]],"dddd")</f>
        <v>Tuesday</v>
      </c>
      <c r="I434">
        <f>_xlfn.XLOOKUP(A434,salesitems[sale_id],salesitems[revenue],0)</f>
        <v>41.69</v>
      </c>
      <c r="J434">
        <v>1</v>
      </c>
      <c r="K434" s="10" t="str">
        <f>_xlfn.XLOOKUP(F434,customers[customer_id],customers[age_range])</f>
        <v>16-25</v>
      </c>
      <c r="L434" s="1">
        <f>_xlfn.XLOOKUP(F434,customers[customer_id],customers[signup_date])</f>
        <v>45725</v>
      </c>
      <c r="M434">
        <f>sales[[#This Row],[sale_date]]-sales[[#This Row],[sighnup_date]]</f>
        <v>65</v>
      </c>
      <c r="N434" t="str">
        <f t="shared" si="6"/>
        <v>new customer</v>
      </c>
      <c r="O434" t="str">
        <f>_xlfn.XLOOKUP(A434,salesitems[sale_id],salesitems[category])</f>
        <v>Shoes</v>
      </c>
    </row>
    <row r="435" spans="1:15" x14ac:dyDescent="0.45">
      <c r="A435">
        <v>357</v>
      </c>
      <c r="B435" t="s">
        <v>21</v>
      </c>
      <c r="C435">
        <v>0</v>
      </c>
      <c r="D435">
        <v>548.55999999999995</v>
      </c>
      <c r="E435" s="1">
        <v>45773</v>
      </c>
      <c r="F435">
        <v>519</v>
      </c>
      <c r="G435" t="s">
        <v>33</v>
      </c>
      <c r="H435" t="str">
        <f>TEXT(sales[[#This Row],[sale_date]],"dddd")</f>
        <v>Saturday</v>
      </c>
      <c r="I435">
        <f>_xlfn.XLOOKUP(A435,salesitems[sale_id],salesitems[revenue],0)</f>
        <v>235.44</v>
      </c>
      <c r="J435">
        <v>1</v>
      </c>
      <c r="K435" s="10" t="str">
        <f>_xlfn.XLOOKUP(F435,customers[customer_id],customers[age_range])</f>
        <v>16-25</v>
      </c>
      <c r="L435" s="1">
        <f>_xlfn.XLOOKUP(F435,customers[customer_id],customers[signup_date])</f>
        <v>45698</v>
      </c>
      <c r="M435">
        <f>sales[[#This Row],[sale_date]]-sales[[#This Row],[sighnup_date]]</f>
        <v>75</v>
      </c>
      <c r="N435" t="str">
        <f t="shared" si="6"/>
        <v>new customer</v>
      </c>
      <c r="O435" t="str">
        <f>_xlfn.XLOOKUP(A435,salesitems[sale_id],salesitems[category])</f>
        <v>Pants</v>
      </c>
    </row>
    <row r="436" spans="1:15" x14ac:dyDescent="0.45">
      <c r="A436">
        <v>358</v>
      </c>
      <c r="B436" t="s">
        <v>15</v>
      </c>
      <c r="C436">
        <v>0</v>
      </c>
      <c r="D436">
        <v>603.85</v>
      </c>
      <c r="E436" s="1">
        <v>45753</v>
      </c>
      <c r="F436">
        <v>587</v>
      </c>
      <c r="G436" t="s">
        <v>36</v>
      </c>
      <c r="H436" t="str">
        <f>TEXT(sales[[#This Row],[sale_date]],"dddd")</f>
        <v>Sunday</v>
      </c>
      <c r="I436">
        <f>_xlfn.XLOOKUP(A436,salesitems[sale_id],salesitems[revenue],0)</f>
        <v>118.42</v>
      </c>
      <c r="J436">
        <v>1</v>
      </c>
      <c r="K436" s="10" t="str">
        <f>_xlfn.XLOOKUP(F436,customers[customer_id],customers[age_range])</f>
        <v>36-45</v>
      </c>
      <c r="L436" s="1">
        <f>_xlfn.XLOOKUP(F436,customers[customer_id],customers[signup_date])</f>
        <v>45786</v>
      </c>
      <c r="M436">
        <f>sales[[#This Row],[sale_date]]-sales[[#This Row],[sighnup_date]]</f>
        <v>-33</v>
      </c>
      <c r="N436" t="str">
        <f t="shared" si="6"/>
        <v>data issue</v>
      </c>
      <c r="O436" t="str">
        <f>_xlfn.XLOOKUP(A436,salesitems[sale_id],salesitems[category])</f>
        <v>Shoes</v>
      </c>
    </row>
    <row r="437" spans="1:15" x14ac:dyDescent="0.45">
      <c r="A437">
        <v>359</v>
      </c>
      <c r="B437" t="s">
        <v>15</v>
      </c>
      <c r="C437">
        <v>0</v>
      </c>
      <c r="D437">
        <v>590.5</v>
      </c>
      <c r="E437" s="1">
        <v>45765</v>
      </c>
      <c r="F437">
        <v>503</v>
      </c>
      <c r="G437" t="s">
        <v>33</v>
      </c>
      <c r="H437" t="str">
        <f>TEXT(sales[[#This Row],[sale_date]],"dddd")</f>
        <v>Friday</v>
      </c>
      <c r="I437">
        <f>_xlfn.XLOOKUP(A437,salesitems[sale_id],salesitems[revenue],0)</f>
        <v>30.83</v>
      </c>
      <c r="J437">
        <v>1</v>
      </c>
      <c r="K437" s="10" t="str">
        <f>_xlfn.XLOOKUP(F437,customers[customer_id],customers[age_range])</f>
        <v>16-25</v>
      </c>
      <c r="L437" s="1">
        <f>_xlfn.XLOOKUP(F437,customers[customer_id],customers[signup_date])</f>
        <v>45755</v>
      </c>
      <c r="M437">
        <f>sales[[#This Row],[sale_date]]-sales[[#This Row],[sighnup_date]]</f>
        <v>10</v>
      </c>
      <c r="N437" t="str">
        <f t="shared" si="6"/>
        <v>new customer</v>
      </c>
      <c r="O437" t="str">
        <f>_xlfn.XLOOKUP(A437,salesitems[sale_id],salesitems[category])</f>
        <v>Dresses</v>
      </c>
    </row>
    <row r="438" spans="1:15" x14ac:dyDescent="0.45">
      <c r="A438">
        <v>36</v>
      </c>
      <c r="B438" t="s">
        <v>21</v>
      </c>
      <c r="C438">
        <v>0</v>
      </c>
      <c r="D438">
        <v>380.74</v>
      </c>
      <c r="E438" s="1">
        <v>45805</v>
      </c>
      <c r="F438">
        <v>475</v>
      </c>
      <c r="G438" t="s">
        <v>33</v>
      </c>
      <c r="H438" t="str">
        <f>TEXT(sales[[#This Row],[sale_date]],"dddd")</f>
        <v>Wednesday</v>
      </c>
      <c r="I438">
        <f>_xlfn.XLOOKUP(A438,salesitems[sale_id],salesitems[revenue],0)</f>
        <v>52.28</v>
      </c>
      <c r="J438">
        <v>1</v>
      </c>
      <c r="K438" s="10" t="str">
        <f>_xlfn.XLOOKUP(F438,customers[customer_id],customers[age_range])</f>
        <v>26-35</v>
      </c>
      <c r="L438" s="1">
        <f>_xlfn.XLOOKUP(F438,customers[customer_id],customers[signup_date])</f>
        <v>45731</v>
      </c>
      <c r="M438">
        <f>sales[[#This Row],[sale_date]]-sales[[#This Row],[sighnup_date]]</f>
        <v>74</v>
      </c>
      <c r="N438" t="str">
        <f t="shared" si="6"/>
        <v>new customer</v>
      </c>
      <c r="O438" t="str">
        <f>_xlfn.XLOOKUP(A438,salesitems[sale_id],salesitems[category])</f>
        <v>Sleepwear</v>
      </c>
    </row>
    <row r="439" spans="1:15" x14ac:dyDescent="0.45">
      <c r="A439">
        <v>360</v>
      </c>
      <c r="B439" t="s">
        <v>15</v>
      </c>
      <c r="C439">
        <v>0</v>
      </c>
      <c r="D439">
        <v>568.53</v>
      </c>
      <c r="E439" s="1">
        <v>45771</v>
      </c>
      <c r="F439">
        <v>981</v>
      </c>
      <c r="G439" t="s">
        <v>34</v>
      </c>
      <c r="H439" t="str">
        <f>TEXT(sales[[#This Row],[sale_date]],"dddd")</f>
        <v>Thursday</v>
      </c>
      <c r="I439">
        <f>_xlfn.XLOOKUP(A439,salesitems[sale_id],salesitems[revenue],0)</f>
        <v>63.68</v>
      </c>
      <c r="J439">
        <v>1</v>
      </c>
      <c r="K439" s="10" t="str">
        <f>_xlfn.XLOOKUP(F439,customers[customer_id],customers[age_range])</f>
        <v>26-35</v>
      </c>
      <c r="L439" s="1">
        <f>_xlfn.XLOOKUP(F439,customers[customer_id],customers[signup_date])</f>
        <v>45776</v>
      </c>
      <c r="M439">
        <f>sales[[#This Row],[sale_date]]-sales[[#This Row],[sighnup_date]]</f>
        <v>-5</v>
      </c>
      <c r="N439" t="str">
        <f t="shared" si="6"/>
        <v>data issue</v>
      </c>
      <c r="O439" t="str">
        <f>_xlfn.XLOOKUP(A439,salesitems[sale_id],salesitems[category])</f>
        <v>Shoes</v>
      </c>
    </row>
    <row r="440" spans="1:15" x14ac:dyDescent="0.45">
      <c r="A440">
        <v>361</v>
      </c>
      <c r="B440" t="s">
        <v>21</v>
      </c>
      <c r="C440">
        <v>0</v>
      </c>
      <c r="D440">
        <v>684.03</v>
      </c>
      <c r="E440" s="1">
        <v>45782</v>
      </c>
      <c r="F440">
        <v>289</v>
      </c>
      <c r="G440" t="s">
        <v>31</v>
      </c>
      <c r="H440" t="str">
        <f>TEXT(sales[[#This Row],[sale_date]],"dddd")</f>
        <v>Monday</v>
      </c>
      <c r="I440">
        <f>_xlfn.XLOOKUP(A440,salesitems[sale_id],salesitems[revenue],0)</f>
        <v>158.47999999999999</v>
      </c>
      <c r="J440">
        <v>1</v>
      </c>
      <c r="K440" s="10" t="str">
        <f>_xlfn.XLOOKUP(F440,customers[customer_id],customers[age_range])</f>
        <v>46-55</v>
      </c>
      <c r="L440" s="1">
        <f>_xlfn.XLOOKUP(F440,customers[customer_id],customers[signup_date])</f>
        <v>45777</v>
      </c>
      <c r="M440">
        <f>sales[[#This Row],[sale_date]]-sales[[#This Row],[sighnup_date]]</f>
        <v>5</v>
      </c>
      <c r="N440" t="str">
        <f t="shared" si="6"/>
        <v>new customer</v>
      </c>
      <c r="O440" t="str">
        <f>_xlfn.XLOOKUP(A440,salesitems[sale_id],salesitems[category])</f>
        <v>Shoes</v>
      </c>
    </row>
    <row r="441" spans="1:15" x14ac:dyDescent="0.45">
      <c r="A441">
        <v>362</v>
      </c>
      <c r="B441" t="s">
        <v>15</v>
      </c>
      <c r="C441">
        <v>0</v>
      </c>
      <c r="D441">
        <v>514.28</v>
      </c>
      <c r="E441" s="1">
        <v>45802</v>
      </c>
      <c r="F441">
        <v>861</v>
      </c>
      <c r="G441" t="s">
        <v>38</v>
      </c>
      <c r="H441" t="str">
        <f>TEXT(sales[[#This Row],[sale_date]],"dddd")</f>
        <v>Sunday</v>
      </c>
      <c r="I441">
        <f>_xlfn.XLOOKUP(A441,salesitems[sale_id],salesitems[revenue],0)</f>
        <v>181.56</v>
      </c>
      <c r="J441">
        <v>1</v>
      </c>
      <c r="K441" s="10" t="str">
        <f>_xlfn.XLOOKUP(F441,customers[customer_id],customers[age_range])</f>
        <v>26-35</v>
      </c>
      <c r="L441" s="1">
        <f>_xlfn.XLOOKUP(F441,customers[customer_id],customers[signup_date])</f>
        <v>45707</v>
      </c>
      <c r="M441">
        <f>sales[[#This Row],[sale_date]]-sales[[#This Row],[sighnup_date]]</f>
        <v>95</v>
      </c>
      <c r="N441" t="str">
        <f t="shared" si="6"/>
        <v>existing customer</v>
      </c>
      <c r="O441" t="str">
        <f>_xlfn.XLOOKUP(A441,salesitems[sale_id],salesitems[category])</f>
        <v>Dresses</v>
      </c>
    </row>
    <row r="442" spans="1:15" x14ac:dyDescent="0.45">
      <c r="A442">
        <v>369</v>
      </c>
      <c r="B442" t="s">
        <v>21</v>
      </c>
      <c r="C442">
        <v>0</v>
      </c>
      <c r="D442">
        <v>257.37</v>
      </c>
      <c r="E442" s="1">
        <v>45776</v>
      </c>
      <c r="F442">
        <v>832</v>
      </c>
      <c r="G442" t="s">
        <v>33</v>
      </c>
      <c r="H442" t="str">
        <f>TEXT(sales[[#This Row],[sale_date]],"dddd")</f>
        <v>Tuesday</v>
      </c>
      <c r="I442">
        <f>_xlfn.XLOOKUP(A442,salesitems[sale_id],salesitems[revenue],0)</f>
        <v>34.229999999999997</v>
      </c>
      <c r="J442">
        <v>1</v>
      </c>
      <c r="K442" s="10" t="str">
        <f>_xlfn.XLOOKUP(F442,customers[customer_id],customers[age_range])</f>
        <v>16-25</v>
      </c>
      <c r="L442" s="1">
        <f>_xlfn.XLOOKUP(F442,customers[customer_id],customers[signup_date])</f>
        <v>45720</v>
      </c>
      <c r="M442">
        <f>sales[[#This Row],[sale_date]]-sales[[#This Row],[sighnup_date]]</f>
        <v>56</v>
      </c>
      <c r="N442" t="str">
        <f t="shared" si="6"/>
        <v>new customer</v>
      </c>
      <c r="O442" t="str">
        <f>_xlfn.XLOOKUP(A442,salesitems[sale_id],salesitems[category])</f>
        <v>Dresses</v>
      </c>
    </row>
    <row r="443" spans="1:15" x14ac:dyDescent="0.45">
      <c r="A443">
        <v>37</v>
      </c>
      <c r="B443" t="s">
        <v>15</v>
      </c>
      <c r="C443">
        <v>0</v>
      </c>
      <c r="D443">
        <v>715.38</v>
      </c>
      <c r="E443" s="1">
        <v>45769</v>
      </c>
      <c r="F443">
        <v>720</v>
      </c>
      <c r="G443" t="s">
        <v>34</v>
      </c>
      <c r="H443" t="str">
        <f>TEXT(sales[[#This Row],[sale_date]],"dddd")</f>
        <v>Tuesday</v>
      </c>
      <c r="I443">
        <f>_xlfn.XLOOKUP(A443,salesitems[sale_id],salesitems[revenue],0)</f>
        <v>246.68</v>
      </c>
      <c r="J443">
        <v>1</v>
      </c>
      <c r="K443" s="10" t="str">
        <f>_xlfn.XLOOKUP(F443,customers[customer_id],customers[age_range])</f>
        <v>46-55</v>
      </c>
      <c r="L443" s="1">
        <f>_xlfn.XLOOKUP(F443,customers[customer_id],customers[signup_date])</f>
        <v>45737</v>
      </c>
      <c r="M443">
        <f>sales[[#This Row],[sale_date]]-sales[[#This Row],[sighnup_date]]</f>
        <v>32</v>
      </c>
      <c r="N443" t="str">
        <f t="shared" si="6"/>
        <v>new customer</v>
      </c>
      <c r="O443" t="str">
        <f>_xlfn.XLOOKUP(A443,salesitems[sale_id],salesitems[category])</f>
        <v>Pants</v>
      </c>
    </row>
    <row r="444" spans="1:15" x14ac:dyDescent="0.45">
      <c r="A444">
        <v>370</v>
      </c>
      <c r="B444" t="s">
        <v>15</v>
      </c>
      <c r="C444">
        <v>0</v>
      </c>
      <c r="D444">
        <v>186.88</v>
      </c>
      <c r="E444" s="1">
        <v>45768</v>
      </c>
      <c r="F444">
        <v>225</v>
      </c>
      <c r="G444" t="s">
        <v>28</v>
      </c>
      <c r="H444" t="str">
        <f>TEXT(sales[[#This Row],[sale_date]],"dddd")</f>
        <v>Monday</v>
      </c>
      <c r="I444">
        <f>_xlfn.XLOOKUP(A444,salesitems[sale_id],salesitems[revenue],0)</f>
        <v>66.63</v>
      </c>
      <c r="J444">
        <v>1</v>
      </c>
      <c r="K444" s="10" t="str">
        <f>_xlfn.XLOOKUP(F444,customers[customer_id],customers[age_range])</f>
        <v>26-35</v>
      </c>
      <c r="L444" s="1">
        <f>_xlfn.XLOOKUP(F444,customers[customer_id],customers[signup_date])</f>
        <v>45728</v>
      </c>
      <c r="M444">
        <f>sales[[#This Row],[sale_date]]-sales[[#This Row],[sighnup_date]]</f>
        <v>40</v>
      </c>
      <c r="N444" t="str">
        <f t="shared" si="6"/>
        <v>new customer</v>
      </c>
      <c r="O444" t="str">
        <f>_xlfn.XLOOKUP(A444,salesitems[sale_id],salesitems[category])</f>
        <v>Sleepwear</v>
      </c>
    </row>
    <row r="445" spans="1:15" x14ac:dyDescent="0.45">
      <c r="A445">
        <v>371</v>
      </c>
      <c r="B445" t="s">
        <v>21</v>
      </c>
      <c r="C445">
        <v>0</v>
      </c>
      <c r="D445">
        <v>459.42</v>
      </c>
      <c r="E445" s="1">
        <v>45767</v>
      </c>
      <c r="F445">
        <v>470</v>
      </c>
      <c r="G445" t="s">
        <v>33</v>
      </c>
      <c r="H445" t="str">
        <f>TEXT(sales[[#This Row],[sale_date]],"dddd")</f>
        <v>Sunday</v>
      </c>
      <c r="I445">
        <f>_xlfn.XLOOKUP(A445,salesitems[sale_id],salesitems[revenue],0)</f>
        <v>78.44</v>
      </c>
      <c r="J445">
        <v>1</v>
      </c>
      <c r="K445" s="10" t="str">
        <f>_xlfn.XLOOKUP(F445,customers[customer_id],customers[age_range])</f>
        <v>56-65</v>
      </c>
      <c r="L445" s="1">
        <f>_xlfn.XLOOKUP(F445,customers[customer_id],customers[signup_date])</f>
        <v>45752</v>
      </c>
      <c r="M445">
        <f>sales[[#This Row],[sale_date]]-sales[[#This Row],[sighnup_date]]</f>
        <v>15</v>
      </c>
      <c r="N445" t="str">
        <f t="shared" si="6"/>
        <v>new customer</v>
      </c>
      <c r="O445" t="str">
        <f>_xlfn.XLOOKUP(A445,salesitems[sale_id],salesitems[category])</f>
        <v>Pants</v>
      </c>
    </row>
    <row r="446" spans="1:15" x14ac:dyDescent="0.45">
      <c r="A446">
        <v>375</v>
      </c>
      <c r="B446" t="s">
        <v>21</v>
      </c>
      <c r="C446">
        <v>0</v>
      </c>
      <c r="D446">
        <v>420.74</v>
      </c>
      <c r="E446" s="1">
        <v>45761</v>
      </c>
      <c r="F446">
        <v>819</v>
      </c>
      <c r="G446" t="s">
        <v>33</v>
      </c>
      <c r="H446" t="str">
        <f>TEXT(sales[[#This Row],[sale_date]],"dddd")</f>
        <v>Monday</v>
      </c>
      <c r="I446">
        <f>_xlfn.XLOOKUP(A446,salesitems[sale_id],salesitems[revenue],0)</f>
        <v>159.14999999999998</v>
      </c>
      <c r="J446">
        <v>1</v>
      </c>
      <c r="K446" s="10" t="str">
        <f>_xlfn.XLOOKUP(F446,customers[customer_id],customers[age_range])</f>
        <v>46-55</v>
      </c>
      <c r="L446" s="1">
        <f>_xlfn.XLOOKUP(F446,customers[customer_id],customers[signup_date])</f>
        <v>45722</v>
      </c>
      <c r="M446">
        <f>sales[[#This Row],[sale_date]]-sales[[#This Row],[sighnup_date]]</f>
        <v>39</v>
      </c>
      <c r="N446" t="str">
        <f t="shared" si="6"/>
        <v>new customer</v>
      </c>
      <c r="O446" t="str">
        <f>_xlfn.XLOOKUP(A446,salesitems[sale_id],salesitems[category])</f>
        <v>T-Shirts</v>
      </c>
    </row>
    <row r="447" spans="1:15" x14ac:dyDescent="0.45">
      <c r="A447">
        <v>376</v>
      </c>
      <c r="B447" t="s">
        <v>15</v>
      </c>
      <c r="C447">
        <v>1</v>
      </c>
      <c r="D447">
        <v>195.76</v>
      </c>
      <c r="E447" s="1">
        <v>45796</v>
      </c>
      <c r="F447">
        <v>497</v>
      </c>
      <c r="G447" t="s">
        <v>36</v>
      </c>
      <c r="H447" t="str">
        <f>TEXT(sales[[#This Row],[sale_date]],"dddd")</f>
        <v>Monday</v>
      </c>
      <c r="I447">
        <f>_xlfn.XLOOKUP(A447,salesitems[sale_id],salesitems[revenue],0)</f>
        <v>15.07</v>
      </c>
      <c r="J447">
        <v>1</v>
      </c>
      <c r="K447" s="10" t="str">
        <f>_xlfn.XLOOKUP(F447,customers[customer_id],customers[age_range])</f>
        <v>36-45</v>
      </c>
      <c r="L447" s="1">
        <f>_xlfn.XLOOKUP(F447,customers[customer_id],customers[signup_date])</f>
        <v>45698</v>
      </c>
      <c r="M447">
        <f>sales[[#This Row],[sale_date]]-sales[[#This Row],[sighnup_date]]</f>
        <v>98</v>
      </c>
      <c r="N447" t="str">
        <f t="shared" si="6"/>
        <v>existing customer</v>
      </c>
      <c r="O447" t="str">
        <f>_xlfn.XLOOKUP(A447,salesitems[sale_id],salesitems[category])</f>
        <v>Shoes</v>
      </c>
    </row>
    <row r="448" spans="1:15" x14ac:dyDescent="0.45">
      <c r="A448">
        <v>377</v>
      </c>
      <c r="B448" t="s">
        <v>21</v>
      </c>
      <c r="C448">
        <v>0</v>
      </c>
      <c r="D448">
        <v>346.01</v>
      </c>
      <c r="E448" s="1">
        <v>45791</v>
      </c>
      <c r="F448">
        <v>823</v>
      </c>
      <c r="G448" t="s">
        <v>36</v>
      </c>
      <c r="H448" t="str">
        <f>TEXT(sales[[#This Row],[sale_date]],"dddd")</f>
        <v>Wednesday</v>
      </c>
      <c r="I448">
        <f>_xlfn.XLOOKUP(A448,salesitems[sale_id],salesitems[revenue],0)</f>
        <v>32.21</v>
      </c>
      <c r="J448">
        <v>1</v>
      </c>
      <c r="K448" s="10" t="str">
        <f>_xlfn.XLOOKUP(F448,customers[customer_id],customers[age_range])</f>
        <v>46-55</v>
      </c>
      <c r="L448" s="1">
        <f>_xlfn.XLOOKUP(F448,customers[customer_id],customers[signup_date])</f>
        <v>45787</v>
      </c>
      <c r="M448">
        <f>sales[[#This Row],[sale_date]]-sales[[#This Row],[sighnup_date]]</f>
        <v>4</v>
      </c>
      <c r="N448" t="str">
        <f t="shared" si="6"/>
        <v>new customer</v>
      </c>
      <c r="O448" t="str">
        <f>_xlfn.XLOOKUP(A448,salesitems[sale_id],salesitems[category])</f>
        <v>Dresses</v>
      </c>
    </row>
    <row r="449" spans="1:15" x14ac:dyDescent="0.45">
      <c r="A449">
        <v>378</v>
      </c>
      <c r="B449" t="s">
        <v>15</v>
      </c>
      <c r="C449">
        <v>0</v>
      </c>
      <c r="D449">
        <v>354.21</v>
      </c>
      <c r="E449" s="1">
        <v>45764</v>
      </c>
      <c r="F449">
        <v>943</v>
      </c>
      <c r="G449" t="s">
        <v>33</v>
      </c>
      <c r="H449" t="str">
        <f>TEXT(sales[[#This Row],[sale_date]],"dddd")</f>
        <v>Thursday</v>
      </c>
      <c r="I449">
        <f>_xlfn.XLOOKUP(A449,salesitems[sale_id],salesitems[revenue],0)</f>
        <v>38.9</v>
      </c>
      <c r="J449">
        <v>1</v>
      </c>
      <c r="K449" s="10" t="str">
        <f>_xlfn.XLOOKUP(F449,customers[customer_id],customers[age_range])</f>
        <v>56-65</v>
      </c>
      <c r="L449" s="1">
        <f>_xlfn.XLOOKUP(F449,customers[customer_id],customers[signup_date])</f>
        <v>45718</v>
      </c>
      <c r="M449">
        <f>sales[[#This Row],[sale_date]]-sales[[#This Row],[sighnup_date]]</f>
        <v>46</v>
      </c>
      <c r="N449" t="str">
        <f t="shared" si="6"/>
        <v>new customer</v>
      </c>
      <c r="O449" t="str">
        <f>_xlfn.XLOOKUP(A449,salesitems[sale_id],salesitems[category])</f>
        <v>Shoes</v>
      </c>
    </row>
    <row r="450" spans="1:15" x14ac:dyDescent="0.45">
      <c r="A450">
        <v>38</v>
      </c>
      <c r="B450" t="s">
        <v>21</v>
      </c>
      <c r="C450">
        <v>0</v>
      </c>
      <c r="D450">
        <v>440.7</v>
      </c>
      <c r="E450" s="1">
        <v>45803</v>
      </c>
      <c r="F450">
        <v>484</v>
      </c>
      <c r="G450" t="s">
        <v>28</v>
      </c>
      <c r="H450" t="str">
        <f>TEXT(sales[[#This Row],[sale_date]],"dddd")</f>
        <v>Monday</v>
      </c>
      <c r="I450">
        <f>_xlfn.XLOOKUP(A450,salesitems[sale_id],salesitems[revenue],0)</f>
        <v>134.58000000000001</v>
      </c>
      <c r="J450">
        <v>1</v>
      </c>
      <c r="K450" s="10" t="str">
        <f>_xlfn.XLOOKUP(F450,customers[customer_id],customers[age_range])</f>
        <v>56-65</v>
      </c>
      <c r="L450" s="1">
        <f>_xlfn.XLOOKUP(F450,customers[customer_id],customers[signup_date])</f>
        <v>45773</v>
      </c>
      <c r="M450">
        <f>sales[[#This Row],[sale_date]]-sales[[#This Row],[sighnup_date]]</f>
        <v>30</v>
      </c>
      <c r="N450" t="str">
        <f t="shared" ref="N450:N513" si="7">IF(M450&lt;0,"data issue",IF(M450&lt;=90,"new customer","existing customer"))</f>
        <v>new customer</v>
      </c>
      <c r="O450" t="str">
        <f>_xlfn.XLOOKUP(A450,salesitems[sale_id],salesitems[category])</f>
        <v>Dresses</v>
      </c>
    </row>
    <row r="451" spans="1:15" x14ac:dyDescent="0.45">
      <c r="A451">
        <v>382</v>
      </c>
      <c r="B451" t="s">
        <v>21</v>
      </c>
      <c r="C451">
        <v>0</v>
      </c>
      <c r="D451">
        <v>692.47</v>
      </c>
      <c r="E451" s="1">
        <v>45773</v>
      </c>
      <c r="F451">
        <v>99</v>
      </c>
      <c r="G451" t="s">
        <v>34</v>
      </c>
      <c r="H451" t="str">
        <f>TEXT(sales[[#This Row],[sale_date]],"dddd")</f>
        <v>Saturday</v>
      </c>
      <c r="I451">
        <f>_xlfn.XLOOKUP(A451,salesitems[sale_id],salesitems[revenue],0)</f>
        <v>176.82</v>
      </c>
      <c r="J451">
        <v>1</v>
      </c>
      <c r="K451" s="10" t="str">
        <f>_xlfn.XLOOKUP(F451,customers[customer_id],customers[age_range])</f>
        <v>36-45</v>
      </c>
      <c r="L451" s="1">
        <f>_xlfn.XLOOKUP(F451,customers[customer_id],customers[signup_date])</f>
        <v>45733</v>
      </c>
      <c r="M451">
        <f>sales[[#This Row],[sale_date]]-sales[[#This Row],[sighnup_date]]</f>
        <v>40</v>
      </c>
      <c r="N451" t="str">
        <f t="shared" si="7"/>
        <v>new customer</v>
      </c>
      <c r="O451" t="str">
        <f>_xlfn.XLOOKUP(A451,salesitems[sale_id],salesitems[category])</f>
        <v>Sleepwear</v>
      </c>
    </row>
    <row r="452" spans="1:15" x14ac:dyDescent="0.45">
      <c r="A452">
        <v>383</v>
      </c>
      <c r="B452" t="s">
        <v>15</v>
      </c>
      <c r="C452">
        <v>0</v>
      </c>
      <c r="D452">
        <v>504.66</v>
      </c>
      <c r="E452" s="1">
        <v>45762</v>
      </c>
      <c r="F452">
        <v>451</v>
      </c>
      <c r="G452" t="s">
        <v>28</v>
      </c>
      <c r="H452" t="str">
        <f>TEXT(sales[[#This Row],[sale_date]],"dddd")</f>
        <v>Tuesday</v>
      </c>
      <c r="I452">
        <f>_xlfn.XLOOKUP(A452,salesitems[sale_id],salesitems[revenue],0)</f>
        <v>59.07</v>
      </c>
      <c r="J452">
        <v>1</v>
      </c>
      <c r="K452" s="10" t="str">
        <f>_xlfn.XLOOKUP(F452,customers[customer_id],customers[age_range])</f>
        <v>36-45</v>
      </c>
      <c r="L452" s="1">
        <f>_xlfn.XLOOKUP(F452,customers[customer_id],customers[signup_date])</f>
        <v>45786</v>
      </c>
      <c r="M452">
        <f>sales[[#This Row],[sale_date]]-sales[[#This Row],[sighnup_date]]</f>
        <v>-24</v>
      </c>
      <c r="N452" t="str">
        <f t="shared" si="7"/>
        <v>data issue</v>
      </c>
      <c r="O452" t="str">
        <f>_xlfn.XLOOKUP(A452,salesitems[sale_id],salesitems[category])</f>
        <v>Pants</v>
      </c>
    </row>
    <row r="453" spans="1:15" x14ac:dyDescent="0.45">
      <c r="A453">
        <v>384</v>
      </c>
      <c r="B453" t="s">
        <v>21</v>
      </c>
      <c r="C453">
        <v>0</v>
      </c>
      <c r="D453">
        <v>453.66</v>
      </c>
      <c r="E453" s="1">
        <v>45774</v>
      </c>
      <c r="F453">
        <v>242</v>
      </c>
      <c r="G453" t="s">
        <v>31</v>
      </c>
      <c r="H453" t="str">
        <f>TEXT(sales[[#This Row],[sale_date]],"dddd")</f>
        <v>Sunday</v>
      </c>
      <c r="I453">
        <f>_xlfn.XLOOKUP(A453,salesitems[sale_id],salesitems[revenue],0)</f>
        <v>45.27</v>
      </c>
      <c r="J453">
        <v>1</v>
      </c>
      <c r="K453" s="10" t="str">
        <f>_xlfn.XLOOKUP(F453,customers[customer_id],customers[age_range])</f>
        <v>46-55</v>
      </c>
      <c r="L453" s="1">
        <f>_xlfn.XLOOKUP(F453,customers[customer_id],customers[signup_date])</f>
        <v>45758</v>
      </c>
      <c r="M453">
        <f>sales[[#This Row],[sale_date]]-sales[[#This Row],[sighnup_date]]</f>
        <v>16</v>
      </c>
      <c r="N453" t="str">
        <f t="shared" si="7"/>
        <v>new customer</v>
      </c>
      <c r="O453" t="str">
        <f>_xlfn.XLOOKUP(A453,salesitems[sale_id],salesitems[category])</f>
        <v>Dresses</v>
      </c>
    </row>
    <row r="454" spans="1:15" x14ac:dyDescent="0.45">
      <c r="A454">
        <v>386</v>
      </c>
      <c r="B454" t="s">
        <v>15</v>
      </c>
      <c r="C454">
        <v>0</v>
      </c>
      <c r="D454">
        <v>323.99</v>
      </c>
      <c r="E454" s="1">
        <v>45768</v>
      </c>
      <c r="F454">
        <v>445</v>
      </c>
      <c r="G454" t="s">
        <v>33</v>
      </c>
      <c r="H454" t="str">
        <f>TEXT(sales[[#This Row],[sale_date]],"dddd")</f>
        <v>Monday</v>
      </c>
      <c r="I454">
        <f>_xlfn.XLOOKUP(A454,salesitems[sale_id],salesitems[revenue],0)</f>
        <v>41.56</v>
      </c>
      <c r="J454">
        <v>1</v>
      </c>
      <c r="K454" s="10" t="str">
        <f>_xlfn.XLOOKUP(F454,customers[customer_id],customers[age_range])</f>
        <v>46-55</v>
      </c>
      <c r="L454" s="1">
        <f>_xlfn.XLOOKUP(F454,customers[customer_id],customers[signup_date])</f>
        <v>45741</v>
      </c>
      <c r="M454">
        <f>sales[[#This Row],[sale_date]]-sales[[#This Row],[sighnup_date]]</f>
        <v>27</v>
      </c>
      <c r="N454" t="str">
        <f t="shared" si="7"/>
        <v>new customer</v>
      </c>
      <c r="O454" t="str">
        <f>_xlfn.XLOOKUP(A454,salesitems[sale_id],salesitems[category])</f>
        <v>Sleepwear</v>
      </c>
    </row>
    <row r="455" spans="1:15" x14ac:dyDescent="0.45">
      <c r="A455">
        <v>387</v>
      </c>
      <c r="B455" t="s">
        <v>21</v>
      </c>
      <c r="C455">
        <v>0</v>
      </c>
      <c r="D455">
        <v>362.98</v>
      </c>
      <c r="E455" s="1">
        <v>45767</v>
      </c>
      <c r="F455">
        <v>2</v>
      </c>
      <c r="G455" t="s">
        <v>28</v>
      </c>
      <c r="H455" t="str">
        <f>TEXT(sales[[#This Row],[sale_date]],"dddd")</f>
        <v>Sunday</v>
      </c>
      <c r="I455">
        <f>_xlfn.XLOOKUP(A455,salesitems[sale_id],salesitems[revenue],0)</f>
        <v>81.88</v>
      </c>
      <c r="J455">
        <v>1</v>
      </c>
      <c r="K455" s="10" t="str">
        <f>_xlfn.XLOOKUP(F455,customers[customer_id],customers[age_range])</f>
        <v>36-45</v>
      </c>
      <c r="L455" s="1">
        <f>_xlfn.XLOOKUP(F455,customers[customer_id],customers[signup_date])</f>
        <v>45712</v>
      </c>
      <c r="M455">
        <f>sales[[#This Row],[sale_date]]-sales[[#This Row],[sighnup_date]]</f>
        <v>55</v>
      </c>
      <c r="N455" t="str">
        <f t="shared" si="7"/>
        <v>new customer</v>
      </c>
      <c r="O455" t="str">
        <f>_xlfn.XLOOKUP(A455,salesitems[sale_id],salesitems[category])</f>
        <v>Sleepwear</v>
      </c>
    </row>
    <row r="456" spans="1:15" x14ac:dyDescent="0.45">
      <c r="A456">
        <v>389</v>
      </c>
      <c r="B456" t="s">
        <v>21</v>
      </c>
      <c r="C456">
        <v>0</v>
      </c>
      <c r="D456">
        <v>265.11</v>
      </c>
      <c r="E456" s="1">
        <v>45765</v>
      </c>
      <c r="F456">
        <v>457</v>
      </c>
      <c r="G456" t="s">
        <v>36</v>
      </c>
      <c r="H456" t="str">
        <f>TEXT(sales[[#This Row],[sale_date]],"dddd")</f>
        <v>Friday</v>
      </c>
      <c r="I456">
        <f>_xlfn.XLOOKUP(A456,salesitems[sale_id],salesitems[revenue],0)</f>
        <v>49.76</v>
      </c>
      <c r="J456">
        <v>1</v>
      </c>
      <c r="K456" s="10" t="str">
        <f>_xlfn.XLOOKUP(F456,customers[customer_id],customers[age_range])</f>
        <v>16-25</v>
      </c>
      <c r="L456" s="1">
        <f>_xlfn.XLOOKUP(F456,customers[customer_id],customers[signup_date])</f>
        <v>45770</v>
      </c>
      <c r="M456">
        <f>sales[[#This Row],[sale_date]]-sales[[#This Row],[sighnup_date]]</f>
        <v>-5</v>
      </c>
      <c r="N456" t="str">
        <f t="shared" si="7"/>
        <v>data issue</v>
      </c>
      <c r="O456" t="str">
        <f>_xlfn.XLOOKUP(A456,salesitems[sale_id],salesitems[category])</f>
        <v>Shoes</v>
      </c>
    </row>
    <row r="457" spans="1:15" x14ac:dyDescent="0.45">
      <c r="A457">
        <v>39</v>
      </c>
      <c r="B457" t="s">
        <v>21</v>
      </c>
      <c r="C457">
        <v>0</v>
      </c>
      <c r="D457">
        <v>628.12</v>
      </c>
      <c r="E457" s="1">
        <v>45791</v>
      </c>
      <c r="F457">
        <v>955</v>
      </c>
      <c r="G457" t="s">
        <v>38</v>
      </c>
      <c r="H457" t="str">
        <f>TEXT(sales[[#This Row],[sale_date]],"dddd")</f>
        <v>Wednesday</v>
      </c>
      <c r="I457">
        <f>_xlfn.XLOOKUP(A457,salesitems[sale_id],salesitems[revenue],0)</f>
        <v>40.119999999999997</v>
      </c>
      <c r="J457">
        <v>1</v>
      </c>
      <c r="K457" s="10" t="str">
        <f>_xlfn.XLOOKUP(F457,customers[customer_id],customers[age_range])</f>
        <v>26-35</v>
      </c>
      <c r="L457" s="1">
        <f>_xlfn.XLOOKUP(F457,customers[customer_id],customers[signup_date])</f>
        <v>45761</v>
      </c>
      <c r="M457">
        <f>sales[[#This Row],[sale_date]]-sales[[#This Row],[sighnup_date]]</f>
        <v>30</v>
      </c>
      <c r="N457" t="str">
        <f t="shared" si="7"/>
        <v>new customer</v>
      </c>
      <c r="O457" t="str">
        <f>_xlfn.XLOOKUP(A457,salesitems[sale_id],salesitems[category])</f>
        <v>T-Shirts</v>
      </c>
    </row>
    <row r="458" spans="1:15" x14ac:dyDescent="0.45">
      <c r="A458">
        <v>390</v>
      </c>
      <c r="B458" t="s">
        <v>15</v>
      </c>
      <c r="C458">
        <v>0</v>
      </c>
      <c r="D458">
        <v>630.23</v>
      </c>
      <c r="E458" s="1">
        <v>45797</v>
      </c>
      <c r="F458">
        <v>564</v>
      </c>
      <c r="G458" t="s">
        <v>33</v>
      </c>
      <c r="H458" t="str">
        <f>TEXT(sales[[#This Row],[sale_date]],"dddd")</f>
        <v>Tuesday</v>
      </c>
      <c r="I458">
        <f>_xlfn.XLOOKUP(A458,salesitems[sale_id],salesitems[revenue],0)</f>
        <v>135.80000000000001</v>
      </c>
      <c r="J458">
        <v>1</v>
      </c>
      <c r="K458" s="10" t="str">
        <f>_xlfn.XLOOKUP(F458,customers[customer_id],customers[age_range])</f>
        <v>26-35</v>
      </c>
      <c r="L458" s="1">
        <f>_xlfn.XLOOKUP(F458,customers[customer_id],customers[signup_date])</f>
        <v>45711</v>
      </c>
      <c r="M458">
        <f>sales[[#This Row],[sale_date]]-sales[[#This Row],[sighnup_date]]</f>
        <v>86</v>
      </c>
      <c r="N458" t="str">
        <f t="shared" si="7"/>
        <v>new customer</v>
      </c>
      <c r="O458" t="str">
        <f>_xlfn.XLOOKUP(A458,salesitems[sale_id],salesitems[category])</f>
        <v>Sleepwear</v>
      </c>
    </row>
    <row r="459" spans="1:15" x14ac:dyDescent="0.45">
      <c r="A459">
        <v>391</v>
      </c>
      <c r="B459" t="s">
        <v>21</v>
      </c>
      <c r="C459">
        <v>0</v>
      </c>
      <c r="D459">
        <v>718.22</v>
      </c>
      <c r="E459" s="1">
        <v>45777</v>
      </c>
      <c r="F459">
        <v>564</v>
      </c>
      <c r="G459" t="s">
        <v>33</v>
      </c>
      <c r="H459" t="str">
        <f>TEXT(sales[[#This Row],[sale_date]],"dddd")</f>
        <v>Wednesday</v>
      </c>
      <c r="I459">
        <f>_xlfn.XLOOKUP(A459,salesitems[sale_id],salesitems[revenue],0)</f>
        <v>211.38</v>
      </c>
      <c r="J459">
        <v>1</v>
      </c>
      <c r="K459" s="10" t="str">
        <f>_xlfn.XLOOKUP(F459,customers[customer_id],customers[age_range])</f>
        <v>26-35</v>
      </c>
      <c r="L459" s="1">
        <f>_xlfn.XLOOKUP(F459,customers[customer_id],customers[signup_date])</f>
        <v>45711</v>
      </c>
      <c r="M459">
        <f>sales[[#This Row],[sale_date]]-sales[[#This Row],[sighnup_date]]</f>
        <v>66</v>
      </c>
      <c r="N459" t="str">
        <f t="shared" si="7"/>
        <v>new customer</v>
      </c>
      <c r="O459" t="str">
        <f>_xlfn.XLOOKUP(A459,salesitems[sale_id],salesitems[category])</f>
        <v>T-Shirts</v>
      </c>
    </row>
    <row r="460" spans="1:15" x14ac:dyDescent="0.45">
      <c r="A460">
        <v>392</v>
      </c>
      <c r="B460" t="s">
        <v>21</v>
      </c>
      <c r="C460">
        <v>0</v>
      </c>
      <c r="D460">
        <v>202.88</v>
      </c>
      <c r="E460" s="1">
        <v>45798</v>
      </c>
      <c r="F460">
        <v>975</v>
      </c>
      <c r="G460" t="s">
        <v>31</v>
      </c>
      <c r="H460" t="str">
        <f>TEXT(sales[[#This Row],[sale_date]],"dddd")</f>
        <v>Wednesday</v>
      </c>
      <c r="I460">
        <f>_xlfn.XLOOKUP(A460,salesitems[sale_id],salesitems[revenue],0)</f>
        <v>46.9</v>
      </c>
      <c r="J460">
        <v>1</v>
      </c>
      <c r="K460" s="10" t="str">
        <f>_xlfn.XLOOKUP(F460,customers[customer_id],customers[age_range])</f>
        <v>46-55</v>
      </c>
      <c r="L460" s="1">
        <f>_xlfn.XLOOKUP(F460,customers[customer_id],customers[signup_date])</f>
        <v>45766</v>
      </c>
      <c r="M460">
        <f>sales[[#This Row],[sale_date]]-sales[[#This Row],[sighnup_date]]</f>
        <v>32</v>
      </c>
      <c r="N460" t="str">
        <f t="shared" si="7"/>
        <v>new customer</v>
      </c>
      <c r="O460" t="str">
        <f>_xlfn.XLOOKUP(A460,salesitems[sale_id],salesitems[category])</f>
        <v>Shoes</v>
      </c>
    </row>
    <row r="461" spans="1:15" x14ac:dyDescent="0.45">
      <c r="A461">
        <v>394</v>
      </c>
      <c r="B461" t="s">
        <v>21</v>
      </c>
      <c r="C461">
        <v>0</v>
      </c>
      <c r="D461">
        <v>456.05</v>
      </c>
      <c r="E461" s="1">
        <v>45823</v>
      </c>
      <c r="F461">
        <v>435</v>
      </c>
      <c r="G461" t="s">
        <v>31</v>
      </c>
      <c r="H461" t="str">
        <f>TEXT(sales[[#This Row],[sale_date]],"dddd")</f>
        <v>Sunday</v>
      </c>
      <c r="I461">
        <f>_xlfn.XLOOKUP(A461,salesitems[sale_id],salesitems[revenue],0)</f>
        <v>63.22</v>
      </c>
      <c r="J461">
        <v>1</v>
      </c>
      <c r="K461" s="10" t="str">
        <f>_xlfn.XLOOKUP(F461,customers[customer_id],customers[age_range])</f>
        <v>36-45</v>
      </c>
      <c r="L461" s="1">
        <f>_xlfn.XLOOKUP(F461,customers[customer_id],customers[signup_date])</f>
        <v>45705</v>
      </c>
      <c r="M461">
        <f>sales[[#This Row],[sale_date]]-sales[[#This Row],[sighnup_date]]</f>
        <v>118</v>
      </c>
      <c r="N461" t="str">
        <f t="shared" si="7"/>
        <v>existing customer</v>
      </c>
      <c r="O461" t="str">
        <f>_xlfn.XLOOKUP(A461,salesitems[sale_id],salesitems[category])</f>
        <v>Pants</v>
      </c>
    </row>
    <row r="462" spans="1:15" x14ac:dyDescent="0.45">
      <c r="A462">
        <v>396</v>
      </c>
      <c r="B462" t="s">
        <v>21</v>
      </c>
      <c r="C462">
        <v>0</v>
      </c>
      <c r="D462">
        <v>567.23</v>
      </c>
      <c r="E462" s="1">
        <v>45805</v>
      </c>
      <c r="F462">
        <v>612</v>
      </c>
      <c r="G462" t="s">
        <v>33</v>
      </c>
      <c r="H462" t="str">
        <f>TEXT(sales[[#This Row],[sale_date]],"dddd")</f>
        <v>Wednesday</v>
      </c>
      <c r="I462">
        <f>_xlfn.XLOOKUP(A462,salesitems[sale_id],salesitems[revenue],0)</f>
        <v>110.02</v>
      </c>
      <c r="J462">
        <v>1</v>
      </c>
      <c r="K462" s="10" t="str">
        <f>_xlfn.XLOOKUP(F462,customers[customer_id],customers[age_range])</f>
        <v>36-45</v>
      </c>
      <c r="L462" s="1">
        <f>_xlfn.XLOOKUP(F462,customers[customer_id],customers[signup_date])</f>
        <v>45694</v>
      </c>
      <c r="M462">
        <f>sales[[#This Row],[sale_date]]-sales[[#This Row],[sighnup_date]]</f>
        <v>111</v>
      </c>
      <c r="N462" t="str">
        <f t="shared" si="7"/>
        <v>existing customer</v>
      </c>
      <c r="O462" t="str">
        <f>_xlfn.XLOOKUP(A462,salesitems[sale_id],salesitems[category])</f>
        <v>Shoes</v>
      </c>
    </row>
    <row r="463" spans="1:15" x14ac:dyDescent="0.45">
      <c r="A463">
        <v>397</v>
      </c>
      <c r="B463" t="s">
        <v>21</v>
      </c>
      <c r="C463">
        <v>0</v>
      </c>
      <c r="D463">
        <v>458.22</v>
      </c>
      <c r="E463" s="1">
        <v>45776</v>
      </c>
      <c r="F463">
        <v>17</v>
      </c>
      <c r="G463" t="s">
        <v>28</v>
      </c>
      <c r="H463" t="str">
        <f>TEXT(sales[[#This Row],[sale_date]],"dddd")</f>
        <v>Tuesday</v>
      </c>
      <c r="I463">
        <f>_xlfn.XLOOKUP(A463,salesitems[sale_id],salesitems[revenue],0)</f>
        <v>50.55</v>
      </c>
      <c r="J463">
        <v>1</v>
      </c>
      <c r="K463" s="10" t="str">
        <f>_xlfn.XLOOKUP(F463,customers[customer_id],customers[age_range])</f>
        <v>26-35</v>
      </c>
      <c r="L463" s="1">
        <f>_xlfn.XLOOKUP(F463,customers[customer_id],customers[signup_date])</f>
        <v>45764</v>
      </c>
      <c r="M463">
        <f>sales[[#This Row],[sale_date]]-sales[[#This Row],[sighnup_date]]</f>
        <v>12</v>
      </c>
      <c r="N463" t="str">
        <f t="shared" si="7"/>
        <v>new customer</v>
      </c>
      <c r="O463" t="str">
        <f>_xlfn.XLOOKUP(A463,salesitems[sale_id],salesitems[category])</f>
        <v>T-Shirts</v>
      </c>
    </row>
    <row r="464" spans="1:15" x14ac:dyDescent="0.45">
      <c r="A464">
        <v>399</v>
      </c>
      <c r="B464" t="s">
        <v>15</v>
      </c>
      <c r="C464">
        <v>0</v>
      </c>
      <c r="D464">
        <v>392.48</v>
      </c>
      <c r="E464" s="1">
        <v>45752</v>
      </c>
      <c r="F464">
        <v>700</v>
      </c>
      <c r="G464" t="s">
        <v>38</v>
      </c>
      <c r="H464" t="str">
        <f>TEXT(sales[[#This Row],[sale_date]],"dddd")</f>
        <v>Saturday</v>
      </c>
      <c r="I464">
        <f>_xlfn.XLOOKUP(A464,salesitems[sale_id],salesitems[revenue],0)</f>
        <v>105.2</v>
      </c>
      <c r="J464">
        <v>1</v>
      </c>
      <c r="K464" s="10" t="str">
        <f>_xlfn.XLOOKUP(F464,customers[customer_id],customers[age_range])</f>
        <v>16-25</v>
      </c>
      <c r="L464" s="1">
        <f>_xlfn.XLOOKUP(F464,customers[customer_id],customers[signup_date])</f>
        <v>45724</v>
      </c>
      <c r="M464">
        <f>sales[[#This Row],[sale_date]]-sales[[#This Row],[sighnup_date]]</f>
        <v>28</v>
      </c>
      <c r="N464" t="str">
        <f t="shared" si="7"/>
        <v>new customer</v>
      </c>
      <c r="O464" t="str">
        <f>_xlfn.XLOOKUP(A464,salesitems[sale_id],salesitems[category])</f>
        <v>Sleepwear</v>
      </c>
    </row>
    <row r="465" spans="1:15" x14ac:dyDescent="0.45">
      <c r="A465">
        <v>40</v>
      </c>
      <c r="B465" t="s">
        <v>15</v>
      </c>
      <c r="C465">
        <v>1</v>
      </c>
      <c r="D465">
        <v>233.35</v>
      </c>
      <c r="E465" s="1">
        <v>45790</v>
      </c>
      <c r="F465">
        <v>96</v>
      </c>
      <c r="G465" t="s">
        <v>33</v>
      </c>
      <c r="H465" t="str">
        <f>TEXT(sales[[#This Row],[sale_date]],"dddd")</f>
        <v>Tuesday</v>
      </c>
      <c r="I465">
        <f>_xlfn.XLOOKUP(A465,salesitems[sale_id],salesitems[revenue],0)</f>
        <v>36.979999999999997</v>
      </c>
      <c r="J465">
        <v>1</v>
      </c>
      <c r="K465" s="10" t="str">
        <f>_xlfn.XLOOKUP(F465,customers[customer_id],customers[age_range])</f>
        <v>36-45</v>
      </c>
      <c r="L465" s="1">
        <f>_xlfn.XLOOKUP(F465,customers[customer_id],customers[signup_date])</f>
        <v>45703</v>
      </c>
      <c r="M465">
        <f>sales[[#This Row],[sale_date]]-sales[[#This Row],[sighnup_date]]</f>
        <v>87</v>
      </c>
      <c r="N465" t="str">
        <f t="shared" si="7"/>
        <v>new customer</v>
      </c>
      <c r="O465" t="str">
        <f>_xlfn.XLOOKUP(A465,salesitems[sale_id],salesitems[category])</f>
        <v>Sleepwear</v>
      </c>
    </row>
    <row r="466" spans="1:15" x14ac:dyDescent="0.45">
      <c r="A466">
        <v>400</v>
      </c>
      <c r="B466" t="s">
        <v>15</v>
      </c>
      <c r="C466">
        <v>0</v>
      </c>
      <c r="D466">
        <v>487.91</v>
      </c>
      <c r="E466" s="1">
        <v>45768</v>
      </c>
      <c r="F466">
        <v>928</v>
      </c>
      <c r="G466" t="s">
        <v>31</v>
      </c>
      <c r="H466" t="str">
        <f>TEXT(sales[[#This Row],[sale_date]],"dddd")</f>
        <v>Monday</v>
      </c>
      <c r="I466">
        <f>_xlfn.XLOOKUP(A466,salesitems[sale_id],salesitems[revenue],0)</f>
        <v>99.52</v>
      </c>
      <c r="J466">
        <v>1</v>
      </c>
      <c r="K466" s="10" t="str">
        <f>_xlfn.XLOOKUP(F466,customers[customer_id],customers[age_range])</f>
        <v>36-45</v>
      </c>
      <c r="L466" s="1">
        <f>_xlfn.XLOOKUP(F466,customers[customer_id],customers[signup_date])</f>
        <v>45740</v>
      </c>
      <c r="M466">
        <f>sales[[#This Row],[sale_date]]-sales[[#This Row],[sighnup_date]]</f>
        <v>28</v>
      </c>
      <c r="N466" t="str">
        <f t="shared" si="7"/>
        <v>new customer</v>
      </c>
      <c r="O466" t="str">
        <f>_xlfn.XLOOKUP(A466,salesitems[sale_id],salesitems[category])</f>
        <v>Shoes</v>
      </c>
    </row>
    <row r="467" spans="1:15" x14ac:dyDescent="0.45">
      <c r="A467">
        <v>401</v>
      </c>
      <c r="B467" t="s">
        <v>21</v>
      </c>
      <c r="C467">
        <v>0</v>
      </c>
      <c r="D467">
        <v>523.89</v>
      </c>
      <c r="E467" s="1">
        <v>45762</v>
      </c>
      <c r="F467">
        <v>397</v>
      </c>
      <c r="G467" t="s">
        <v>28</v>
      </c>
      <c r="H467" t="str">
        <f>TEXT(sales[[#This Row],[sale_date]],"dddd")</f>
        <v>Tuesday</v>
      </c>
      <c r="I467">
        <f>_xlfn.XLOOKUP(A467,salesitems[sale_id],salesitems[revenue],0)</f>
        <v>222.84</v>
      </c>
      <c r="J467">
        <v>1</v>
      </c>
      <c r="K467" s="10" t="str">
        <f>_xlfn.XLOOKUP(F467,customers[customer_id],customers[age_range])</f>
        <v>36-45</v>
      </c>
      <c r="L467" s="1">
        <f>_xlfn.XLOOKUP(F467,customers[customer_id],customers[signup_date])</f>
        <v>45696</v>
      </c>
      <c r="M467">
        <f>sales[[#This Row],[sale_date]]-sales[[#This Row],[sighnup_date]]</f>
        <v>66</v>
      </c>
      <c r="N467" t="str">
        <f t="shared" si="7"/>
        <v>new customer</v>
      </c>
      <c r="O467" t="str">
        <f>_xlfn.XLOOKUP(A467,salesitems[sale_id],salesitems[category])</f>
        <v>Shoes</v>
      </c>
    </row>
    <row r="468" spans="1:15" x14ac:dyDescent="0.45">
      <c r="A468">
        <v>402</v>
      </c>
      <c r="B468" t="s">
        <v>21</v>
      </c>
      <c r="C468">
        <v>0</v>
      </c>
      <c r="D468">
        <v>394.47</v>
      </c>
      <c r="E468" s="1">
        <v>45790</v>
      </c>
      <c r="F468">
        <v>301</v>
      </c>
      <c r="G468" t="s">
        <v>28</v>
      </c>
      <c r="H468" t="str">
        <f>TEXT(sales[[#This Row],[sale_date]],"dddd")</f>
        <v>Tuesday</v>
      </c>
      <c r="I468">
        <f>_xlfn.XLOOKUP(A468,salesitems[sale_id],salesitems[revenue],0)</f>
        <v>58.11</v>
      </c>
      <c r="J468">
        <v>1</v>
      </c>
      <c r="K468" s="10" t="str">
        <f>_xlfn.XLOOKUP(F468,customers[customer_id],customers[age_range])</f>
        <v>26-35</v>
      </c>
      <c r="L468" s="1">
        <f>_xlfn.XLOOKUP(F468,customers[customer_id],customers[signup_date])</f>
        <v>45740</v>
      </c>
      <c r="M468">
        <f>sales[[#This Row],[sale_date]]-sales[[#This Row],[sighnup_date]]</f>
        <v>50</v>
      </c>
      <c r="N468" t="str">
        <f t="shared" si="7"/>
        <v>new customer</v>
      </c>
      <c r="O468" t="str">
        <f>_xlfn.XLOOKUP(A468,salesitems[sale_id],salesitems[category])</f>
        <v>Shoes</v>
      </c>
    </row>
    <row r="469" spans="1:15" x14ac:dyDescent="0.45">
      <c r="A469">
        <v>403</v>
      </c>
      <c r="B469" t="s">
        <v>15</v>
      </c>
      <c r="C469">
        <v>0</v>
      </c>
      <c r="D469">
        <v>336.24</v>
      </c>
      <c r="E469" s="1">
        <v>45774</v>
      </c>
      <c r="F469">
        <v>476</v>
      </c>
      <c r="G469" t="s">
        <v>36</v>
      </c>
      <c r="H469" t="str">
        <f>TEXT(sales[[#This Row],[sale_date]],"dddd")</f>
        <v>Sunday</v>
      </c>
      <c r="I469">
        <f>_xlfn.XLOOKUP(A469,salesitems[sale_id],salesitems[revenue],0)</f>
        <v>44.06</v>
      </c>
      <c r="J469">
        <v>1</v>
      </c>
      <c r="K469" s="10" t="str">
        <f>_xlfn.XLOOKUP(F469,customers[customer_id],customers[age_range])</f>
        <v>56-65</v>
      </c>
      <c r="L469" s="1">
        <f>_xlfn.XLOOKUP(F469,customers[customer_id],customers[signup_date])</f>
        <v>45719</v>
      </c>
      <c r="M469">
        <f>sales[[#This Row],[sale_date]]-sales[[#This Row],[sighnup_date]]</f>
        <v>55</v>
      </c>
      <c r="N469" t="str">
        <f t="shared" si="7"/>
        <v>new customer</v>
      </c>
      <c r="O469" t="str">
        <f>_xlfn.XLOOKUP(A469,salesitems[sale_id],salesitems[category])</f>
        <v>Shoes</v>
      </c>
    </row>
    <row r="470" spans="1:15" x14ac:dyDescent="0.45">
      <c r="A470">
        <v>404</v>
      </c>
      <c r="B470" t="s">
        <v>21</v>
      </c>
      <c r="C470">
        <v>0</v>
      </c>
      <c r="D470">
        <v>225.88</v>
      </c>
      <c r="E470" s="1">
        <v>45803</v>
      </c>
      <c r="F470">
        <v>929</v>
      </c>
      <c r="G470" t="s">
        <v>31</v>
      </c>
      <c r="H470" t="str">
        <f>TEXT(sales[[#This Row],[sale_date]],"dddd")</f>
        <v>Monday</v>
      </c>
      <c r="I470">
        <f>_xlfn.XLOOKUP(A470,salesitems[sale_id],salesitems[revenue],0)</f>
        <v>60.31</v>
      </c>
      <c r="J470">
        <v>1</v>
      </c>
      <c r="K470" s="10" t="str">
        <f>_xlfn.XLOOKUP(F470,customers[customer_id],customers[age_range])</f>
        <v>26-35</v>
      </c>
      <c r="L470" s="1">
        <f>_xlfn.XLOOKUP(F470,customers[customer_id],customers[signup_date])</f>
        <v>45668</v>
      </c>
      <c r="M470">
        <f>sales[[#This Row],[sale_date]]-sales[[#This Row],[sighnup_date]]</f>
        <v>135</v>
      </c>
      <c r="N470" t="str">
        <f t="shared" si="7"/>
        <v>existing customer</v>
      </c>
      <c r="O470" t="str">
        <f>_xlfn.XLOOKUP(A470,salesitems[sale_id],salesitems[category])</f>
        <v>T-Shirts</v>
      </c>
    </row>
    <row r="471" spans="1:15" x14ac:dyDescent="0.45">
      <c r="A471">
        <v>405</v>
      </c>
      <c r="B471" t="s">
        <v>21</v>
      </c>
      <c r="C471">
        <v>0</v>
      </c>
      <c r="D471">
        <v>455.67</v>
      </c>
      <c r="E471" s="1">
        <v>45797</v>
      </c>
      <c r="F471">
        <v>657</v>
      </c>
      <c r="G471" t="s">
        <v>33</v>
      </c>
      <c r="H471" t="str">
        <f>TEXT(sales[[#This Row],[sale_date]],"dddd")</f>
        <v>Tuesday</v>
      </c>
      <c r="I471">
        <f>_xlfn.XLOOKUP(A471,salesitems[sale_id],salesitems[revenue],0)</f>
        <v>100.68</v>
      </c>
      <c r="J471">
        <v>1</v>
      </c>
      <c r="K471" s="10" t="str">
        <f>_xlfn.XLOOKUP(F471,customers[customer_id],customers[age_range])</f>
        <v>26-35</v>
      </c>
      <c r="L471" s="1">
        <f>_xlfn.XLOOKUP(F471,customers[customer_id],customers[signup_date])</f>
        <v>45732</v>
      </c>
      <c r="M471">
        <f>sales[[#This Row],[sale_date]]-sales[[#This Row],[sighnup_date]]</f>
        <v>65</v>
      </c>
      <c r="N471" t="str">
        <f t="shared" si="7"/>
        <v>new customer</v>
      </c>
      <c r="O471" t="str">
        <f>_xlfn.XLOOKUP(A471,salesitems[sale_id],salesitems[category])</f>
        <v>T-Shirts</v>
      </c>
    </row>
    <row r="472" spans="1:15" x14ac:dyDescent="0.45">
      <c r="A472">
        <v>406</v>
      </c>
      <c r="B472" t="s">
        <v>21</v>
      </c>
      <c r="C472">
        <v>0</v>
      </c>
      <c r="D472">
        <v>566.89</v>
      </c>
      <c r="E472" s="1">
        <v>45791</v>
      </c>
      <c r="F472">
        <v>677</v>
      </c>
      <c r="G472" t="s">
        <v>38</v>
      </c>
      <c r="H472" t="str">
        <f>TEXT(sales[[#This Row],[sale_date]],"dddd")</f>
        <v>Wednesday</v>
      </c>
      <c r="I472">
        <f>_xlfn.XLOOKUP(A472,salesitems[sale_id],salesitems[revenue],0)</f>
        <v>63.68</v>
      </c>
      <c r="J472">
        <v>1</v>
      </c>
      <c r="K472" s="10" t="str">
        <f>_xlfn.XLOOKUP(F472,customers[customer_id],customers[age_range])</f>
        <v>36-45</v>
      </c>
      <c r="L472" s="1">
        <f>_xlfn.XLOOKUP(F472,customers[customer_id],customers[signup_date])</f>
        <v>45728</v>
      </c>
      <c r="M472">
        <f>sales[[#This Row],[sale_date]]-sales[[#This Row],[sighnup_date]]</f>
        <v>63</v>
      </c>
      <c r="N472" t="str">
        <f t="shared" si="7"/>
        <v>new customer</v>
      </c>
      <c r="O472" t="str">
        <f>_xlfn.XLOOKUP(A472,salesitems[sale_id],salesitems[category])</f>
        <v>Shoes</v>
      </c>
    </row>
    <row r="473" spans="1:15" x14ac:dyDescent="0.45">
      <c r="A473">
        <v>407</v>
      </c>
      <c r="B473" t="s">
        <v>15</v>
      </c>
      <c r="C473">
        <v>0</v>
      </c>
      <c r="D473">
        <v>560</v>
      </c>
      <c r="E473" s="1">
        <v>45768</v>
      </c>
      <c r="F473">
        <v>12</v>
      </c>
      <c r="G473" t="s">
        <v>36</v>
      </c>
      <c r="H473" t="str">
        <f>TEXT(sales[[#This Row],[sale_date]],"dddd")</f>
        <v>Monday</v>
      </c>
      <c r="I473">
        <f>_xlfn.XLOOKUP(A473,salesitems[sale_id],salesitems[revenue],0)</f>
        <v>114.62</v>
      </c>
      <c r="J473">
        <v>1</v>
      </c>
      <c r="K473" s="10" t="str">
        <f>_xlfn.XLOOKUP(F473,customers[customer_id],customers[age_range])</f>
        <v>46-55</v>
      </c>
      <c r="L473" s="1">
        <f>_xlfn.XLOOKUP(F473,customers[customer_id],customers[signup_date])</f>
        <v>45819</v>
      </c>
      <c r="M473">
        <f>sales[[#This Row],[sale_date]]-sales[[#This Row],[sighnup_date]]</f>
        <v>-51</v>
      </c>
      <c r="N473" t="str">
        <f t="shared" si="7"/>
        <v>data issue</v>
      </c>
      <c r="O473" t="str">
        <f>_xlfn.XLOOKUP(A473,salesitems[sale_id],salesitems[category])</f>
        <v>T-Shirts</v>
      </c>
    </row>
    <row r="474" spans="1:15" x14ac:dyDescent="0.45">
      <c r="A474">
        <v>408</v>
      </c>
      <c r="B474" t="s">
        <v>21</v>
      </c>
      <c r="C474">
        <v>0</v>
      </c>
      <c r="D474">
        <v>448.55</v>
      </c>
      <c r="E474" s="1">
        <v>45752</v>
      </c>
      <c r="F474">
        <v>202</v>
      </c>
      <c r="G474" t="s">
        <v>31</v>
      </c>
      <c r="H474" t="str">
        <f>TEXT(sales[[#This Row],[sale_date]],"dddd")</f>
        <v>Saturday</v>
      </c>
      <c r="I474">
        <f>_xlfn.XLOOKUP(A474,salesitems[sale_id],salesitems[revenue],0)</f>
        <v>79.38</v>
      </c>
      <c r="J474">
        <v>1</v>
      </c>
      <c r="K474" s="10" t="str">
        <f>_xlfn.XLOOKUP(F474,customers[customer_id],customers[age_range])</f>
        <v>36-45</v>
      </c>
      <c r="L474" s="1">
        <f>_xlfn.XLOOKUP(F474,customers[customer_id],customers[signup_date])</f>
        <v>45793</v>
      </c>
      <c r="M474">
        <f>sales[[#This Row],[sale_date]]-sales[[#This Row],[sighnup_date]]</f>
        <v>-41</v>
      </c>
      <c r="N474" t="str">
        <f t="shared" si="7"/>
        <v>data issue</v>
      </c>
      <c r="O474" t="str">
        <f>_xlfn.XLOOKUP(A474,salesitems[sale_id],salesitems[category])</f>
        <v>Dresses</v>
      </c>
    </row>
    <row r="475" spans="1:15" x14ac:dyDescent="0.45">
      <c r="A475">
        <v>41</v>
      </c>
      <c r="B475" t="s">
        <v>21</v>
      </c>
      <c r="C475">
        <v>0</v>
      </c>
      <c r="D475">
        <v>481.09</v>
      </c>
      <c r="E475" s="1">
        <v>45761</v>
      </c>
      <c r="F475">
        <v>367</v>
      </c>
      <c r="G475" t="s">
        <v>31</v>
      </c>
      <c r="H475" t="str">
        <f>TEXT(sales[[#This Row],[sale_date]],"dddd")</f>
        <v>Monday</v>
      </c>
      <c r="I475">
        <f>_xlfn.XLOOKUP(A475,salesitems[sale_id],salesitems[revenue],0)</f>
        <v>54.83</v>
      </c>
      <c r="J475">
        <v>1</v>
      </c>
      <c r="K475" s="10" t="str">
        <f>_xlfn.XLOOKUP(F475,customers[customer_id],customers[age_range])</f>
        <v>46-55</v>
      </c>
      <c r="L475" s="1">
        <f>_xlfn.XLOOKUP(F475,customers[customer_id],customers[signup_date])</f>
        <v>45735</v>
      </c>
      <c r="M475">
        <f>sales[[#This Row],[sale_date]]-sales[[#This Row],[sighnup_date]]</f>
        <v>26</v>
      </c>
      <c r="N475" t="str">
        <f t="shared" si="7"/>
        <v>new customer</v>
      </c>
      <c r="O475" t="str">
        <f>_xlfn.XLOOKUP(A475,salesitems[sale_id],salesitems[category])</f>
        <v>T-Shirts</v>
      </c>
    </row>
    <row r="476" spans="1:15" x14ac:dyDescent="0.45">
      <c r="A476">
        <v>410</v>
      </c>
      <c r="B476" t="s">
        <v>21</v>
      </c>
      <c r="C476">
        <v>0</v>
      </c>
      <c r="D476">
        <v>816.6</v>
      </c>
      <c r="E476" s="1">
        <v>45800</v>
      </c>
      <c r="F476">
        <v>419</v>
      </c>
      <c r="G476" t="s">
        <v>34</v>
      </c>
      <c r="H476" t="str">
        <f>TEXT(sales[[#This Row],[sale_date]],"dddd")</f>
        <v>Friday</v>
      </c>
      <c r="I476">
        <f>_xlfn.XLOOKUP(A476,salesitems[sale_id],salesitems[revenue],0)</f>
        <v>295.35000000000002</v>
      </c>
      <c r="J476">
        <v>1</v>
      </c>
      <c r="K476" s="10" t="str">
        <f>_xlfn.XLOOKUP(F476,customers[customer_id],customers[age_range])</f>
        <v>36-45</v>
      </c>
      <c r="L476" s="1">
        <f>_xlfn.XLOOKUP(F476,customers[customer_id],customers[signup_date])</f>
        <v>45744</v>
      </c>
      <c r="M476">
        <f>sales[[#This Row],[sale_date]]-sales[[#This Row],[sighnup_date]]</f>
        <v>56</v>
      </c>
      <c r="N476" t="str">
        <f t="shared" si="7"/>
        <v>new customer</v>
      </c>
      <c r="O476" t="str">
        <f>_xlfn.XLOOKUP(A476,salesitems[sale_id],salesitems[category])</f>
        <v>Pants</v>
      </c>
    </row>
    <row r="477" spans="1:15" x14ac:dyDescent="0.45">
      <c r="A477">
        <v>411</v>
      </c>
      <c r="B477" t="s">
        <v>15</v>
      </c>
      <c r="C477">
        <v>1</v>
      </c>
      <c r="D477">
        <v>393.19</v>
      </c>
      <c r="E477" s="1">
        <v>45790</v>
      </c>
      <c r="F477">
        <v>207</v>
      </c>
      <c r="G477" t="s">
        <v>36</v>
      </c>
      <c r="H477" t="str">
        <f>TEXT(sales[[#This Row],[sale_date]],"dddd")</f>
        <v>Tuesday</v>
      </c>
      <c r="I477">
        <f>_xlfn.XLOOKUP(A477,salesitems[sale_id],salesitems[revenue],0)</f>
        <v>73.92</v>
      </c>
      <c r="J477">
        <v>1</v>
      </c>
      <c r="K477" s="10" t="str">
        <f>_xlfn.XLOOKUP(F477,customers[customer_id],customers[age_range])</f>
        <v>16-25</v>
      </c>
      <c r="L477" s="1">
        <f>_xlfn.XLOOKUP(F477,customers[customer_id],customers[signup_date])</f>
        <v>45759</v>
      </c>
      <c r="M477">
        <f>sales[[#This Row],[sale_date]]-sales[[#This Row],[sighnup_date]]</f>
        <v>31</v>
      </c>
      <c r="N477" t="str">
        <f t="shared" si="7"/>
        <v>new customer</v>
      </c>
      <c r="O477" t="str">
        <f>_xlfn.XLOOKUP(A477,salesitems[sale_id],salesitems[category])</f>
        <v>Sleepwear</v>
      </c>
    </row>
    <row r="478" spans="1:15" x14ac:dyDescent="0.45">
      <c r="A478">
        <v>413</v>
      </c>
      <c r="B478" t="s">
        <v>21</v>
      </c>
      <c r="C478">
        <v>0</v>
      </c>
      <c r="D478">
        <v>669.28</v>
      </c>
      <c r="E478" s="1">
        <v>45825</v>
      </c>
      <c r="F478">
        <v>69</v>
      </c>
      <c r="G478" t="s">
        <v>36</v>
      </c>
      <c r="H478" t="str">
        <f>TEXT(sales[[#This Row],[sale_date]],"dddd")</f>
        <v>Tuesday</v>
      </c>
      <c r="I478">
        <f>_xlfn.XLOOKUP(A478,salesitems[sale_id],salesitems[revenue],0)</f>
        <v>259.36</v>
      </c>
      <c r="J478">
        <v>1</v>
      </c>
      <c r="K478" s="10" t="str">
        <f>_xlfn.XLOOKUP(F478,customers[customer_id],customers[age_range])</f>
        <v>16-25</v>
      </c>
      <c r="L478" s="1">
        <f>_xlfn.XLOOKUP(F478,customers[customer_id],customers[signup_date])</f>
        <v>45798</v>
      </c>
      <c r="M478">
        <f>sales[[#This Row],[sale_date]]-sales[[#This Row],[sighnup_date]]</f>
        <v>27</v>
      </c>
      <c r="N478" t="str">
        <f t="shared" si="7"/>
        <v>new customer</v>
      </c>
      <c r="O478" t="str">
        <f>_xlfn.XLOOKUP(A478,salesitems[sale_id],salesitems[category])</f>
        <v>Pants</v>
      </c>
    </row>
    <row r="479" spans="1:15" x14ac:dyDescent="0.45">
      <c r="A479">
        <v>414</v>
      </c>
      <c r="B479" t="s">
        <v>15</v>
      </c>
      <c r="C479">
        <v>0</v>
      </c>
      <c r="D479">
        <v>492.17</v>
      </c>
      <c r="E479" s="1">
        <v>45822</v>
      </c>
      <c r="F479">
        <v>404</v>
      </c>
      <c r="G479" t="s">
        <v>36</v>
      </c>
      <c r="H479" t="str">
        <f>TEXT(sales[[#This Row],[sale_date]],"dddd")</f>
        <v>Saturday</v>
      </c>
      <c r="I479">
        <f>_xlfn.XLOOKUP(A479,salesitems[sale_id],salesitems[revenue],0)</f>
        <v>95.32</v>
      </c>
      <c r="J479">
        <v>1</v>
      </c>
      <c r="K479" s="10" t="str">
        <f>_xlfn.XLOOKUP(F479,customers[customer_id],customers[age_range])</f>
        <v>56-65</v>
      </c>
      <c r="L479" s="1">
        <f>_xlfn.XLOOKUP(F479,customers[customer_id],customers[signup_date])</f>
        <v>45742</v>
      </c>
      <c r="M479">
        <f>sales[[#This Row],[sale_date]]-sales[[#This Row],[sighnup_date]]</f>
        <v>80</v>
      </c>
      <c r="N479" t="str">
        <f t="shared" si="7"/>
        <v>new customer</v>
      </c>
      <c r="O479" t="str">
        <f>_xlfn.XLOOKUP(A479,salesitems[sale_id],salesitems[category])</f>
        <v>Dresses</v>
      </c>
    </row>
    <row r="480" spans="1:15" x14ac:dyDescent="0.45">
      <c r="A480">
        <v>416</v>
      </c>
      <c r="B480" t="s">
        <v>15</v>
      </c>
      <c r="C480">
        <v>0</v>
      </c>
      <c r="D480">
        <v>357.92</v>
      </c>
      <c r="E480" s="1">
        <v>45753</v>
      </c>
      <c r="F480">
        <v>336</v>
      </c>
      <c r="G480" t="s">
        <v>33</v>
      </c>
      <c r="H480" t="str">
        <f>TEXT(sales[[#This Row],[sale_date]],"dddd")</f>
        <v>Sunday</v>
      </c>
      <c r="I480">
        <f>_xlfn.XLOOKUP(A480,salesitems[sale_id],salesitems[revenue],0)</f>
        <v>115.02</v>
      </c>
      <c r="J480">
        <v>1</v>
      </c>
      <c r="K480" s="10" t="str">
        <f>_xlfn.XLOOKUP(F480,customers[customer_id],customers[age_range])</f>
        <v>46-55</v>
      </c>
      <c r="L480" s="1">
        <f>_xlfn.XLOOKUP(F480,customers[customer_id],customers[signup_date])</f>
        <v>45704</v>
      </c>
      <c r="M480">
        <f>sales[[#This Row],[sale_date]]-sales[[#This Row],[sighnup_date]]</f>
        <v>49</v>
      </c>
      <c r="N480" t="str">
        <f t="shared" si="7"/>
        <v>new customer</v>
      </c>
      <c r="O480" t="str">
        <f>_xlfn.XLOOKUP(A480,salesitems[sale_id],salesitems[category])</f>
        <v>T-Shirts</v>
      </c>
    </row>
    <row r="481" spans="1:15" x14ac:dyDescent="0.45">
      <c r="A481">
        <v>418</v>
      </c>
      <c r="B481" t="s">
        <v>15</v>
      </c>
      <c r="C481">
        <v>0</v>
      </c>
      <c r="D481">
        <v>211.8</v>
      </c>
      <c r="E481" s="1">
        <v>45783</v>
      </c>
      <c r="F481">
        <v>384</v>
      </c>
      <c r="G481" t="s">
        <v>36</v>
      </c>
      <c r="H481" t="str">
        <f>TEXT(sales[[#This Row],[sale_date]],"dddd")</f>
        <v>Tuesday</v>
      </c>
      <c r="I481">
        <f>_xlfn.XLOOKUP(A481,salesitems[sale_id],salesitems[revenue],0)</f>
        <v>62.17</v>
      </c>
      <c r="J481">
        <v>1</v>
      </c>
      <c r="K481" s="10" t="str">
        <f>_xlfn.XLOOKUP(F481,customers[customer_id],customers[age_range])</f>
        <v>16-25</v>
      </c>
      <c r="L481" s="1">
        <f>_xlfn.XLOOKUP(F481,customers[customer_id],customers[signup_date])</f>
        <v>45769</v>
      </c>
      <c r="M481">
        <f>sales[[#This Row],[sale_date]]-sales[[#This Row],[sighnup_date]]</f>
        <v>14</v>
      </c>
      <c r="N481" t="str">
        <f t="shared" si="7"/>
        <v>new customer</v>
      </c>
      <c r="O481" t="str">
        <f>_xlfn.XLOOKUP(A481,salesitems[sale_id],salesitems[category])</f>
        <v>Dresses</v>
      </c>
    </row>
    <row r="482" spans="1:15" x14ac:dyDescent="0.45">
      <c r="A482">
        <v>419</v>
      </c>
      <c r="B482" t="s">
        <v>21</v>
      </c>
      <c r="C482">
        <v>0</v>
      </c>
      <c r="D482">
        <v>673.59</v>
      </c>
      <c r="E482" s="1">
        <v>45799</v>
      </c>
      <c r="F482">
        <v>148</v>
      </c>
      <c r="G482" t="s">
        <v>31</v>
      </c>
      <c r="H482" t="str">
        <f>TEXT(sales[[#This Row],[sale_date]],"dddd")</f>
        <v>Thursday</v>
      </c>
      <c r="I482">
        <f>_xlfn.XLOOKUP(A482,salesitems[sale_id],salesitems[revenue],0)</f>
        <v>169.24</v>
      </c>
      <c r="J482">
        <v>1</v>
      </c>
      <c r="K482" s="10" t="str">
        <f>_xlfn.XLOOKUP(F482,customers[customer_id],customers[age_range])</f>
        <v>26-35</v>
      </c>
      <c r="L482" s="1">
        <f>_xlfn.XLOOKUP(F482,customers[customer_id],customers[signup_date])</f>
        <v>45719</v>
      </c>
      <c r="M482">
        <f>sales[[#This Row],[sale_date]]-sales[[#This Row],[sighnup_date]]</f>
        <v>80</v>
      </c>
      <c r="N482" t="str">
        <f t="shared" si="7"/>
        <v>new customer</v>
      </c>
      <c r="O482" t="str">
        <f>_xlfn.XLOOKUP(A482,salesitems[sale_id],salesitems[category])</f>
        <v>Dresses</v>
      </c>
    </row>
    <row r="483" spans="1:15" x14ac:dyDescent="0.45">
      <c r="A483">
        <v>42</v>
      </c>
      <c r="B483" t="s">
        <v>15</v>
      </c>
      <c r="C483">
        <v>0</v>
      </c>
      <c r="D483">
        <v>186.91</v>
      </c>
      <c r="E483" s="1">
        <v>45808</v>
      </c>
      <c r="F483">
        <v>191</v>
      </c>
      <c r="G483" t="s">
        <v>36</v>
      </c>
      <c r="H483" t="str">
        <f>TEXT(sales[[#This Row],[sale_date]],"dddd")</f>
        <v>Saturday</v>
      </c>
      <c r="I483">
        <f>_xlfn.XLOOKUP(A483,salesitems[sale_id],salesitems[revenue],0)</f>
        <v>67.73</v>
      </c>
      <c r="J483">
        <v>1</v>
      </c>
      <c r="K483" s="10" t="str">
        <f>_xlfn.XLOOKUP(F483,customers[customer_id],customers[age_range])</f>
        <v>16-25</v>
      </c>
      <c r="L483" s="1">
        <f>_xlfn.XLOOKUP(F483,customers[customer_id],customers[signup_date])</f>
        <v>45736</v>
      </c>
      <c r="M483">
        <f>sales[[#This Row],[sale_date]]-sales[[#This Row],[sighnup_date]]</f>
        <v>72</v>
      </c>
      <c r="N483" t="str">
        <f t="shared" si="7"/>
        <v>new customer</v>
      </c>
      <c r="O483" t="str">
        <f>_xlfn.XLOOKUP(A483,salesitems[sale_id],salesitems[category])</f>
        <v>Sleepwear</v>
      </c>
    </row>
    <row r="484" spans="1:15" x14ac:dyDescent="0.45">
      <c r="A484">
        <v>420</v>
      </c>
      <c r="B484" t="s">
        <v>15</v>
      </c>
      <c r="C484">
        <v>0</v>
      </c>
      <c r="D484">
        <v>503.76</v>
      </c>
      <c r="E484" s="1">
        <v>45824</v>
      </c>
      <c r="F484">
        <v>828</v>
      </c>
      <c r="G484" t="s">
        <v>28</v>
      </c>
      <c r="H484" t="str">
        <f>TEXT(sales[[#This Row],[sale_date]],"dddd")</f>
        <v>Monday</v>
      </c>
      <c r="I484">
        <f>_xlfn.XLOOKUP(A484,salesitems[sale_id],salesitems[revenue],0)</f>
        <v>74.260000000000005</v>
      </c>
      <c r="J484">
        <v>1</v>
      </c>
      <c r="K484" s="10" t="str">
        <f>_xlfn.XLOOKUP(F484,customers[customer_id],customers[age_range])</f>
        <v>16-25</v>
      </c>
      <c r="L484" s="1">
        <f>_xlfn.XLOOKUP(F484,customers[customer_id],customers[signup_date])</f>
        <v>45724</v>
      </c>
      <c r="M484">
        <f>sales[[#This Row],[sale_date]]-sales[[#This Row],[sighnup_date]]</f>
        <v>100</v>
      </c>
      <c r="N484" t="str">
        <f t="shared" si="7"/>
        <v>existing customer</v>
      </c>
      <c r="O484" t="str">
        <f>_xlfn.XLOOKUP(A484,salesitems[sale_id],salesitems[category])</f>
        <v>Dresses</v>
      </c>
    </row>
    <row r="485" spans="1:15" x14ac:dyDescent="0.45">
      <c r="A485">
        <v>421</v>
      </c>
      <c r="B485" t="s">
        <v>21</v>
      </c>
      <c r="C485">
        <v>0</v>
      </c>
      <c r="D485">
        <v>310.51</v>
      </c>
      <c r="E485" s="1">
        <v>45796</v>
      </c>
      <c r="F485">
        <v>230</v>
      </c>
      <c r="G485" t="s">
        <v>28</v>
      </c>
      <c r="H485" t="str">
        <f>TEXT(sales[[#This Row],[sale_date]],"dddd")</f>
        <v>Monday</v>
      </c>
      <c r="I485">
        <f>_xlfn.XLOOKUP(A485,salesitems[sale_id],salesitems[revenue],0)</f>
        <v>42.24</v>
      </c>
      <c r="J485">
        <v>1</v>
      </c>
      <c r="K485" s="10" t="str">
        <f>_xlfn.XLOOKUP(F485,customers[customer_id],customers[age_range])</f>
        <v>56-65</v>
      </c>
      <c r="L485" s="1">
        <f>_xlfn.XLOOKUP(F485,customers[customer_id],customers[signup_date])</f>
        <v>45714</v>
      </c>
      <c r="M485">
        <f>sales[[#This Row],[sale_date]]-sales[[#This Row],[sighnup_date]]</f>
        <v>82</v>
      </c>
      <c r="N485" t="str">
        <f t="shared" si="7"/>
        <v>new customer</v>
      </c>
      <c r="O485" t="str">
        <f>_xlfn.XLOOKUP(A485,salesitems[sale_id],salesitems[category])</f>
        <v>Pants</v>
      </c>
    </row>
    <row r="486" spans="1:15" x14ac:dyDescent="0.45">
      <c r="A486">
        <v>423</v>
      </c>
      <c r="B486" t="s">
        <v>15</v>
      </c>
      <c r="C486">
        <v>1</v>
      </c>
      <c r="D486">
        <v>238.34</v>
      </c>
      <c r="E486" s="1">
        <v>45790</v>
      </c>
      <c r="F486">
        <v>729</v>
      </c>
      <c r="G486" t="s">
        <v>38</v>
      </c>
      <c r="H486" t="str">
        <f>TEXT(sales[[#This Row],[sale_date]],"dddd")</f>
        <v>Tuesday</v>
      </c>
      <c r="I486">
        <f>_xlfn.XLOOKUP(A486,salesitems[sale_id],salesitems[revenue],0)</f>
        <v>45.68</v>
      </c>
      <c r="J486">
        <v>1</v>
      </c>
      <c r="K486" s="10" t="str">
        <f>_xlfn.XLOOKUP(F486,customers[customer_id],customers[age_range])</f>
        <v>36-45</v>
      </c>
      <c r="L486" s="1">
        <f>_xlfn.XLOOKUP(F486,customers[customer_id],customers[signup_date])</f>
        <v>45771</v>
      </c>
      <c r="M486">
        <f>sales[[#This Row],[sale_date]]-sales[[#This Row],[sighnup_date]]</f>
        <v>19</v>
      </c>
      <c r="N486" t="str">
        <f t="shared" si="7"/>
        <v>new customer</v>
      </c>
      <c r="O486" t="str">
        <f>_xlfn.XLOOKUP(A486,salesitems[sale_id],salesitems[category])</f>
        <v>Dresses</v>
      </c>
    </row>
    <row r="487" spans="1:15" x14ac:dyDescent="0.45">
      <c r="A487">
        <v>424</v>
      </c>
      <c r="B487" t="s">
        <v>15</v>
      </c>
      <c r="C487">
        <v>0</v>
      </c>
      <c r="D487">
        <v>397.38</v>
      </c>
      <c r="E487" s="1">
        <v>45799</v>
      </c>
      <c r="F487">
        <v>956</v>
      </c>
      <c r="G487" t="s">
        <v>38</v>
      </c>
      <c r="H487" t="str">
        <f>TEXT(sales[[#This Row],[sale_date]],"dddd")</f>
        <v>Thursday</v>
      </c>
      <c r="I487">
        <f>_xlfn.XLOOKUP(A487,salesitems[sale_id],salesitems[revenue],0)</f>
        <v>69.819999999999993</v>
      </c>
      <c r="J487">
        <v>1</v>
      </c>
      <c r="K487" s="10" t="str">
        <f>_xlfn.XLOOKUP(F487,customers[customer_id],customers[age_range])</f>
        <v>46-55</v>
      </c>
      <c r="L487" s="1">
        <f>_xlfn.XLOOKUP(F487,customers[customer_id],customers[signup_date])</f>
        <v>45749</v>
      </c>
      <c r="M487">
        <f>sales[[#This Row],[sale_date]]-sales[[#This Row],[sighnup_date]]</f>
        <v>50</v>
      </c>
      <c r="N487" t="str">
        <f t="shared" si="7"/>
        <v>new customer</v>
      </c>
      <c r="O487" t="str">
        <f>_xlfn.XLOOKUP(A487,salesitems[sale_id],salesitems[category])</f>
        <v>Pants</v>
      </c>
    </row>
    <row r="488" spans="1:15" x14ac:dyDescent="0.45">
      <c r="A488">
        <v>425</v>
      </c>
      <c r="B488" t="s">
        <v>21</v>
      </c>
      <c r="C488">
        <v>0</v>
      </c>
      <c r="D488">
        <v>341.94</v>
      </c>
      <c r="E488" s="1">
        <v>45763</v>
      </c>
      <c r="F488">
        <v>124</v>
      </c>
      <c r="G488" t="s">
        <v>28</v>
      </c>
      <c r="H488" t="str">
        <f>TEXT(sales[[#This Row],[sale_date]],"dddd")</f>
        <v>Wednesday</v>
      </c>
      <c r="I488">
        <f>_xlfn.XLOOKUP(A488,salesitems[sale_id],salesitems[revenue],0)</f>
        <v>117.53999999999999</v>
      </c>
      <c r="J488">
        <v>1</v>
      </c>
      <c r="K488" s="10" t="str">
        <f>_xlfn.XLOOKUP(F488,customers[customer_id],customers[age_range])</f>
        <v>36-45</v>
      </c>
      <c r="L488" s="1">
        <f>_xlfn.XLOOKUP(F488,customers[customer_id],customers[signup_date])</f>
        <v>45762</v>
      </c>
      <c r="M488">
        <f>sales[[#This Row],[sale_date]]-sales[[#This Row],[sighnup_date]]</f>
        <v>1</v>
      </c>
      <c r="N488" t="str">
        <f t="shared" si="7"/>
        <v>new customer</v>
      </c>
      <c r="O488" t="str">
        <f>_xlfn.XLOOKUP(A488,salesitems[sale_id],salesitems[category])</f>
        <v>Dresses</v>
      </c>
    </row>
    <row r="489" spans="1:15" x14ac:dyDescent="0.45">
      <c r="A489">
        <v>426</v>
      </c>
      <c r="B489" t="s">
        <v>21</v>
      </c>
      <c r="C489">
        <v>0</v>
      </c>
      <c r="D489">
        <v>605.80999999999995</v>
      </c>
      <c r="E489" s="1">
        <v>45823</v>
      </c>
      <c r="F489">
        <v>38</v>
      </c>
      <c r="G489" t="s">
        <v>34</v>
      </c>
      <c r="H489" t="str">
        <f>TEXT(sales[[#This Row],[sale_date]],"dddd")</f>
        <v>Sunday</v>
      </c>
      <c r="I489">
        <f>_xlfn.XLOOKUP(A489,salesitems[sale_id],salesitems[revenue],0)</f>
        <v>217.74</v>
      </c>
      <c r="J489">
        <v>1</v>
      </c>
      <c r="K489" s="10" t="str">
        <f>_xlfn.XLOOKUP(F489,customers[customer_id],customers[age_range])</f>
        <v>26-35</v>
      </c>
      <c r="L489" s="1">
        <f>_xlfn.XLOOKUP(F489,customers[customer_id],customers[signup_date])</f>
        <v>45811</v>
      </c>
      <c r="M489">
        <f>sales[[#This Row],[sale_date]]-sales[[#This Row],[sighnup_date]]</f>
        <v>12</v>
      </c>
      <c r="N489" t="str">
        <f t="shared" si="7"/>
        <v>new customer</v>
      </c>
      <c r="O489" t="str">
        <f>_xlfn.XLOOKUP(A489,salesitems[sale_id],salesitems[category])</f>
        <v>Shoes</v>
      </c>
    </row>
    <row r="490" spans="1:15" x14ac:dyDescent="0.45">
      <c r="A490">
        <v>427</v>
      </c>
      <c r="B490" t="s">
        <v>15</v>
      </c>
      <c r="C490">
        <v>0</v>
      </c>
      <c r="D490">
        <v>525.37</v>
      </c>
      <c r="E490" s="1">
        <v>45825</v>
      </c>
      <c r="F490">
        <v>401</v>
      </c>
      <c r="G490" t="s">
        <v>28</v>
      </c>
      <c r="H490" t="str">
        <f>TEXT(sales[[#This Row],[sale_date]],"dddd")</f>
        <v>Tuesday</v>
      </c>
      <c r="I490">
        <f>_xlfn.XLOOKUP(A490,salesitems[sale_id],salesitems[revenue],0)</f>
        <v>41.51</v>
      </c>
      <c r="J490">
        <v>1</v>
      </c>
      <c r="K490" s="10" t="str">
        <f>_xlfn.XLOOKUP(F490,customers[customer_id],customers[age_range])</f>
        <v>26-35</v>
      </c>
      <c r="L490" s="1">
        <f>_xlfn.XLOOKUP(F490,customers[customer_id],customers[signup_date])</f>
        <v>45766</v>
      </c>
      <c r="M490">
        <f>sales[[#This Row],[sale_date]]-sales[[#This Row],[sighnup_date]]</f>
        <v>59</v>
      </c>
      <c r="N490" t="str">
        <f t="shared" si="7"/>
        <v>new customer</v>
      </c>
      <c r="O490" t="str">
        <f>_xlfn.XLOOKUP(A490,salesitems[sale_id],salesitems[category])</f>
        <v>Dresses</v>
      </c>
    </row>
    <row r="491" spans="1:15" x14ac:dyDescent="0.45">
      <c r="A491">
        <v>428</v>
      </c>
      <c r="B491" t="s">
        <v>15</v>
      </c>
      <c r="C491">
        <v>1</v>
      </c>
      <c r="D491">
        <v>70.69</v>
      </c>
      <c r="E491" s="1">
        <v>45791</v>
      </c>
      <c r="F491">
        <v>556</v>
      </c>
      <c r="G491" t="s">
        <v>33</v>
      </c>
      <c r="H491" t="str">
        <f>TEXT(sales[[#This Row],[sale_date]],"dddd")</f>
        <v>Wednesday</v>
      </c>
      <c r="I491">
        <f>_xlfn.XLOOKUP(A491,salesitems[sale_id],salesitems[revenue],0)</f>
        <v>37.06</v>
      </c>
      <c r="J491">
        <v>1</v>
      </c>
      <c r="K491" s="10" t="str">
        <f>_xlfn.XLOOKUP(F491,customers[customer_id],customers[age_range])</f>
        <v>16-25</v>
      </c>
      <c r="L491" s="1">
        <f>_xlfn.XLOOKUP(F491,customers[customer_id],customers[signup_date])</f>
        <v>45743</v>
      </c>
      <c r="M491">
        <f>sales[[#This Row],[sale_date]]-sales[[#This Row],[sighnup_date]]</f>
        <v>48</v>
      </c>
      <c r="N491" t="str">
        <f t="shared" si="7"/>
        <v>new customer</v>
      </c>
      <c r="O491" t="str">
        <f>_xlfn.XLOOKUP(A491,salesitems[sale_id],salesitems[category])</f>
        <v>Sleepwear</v>
      </c>
    </row>
    <row r="492" spans="1:15" x14ac:dyDescent="0.45">
      <c r="A492">
        <v>429</v>
      </c>
      <c r="B492" t="s">
        <v>15</v>
      </c>
      <c r="C492">
        <v>0</v>
      </c>
      <c r="D492">
        <v>554.35</v>
      </c>
      <c r="E492" s="1">
        <v>45822</v>
      </c>
      <c r="F492">
        <v>978</v>
      </c>
      <c r="G492" t="s">
        <v>28</v>
      </c>
      <c r="H492" t="str">
        <f>TEXT(sales[[#This Row],[sale_date]],"dddd")</f>
        <v>Saturday</v>
      </c>
      <c r="I492">
        <f>_xlfn.XLOOKUP(A492,salesitems[sale_id],salesitems[revenue],0)</f>
        <v>51</v>
      </c>
      <c r="J492">
        <v>1</v>
      </c>
      <c r="K492" s="10" t="str">
        <f>_xlfn.XLOOKUP(F492,customers[customer_id],customers[age_range])</f>
        <v>36-45</v>
      </c>
      <c r="L492" s="1">
        <f>_xlfn.XLOOKUP(F492,customers[customer_id],customers[signup_date])</f>
        <v>45757</v>
      </c>
      <c r="M492">
        <f>sales[[#This Row],[sale_date]]-sales[[#This Row],[sighnup_date]]</f>
        <v>65</v>
      </c>
      <c r="N492" t="str">
        <f t="shared" si="7"/>
        <v>new customer</v>
      </c>
      <c r="O492" t="str">
        <f>_xlfn.XLOOKUP(A492,salesitems[sale_id],salesitems[category])</f>
        <v>Pants</v>
      </c>
    </row>
    <row r="493" spans="1:15" x14ac:dyDescent="0.45">
      <c r="A493">
        <v>43</v>
      </c>
      <c r="B493" t="s">
        <v>15</v>
      </c>
      <c r="C493">
        <v>0</v>
      </c>
      <c r="D493">
        <v>478.95</v>
      </c>
      <c r="E493" s="1">
        <v>45762</v>
      </c>
      <c r="F493">
        <v>217</v>
      </c>
      <c r="G493" t="s">
        <v>33</v>
      </c>
      <c r="H493" t="str">
        <f>TEXT(sales[[#This Row],[sale_date]],"dddd")</f>
        <v>Tuesday</v>
      </c>
      <c r="I493">
        <f>_xlfn.XLOOKUP(A493,salesitems[sale_id],salesitems[revenue],0)</f>
        <v>61.6</v>
      </c>
      <c r="J493">
        <v>1</v>
      </c>
      <c r="K493" s="10" t="str">
        <f>_xlfn.XLOOKUP(F493,customers[customer_id],customers[age_range])</f>
        <v>56-65</v>
      </c>
      <c r="L493" s="1">
        <f>_xlfn.XLOOKUP(F493,customers[customer_id],customers[signup_date])</f>
        <v>45757</v>
      </c>
      <c r="M493">
        <f>sales[[#This Row],[sale_date]]-sales[[#This Row],[sighnup_date]]</f>
        <v>5</v>
      </c>
      <c r="N493" t="str">
        <f t="shared" si="7"/>
        <v>new customer</v>
      </c>
      <c r="O493" t="str">
        <f>_xlfn.XLOOKUP(A493,salesitems[sale_id],salesitems[category])</f>
        <v>Shoes</v>
      </c>
    </row>
    <row r="494" spans="1:15" x14ac:dyDescent="0.45">
      <c r="A494">
        <v>430</v>
      </c>
      <c r="B494" t="s">
        <v>21</v>
      </c>
      <c r="C494">
        <v>0</v>
      </c>
      <c r="D494">
        <v>346.27</v>
      </c>
      <c r="E494" s="1">
        <v>45765</v>
      </c>
      <c r="F494">
        <v>654</v>
      </c>
      <c r="G494" t="s">
        <v>33</v>
      </c>
      <c r="H494" t="str">
        <f>TEXT(sales[[#This Row],[sale_date]],"dddd")</f>
        <v>Friday</v>
      </c>
      <c r="I494">
        <f>_xlfn.XLOOKUP(A494,salesitems[sale_id],salesitems[revenue],0)</f>
        <v>55.91</v>
      </c>
      <c r="J494">
        <v>1</v>
      </c>
      <c r="K494" s="10" t="str">
        <f>_xlfn.XLOOKUP(F494,customers[customer_id],customers[age_range])</f>
        <v>56-65</v>
      </c>
      <c r="L494" s="1">
        <f>_xlfn.XLOOKUP(F494,customers[customer_id],customers[signup_date])</f>
        <v>45782</v>
      </c>
      <c r="M494">
        <f>sales[[#This Row],[sale_date]]-sales[[#This Row],[sighnup_date]]</f>
        <v>-17</v>
      </c>
      <c r="N494" t="str">
        <f t="shared" si="7"/>
        <v>data issue</v>
      </c>
      <c r="O494" t="str">
        <f>_xlfn.XLOOKUP(A494,salesitems[sale_id],salesitems[category])</f>
        <v>Sleepwear</v>
      </c>
    </row>
    <row r="495" spans="1:15" x14ac:dyDescent="0.45">
      <c r="A495">
        <v>432</v>
      </c>
      <c r="B495" t="s">
        <v>21</v>
      </c>
      <c r="C495">
        <v>0</v>
      </c>
      <c r="D495">
        <v>432.21</v>
      </c>
      <c r="E495" s="1">
        <v>45767</v>
      </c>
      <c r="F495">
        <v>432</v>
      </c>
      <c r="G495" t="s">
        <v>36</v>
      </c>
      <c r="H495" t="str">
        <f>TEXT(sales[[#This Row],[sale_date]],"dddd")</f>
        <v>Sunday</v>
      </c>
      <c r="I495">
        <f>_xlfn.XLOOKUP(A495,salesitems[sale_id],salesitems[revenue],0)</f>
        <v>44.08</v>
      </c>
      <c r="J495">
        <v>1</v>
      </c>
      <c r="K495" s="10" t="str">
        <f>_xlfn.XLOOKUP(F495,customers[customer_id],customers[age_range])</f>
        <v>36-45</v>
      </c>
      <c r="L495" s="1">
        <f>_xlfn.XLOOKUP(F495,customers[customer_id],customers[signup_date])</f>
        <v>45679</v>
      </c>
      <c r="M495">
        <f>sales[[#This Row],[sale_date]]-sales[[#This Row],[sighnup_date]]</f>
        <v>88</v>
      </c>
      <c r="N495" t="str">
        <f t="shared" si="7"/>
        <v>new customer</v>
      </c>
      <c r="O495" t="str">
        <f>_xlfn.XLOOKUP(A495,salesitems[sale_id],salesitems[category])</f>
        <v>Pants</v>
      </c>
    </row>
    <row r="496" spans="1:15" x14ac:dyDescent="0.45">
      <c r="A496">
        <v>433</v>
      </c>
      <c r="B496" t="s">
        <v>15</v>
      </c>
      <c r="C496">
        <v>0</v>
      </c>
      <c r="D496">
        <v>647.79999999999995</v>
      </c>
      <c r="E496" s="1">
        <v>45807</v>
      </c>
      <c r="F496">
        <v>608</v>
      </c>
      <c r="G496" t="s">
        <v>28</v>
      </c>
      <c r="H496" t="str">
        <f>TEXT(sales[[#This Row],[sale_date]],"dddd")</f>
        <v>Friday</v>
      </c>
      <c r="I496">
        <f>_xlfn.XLOOKUP(A496,salesitems[sale_id],salesitems[revenue],0)</f>
        <v>45.75</v>
      </c>
      <c r="J496">
        <v>1</v>
      </c>
      <c r="K496" s="10" t="str">
        <f>_xlfn.XLOOKUP(F496,customers[customer_id],customers[age_range])</f>
        <v>26-35</v>
      </c>
      <c r="L496" s="1">
        <f>_xlfn.XLOOKUP(F496,customers[customer_id],customers[signup_date])</f>
        <v>45700</v>
      </c>
      <c r="M496">
        <f>sales[[#This Row],[sale_date]]-sales[[#This Row],[sighnup_date]]</f>
        <v>107</v>
      </c>
      <c r="N496" t="str">
        <f t="shared" si="7"/>
        <v>existing customer</v>
      </c>
      <c r="O496" t="str">
        <f>_xlfn.XLOOKUP(A496,salesitems[sale_id],salesitems[category])</f>
        <v>T-Shirts</v>
      </c>
    </row>
    <row r="497" spans="1:15" x14ac:dyDescent="0.45">
      <c r="A497">
        <v>435</v>
      </c>
      <c r="B497" t="s">
        <v>15</v>
      </c>
      <c r="C497">
        <v>0</v>
      </c>
      <c r="D497">
        <v>300.68</v>
      </c>
      <c r="E497" s="1">
        <v>45774</v>
      </c>
      <c r="F497">
        <v>613</v>
      </c>
      <c r="G497" t="s">
        <v>31</v>
      </c>
      <c r="H497" t="str">
        <f>TEXT(sales[[#This Row],[sale_date]],"dddd")</f>
        <v>Sunday</v>
      </c>
      <c r="I497">
        <f>_xlfn.XLOOKUP(A497,salesitems[sale_id],salesitems[revenue],0)</f>
        <v>59.32</v>
      </c>
      <c r="J497">
        <v>1</v>
      </c>
      <c r="K497" s="10" t="str">
        <f>_xlfn.XLOOKUP(F497,customers[customer_id],customers[age_range])</f>
        <v>16-25</v>
      </c>
      <c r="L497" s="1">
        <f>_xlfn.XLOOKUP(F497,customers[customer_id],customers[signup_date])</f>
        <v>45789</v>
      </c>
      <c r="M497">
        <f>sales[[#This Row],[sale_date]]-sales[[#This Row],[sighnup_date]]</f>
        <v>-15</v>
      </c>
      <c r="N497" t="str">
        <f t="shared" si="7"/>
        <v>data issue</v>
      </c>
      <c r="O497" t="str">
        <f>_xlfn.XLOOKUP(A497,salesitems[sale_id],salesitems[category])</f>
        <v>Shoes</v>
      </c>
    </row>
    <row r="498" spans="1:15" x14ac:dyDescent="0.45">
      <c r="A498">
        <v>436</v>
      </c>
      <c r="B498" t="s">
        <v>15</v>
      </c>
      <c r="C498">
        <v>0</v>
      </c>
      <c r="D498">
        <v>345.59</v>
      </c>
      <c r="E498" s="1">
        <v>45775</v>
      </c>
      <c r="F498">
        <v>481</v>
      </c>
      <c r="G498" t="s">
        <v>28</v>
      </c>
      <c r="H498" t="str">
        <f>TEXT(sales[[#This Row],[sale_date]],"dddd")</f>
        <v>Monday</v>
      </c>
      <c r="I498">
        <f>_xlfn.XLOOKUP(A498,salesitems[sale_id],salesitems[revenue],0)</f>
        <v>62.8</v>
      </c>
      <c r="J498">
        <v>1</v>
      </c>
      <c r="K498" s="10" t="str">
        <f>_xlfn.XLOOKUP(F498,customers[customer_id],customers[age_range])</f>
        <v>56-65</v>
      </c>
      <c r="L498" s="1">
        <f>_xlfn.XLOOKUP(F498,customers[customer_id],customers[signup_date])</f>
        <v>45786</v>
      </c>
      <c r="M498">
        <f>sales[[#This Row],[sale_date]]-sales[[#This Row],[sighnup_date]]</f>
        <v>-11</v>
      </c>
      <c r="N498" t="str">
        <f t="shared" si="7"/>
        <v>data issue</v>
      </c>
      <c r="O498" t="str">
        <f>_xlfn.XLOOKUP(A498,salesitems[sale_id],salesitems[category])</f>
        <v>T-Shirts</v>
      </c>
    </row>
    <row r="499" spans="1:15" x14ac:dyDescent="0.45">
      <c r="A499">
        <v>44</v>
      </c>
      <c r="B499" t="s">
        <v>21</v>
      </c>
      <c r="C499">
        <v>0</v>
      </c>
      <c r="D499">
        <v>373.27</v>
      </c>
      <c r="E499" s="1">
        <v>45791</v>
      </c>
      <c r="F499">
        <v>957</v>
      </c>
      <c r="G499" t="s">
        <v>28</v>
      </c>
      <c r="H499" t="str">
        <f>TEXT(sales[[#This Row],[sale_date]],"dddd")</f>
        <v>Wednesday</v>
      </c>
      <c r="I499">
        <f>_xlfn.XLOOKUP(A499,salesitems[sale_id],salesitems[revenue],0)</f>
        <v>40.75</v>
      </c>
      <c r="J499">
        <v>1</v>
      </c>
      <c r="K499" s="10" t="str">
        <f>_xlfn.XLOOKUP(F499,customers[customer_id],customers[age_range])</f>
        <v>16-25</v>
      </c>
      <c r="L499" s="1">
        <f>_xlfn.XLOOKUP(F499,customers[customer_id],customers[signup_date])</f>
        <v>45675</v>
      </c>
      <c r="M499">
        <f>sales[[#This Row],[sale_date]]-sales[[#This Row],[sighnup_date]]</f>
        <v>116</v>
      </c>
      <c r="N499" t="str">
        <f t="shared" si="7"/>
        <v>existing customer</v>
      </c>
      <c r="O499" t="str">
        <f>_xlfn.XLOOKUP(A499,salesitems[sale_id],salesitems[category])</f>
        <v>T-Shirts</v>
      </c>
    </row>
    <row r="500" spans="1:15" x14ac:dyDescent="0.45">
      <c r="A500">
        <v>440</v>
      </c>
      <c r="B500" t="s">
        <v>15</v>
      </c>
      <c r="C500">
        <v>1</v>
      </c>
      <c r="D500">
        <v>358.65</v>
      </c>
      <c r="E500" s="1">
        <v>45792</v>
      </c>
      <c r="F500">
        <v>698</v>
      </c>
      <c r="G500" t="s">
        <v>38</v>
      </c>
      <c r="H500" t="str">
        <f>TEXT(sales[[#This Row],[sale_date]],"dddd")</f>
        <v>Thursday</v>
      </c>
      <c r="I500">
        <f>_xlfn.XLOOKUP(A500,salesitems[sale_id],salesitems[revenue],0)</f>
        <v>52.27</v>
      </c>
      <c r="J500">
        <v>1</v>
      </c>
      <c r="K500" s="10" t="str">
        <f>_xlfn.XLOOKUP(F500,customers[customer_id],customers[age_range])</f>
        <v>36-45</v>
      </c>
      <c r="L500" s="1">
        <f>_xlfn.XLOOKUP(F500,customers[customer_id],customers[signup_date])</f>
        <v>45752</v>
      </c>
      <c r="M500">
        <f>sales[[#This Row],[sale_date]]-sales[[#This Row],[sighnup_date]]</f>
        <v>40</v>
      </c>
      <c r="N500" t="str">
        <f t="shared" si="7"/>
        <v>new customer</v>
      </c>
      <c r="O500" t="str">
        <f>_xlfn.XLOOKUP(A500,salesitems[sale_id],salesitems[category])</f>
        <v>Sleepwear</v>
      </c>
    </row>
    <row r="501" spans="1:15" x14ac:dyDescent="0.45">
      <c r="A501">
        <v>441</v>
      </c>
      <c r="B501" t="s">
        <v>21</v>
      </c>
      <c r="C501">
        <v>0</v>
      </c>
      <c r="D501">
        <v>239.84</v>
      </c>
      <c r="E501" s="1">
        <v>45775</v>
      </c>
      <c r="F501">
        <v>858</v>
      </c>
      <c r="G501" t="s">
        <v>36</v>
      </c>
      <c r="H501" t="str">
        <f>TEXT(sales[[#This Row],[sale_date]],"dddd")</f>
        <v>Monday</v>
      </c>
      <c r="I501">
        <f>_xlfn.XLOOKUP(A501,salesitems[sale_id],salesitems[revenue],0)</f>
        <v>40.25</v>
      </c>
      <c r="J501">
        <v>1</v>
      </c>
      <c r="K501" s="10" t="str">
        <f>_xlfn.XLOOKUP(F501,customers[customer_id],customers[age_range])</f>
        <v>16-25</v>
      </c>
      <c r="L501" s="1">
        <f>_xlfn.XLOOKUP(F501,customers[customer_id],customers[signup_date])</f>
        <v>45757</v>
      </c>
      <c r="M501">
        <f>sales[[#This Row],[sale_date]]-sales[[#This Row],[sighnup_date]]</f>
        <v>18</v>
      </c>
      <c r="N501" t="str">
        <f t="shared" si="7"/>
        <v>new customer</v>
      </c>
      <c r="O501" t="str">
        <f>_xlfn.XLOOKUP(A501,salesitems[sale_id],salesitems[category])</f>
        <v>Shoes</v>
      </c>
    </row>
    <row r="502" spans="1:15" x14ac:dyDescent="0.45">
      <c r="A502">
        <v>442</v>
      </c>
      <c r="B502" t="s">
        <v>21</v>
      </c>
      <c r="C502">
        <v>1</v>
      </c>
      <c r="D502">
        <v>339.49</v>
      </c>
      <c r="E502" s="1">
        <v>45814</v>
      </c>
      <c r="F502">
        <v>408</v>
      </c>
      <c r="G502" t="s">
        <v>36</v>
      </c>
      <c r="H502" t="str">
        <f>TEXT(sales[[#This Row],[sale_date]],"dddd")</f>
        <v>Friday</v>
      </c>
      <c r="I502">
        <f>_xlfn.XLOOKUP(A502,salesitems[sale_id],salesitems[revenue],0)</f>
        <v>27.37</v>
      </c>
      <c r="J502">
        <v>1</v>
      </c>
      <c r="K502" s="10" t="str">
        <f>_xlfn.XLOOKUP(F502,customers[customer_id],customers[age_range])</f>
        <v>46-55</v>
      </c>
      <c r="L502" s="1">
        <f>_xlfn.XLOOKUP(F502,customers[customer_id],customers[signup_date])</f>
        <v>45745</v>
      </c>
      <c r="M502">
        <f>sales[[#This Row],[sale_date]]-sales[[#This Row],[sighnup_date]]</f>
        <v>69</v>
      </c>
      <c r="N502" t="str">
        <f t="shared" si="7"/>
        <v>new customer</v>
      </c>
      <c r="O502" t="str">
        <f>_xlfn.XLOOKUP(A502,salesitems[sale_id],salesitems[category])</f>
        <v>Shoes</v>
      </c>
    </row>
    <row r="503" spans="1:15" x14ac:dyDescent="0.45">
      <c r="A503">
        <v>444</v>
      </c>
      <c r="B503" t="s">
        <v>21</v>
      </c>
      <c r="C503">
        <v>0</v>
      </c>
      <c r="D503">
        <v>487.51</v>
      </c>
      <c r="E503" s="1">
        <v>45796</v>
      </c>
      <c r="F503">
        <v>734</v>
      </c>
      <c r="G503" t="s">
        <v>31</v>
      </c>
      <c r="H503" t="str">
        <f>TEXT(sales[[#This Row],[sale_date]],"dddd")</f>
        <v>Monday</v>
      </c>
      <c r="I503">
        <f>_xlfn.XLOOKUP(A503,salesitems[sale_id],salesitems[revenue],0)</f>
        <v>115.96</v>
      </c>
      <c r="J503">
        <v>1</v>
      </c>
      <c r="K503" s="10" t="str">
        <f>_xlfn.XLOOKUP(F503,customers[customer_id],customers[age_range])</f>
        <v>46-55</v>
      </c>
      <c r="L503" s="1">
        <f>_xlfn.XLOOKUP(F503,customers[customer_id],customers[signup_date])</f>
        <v>45744</v>
      </c>
      <c r="M503">
        <f>sales[[#This Row],[sale_date]]-sales[[#This Row],[sighnup_date]]</f>
        <v>52</v>
      </c>
      <c r="N503" t="str">
        <f t="shared" si="7"/>
        <v>new customer</v>
      </c>
      <c r="O503" t="str">
        <f>_xlfn.XLOOKUP(A503,salesitems[sale_id],salesitems[category])</f>
        <v>Dresses</v>
      </c>
    </row>
    <row r="504" spans="1:15" x14ac:dyDescent="0.45">
      <c r="A504">
        <v>445</v>
      </c>
      <c r="B504" t="s">
        <v>21</v>
      </c>
      <c r="C504">
        <v>1</v>
      </c>
      <c r="D504">
        <v>195.86</v>
      </c>
      <c r="E504" s="1">
        <v>45783</v>
      </c>
      <c r="F504">
        <v>852</v>
      </c>
      <c r="G504" t="s">
        <v>38</v>
      </c>
      <c r="H504" t="str">
        <f>TEXT(sales[[#This Row],[sale_date]],"dddd")</f>
        <v>Tuesday</v>
      </c>
      <c r="I504">
        <f>_xlfn.XLOOKUP(A504,salesitems[sale_id],salesitems[revenue],0)</f>
        <v>25.15</v>
      </c>
      <c r="J504">
        <v>1</v>
      </c>
      <c r="K504" s="10" t="str">
        <f>_xlfn.XLOOKUP(F504,customers[customer_id],customers[age_range])</f>
        <v>46-55</v>
      </c>
      <c r="L504" s="1">
        <f>_xlfn.XLOOKUP(F504,customers[customer_id],customers[signup_date])</f>
        <v>45740</v>
      </c>
      <c r="M504">
        <f>sales[[#This Row],[sale_date]]-sales[[#This Row],[sighnup_date]]</f>
        <v>43</v>
      </c>
      <c r="N504" t="str">
        <f t="shared" si="7"/>
        <v>new customer</v>
      </c>
      <c r="O504" t="str">
        <f>_xlfn.XLOOKUP(A504,salesitems[sale_id],salesitems[category])</f>
        <v>Dresses</v>
      </c>
    </row>
    <row r="505" spans="1:15" x14ac:dyDescent="0.45">
      <c r="A505">
        <v>447</v>
      </c>
      <c r="B505" t="s">
        <v>15</v>
      </c>
      <c r="C505">
        <v>0</v>
      </c>
      <c r="D505">
        <v>433.9</v>
      </c>
      <c r="E505" s="1">
        <v>45766</v>
      </c>
      <c r="F505">
        <v>727</v>
      </c>
      <c r="G505" t="s">
        <v>38</v>
      </c>
      <c r="H505" t="str">
        <f>TEXT(sales[[#This Row],[sale_date]],"dddd")</f>
        <v>Saturday</v>
      </c>
      <c r="I505">
        <f>_xlfn.XLOOKUP(A505,salesitems[sale_id],salesitems[revenue],0)</f>
        <v>38.06</v>
      </c>
      <c r="J505">
        <v>1</v>
      </c>
      <c r="K505" s="10" t="str">
        <f>_xlfn.XLOOKUP(F505,customers[customer_id],customers[age_range])</f>
        <v>26-35</v>
      </c>
      <c r="L505" s="1">
        <f>_xlfn.XLOOKUP(F505,customers[customer_id],customers[signup_date])</f>
        <v>45725</v>
      </c>
      <c r="M505">
        <f>sales[[#This Row],[sale_date]]-sales[[#This Row],[sighnup_date]]</f>
        <v>41</v>
      </c>
      <c r="N505" t="str">
        <f t="shared" si="7"/>
        <v>new customer</v>
      </c>
      <c r="O505" t="str">
        <f>_xlfn.XLOOKUP(A505,salesitems[sale_id],salesitems[category])</f>
        <v>Sleepwear</v>
      </c>
    </row>
    <row r="506" spans="1:15" x14ac:dyDescent="0.45">
      <c r="A506">
        <v>448</v>
      </c>
      <c r="B506" t="s">
        <v>15</v>
      </c>
      <c r="C506">
        <v>0</v>
      </c>
      <c r="D506">
        <v>319.3</v>
      </c>
      <c r="E506" s="1">
        <v>45776</v>
      </c>
      <c r="F506">
        <v>143</v>
      </c>
      <c r="G506" t="s">
        <v>31</v>
      </c>
      <c r="H506" t="str">
        <f>TEXT(sales[[#This Row],[sale_date]],"dddd")</f>
        <v>Tuesday</v>
      </c>
      <c r="I506">
        <f>_xlfn.XLOOKUP(A506,salesitems[sale_id],salesitems[revenue],0)</f>
        <v>42.66</v>
      </c>
      <c r="J506">
        <v>1</v>
      </c>
      <c r="K506" s="10" t="str">
        <f>_xlfn.XLOOKUP(F506,customers[customer_id],customers[age_range])</f>
        <v>56-65</v>
      </c>
      <c r="L506" s="1">
        <f>_xlfn.XLOOKUP(F506,customers[customer_id],customers[signup_date])</f>
        <v>45796</v>
      </c>
      <c r="M506">
        <f>sales[[#This Row],[sale_date]]-sales[[#This Row],[sighnup_date]]</f>
        <v>-20</v>
      </c>
      <c r="N506" t="str">
        <f t="shared" si="7"/>
        <v>data issue</v>
      </c>
      <c r="O506" t="str">
        <f>_xlfn.XLOOKUP(A506,salesitems[sale_id],salesitems[category])</f>
        <v>Sleepwear</v>
      </c>
    </row>
    <row r="507" spans="1:15" x14ac:dyDescent="0.45">
      <c r="A507">
        <v>449</v>
      </c>
      <c r="B507" t="s">
        <v>21</v>
      </c>
      <c r="C507">
        <v>0</v>
      </c>
      <c r="D507">
        <v>274.72000000000003</v>
      </c>
      <c r="E507" s="1">
        <v>45800</v>
      </c>
      <c r="F507">
        <v>749</v>
      </c>
      <c r="G507" t="s">
        <v>34</v>
      </c>
      <c r="H507" t="str">
        <f>TEXT(sales[[#This Row],[sale_date]],"dddd")</f>
        <v>Friday</v>
      </c>
      <c r="I507">
        <f>_xlfn.XLOOKUP(A507,salesitems[sale_id],salesitems[revenue],0)</f>
        <v>42.14</v>
      </c>
      <c r="J507">
        <v>1</v>
      </c>
      <c r="K507" s="10" t="str">
        <f>_xlfn.XLOOKUP(F507,customers[customer_id],customers[age_range])</f>
        <v>56-65</v>
      </c>
      <c r="L507" s="1">
        <f>_xlfn.XLOOKUP(F507,customers[customer_id],customers[signup_date])</f>
        <v>45744</v>
      </c>
      <c r="M507">
        <f>sales[[#This Row],[sale_date]]-sales[[#This Row],[sighnup_date]]</f>
        <v>56</v>
      </c>
      <c r="N507" t="str">
        <f t="shared" si="7"/>
        <v>new customer</v>
      </c>
      <c r="O507" t="str">
        <f>_xlfn.XLOOKUP(A507,salesitems[sale_id],salesitems[category])</f>
        <v>Dresses</v>
      </c>
    </row>
    <row r="508" spans="1:15" x14ac:dyDescent="0.45">
      <c r="A508">
        <v>450</v>
      </c>
      <c r="B508" t="s">
        <v>15</v>
      </c>
      <c r="C508">
        <v>0</v>
      </c>
      <c r="D508">
        <v>540.03</v>
      </c>
      <c r="E508" s="1">
        <v>45777</v>
      </c>
      <c r="F508">
        <v>640</v>
      </c>
      <c r="G508" t="s">
        <v>28</v>
      </c>
      <c r="H508" t="str">
        <f>TEXT(sales[[#This Row],[sale_date]],"dddd")</f>
        <v>Wednesday</v>
      </c>
      <c r="I508">
        <f>_xlfn.XLOOKUP(A508,salesitems[sale_id],salesitems[revenue],0)</f>
        <v>66.52</v>
      </c>
      <c r="J508">
        <v>1</v>
      </c>
      <c r="K508" s="10" t="str">
        <f>_xlfn.XLOOKUP(F508,customers[customer_id],customers[age_range])</f>
        <v>26-35</v>
      </c>
      <c r="L508" s="1">
        <f>_xlfn.XLOOKUP(F508,customers[customer_id],customers[signup_date])</f>
        <v>45677</v>
      </c>
      <c r="M508">
        <f>sales[[#This Row],[sale_date]]-sales[[#This Row],[sighnup_date]]</f>
        <v>100</v>
      </c>
      <c r="N508" t="str">
        <f t="shared" si="7"/>
        <v>existing customer</v>
      </c>
      <c r="O508" t="str">
        <f>_xlfn.XLOOKUP(A508,salesitems[sale_id],salesitems[category])</f>
        <v>T-Shirts</v>
      </c>
    </row>
    <row r="509" spans="1:15" x14ac:dyDescent="0.45">
      <c r="A509">
        <v>451</v>
      </c>
      <c r="B509" t="s">
        <v>21</v>
      </c>
      <c r="C509">
        <v>0</v>
      </c>
      <c r="D509">
        <v>485.52</v>
      </c>
      <c r="E509" s="1">
        <v>45762</v>
      </c>
      <c r="F509">
        <v>997</v>
      </c>
      <c r="G509" t="s">
        <v>33</v>
      </c>
      <c r="H509" t="str">
        <f>TEXT(sales[[#This Row],[sale_date]],"dddd")</f>
        <v>Tuesday</v>
      </c>
      <c r="I509">
        <f>_xlfn.XLOOKUP(A509,salesitems[sale_id],salesitems[revenue],0)</f>
        <v>47.47</v>
      </c>
      <c r="J509">
        <v>1</v>
      </c>
      <c r="K509" s="10" t="str">
        <f>_xlfn.XLOOKUP(F509,customers[customer_id],customers[age_range])</f>
        <v>56-65</v>
      </c>
      <c r="L509" s="1">
        <f>_xlfn.XLOOKUP(F509,customers[customer_id],customers[signup_date])</f>
        <v>45745</v>
      </c>
      <c r="M509">
        <f>sales[[#This Row],[sale_date]]-sales[[#This Row],[sighnup_date]]</f>
        <v>17</v>
      </c>
      <c r="N509" t="str">
        <f t="shared" si="7"/>
        <v>new customer</v>
      </c>
      <c r="O509" t="str">
        <f>_xlfn.XLOOKUP(A509,salesitems[sale_id],salesitems[category])</f>
        <v>Sleepwear</v>
      </c>
    </row>
    <row r="510" spans="1:15" x14ac:dyDescent="0.45">
      <c r="A510">
        <v>452</v>
      </c>
      <c r="B510" t="s">
        <v>15</v>
      </c>
      <c r="C510">
        <v>0</v>
      </c>
      <c r="D510">
        <v>341.2</v>
      </c>
      <c r="E510" s="1">
        <v>45772</v>
      </c>
      <c r="F510">
        <v>605</v>
      </c>
      <c r="G510" t="s">
        <v>34</v>
      </c>
      <c r="H510" t="str">
        <f>TEXT(sales[[#This Row],[sale_date]],"dddd")</f>
        <v>Friday</v>
      </c>
      <c r="I510">
        <f>_xlfn.XLOOKUP(A510,salesitems[sale_id],salesitems[revenue],0)</f>
        <v>87.28</v>
      </c>
      <c r="J510">
        <v>1</v>
      </c>
      <c r="K510" s="10" t="str">
        <f>_xlfn.XLOOKUP(F510,customers[customer_id],customers[age_range])</f>
        <v>26-35</v>
      </c>
      <c r="L510" s="1">
        <f>_xlfn.XLOOKUP(F510,customers[customer_id],customers[signup_date])</f>
        <v>45740</v>
      </c>
      <c r="M510">
        <f>sales[[#This Row],[sale_date]]-sales[[#This Row],[sighnup_date]]</f>
        <v>32</v>
      </c>
      <c r="N510" t="str">
        <f t="shared" si="7"/>
        <v>new customer</v>
      </c>
      <c r="O510" t="str">
        <f>_xlfn.XLOOKUP(A510,salesitems[sale_id],salesitems[category])</f>
        <v>Dresses</v>
      </c>
    </row>
    <row r="511" spans="1:15" x14ac:dyDescent="0.45">
      <c r="A511">
        <v>458</v>
      </c>
      <c r="B511" t="s">
        <v>15</v>
      </c>
      <c r="C511">
        <v>0</v>
      </c>
      <c r="D511">
        <v>670.95</v>
      </c>
      <c r="E511" s="1">
        <v>45797</v>
      </c>
      <c r="F511">
        <v>613</v>
      </c>
      <c r="G511" t="s">
        <v>31</v>
      </c>
      <c r="H511" t="str">
        <f>TEXT(sales[[#This Row],[sale_date]],"dddd")</f>
        <v>Tuesday</v>
      </c>
      <c r="I511">
        <f>_xlfn.XLOOKUP(A511,salesitems[sale_id],salesitems[revenue],0)</f>
        <v>173.6</v>
      </c>
      <c r="J511">
        <v>1</v>
      </c>
      <c r="K511" s="10" t="str">
        <f>_xlfn.XLOOKUP(F511,customers[customer_id],customers[age_range])</f>
        <v>16-25</v>
      </c>
      <c r="L511" s="1">
        <f>_xlfn.XLOOKUP(F511,customers[customer_id],customers[signup_date])</f>
        <v>45789</v>
      </c>
      <c r="M511">
        <f>sales[[#This Row],[sale_date]]-sales[[#This Row],[sighnup_date]]</f>
        <v>8</v>
      </c>
      <c r="N511" t="str">
        <f t="shared" si="7"/>
        <v>new customer</v>
      </c>
      <c r="O511" t="str">
        <f>_xlfn.XLOOKUP(A511,salesitems[sale_id],salesitems[category])</f>
        <v>T-Shirts</v>
      </c>
    </row>
    <row r="512" spans="1:15" x14ac:dyDescent="0.45">
      <c r="A512">
        <v>46</v>
      </c>
      <c r="B512" t="s">
        <v>15</v>
      </c>
      <c r="C512">
        <v>0</v>
      </c>
      <c r="D512">
        <v>133.43</v>
      </c>
      <c r="E512" s="1">
        <v>45822</v>
      </c>
      <c r="F512">
        <v>386</v>
      </c>
      <c r="G512" t="s">
        <v>28</v>
      </c>
      <c r="H512" t="str">
        <f>TEXT(sales[[#This Row],[sale_date]],"dddd")</f>
        <v>Saturday</v>
      </c>
      <c r="I512">
        <f>_xlfn.XLOOKUP(A512,salesitems[sale_id],salesitems[revenue],0)</f>
        <v>44.77</v>
      </c>
      <c r="J512">
        <v>1</v>
      </c>
      <c r="K512" s="10" t="str">
        <f>_xlfn.XLOOKUP(F512,customers[customer_id],customers[age_range])</f>
        <v>36-45</v>
      </c>
      <c r="L512" s="1">
        <f>_xlfn.XLOOKUP(F512,customers[customer_id],customers[signup_date])</f>
        <v>45744</v>
      </c>
      <c r="M512">
        <f>sales[[#This Row],[sale_date]]-sales[[#This Row],[sighnup_date]]</f>
        <v>78</v>
      </c>
      <c r="N512" t="str">
        <f t="shared" si="7"/>
        <v>new customer</v>
      </c>
      <c r="O512" t="str">
        <f>_xlfn.XLOOKUP(A512,salesitems[sale_id],salesitems[category])</f>
        <v>Dresses</v>
      </c>
    </row>
    <row r="513" spans="1:15" x14ac:dyDescent="0.45">
      <c r="A513">
        <v>461</v>
      </c>
      <c r="B513" t="s">
        <v>21</v>
      </c>
      <c r="C513">
        <v>0</v>
      </c>
      <c r="D513">
        <v>439.03</v>
      </c>
      <c r="E513" s="1">
        <v>45804</v>
      </c>
      <c r="F513">
        <v>607</v>
      </c>
      <c r="G513" t="s">
        <v>28</v>
      </c>
      <c r="H513" t="str">
        <f>TEXT(sales[[#This Row],[sale_date]],"dddd")</f>
        <v>Tuesday</v>
      </c>
      <c r="I513">
        <f>_xlfn.XLOOKUP(A513,salesitems[sale_id],salesitems[revenue],0)</f>
        <v>51.8</v>
      </c>
      <c r="J513">
        <v>1</v>
      </c>
      <c r="K513" s="10" t="str">
        <f>_xlfn.XLOOKUP(F513,customers[customer_id],customers[age_range])</f>
        <v>36-45</v>
      </c>
      <c r="L513" s="1">
        <f>_xlfn.XLOOKUP(F513,customers[customer_id],customers[signup_date])</f>
        <v>45705</v>
      </c>
      <c r="M513">
        <f>sales[[#This Row],[sale_date]]-sales[[#This Row],[sighnup_date]]</f>
        <v>99</v>
      </c>
      <c r="N513" t="str">
        <f t="shared" si="7"/>
        <v>existing customer</v>
      </c>
      <c r="O513" t="str">
        <f>_xlfn.XLOOKUP(A513,salesitems[sale_id],salesitems[category])</f>
        <v>Sleepwear</v>
      </c>
    </row>
    <row r="514" spans="1:15" x14ac:dyDescent="0.45">
      <c r="A514">
        <v>463</v>
      </c>
      <c r="B514" t="s">
        <v>15</v>
      </c>
      <c r="C514">
        <v>0</v>
      </c>
      <c r="D514">
        <v>418.95</v>
      </c>
      <c r="E514" s="1">
        <v>45821</v>
      </c>
      <c r="F514">
        <v>497</v>
      </c>
      <c r="G514" t="s">
        <v>36</v>
      </c>
      <c r="H514" t="str">
        <f>TEXT(sales[[#This Row],[sale_date]],"dddd")</f>
        <v>Friday</v>
      </c>
      <c r="I514">
        <f>_xlfn.XLOOKUP(A514,salesitems[sale_id],salesitems[revenue],0)</f>
        <v>82.52</v>
      </c>
      <c r="J514">
        <v>1</v>
      </c>
      <c r="K514" s="10" t="str">
        <f>_xlfn.XLOOKUP(F514,customers[customer_id],customers[age_range])</f>
        <v>36-45</v>
      </c>
      <c r="L514" s="1">
        <f>_xlfn.XLOOKUP(F514,customers[customer_id],customers[signup_date])</f>
        <v>45698</v>
      </c>
      <c r="M514">
        <f>sales[[#This Row],[sale_date]]-sales[[#This Row],[sighnup_date]]</f>
        <v>123</v>
      </c>
      <c r="N514" t="str">
        <f t="shared" ref="N514:N577" si="8">IF(M514&lt;0,"data issue",IF(M514&lt;=90,"new customer","existing customer"))</f>
        <v>existing customer</v>
      </c>
      <c r="O514" t="str">
        <f>_xlfn.XLOOKUP(A514,salesitems[sale_id],salesitems[category])</f>
        <v>Sleepwear</v>
      </c>
    </row>
    <row r="515" spans="1:15" x14ac:dyDescent="0.45">
      <c r="A515">
        <v>465</v>
      </c>
      <c r="B515" t="s">
        <v>21</v>
      </c>
      <c r="C515">
        <v>0</v>
      </c>
      <c r="D515">
        <v>572.22</v>
      </c>
      <c r="E515" s="1">
        <v>45822</v>
      </c>
      <c r="F515">
        <v>783</v>
      </c>
      <c r="G515" t="s">
        <v>33</v>
      </c>
      <c r="H515" t="str">
        <f>TEXT(sales[[#This Row],[sale_date]],"dddd")</f>
        <v>Saturday</v>
      </c>
      <c r="I515">
        <f>_xlfn.XLOOKUP(A515,salesitems[sale_id],salesitems[revenue],0)</f>
        <v>87.28</v>
      </c>
      <c r="J515">
        <v>1</v>
      </c>
      <c r="K515" s="10" t="str">
        <f>_xlfn.XLOOKUP(F515,customers[customer_id],customers[age_range])</f>
        <v>36-45</v>
      </c>
      <c r="L515" s="1">
        <f>_xlfn.XLOOKUP(F515,customers[customer_id],customers[signup_date])</f>
        <v>45719</v>
      </c>
      <c r="M515">
        <f>sales[[#This Row],[sale_date]]-sales[[#This Row],[sighnup_date]]</f>
        <v>103</v>
      </c>
      <c r="N515" t="str">
        <f t="shared" si="8"/>
        <v>existing customer</v>
      </c>
      <c r="O515" t="str">
        <f>_xlfn.XLOOKUP(A515,salesitems[sale_id],salesitems[category])</f>
        <v>Dresses</v>
      </c>
    </row>
    <row r="516" spans="1:15" x14ac:dyDescent="0.45">
      <c r="A516">
        <v>466</v>
      </c>
      <c r="B516" t="s">
        <v>21</v>
      </c>
      <c r="C516">
        <v>0</v>
      </c>
      <c r="D516">
        <v>573.78</v>
      </c>
      <c r="E516" s="1">
        <v>45764</v>
      </c>
      <c r="F516">
        <v>538</v>
      </c>
      <c r="G516" t="s">
        <v>31</v>
      </c>
      <c r="H516" t="str">
        <f>TEXT(sales[[#This Row],[sale_date]],"dddd")</f>
        <v>Thursday</v>
      </c>
      <c r="I516">
        <f>_xlfn.XLOOKUP(A516,salesitems[sale_id],salesitems[revenue],0)</f>
        <v>64.11</v>
      </c>
      <c r="J516">
        <v>1</v>
      </c>
      <c r="K516" s="10" t="str">
        <f>_xlfn.XLOOKUP(F516,customers[customer_id],customers[age_range])</f>
        <v>46-55</v>
      </c>
      <c r="L516" s="1">
        <f>_xlfn.XLOOKUP(F516,customers[customer_id],customers[signup_date])</f>
        <v>45748</v>
      </c>
      <c r="M516">
        <f>sales[[#This Row],[sale_date]]-sales[[#This Row],[sighnup_date]]</f>
        <v>16</v>
      </c>
      <c r="N516" t="str">
        <f t="shared" si="8"/>
        <v>new customer</v>
      </c>
      <c r="O516" t="str">
        <f>_xlfn.XLOOKUP(A516,salesitems[sale_id],salesitems[category])</f>
        <v>Sleepwear</v>
      </c>
    </row>
    <row r="517" spans="1:15" x14ac:dyDescent="0.45">
      <c r="A517">
        <v>467</v>
      </c>
      <c r="B517" t="s">
        <v>15</v>
      </c>
      <c r="C517">
        <v>0</v>
      </c>
      <c r="D517">
        <v>425.23</v>
      </c>
      <c r="E517" s="1">
        <v>45767</v>
      </c>
      <c r="F517">
        <v>220</v>
      </c>
      <c r="G517" t="s">
        <v>36</v>
      </c>
      <c r="H517" t="str">
        <f>TEXT(sales[[#This Row],[sale_date]],"dddd")</f>
        <v>Sunday</v>
      </c>
      <c r="I517">
        <f>_xlfn.XLOOKUP(A517,salesitems[sale_id],salesitems[revenue],0)</f>
        <v>31.15</v>
      </c>
      <c r="J517">
        <v>1</v>
      </c>
      <c r="K517" s="10" t="str">
        <f>_xlfn.XLOOKUP(F517,customers[customer_id],customers[age_range])</f>
        <v>26-35</v>
      </c>
      <c r="L517" s="1">
        <f>_xlfn.XLOOKUP(F517,customers[customer_id],customers[signup_date])</f>
        <v>45687</v>
      </c>
      <c r="M517">
        <f>sales[[#This Row],[sale_date]]-sales[[#This Row],[sighnup_date]]</f>
        <v>80</v>
      </c>
      <c r="N517" t="str">
        <f t="shared" si="8"/>
        <v>new customer</v>
      </c>
      <c r="O517" t="str">
        <f>_xlfn.XLOOKUP(A517,salesitems[sale_id],salesitems[category])</f>
        <v>Sleepwear</v>
      </c>
    </row>
    <row r="518" spans="1:15" x14ac:dyDescent="0.45">
      <c r="A518">
        <v>468</v>
      </c>
      <c r="B518" t="s">
        <v>15</v>
      </c>
      <c r="C518">
        <v>0</v>
      </c>
      <c r="D518">
        <v>334.88</v>
      </c>
      <c r="E518" s="1">
        <v>45782</v>
      </c>
      <c r="F518">
        <v>273</v>
      </c>
      <c r="G518" t="s">
        <v>28</v>
      </c>
      <c r="H518" t="str">
        <f>TEXT(sales[[#This Row],[sale_date]],"dddd")</f>
        <v>Monday</v>
      </c>
      <c r="I518">
        <f>_xlfn.XLOOKUP(A518,salesitems[sale_id],salesitems[revenue],0)</f>
        <v>40.99</v>
      </c>
      <c r="J518">
        <v>1</v>
      </c>
      <c r="K518" s="10" t="str">
        <f>_xlfn.XLOOKUP(F518,customers[customer_id],customers[age_range])</f>
        <v>16-25</v>
      </c>
      <c r="L518" s="1">
        <f>_xlfn.XLOOKUP(F518,customers[customer_id],customers[signup_date])</f>
        <v>45717</v>
      </c>
      <c r="M518">
        <f>sales[[#This Row],[sale_date]]-sales[[#This Row],[sighnup_date]]</f>
        <v>65</v>
      </c>
      <c r="N518" t="str">
        <f t="shared" si="8"/>
        <v>new customer</v>
      </c>
      <c r="O518" t="str">
        <f>_xlfn.XLOOKUP(A518,salesitems[sale_id],salesitems[category])</f>
        <v>Shoes</v>
      </c>
    </row>
    <row r="519" spans="1:15" x14ac:dyDescent="0.45">
      <c r="A519">
        <v>469</v>
      </c>
      <c r="B519" t="s">
        <v>21</v>
      </c>
      <c r="C519">
        <v>0</v>
      </c>
      <c r="D519">
        <v>316.23</v>
      </c>
      <c r="E519" s="1">
        <v>45802</v>
      </c>
      <c r="F519">
        <v>180</v>
      </c>
      <c r="G519" t="s">
        <v>36</v>
      </c>
      <c r="H519" t="str">
        <f>TEXT(sales[[#This Row],[sale_date]],"dddd")</f>
        <v>Sunday</v>
      </c>
      <c r="I519">
        <f>_xlfn.XLOOKUP(A519,salesitems[sale_id],salesitems[revenue],0)</f>
        <v>39.090000000000003</v>
      </c>
      <c r="J519">
        <v>1</v>
      </c>
      <c r="K519" s="10" t="str">
        <f>_xlfn.XLOOKUP(F519,customers[customer_id],customers[age_range])</f>
        <v>56-65</v>
      </c>
      <c r="L519" s="1">
        <f>_xlfn.XLOOKUP(F519,customers[customer_id],customers[signup_date])</f>
        <v>45701</v>
      </c>
      <c r="M519">
        <f>sales[[#This Row],[sale_date]]-sales[[#This Row],[sighnup_date]]</f>
        <v>101</v>
      </c>
      <c r="N519" t="str">
        <f t="shared" si="8"/>
        <v>existing customer</v>
      </c>
      <c r="O519" t="str">
        <f>_xlfn.XLOOKUP(A519,salesitems[sale_id],salesitems[category])</f>
        <v>Dresses</v>
      </c>
    </row>
    <row r="520" spans="1:15" x14ac:dyDescent="0.45">
      <c r="A520">
        <v>470</v>
      </c>
      <c r="B520" t="s">
        <v>15</v>
      </c>
      <c r="C520">
        <v>0</v>
      </c>
      <c r="D520">
        <v>526.46</v>
      </c>
      <c r="E520" s="1">
        <v>45777</v>
      </c>
      <c r="F520">
        <v>664</v>
      </c>
      <c r="G520" t="s">
        <v>28</v>
      </c>
      <c r="H520" t="str">
        <f>TEXT(sales[[#This Row],[sale_date]],"dddd")</f>
        <v>Wednesday</v>
      </c>
      <c r="I520">
        <f>_xlfn.XLOOKUP(A520,salesitems[sale_id],salesitems[revenue],0)</f>
        <v>80.5</v>
      </c>
      <c r="J520">
        <v>1</v>
      </c>
      <c r="K520" s="10" t="str">
        <f>_xlfn.XLOOKUP(F520,customers[customer_id],customers[age_range])</f>
        <v>56-65</v>
      </c>
      <c r="L520" s="1">
        <f>_xlfn.XLOOKUP(F520,customers[customer_id],customers[signup_date])</f>
        <v>45765</v>
      </c>
      <c r="M520">
        <f>sales[[#This Row],[sale_date]]-sales[[#This Row],[sighnup_date]]</f>
        <v>12</v>
      </c>
      <c r="N520" t="str">
        <f t="shared" si="8"/>
        <v>new customer</v>
      </c>
      <c r="O520" t="str">
        <f>_xlfn.XLOOKUP(A520,salesitems[sale_id],salesitems[category])</f>
        <v>Shoes</v>
      </c>
    </row>
    <row r="521" spans="1:15" x14ac:dyDescent="0.45">
      <c r="A521">
        <v>473</v>
      </c>
      <c r="B521" t="s">
        <v>21</v>
      </c>
      <c r="C521">
        <v>0</v>
      </c>
      <c r="D521">
        <v>270.72000000000003</v>
      </c>
      <c r="E521" s="1">
        <v>45777</v>
      </c>
      <c r="F521">
        <v>820</v>
      </c>
      <c r="G521" t="s">
        <v>34</v>
      </c>
      <c r="H521" t="str">
        <f>TEXT(sales[[#This Row],[sale_date]],"dddd")</f>
        <v>Wednesday</v>
      </c>
      <c r="I521">
        <f>_xlfn.XLOOKUP(A521,salesitems[sale_id],salesitems[revenue],0)</f>
        <v>71.150000000000006</v>
      </c>
      <c r="J521">
        <v>1</v>
      </c>
      <c r="K521" s="10" t="str">
        <f>_xlfn.XLOOKUP(F521,customers[customer_id],customers[age_range])</f>
        <v>56-65</v>
      </c>
      <c r="L521" s="1">
        <f>_xlfn.XLOOKUP(F521,customers[customer_id],customers[signup_date])</f>
        <v>45686</v>
      </c>
      <c r="M521">
        <f>sales[[#This Row],[sale_date]]-sales[[#This Row],[sighnup_date]]</f>
        <v>91</v>
      </c>
      <c r="N521" t="str">
        <f t="shared" si="8"/>
        <v>existing customer</v>
      </c>
      <c r="O521" t="str">
        <f>_xlfn.XLOOKUP(A521,salesitems[sale_id],salesitems[category])</f>
        <v>Sleepwear</v>
      </c>
    </row>
    <row r="522" spans="1:15" x14ac:dyDescent="0.45">
      <c r="A522">
        <v>474</v>
      </c>
      <c r="B522" t="s">
        <v>15</v>
      </c>
      <c r="C522">
        <v>0</v>
      </c>
      <c r="D522">
        <v>549.22</v>
      </c>
      <c r="E522" s="1">
        <v>45761</v>
      </c>
      <c r="F522">
        <v>190</v>
      </c>
      <c r="G522" t="s">
        <v>33</v>
      </c>
      <c r="H522" t="str">
        <f>TEXT(sales[[#This Row],[sale_date]],"dddd")</f>
        <v>Monday</v>
      </c>
      <c r="I522">
        <f>_xlfn.XLOOKUP(A522,salesitems[sale_id],salesitems[revenue],0)</f>
        <v>208.4</v>
      </c>
      <c r="J522">
        <v>1</v>
      </c>
      <c r="K522" s="10" t="str">
        <f>_xlfn.XLOOKUP(F522,customers[customer_id],customers[age_range])</f>
        <v>26-35</v>
      </c>
      <c r="L522" s="1">
        <f>_xlfn.XLOOKUP(F522,customers[customer_id],customers[signup_date])</f>
        <v>45739</v>
      </c>
      <c r="M522">
        <f>sales[[#This Row],[sale_date]]-sales[[#This Row],[sighnup_date]]</f>
        <v>22</v>
      </c>
      <c r="N522" t="str">
        <f t="shared" si="8"/>
        <v>new customer</v>
      </c>
      <c r="O522" t="str">
        <f>_xlfn.XLOOKUP(A522,salesitems[sale_id],salesitems[category])</f>
        <v>Dresses</v>
      </c>
    </row>
    <row r="523" spans="1:15" x14ac:dyDescent="0.45">
      <c r="A523">
        <v>475</v>
      </c>
      <c r="B523" t="s">
        <v>15</v>
      </c>
      <c r="C523">
        <v>0</v>
      </c>
      <c r="D523">
        <v>513.94000000000005</v>
      </c>
      <c r="E523" s="1">
        <v>45775</v>
      </c>
      <c r="F523">
        <v>831</v>
      </c>
      <c r="G523" t="s">
        <v>36</v>
      </c>
      <c r="H523" t="str">
        <f>TEXT(sales[[#This Row],[sale_date]],"dddd")</f>
        <v>Monday</v>
      </c>
      <c r="I523">
        <f>_xlfn.XLOOKUP(A523,salesitems[sale_id],salesitems[revenue],0)</f>
        <v>178.74</v>
      </c>
      <c r="J523">
        <v>1</v>
      </c>
      <c r="K523" s="10" t="str">
        <f>_xlfn.XLOOKUP(F523,customers[customer_id],customers[age_range])</f>
        <v>36-45</v>
      </c>
      <c r="L523" s="1">
        <f>_xlfn.XLOOKUP(F523,customers[customer_id],customers[signup_date])</f>
        <v>45768</v>
      </c>
      <c r="M523">
        <f>sales[[#This Row],[sale_date]]-sales[[#This Row],[sighnup_date]]</f>
        <v>7</v>
      </c>
      <c r="N523" t="str">
        <f t="shared" si="8"/>
        <v>new customer</v>
      </c>
      <c r="O523" t="str">
        <f>_xlfn.XLOOKUP(A523,salesitems[sale_id],salesitems[category])</f>
        <v>Shoes</v>
      </c>
    </row>
    <row r="524" spans="1:15" x14ac:dyDescent="0.45">
      <c r="A524">
        <v>476</v>
      </c>
      <c r="B524" t="s">
        <v>15</v>
      </c>
      <c r="C524">
        <v>1</v>
      </c>
      <c r="D524">
        <v>302.38</v>
      </c>
      <c r="E524" s="1">
        <v>45794</v>
      </c>
      <c r="F524">
        <v>511</v>
      </c>
      <c r="G524" t="s">
        <v>28</v>
      </c>
      <c r="H524" t="str">
        <f>TEXT(sales[[#This Row],[sale_date]],"dddd")</f>
        <v>Saturday</v>
      </c>
      <c r="I524">
        <f>_xlfn.XLOOKUP(A524,salesitems[sale_id],salesitems[revenue],0)</f>
        <v>57.38</v>
      </c>
      <c r="J524">
        <v>1</v>
      </c>
      <c r="K524" s="10" t="str">
        <f>_xlfn.XLOOKUP(F524,customers[customer_id],customers[age_range])</f>
        <v>16-25</v>
      </c>
      <c r="L524" s="1">
        <f>_xlfn.XLOOKUP(F524,customers[customer_id],customers[signup_date])</f>
        <v>45765</v>
      </c>
      <c r="M524">
        <f>sales[[#This Row],[sale_date]]-sales[[#This Row],[sighnup_date]]</f>
        <v>29</v>
      </c>
      <c r="N524" t="str">
        <f t="shared" si="8"/>
        <v>new customer</v>
      </c>
      <c r="O524" t="str">
        <f>_xlfn.XLOOKUP(A524,salesitems[sale_id],salesitems[category])</f>
        <v>Shoes</v>
      </c>
    </row>
    <row r="525" spans="1:15" x14ac:dyDescent="0.45">
      <c r="A525">
        <v>478</v>
      </c>
      <c r="B525" t="s">
        <v>15</v>
      </c>
      <c r="C525">
        <v>0</v>
      </c>
      <c r="D525">
        <v>162.44</v>
      </c>
      <c r="E525" s="1">
        <v>45761</v>
      </c>
      <c r="F525">
        <v>957</v>
      </c>
      <c r="G525" t="s">
        <v>28</v>
      </c>
      <c r="H525" t="str">
        <f>TEXT(sales[[#This Row],[sale_date]],"dddd")</f>
        <v>Monday</v>
      </c>
      <c r="I525">
        <f>_xlfn.XLOOKUP(A525,salesitems[sale_id],salesitems[revenue],0)</f>
        <v>78.52</v>
      </c>
      <c r="J525">
        <v>1</v>
      </c>
      <c r="K525" s="10" t="str">
        <f>_xlfn.XLOOKUP(F525,customers[customer_id],customers[age_range])</f>
        <v>16-25</v>
      </c>
      <c r="L525" s="1">
        <f>_xlfn.XLOOKUP(F525,customers[customer_id],customers[signup_date])</f>
        <v>45675</v>
      </c>
      <c r="M525">
        <f>sales[[#This Row],[sale_date]]-sales[[#This Row],[sighnup_date]]</f>
        <v>86</v>
      </c>
      <c r="N525" t="str">
        <f t="shared" si="8"/>
        <v>new customer</v>
      </c>
      <c r="O525" t="str">
        <f>_xlfn.XLOOKUP(A525,salesitems[sale_id],salesitems[category])</f>
        <v>Shoes</v>
      </c>
    </row>
    <row r="526" spans="1:15" x14ac:dyDescent="0.45">
      <c r="A526">
        <v>479</v>
      </c>
      <c r="B526" t="s">
        <v>21</v>
      </c>
      <c r="C526">
        <v>0</v>
      </c>
      <c r="D526">
        <v>413.62</v>
      </c>
      <c r="E526" s="1">
        <v>45797</v>
      </c>
      <c r="F526">
        <v>908</v>
      </c>
      <c r="G526" t="s">
        <v>36</v>
      </c>
      <c r="H526" t="str">
        <f>TEXT(sales[[#This Row],[sale_date]],"dddd")</f>
        <v>Tuesday</v>
      </c>
      <c r="I526">
        <f>_xlfn.XLOOKUP(A526,salesitems[sale_id],salesitems[revenue],0)</f>
        <v>104.2</v>
      </c>
      <c r="J526">
        <v>1</v>
      </c>
      <c r="K526" s="10" t="str">
        <f>_xlfn.XLOOKUP(F526,customers[customer_id],customers[age_range])</f>
        <v>16-25</v>
      </c>
      <c r="L526" s="1">
        <f>_xlfn.XLOOKUP(F526,customers[customer_id],customers[signup_date])</f>
        <v>45701</v>
      </c>
      <c r="M526">
        <f>sales[[#This Row],[sale_date]]-sales[[#This Row],[sighnup_date]]</f>
        <v>96</v>
      </c>
      <c r="N526" t="str">
        <f t="shared" si="8"/>
        <v>existing customer</v>
      </c>
      <c r="O526" t="str">
        <f>_xlfn.XLOOKUP(A526,salesitems[sale_id],salesitems[category])</f>
        <v>Dresses</v>
      </c>
    </row>
    <row r="527" spans="1:15" x14ac:dyDescent="0.45">
      <c r="A527">
        <v>480</v>
      </c>
      <c r="B527" t="s">
        <v>21</v>
      </c>
      <c r="C527">
        <v>0</v>
      </c>
      <c r="D527">
        <v>821.72</v>
      </c>
      <c r="E527" s="1">
        <v>45771</v>
      </c>
      <c r="F527">
        <v>455</v>
      </c>
      <c r="G527" t="s">
        <v>31</v>
      </c>
      <c r="H527" t="str">
        <f>TEXT(sales[[#This Row],[sale_date]],"dddd")</f>
        <v>Thursday</v>
      </c>
      <c r="I527">
        <f>_xlfn.XLOOKUP(A527,salesitems[sale_id],salesitems[revenue],0)</f>
        <v>190.92</v>
      </c>
      <c r="J527">
        <v>1</v>
      </c>
      <c r="K527" s="10" t="str">
        <f>_xlfn.XLOOKUP(F527,customers[customer_id],customers[age_range])</f>
        <v>36-45</v>
      </c>
      <c r="L527" s="1">
        <f>_xlfn.XLOOKUP(F527,customers[customer_id],customers[signup_date])</f>
        <v>45754</v>
      </c>
      <c r="M527">
        <f>sales[[#This Row],[sale_date]]-sales[[#This Row],[sighnup_date]]</f>
        <v>17</v>
      </c>
      <c r="N527" t="str">
        <f t="shared" si="8"/>
        <v>new customer</v>
      </c>
      <c r="O527" t="str">
        <f>_xlfn.XLOOKUP(A527,salesitems[sale_id],salesitems[category])</f>
        <v>Pants</v>
      </c>
    </row>
    <row r="528" spans="1:15" x14ac:dyDescent="0.45">
      <c r="A528">
        <v>482</v>
      </c>
      <c r="B528" t="s">
        <v>15</v>
      </c>
      <c r="C528">
        <v>0</v>
      </c>
      <c r="D528">
        <v>306.89999999999998</v>
      </c>
      <c r="E528" s="1">
        <v>45801</v>
      </c>
      <c r="F528">
        <v>272</v>
      </c>
      <c r="G528" t="s">
        <v>31</v>
      </c>
      <c r="H528" t="str">
        <f>TEXT(sales[[#This Row],[sale_date]],"dddd")</f>
        <v>Saturday</v>
      </c>
      <c r="I528">
        <f>_xlfn.XLOOKUP(A528,salesitems[sale_id],salesitems[revenue],0)</f>
        <v>70.56</v>
      </c>
      <c r="J528">
        <v>1</v>
      </c>
      <c r="K528" s="10" t="str">
        <f>_xlfn.XLOOKUP(F528,customers[customer_id],customers[age_range])</f>
        <v>56-65</v>
      </c>
      <c r="L528" s="1">
        <f>_xlfn.XLOOKUP(F528,customers[customer_id],customers[signup_date])</f>
        <v>45802</v>
      </c>
      <c r="M528">
        <f>sales[[#This Row],[sale_date]]-sales[[#This Row],[sighnup_date]]</f>
        <v>-1</v>
      </c>
      <c r="N528" t="str">
        <f t="shared" si="8"/>
        <v>data issue</v>
      </c>
      <c r="O528" t="str">
        <f>_xlfn.XLOOKUP(A528,salesitems[sale_id],salesitems[category])</f>
        <v>Dresses</v>
      </c>
    </row>
    <row r="529" spans="1:15" x14ac:dyDescent="0.45">
      <c r="A529">
        <v>483</v>
      </c>
      <c r="B529" t="s">
        <v>21</v>
      </c>
      <c r="C529">
        <v>1</v>
      </c>
      <c r="D529">
        <v>358.54</v>
      </c>
      <c r="E529" s="1">
        <v>45814</v>
      </c>
      <c r="F529">
        <v>547</v>
      </c>
      <c r="G529" t="s">
        <v>28</v>
      </c>
      <c r="H529" t="str">
        <f>TEXT(sales[[#This Row],[sale_date]],"dddd")</f>
        <v>Friday</v>
      </c>
      <c r="I529">
        <f>_xlfn.XLOOKUP(A529,salesitems[sale_id],salesitems[revenue],0)</f>
        <v>46.9</v>
      </c>
      <c r="J529">
        <v>1</v>
      </c>
      <c r="K529" s="10" t="str">
        <f>_xlfn.XLOOKUP(F529,customers[customer_id],customers[age_range])</f>
        <v>36-45</v>
      </c>
      <c r="L529" s="1">
        <f>_xlfn.XLOOKUP(F529,customers[customer_id],customers[signup_date])</f>
        <v>45799</v>
      </c>
      <c r="M529">
        <f>sales[[#This Row],[sale_date]]-sales[[#This Row],[sighnup_date]]</f>
        <v>15</v>
      </c>
      <c r="N529" t="str">
        <f t="shared" si="8"/>
        <v>new customer</v>
      </c>
      <c r="O529" t="str">
        <f>_xlfn.XLOOKUP(A529,salesitems[sale_id],salesitems[category])</f>
        <v>T-Shirts</v>
      </c>
    </row>
    <row r="530" spans="1:15" x14ac:dyDescent="0.45">
      <c r="A530">
        <v>484</v>
      </c>
      <c r="B530" t="s">
        <v>15</v>
      </c>
      <c r="C530">
        <v>0</v>
      </c>
      <c r="D530">
        <v>209.26</v>
      </c>
      <c r="E530" s="1">
        <v>45773</v>
      </c>
      <c r="F530">
        <v>218</v>
      </c>
      <c r="G530" t="s">
        <v>36</v>
      </c>
      <c r="H530" t="str">
        <f>TEXT(sales[[#This Row],[sale_date]],"dddd")</f>
        <v>Saturday</v>
      </c>
      <c r="I530">
        <f>_xlfn.XLOOKUP(A530,salesitems[sale_id],salesitems[revenue],0)</f>
        <v>43.92</v>
      </c>
      <c r="J530">
        <v>1</v>
      </c>
      <c r="K530" s="10" t="str">
        <f>_xlfn.XLOOKUP(F530,customers[customer_id],customers[age_range])</f>
        <v>16-25</v>
      </c>
      <c r="L530" s="1">
        <f>_xlfn.XLOOKUP(F530,customers[customer_id],customers[signup_date])</f>
        <v>45735</v>
      </c>
      <c r="M530">
        <f>sales[[#This Row],[sale_date]]-sales[[#This Row],[sighnup_date]]</f>
        <v>38</v>
      </c>
      <c r="N530" t="str">
        <f t="shared" si="8"/>
        <v>new customer</v>
      </c>
      <c r="O530" t="str">
        <f>_xlfn.XLOOKUP(A530,salesitems[sale_id],salesitems[category])</f>
        <v>T-Shirts</v>
      </c>
    </row>
    <row r="531" spans="1:15" x14ac:dyDescent="0.45">
      <c r="A531">
        <v>485</v>
      </c>
      <c r="B531" t="s">
        <v>21</v>
      </c>
      <c r="C531">
        <v>0</v>
      </c>
      <c r="D531">
        <v>225.79</v>
      </c>
      <c r="E531" s="1">
        <v>45821</v>
      </c>
      <c r="F531">
        <v>822</v>
      </c>
      <c r="G531" t="s">
        <v>36</v>
      </c>
      <c r="H531" t="str">
        <f>TEXT(sales[[#This Row],[sale_date]],"dddd")</f>
        <v>Friday</v>
      </c>
      <c r="I531">
        <f>_xlfn.XLOOKUP(A531,salesitems[sale_id],salesitems[revenue],0)</f>
        <v>33.39</v>
      </c>
      <c r="J531">
        <v>1</v>
      </c>
      <c r="K531" s="10" t="str">
        <f>_xlfn.XLOOKUP(F531,customers[customer_id],customers[age_range])</f>
        <v>56-65</v>
      </c>
      <c r="L531" s="1">
        <f>_xlfn.XLOOKUP(F531,customers[customer_id],customers[signup_date])</f>
        <v>45777</v>
      </c>
      <c r="M531">
        <f>sales[[#This Row],[sale_date]]-sales[[#This Row],[sighnup_date]]</f>
        <v>44</v>
      </c>
      <c r="N531" t="str">
        <f t="shared" si="8"/>
        <v>new customer</v>
      </c>
      <c r="O531" t="str">
        <f>_xlfn.XLOOKUP(A531,salesitems[sale_id],salesitems[category])</f>
        <v>Sleepwear</v>
      </c>
    </row>
    <row r="532" spans="1:15" x14ac:dyDescent="0.45">
      <c r="A532">
        <v>486</v>
      </c>
      <c r="B532" t="s">
        <v>15</v>
      </c>
      <c r="C532">
        <v>0</v>
      </c>
      <c r="D532">
        <v>291.32</v>
      </c>
      <c r="E532" s="1">
        <v>45766</v>
      </c>
      <c r="F532">
        <v>241</v>
      </c>
      <c r="G532" t="s">
        <v>34</v>
      </c>
      <c r="H532" t="str">
        <f>TEXT(sales[[#This Row],[sale_date]],"dddd")</f>
        <v>Saturday</v>
      </c>
      <c r="I532">
        <f>_xlfn.XLOOKUP(A532,salesitems[sale_id],salesitems[revenue],0)</f>
        <v>60.89</v>
      </c>
      <c r="J532">
        <v>1</v>
      </c>
      <c r="K532" s="10" t="str">
        <f>_xlfn.XLOOKUP(F532,customers[customer_id],customers[age_range])</f>
        <v>46-55</v>
      </c>
      <c r="L532" s="1">
        <f>_xlfn.XLOOKUP(F532,customers[customer_id],customers[signup_date])</f>
        <v>45743</v>
      </c>
      <c r="M532">
        <f>sales[[#This Row],[sale_date]]-sales[[#This Row],[sighnup_date]]</f>
        <v>23</v>
      </c>
      <c r="N532" t="str">
        <f t="shared" si="8"/>
        <v>new customer</v>
      </c>
      <c r="O532" t="str">
        <f>_xlfn.XLOOKUP(A532,salesitems[sale_id],salesitems[category])</f>
        <v>T-Shirts</v>
      </c>
    </row>
    <row r="533" spans="1:15" x14ac:dyDescent="0.45">
      <c r="A533">
        <v>488</v>
      </c>
      <c r="B533" t="s">
        <v>21</v>
      </c>
      <c r="C533">
        <v>0</v>
      </c>
      <c r="D533">
        <v>479.79</v>
      </c>
      <c r="E533" s="1">
        <v>45792</v>
      </c>
      <c r="F533">
        <v>682</v>
      </c>
      <c r="G533" t="s">
        <v>38</v>
      </c>
      <c r="H533" t="str">
        <f>TEXT(sales[[#This Row],[sale_date]],"dddd")</f>
        <v>Thursday</v>
      </c>
      <c r="I533">
        <f>_xlfn.XLOOKUP(A533,salesitems[sale_id],salesitems[revenue],0)</f>
        <v>106.68</v>
      </c>
      <c r="J533">
        <v>1</v>
      </c>
      <c r="K533" s="10" t="str">
        <f>_xlfn.XLOOKUP(F533,customers[customer_id],customers[age_range])</f>
        <v>16-25</v>
      </c>
      <c r="L533" s="1">
        <f>_xlfn.XLOOKUP(F533,customers[customer_id],customers[signup_date])</f>
        <v>45726</v>
      </c>
      <c r="M533">
        <f>sales[[#This Row],[sale_date]]-sales[[#This Row],[sighnup_date]]</f>
        <v>66</v>
      </c>
      <c r="N533" t="str">
        <f t="shared" si="8"/>
        <v>new customer</v>
      </c>
      <c r="O533" t="str">
        <f>_xlfn.XLOOKUP(A533,salesitems[sale_id],salesitems[category])</f>
        <v>Pants</v>
      </c>
    </row>
    <row r="534" spans="1:15" x14ac:dyDescent="0.45">
      <c r="A534">
        <v>489</v>
      </c>
      <c r="B534" t="s">
        <v>21</v>
      </c>
      <c r="C534">
        <v>0</v>
      </c>
      <c r="D534">
        <v>378.07</v>
      </c>
      <c r="E534" s="1">
        <v>45821</v>
      </c>
      <c r="F534">
        <v>693</v>
      </c>
      <c r="G534" t="s">
        <v>31</v>
      </c>
      <c r="H534" t="str">
        <f>TEXT(sales[[#This Row],[sale_date]],"dddd")</f>
        <v>Friday</v>
      </c>
      <c r="I534">
        <f>_xlfn.XLOOKUP(A534,salesitems[sale_id],salesitems[revenue],0)</f>
        <v>47.91</v>
      </c>
      <c r="J534">
        <v>1</v>
      </c>
      <c r="K534" s="10" t="str">
        <f>_xlfn.XLOOKUP(F534,customers[customer_id],customers[age_range])</f>
        <v>26-35</v>
      </c>
      <c r="L534" s="1">
        <f>_xlfn.XLOOKUP(F534,customers[customer_id],customers[signup_date])</f>
        <v>45729</v>
      </c>
      <c r="M534">
        <f>sales[[#This Row],[sale_date]]-sales[[#This Row],[sighnup_date]]</f>
        <v>92</v>
      </c>
      <c r="N534" t="str">
        <f t="shared" si="8"/>
        <v>existing customer</v>
      </c>
      <c r="O534" t="str">
        <f>_xlfn.XLOOKUP(A534,salesitems[sale_id],salesitems[category])</f>
        <v>Shoes</v>
      </c>
    </row>
    <row r="535" spans="1:15" x14ac:dyDescent="0.45">
      <c r="A535">
        <v>490</v>
      </c>
      <c r="B535" t="s">
        <v>15</v>
      </c>
      <c r="C535">
        <v>0</v>
      </c>
      <c r="D535">
        <v>454.26</v>
      </c>
      <c r="E535" s="1">
        <v>45801</v>
      </c>
      <c r="F535">
        <v>854</v>
      </c>
      <c r="G535" t="s">
        <v>38</v>
      </c>
      <c r="H535" t="str">
        <f>TEXT(sales[[#This Row],[sale_date]],"dddd")</f>
        <v>Saturday</v>
      </c>
      <c r="I535">
        <f>_xlfn.XLOOKUP(A535,salesitems[sale_id],salesitems[revenue],0)</f>
        <v>31.48</v>
      </c>
      <c r="J535">
        <v>1</v>
      </c>
      <c r="K535" s="10" t="str">
        <f>_xlfn.XLOOKUP(F535,customers[customer_id],customers[age_range])</f>
        <v>36-45</v>
      </c>
      <c r="L535" s="1">
        <f>_xlfn.XLOOKUP(F535,customers[customer_id],customers[signup_date])</f>
        <v>45712</v>
      </c>
      <c r="M535">
        <f>sales[[#This Row],[sale_date]]-sales[[#This Row],[sighnup_date]]</f>
        <v>89</v>
      </c>
      <c r="N535" t="str">
        <f t="shared" si="8"/>
        <v>new customer</v>
      </c>
      <c r="O535" t="str">
        <f>_xlfn.XLOOKUP(A535,salesitems[sale_id],salesitems[category])</f>
        <v>Shoes</v>
      </c>
    </row>
    <row r="536" spans="1:15" x14ac:dyDescent="0.45">
      <c r="A536">
        <v>491</v>
      </c>
      <c r="B536" t="s">
        <v>21</v>
      </c>
      <c r="C536">
        <v>0</v>
      </c>
      <c r="D536">
        <v>560.98</v>
      </c>
      <c r="E536" s="1">
        <v>45800</v>
      </c>
      <c r="F536">
        <v>699</v>
      </c>
      <c r="G536" t="s">
        <v>31</v>
      </c>
      <c r="H536" t="str">
        <f>TEXT(sales[[#This Row],[sale_date]],"dddd")</f>
        <v>Friday</v>
      </c>
      <c r="I536">
        <f>_xlfn.XLOOKUP(A536,salesitems[sale_id],salesitems[revenue],0)</f>
        <v>64.14</v>
      </c>
      <c r="J536">
        <v>1</v>
      </c>
      <c r="K536" s="10" t="str">
        <f>_xlfn.XLOOKUP(F536,customers[customer_id],customers[age_range])</f>
        <v>56-65</v>
      </c>
      <c r="L536" s="1">
        <f>_xlfn.XLOOKUP(F536,customers[customer_id],customers[signup_date])</f>
        <v>45713</v>
      </c>
      <c r="M536">
        <f>sales[[#This Row],[sale_date]]-sales[[#This Row],[sighnup_date]]</f>
        <v>87</v>
      </c>
      <c r="N536" t="str">
        <f t="shared" si="8"/>
        <v>new customer</v>
      </c>
      <c r="O536" t="str">
        <f>_xlfn.XLOOKUP(A536,salesitems[sale_id],salesitems[category])</f>
        <v>Pants</v>
      </c>
    </row>
    <row r="537" spans="1:15" x14ac:dyDescent="0.45">
      <c r="A537">
        <v>495</v>
      </c>
      <c r="B537" t="s">
        <v>21</v>
      </c>
      <c r="C537">
        <v>0</v>
      </c>
      <c r="D537">
        <v>780.29</v>
      </c>
      <c r="E537" s="1">
        <v>45776</v>
      </c>
      <c r="F537">
        <v>762</v>
      </c>
      <c r="G537" t="s">
        <v>34</v>
      </c>
      <c r="H537" t="str">
        <f>TEXT(sales[[#This Row],[sale_date]],"dddd")</f>
        <v>Tuesday</v>
      </c>
      <c r="I537">
        <f>_xlfn.XLOOKUP(A537,salesitems[sale_id],salesitems[revenue],0)</f>
        <v>217.74</v>
      </c>
      <c r="J537">
        <v>1</v>
      </c>
      <c r="K537" s="10" t="str">
        <f>_xlfn.XLOOKUP(F537,customers[customer_id],customers[age_range])</f>
        <v>36-45</v>
      </c>
      <c r="L537" s="1">
        <f>_xlfn.XLOOKUP(F537,customers[customer_id],customers[signup_date])</f>
        <v>45741</v>
      </c>
      <c r="M537">
        <f>sales[[#This Row],[sale_date]]-sales[[#This Row],[sighnup_date]]</f>
        <v>35</v>
      </c>
      <c r="N537" t="str">
        <f t="shared" si="8"/>
        <v>new customer</v>
      </c>
      <c r="O537" t="str">
        <f>_xlfn.XLOOKUP(A537,salesitems[sale_id],salesitems[category])</f>
        <v>Shoes</v>
      </c>
    </row>
    <row r="538" spans="1:15" x14ac:dyDescent="0.45">
      <c r="A538">
        <v>497</v>
      </c>
      <c r="B538" t="s">
        <v>15</v>
      </c>
      <c r="C538">
        <v>1</v>
      </c>
      <c r="D538">
        <v>322.48</v>
      </c>
      <c r="E538" s="1">
        <v>45790</v>
      </c>
      <c r="F538">
        <v>588</v>
      </c>
      <c r="G538" t="s">
        <v>38</v>
      </c>
      <c r="H538" t="str">
        <f>TEXT(sales[[#This Row],[sale_date]],"dddd")</f>
        <v>Tuesday</v>
      </c>
      <c r="I538">
        <f>_xlfn.XLOOKUP(A538,salesitems[sale_id],salesitems[revenue],0)</f>
        <v>31.34</v>
      </c>
      <c r="J538">
        <v>1</v>
      </c>
      <c r="K538" s="10" t="str">
        <f>_xlfn.XLOOKUP(F538,customers[customer_id],customers[age_range])</f>
        <v>56-65</v>
      </c>
      <c r="L538" s="1">
        <f>_xlfn.XLOOKUP(F538,customers[customer_id],customers[signup_date])</f>
        <v>45759</v>
      </c>
      <c r="M538">
        <f>sales[[#This Row],[sale_date]]-sales[[#This Row],[sighnup_date]]</f>
        <v>31</v>
      </c>
      <c r="N538" t="str">
        <f t="shared" si="8"/>
        <v>new customer</v>
      </c>
      <c r="O538" t="str">
        <f>_xlfn.XLOOKUP(A538,salesitems[sale_id],salesitems[category])</f>
        <v>Dresses</v>
      </c>
    </row>
    <row r="539" spans="1:15" x14ac:dyDescent="0.45">
      <c r="A539">
        <v>498</v>
      </c>
      <c r="B539" t="s">
        <v>21</v>
      </c>
      <c r="C539">
        <v>0</v>
      </c>
      <c r="D539">
        <v>509.91</v>
      </c>
      <c r="E539" s="1">
        <v>45802</v>
      </c>
      <c r="F539">
        <v>9</v>
      </c>
      <c r="G539" t="s">
        <v>34</v>
      </c>
      <c r="H539" t="str">
        <f>TEXT(sales[[#This Row],[sale_date]],"dddd")</f>
        <v>Sunday</v>
      </c>
      <c r="I539">
        <f>_xlfn.XLOOKUP(A539,salesitems[sale_id],salesitems[revenue],0)</f>
        <v>88.64</v>
      </c>
      <c r="J539">
        <v>1</v>
      </c>
      <c r="K539" s="10" t="str">
        <f>_xlfn.XLOOKUP(F539,customers[customer_id],customers[age_range])</f>
        <v>46-55</v>
      </c>
      <c r="L539" s="1">
        <f>_xlfn.XLOOKUP(F539,customers[customer_id],customers[signup_date])</f>
        <v>45723</v>
      </c>
      <c r="M539">
        <f>sales[[#This Row],[sale_date]]-sales[[#This Row],[sighnup_date]]</f>
        <v>79</v>
      </c>
      <c r="N539" t="str">
        <f t="shared" si="8"/>
        <v>new customer</v>
      </c>
      <c r="O539" t="str">
        <f>_xlfn.XLOOKUP(A539,salesitems[sale_id],salesitems[category])</f>
        <v>T-Shirts</v>
      </c>
    </row>
    <row r="540" spans="1:15" x14ac:dyDescent="0.45">
      <c r="A540">
        <v>500</v>
      </c>
      <c r="B540" t="s">
        <v>21</v>
      </c>
      <c r="C540">
        <v>0</v>
      </c>
      <c r="D540">
        <v>680.33</v>
      </c>
      <c r="E540" s="1">
        <v>45773</v>
      </c>
      <c r="F540">
        <v>348</v>
      </c>
      <c r="G540" t="s">
        <v>36</v>
      </c>
      <c r="H540" t="str">
        <f>TEXT(sales[[#This Row],[sale_date]],"dddd")</f>
        <v>Saturday</v>
      </c>
      <c r="I540">
        <f>_xlfn.XLOOKUP(A540,salesitems[sale_id],salesitems[revenue],0)</f>
        <v>155.10000000000002</v>
      </c>
      <c r="J540">
        <v>1</v>
      </c>
      <c r="K540" s="10" t="str">
        <f>_xlfn.XLOOKUP(F540,customers[customer_id],customers[age_range])</f>
        <v>36-45</v>
      </c>
      <c r="L540" s="1">
        <f>_xlfn.XLOOKUP(F540,customers[customer_id],customers[signup_date])</f>
        <v>45707</v>
      </c>
      <c r="M540">
        <f>sales[[#This Row],[sale_date]]-sales[[#This Row],[sighnup_date]]</f>
        <v>66</v>
      </c>
      <c r="N540" t="str">
        <f t="shared" si="8"/>
        <v>new customer</v>
      </c>
      <c r="O540" t="str">
        <f>_xlfn.XLOOKUP(A540,salesitems[sale_id],salesitems[category])</f>
        <v>Pants</v>
      </c>
    </row>
    <row r="541" spans="1:15" x14ac:dyDescent="0.45">
      <c r="A541">
        <v>503</v>
      </c>
      <c r="B541" t="s">
        <v>21</v>
      </c>
      <c r="C541">
        <v>0</v>
      </c>
      <c r="D541">
        <v>297.86</v>
      </c>
      <c r="E541" s="1">
        <v>45799</v>
      </c>
      <c r="F541">
        <v>341</v>
      </c>
      <c r="G541" t="s">
        <v>28</v>
      </c>
      <c r="H541" t="str">
        <f>TEXT(sales[[#This Row],[sale_date]],"dddd")</f>
        <v>Thursday</v>
      </c>
      <c r="I541">
        <f>_xlfn.XLOOKUP(A541,salesitems[sale_id],salesitems[revenue],0)</f>
        <v>30.26</v>
      </c>
      <c r="J541">
        <v>1</v>
      </c>
      <c r="K541" s="10" t="str">
        <f>_xlfn.XLOOKUP(F541,customers[customer_id],customers[age_range])</f>
        <v>16-25</v>
      </c>
      <c r="L541" s="1">
        <f>_xlfn.XLOOKUP(F541,customers[customer_id],customers[signup_date])</f>
        <v>45767</v>
      </c>
      <c r="M541">
        <f>sales[[#This Row],[sale_date]]-sales[[#This Row],[sighnup_date]]</f>
        <v>32</v>
      </c>
      <c r="N541" t="str">
        <f t="shared" si="8"/>
        <v>new customer</v>
      </c>
      <c r="O541" t="str">
        <f>_xlfn.XLOOKUP(A541,salesitems[sale_id],salesitems[category])</f>
        <v>Dresses</v>
      </c>
    </row>
    <row r="542" spans="1:15" x14ac:dyDescent="0.45">
      <c r="A542">
        <v>504</v>
      </c>
      <c r="B542" t="s">
        <v>15</v>
      </c>
      <c r="C542">
        <v>0</v>
      </c>
      <c r="D542">
        <v>458.7</v>
      </c>
      <c r="E542" s="1">
        <v>45812</v>
      </c>
      <c r="F542">
        <v>795</v>
      </c>
      <c r="G542" t="s">
        <v>36</v>
      </c>
      <c r="H542" t="str">
        <f>TEXT(sales[[#This Row],[sale_date]],"dddd")</f>
        <v>Wednesday</v>
      </c>
      <c r="I542">
        <f>_xlfn.XLOOKUP(A542,salesitems[sale_id],salesitems[revenue],0)</f>
        <v>56.7</v>
      </c>
      <c r="J542">
        <v>1</v>
      </c>
      <c r="K542" s="10" t="str">
        <f>_xlfn.XLOOKUP(F542,customers[customer_id],customers[age_range])</f>
        <v>36-45</v>
      </c>
      <c r="L542" s="1">
        <f>_xlfn.XLOOKUP(F542,customers[customer_id],customers[signup_date])</f>
        <v>45790</v>
      </c>
      <c r="M542">
        <f>sales[[#This Row],[sale_date]]-sales[[#This Row],[sighnup_date]]</f>
        <v>22</v>
      </c>
      <c r="N542" t="str">
        <f t="shared" si="8"/>
        <v>new customer</v>
      </c>
      <c r="O542" t="str">
        <f>_xlfn.XLOOKUP(A542,salesitems[sale_id],salesitems[category])</f>
        <v>Dresses</v>
      </c>
    </row>
    <row r="543" spans="1:15" x14ac:dyDescent="0.45">
      <c r="A543">
        <v>505</v>
      </c>
      <c r="B543" t="s">
        <v>15</v>
      </c>
      <c r="C543">
        <v>0</v>
      </c>
      <c r="D543">
        <v>492.34</v>
      </c>
      <c r="E543" s="1">
        <v>45800</v>
      </c>
      <c r="F543">
        <v>36</v>
      </c>
      <c r="G543" t="s">
        <v>28</v>
      </c>
      <c r="H543" t="str">
        <f>TEXT(sales[[#This Row],[sale_date]],"dddd")</f>
        <v>Friday</v>
      </c>
      <c r="I543">
        <f>_xlfn.XLOOKUP(A543,salesitems[sale_id],salesitems[revenue],0)</f>
        <v>116.5</v>
      </c>
      <c r="J543">
        <v>1</v>
      </c>
      <c r="K543" s="10" t="str">
        <f>_xlfn.XLOOKUP(F543,customers[customer_id],customers[age_range])</f>
        <v>26-35</v>
      </c>
      <c r="L543" s="1">
        <f>_xlfn.XLOOKUP(F543,customers[customer_id],customers[signup_date])</f>
        <v>45728</v>
      </c>
      <c r="M543">
        <f>sales[[#This Row],[sale_date]]-sales[[#This Row],[sighnup_date]]</f>
        <v>72</v>
      </c>
      <c r="N543" t="str">
        <f t="shared" si="8"/>
        <v>new customer</v>
      </c>
      <c r="O543" t="str">
        <f>_xlfn.XLOOKUP(A543,salesitems[sale_id],salesitems[category])</f>
        <v>Shoes</v>
      </c>
    </row>
    <row r="544" spans="1:15" x14ac:dyDescent="0.45">
      <c r="A544">
        <v>506</v>
      </c>
      <c r="B544" t="s">
        <v>21</v>
      </c>
      <c r="C544">
        <v>0</v>
      </c>
      <c r="D544">
        <v>570.95000000000005</v>
      </c>
      <c r="E544" s="1">
        <v>45770</v>
      </c>
      <c r="F544">
        <v>963</v>
      </c>
      <c r="G544" t="s">
        <v>36</v>
      </c>
      <c r="H544" t="str">
        <f>TEXT(sales[[#This Row],[sale_date]],"dddd")</f>
        <v>Wednesday</v>
      </c>
      <c r="I544">
        <f>_xlfn.XLOOKUP(A544,salesitems[sale_id],salesitems[revenue],0)</f>
        <v>84.28</v>
      </c>
      <c r="J544">
        <v>1</v>
      </c>
      <c r="K544" s="10" t="str">
        <f>_xlfn.XLOOKUP(F544,customers[customer_id],customers[age_range])</f>
        <v>46-55</v>
      </c>
      <c r="L544" s="1">
        <f>_xlfn.XLOOKUP(F544,customers[customer_id],customers[signup_date])</f>
        <v>45741</v>
      </c>
      <c r="M544">
        <f>sales[[#This Row],[sale_date]]-sales[[#This Row],[sighnup_date]]</f>
        <v>29</v>
      </c>
      <c r="N544" t="str">
        <f t="shared" si="8"/>
        <v>new customer</v>
      </c>
      <c r="O544" t="str">
        <f>_xlfn.XLOOKUP(A544,salesitems[sale_id],salesitems[category])</f>
        <v>Dresses</v>
      </c>
    </row>
    <row r="545" spans="1:15" x14ac:dyDescent="0.45">
      <c r="A545">
        <v>509</v>
      </c>
      <c r="B545" t="s">
        <v>21</v>
      </c>
      <c r="C545">
        <v>0</v>
      </c>
      <c r="D545">
        <v>253.64</v>
      </c>
      <c r="E545" s="1">
        <v>45792</v>
      </c>
      <c r="F545">
        <v>663</v>
      </c>
      <c r="G545" t="s">
        <v>31</v>
      </c>
      <c r="H545" t="str">
        <f>TEXT(sales[[#This Row],[sale_date]],"dddd")</f>
        <v>Thursday</v>
      </c>
      <c r="I545">
        <f>_xlfn.XLOOKUP(A545,salesitems[sale_id],salesitems[revenue],0)</f>
        <v>60.89</v>
      </c>
      <c r="J545">
        <v>1</v>
      </c>
      <c r="K545" s="10" t="str">
        <f>_xlfn.XLOOKUP(F545,customers[customer_id],customers[age_range])</f>
        <v>26-35</v>
      </c>
      <c r="L545" s="1">
        <f>_xlfn.XLOOKUP(F545,customers[customer_id],customers[signup_date])</f>
        <v>45724</v>
      </c>
      <c r="M545">
        <f>sales[[#This Row],[sale_date]]-sales[[#This Row],[sighnup_date]]</f>
        <v>68</v>
      </c>
      <c r="N545" t="str">
        <f t="shared" si="8"/>
        <v>new customer</v>
      </c>
      <c r="O545" t="str">
        <f>_xlfn.XLOOKUP(A545,salesitems[sale_id],salesitems[category])</f>
        <v>T-Shirts</v>
      </c>
    </row>
    <row r="546" spans="1:15" x14ac:dyDescent="0.45">
      <c r="A546">
        <v>510</v>
      </c>
      <c r="B546" t="s">
        <v>21</v>
      </c>
      <c r="C546">
        <v>0</v>
      </c>
      <c r="D546">
        <v>227.01</v>
      </c>
      <c r="E546" s="1">
        <v>45777</v>
      </c>
      <c r="F546">
        <v>892</v>
      </c>
      <c r="G546" t="s">
        <v>36</v>
      </c>
      <c r="H546" t="str">
        <f>TEXT(sales[[#This Row],[sale_date]],"dddd")</f>
        <v>Wednesday</v>
      </c>
      <c r="I546">
        <f>_xlfn.XLOOKUP(A546,salesitems[sale_id],salesitems[revenue],0)</f>
        <v>60.83</v>
      </c>
      <c r="J546">
        <v>1</v>
      </c>
      <c r="K546" s="10" t="str">
        <f>_xlfn.XLOOKUP(F546,customers[customer_id],customers[age_range])</f>
        <v>46-55</v>
      </c>
      <c r="L546" s="1">
        <f>_xlfn.XLOOKUP(F546,customers[customer_id],customers[signup_date])</f>
        <v>45732</v>
      </c>
      <c r="M546">
        <f>sales[[#This Row],[sale_date]]-sales[[#This Row],[sighnup_date]]</f>
        <v>45</v>
      </c>
      <c r="N546" t="str">
        <f t="shared" si="8"/>
        <v>new customer</v>
      </c>
      <c r="O546" t="str">
        <f>_xlfn.XLOOKUP(A546,salesitems[sale_id],salesitems[category])</f>
        <v>Shoes</v>
      </c>
    </row>
    <row r="547" spans="1:15" x14ac:dyDescent="0.45">
      <c r="A547">
        <v>511</v>
      </c>
      <c r="B547" t="s">
        <v>21</v>
      </c>
      <c r="C547">
        <v>0</v>
      </c>
      <c r="D547">
        <v>515.44000000000005</v>
      </c>
      <c r="E547" s="1">
        <v>45751</v>
      </c>
      <c r="F547">
        <v>754</v>
      </c>
      <c r="G547" t="s">
        <v>34</v>
      </c>
      <c r="H547" t="str">
        <f>TEXT(sales[[#This Row],[sale_date]],"dddd")</f>
        <v>Friday</v>
      </c>
      <c r="I547">
        <f>_xlfn.XLOOKUP(A547,salesitems[sale_id],salesitems[revenue],0)</f>
        <v>117.60000000000001</v>
      </c>
      <c r="J547">
        <v>1</v>
      </c>
      <c r="K547" s="10" t="str">
        <f>_xlfn.XLOOKUP(F547,customers[customer_id],customers[age_range])</f>
        <v>26-35</v>
      </c>
      <c r="L547" s="1">
        <f>_xlfn.XLOOKUP(F547,customers[customer_id],customers[signup_date])</f>
        <v>45677</v>
      </c>
      <c r="M547">
        <f>sales[[#This Row],[sale_date]]-sales[[#This Row],[sighnup_date]]</f>
        <v>74</v>
      </c>
      <c r="N547" t="str">
        <f t="shared" si="8"/>
        <v>new customer</v>
      </c>
      <c r="O547" t="str">
        <f>_xlfn.XLOOKUP(A547,salesitems[sale_id],salesitems[category])</f>
        <v>Dresses</v>
      </c>
    </row>
    <row r="548" spans="1:15" x14ac:dyDescent="0.45">
      <c r="A548">
        <v>512</v>
      </c>
      <c r="B548" t="s">
        <v>15</v>
      </c>
      <c r="C548">
        <v>0</v>
      </c>
      <c r="D548">
        <v>412.13</v>
      </c>
      <c r="E548" s="1">
        <v>45753</v>
      </c>
      <c r="F548">
        <v>682</v>
      </c>
      <c r="G548" t="s">
        <v>38</v>
      </c>
      <c r="H548" t="str">
        <f>TEXT(sales[[#This Row],[sale_date]],"dddd")</f>
        <v>Sunday</v>
      </c>
      <c r="I548">
        <f>_xlfn.XLOOKUP(A548,salesitems[sale_id],salesitems[revenue],0)</f>
        <v>107.48</v>
      </c>
      <c r="J548">
        <v>1</v>
      </c>
      <c r="K548" s="10" t="str">
        <f>_xlfn.XLOOKUP(F548,customers[customer_id],customers[age_range])</f>
        <v>16-25</v>
      </c>
      <c r="L548" s="1">
        <f>_xlfn.XLOOKUP(F548,customers[customer_id],customers[signup_date])</f>
        <v>45726</v>
      </c>
      <c r="M548">
        <f>sales[[#This Row],[sale_date]]-sales[[#This Row],[sighnup_date]]</f>
        <v>27</v>
      </c>
      <c r="N548" t="str">
        <f t="shared" si="8"/>
        <v>new customer</v>
      </c>
      <c r="O548" t="str">
        <f>_xlfn.XLOOKUP(A548,salesitems[sale_id],salesitems[category])</f>
        <v>Pants</v>
      </c>
    </row>
    <row r="549" spans="1:15" x14ac:dyDescent="0.45">
      <c r="A549">
        <v>513</v>
      </c>
      <c r="B549" t="s">
        <v>21</v>
      </c>
      <c r="C549">
        <v>0</v>
      </c>
      <c r="D549">
        <v>441.25</v>
      </c>
      <c r="E549" s="1">
        <v>45822</v>
      </c>
      <c r="F549">
        <v>474</v>
      </c>
      <c r="G549" t="s">
        <v>28</v>
      </c>
      <c r="H549" t="str">
        <f>TEXT(sales[[#This Row],[sale_date]],"dddd")</f>
        <v>Saturday</v>
      </c>
      <c r="I549">
        <f>_xlfn.XLOOKUP(A549,salesitems[sale_id],salesitems[revenue],0)</f>
        <v>119.84</v>
      </c>
      <c r="J549">
        <v>1</v>
      </c>
      <c r="K549" s="10" t="str">
        <f>_xlfn.XLOOKUP(F549,customers[customer_id],customers[age_range])</f>
        <v>36-45</v>
      </c>
      <c r="L549" s="1">
        <f>_xlfn.XLOOKUP(F549,customers[customer_id],customers[signup_date])</f>
        <v>45744</v>
      </c>
      <c r="M549">
        <f>sales[[#This Row],[sale_date]]-sales[[#This Row],[sighnup_date]]</f>
        <v>78</v>
      </c>
      <c r="N549" t="str">
        <f t="shared" si="8"/>
        <v>new customer</v>
      </c>
      <c r="O549" t="str">
        <f>_xlfn.XLOOKUP(A549,salesitems[sale_id],salesitems[category])</f>
        <v>T-Shirts</v>
      </c>
    </row>
    <row r="550" spans="1:15" x14ac:dyDescent="0.45">
      <c r="A550">
        <v>514</v>
      </c>
      <c r="B550" t="s">
        <v>15</v>
      </c>
      <c r="C550">
        <v>0</v>
      </c>
      <c r="D550">
        <v>599.54</v>
      </c>
      <c r="E550" s="1">
        <v>45825</v>
      </c>
      <c r="F550">
        <v>397</v>
      </c>
      <c r="G550" t="s">
        <v>28</v>
      </c>
      <c r="H550" t="str">
        <f>TEXT(sales[[#This Row],[sale_date]],"dddd")</f>
        <v>Tuesday</v>
      </c>
      <c r="I550">
        <f>_xlfn.XLOOKUP(A550,salesitems[sale_id],salesitems[revenue],0)</f>
        <v>91.46</v>
      </c>
      <c r="J550">
        <v>1</v>
      </c>
      <c r="K550" s="10" t="str">
        <f>_xlfn.XLOOKUP(F550,customers[customer_id],customers[age_range])</f>
        <v>36-45</v>
      </c>
      <c r="L550" s="1">
        <f>_xlfn.XLOOKUP(F550,customers[customer_id],customers[signup_date])</f>
        <v>45696</v>
      </c>
      <c r="M550">
        <f>sales[[#This Row],[sale_date]]-sales[[#This Row],[sighnup_date]]</f>
        <v>129</v>
      </c>
      <c r="N550" t="str">
        <f t="shared" si="8"/>
        <v>existing customer</v>
      </c>
      <c r="O550" t="str">
        <f>_xlfn.XLOOKUP(A550,salesitems[sale_id],salesitems[category])</f>
        <v>T-Shirts</v>
      </c>
    </row>
    <row r="551" spans="1:15" x14ac:dyDescent="0.45">
      <c r="A551">
        <v>515</v>
      </c>
      <c r="B551" t="s">
        <v>21</v>
      </c>
      <c r="C551">
        <v>0</v>
      </c>
      <c r="D551">
        <v>627.9</v>
      </c>
      <c r="E551" s="1">
        <v>45797</v>
      </c>
      <c r="F551">
        <v>189</v>
      </c>
      <c r="G551" t="s">
        <v>36</v>
      </c>
      <c r="H551" t="str">
        <f>TEXT(sales[[#This Row],[sale_date]],"dddd")</f>
        <v>Tuesday</v>
      </c>
      <c r="I551">
        <f>_xlfn.XLOOKUP(A551,salesitems[sale_id],salesitems[revenue],0)</f>
        <v>157.94999999999999</v>
      </c>
      <c r="J551">
        <v>1</v>
      </c>
      <c r="K551" s="10" t="str">
        <f>_xlfn.XLOOKUP(F551,customers[customer_id],customers[age_range])</f>
        <v>46-55</v>
      </c>
      <c r="L551" s="1">
        <f>_xlfn.XLOOKUP(F551,customers[customer_id],customers[signup_date])</f>
        <v>45766</v>
      </c>
      <c r="M551">
        <f>sales[[#This Row],[sale_date]]-sales[[#This Row],[sighnup_date]]</f>
        <v>31</v>
      </c>
      <c r="N551" t="str">
        <f t="shared" si="8"/>
        <v>new customer</v>
      </c>
      <c r="O551" t="str">
        <f>_xlfn.XLOOKUP(A551,salesitems[sale_id],salesitems[category])</f>
        <v>Dresses</v>
      </c>
    </row>
    <row r="552" spans="1:15" x14ac:dyDescent="0.45">
      <c r="A552">
        <v>516</v>
      </c>
      <c r="B552" t="s">
        <v>21</v>
      </c>
      <c r="C552">
        <v>0</v>
      </c>
      <c r="D552">
        <v>390.32</v>
      </c>
      <c r="E552" s="1">
        <v>45781</v>
      </c>
      <c r="F552">
        <v>617</v>
      </c>
      <c r="G552" t="s">
        <v>31</v>
      </c>
      <c r="H552" t="str">
        <f>TEXT(sales[[#This Row],[sale_date]],"dddd")</f>
        <v>Sunday</v>
      </c>
      <c r="I552">
        <f>_xlfn.XLOOKUP(A552,salesitems[sale_id],salesitems[revenue],0)</f>
        <v>105.88</v>
      </c>
      <c r="J552">
        <v>1</v>
      </c>
      <c r="K552" s="10" t="str">
        <f>_xlfn.XLOOKUP(F552,customers[customer_id],customers[age_range])</f>
        <v>26-35</v>
      </c>
      <c r="L552" s="1">
        <f>_xlfn.XLOOKUP(F552,customers[customer_id],customers[signup_date])</f>
        <v>45746</v>
      </c>
      <c r="M552">
        <f>sales[[#This Row],[sale_date]]-sales[[#This Row],[sighnup_date]]</f>
        <v>35</v>
      </c>
      <c r="N552" t="str">
        <f t="shared" si="8"/>
        <v>new customer</v>
      </c>
      <c r="O552" t="str">
        <f>_xlfn.XLOOKUP(A552,salesitems[sale_id],salesitems[category])</f>
        <v>Sleepwear</v>
      </c>
    </row>
    <row r="553" spans="1:15" x14ac:dyDescent="0.45">
      <c r="A553">
        <v>517</v>
      </c>
      <c r="B553" t="s">
        <v>21</v>
      </c>
      <c r="C553">
        <v>0</v>
      </c>
      <c r="D553">
        <v>254.46</v>
      </c>
      <c r="E553" s="1">
        <v>45813</v>
      </c>
      <c r="F553">
        <v>525</v>
      </c>
      <c r="G553" t="s">
        <v>33</v>
      </c>
      <c r="H553" t="str">
        <f>TEXT(sales[[#This Row],[sale_date]],"dddd")</f>
        <v>Thursday</v>
      </c>
      <c r="I553">
        <f>_xlfn.XLOOKUP(A553,salesitems[sale_id],salesitems[revenue],0)</f>
        <v>74.34</v>
      </c>
      <c r="J553">
        <v>1</v>
      </c>
      <c r="K553" s="10" t="str">
        <f>_xlfn.XLOOKUP(F553,customers[customer_id],customers[age_range])</f>
        <v>16-25</v>
      </c>
      <c r="L553" s="1">
        <f>_xlfn.XLOOKUP(F553,customers[customer_id],customers[signup_date])</f>
        <v>45770</v>
      </c>
      <c r="M553">
        <f>sales[[#This Row],[sale_date]]-sales[[#This Row],[sighnup_date]]</f>
        <v>43</v>
      </c>
      <c r="N553" t="str">
        <f t="shared" si="8"/>
        <v>new customer</v>
      </c>
      <c r="O553" t="str">
        <f>_xlfn.XLOOKUP(A553,salesitems[sale_id],salesitems[category])</f>
        <v>T-Shirts</v>
      </c>
    </row>
    <row r="554" spans="1:15" x14ac:dyDescent="0.45">
      <c r="A554">
        <v>518</v>
      </c>
      <c r="B554" t="s">
        <v>21</v>
      </c>
      <c r="C554">
        <v>0</v>
      </c>
      <c r="D554">
        <v>544.28</v>
      </c>
      <c r="E554" s="1">
        <v>45781</v>
      </c>
      <c r="F554">
        <v>455</v>
      </c>
      <c r="G554" t="s">
        <v>31</v>
      </c>
      <c r="H554" t="str">
        <f>TEXT(sales[[#This Row],[sale_date]],"dddd")</f>
        <v>Sunday</v>
      </c>
      <c r="I554">
        <f>_xlfn.XLOOKUP(A554,salesitems[sale_id],salesitems[revenue],0)</f>
        <v>186.08</v>
      </c>
      <c r="J554">
        <v>1</v>
      </c>
      <c r="K554" s="10" t="str">
        <f>_xlfn.XLOOKUP(F554,customers[customer_id],customers[age_range])</f>
        <v>36-45</v>
      </c>
      <c r="L554" s="1">
        <f>_xlfn.XLOOKUP(F554,customers[customer_id],customers[signup_date])</f>
        <v>45754</v>
      </c>
      <c r="M554">
        <f>sales[[#This Row],[sale_date]]-sales[[#This Row],[sighnup_date]]</f>
        <v>27</v>
      </c>
      <c r="N554" t="str">
        <f t="shared" si="8"/>
        <v>new customer</v>
      </c>
      <c r="O554" t="str">
        <f>_xlfn.XLOOKUP(A554,salesitems[sale_id],salesitems[category])</f>
        <v>Pants</v>
      </c>
    </row>
    <row r="555" spans="1:15" x14ac:dyDescent="0.45">
      <c r="A555">
        <v>52</v>
      </c>
      <c r="B555" t="s">
        <v>21</v>
      </c>
      <c r="C555">
        <v>0</v>
      </c>
      <c r="D555">
        <v>646.63</v>
      </c>
      <c r="E555" s="1">
        <v>45798</v>
      </c>
      <c r="F555">
        <v>438</v>
      </c>
      <c r="G555" t="s">
        <v>36</v>
      </c>
      <c r="H555" t="str">
        <f>TEXT(sales[[#This Row],[sale_date]],"dddd")</f>
        <v>Wednesday</v>
      </c>
      <c r="I555">
        <f>_xlfn.XLOOKUP(A555,salesitems[sale_id],salesitems[revenue],0)</f>
        <v>60.68</v>
      </c>
      <c r="J555">
        <v>1</v>
      </c>
      <c r="K555" s="10" t="str">
        <f>_xlfn.XLOOKUP(F555,customers[customer_id],customers[age_range])</f>
        <v>16-25</v>
      </c>
      <c r="L555" s="1">
        <f>_xlfn.XLOOKUP(F555,customers[customer_id],customers[signup_date])</f>
        <v>45798</v>
      </c>
      <c r="M555">
        <f>sales[[#This Row],[sale_date]]-sales[[#This Row],[sighnup_date]]</f>
        <v>0</v>
      </c>
      <c r="N555" t="str">
        <f t="shared" si="8"/>
        <v>new customer</v>
      </c>
      <c r="O555" t="str">
        <f>_xlfn.XLOOKUP(A555,salesitems[sale_id],salesitems[category])</f>
        <v>Pants</v>
      </c>
    </row>
    <row r="556" spans="1:15" x14ac:dyDescent="0.45">
      <c r="A556">
        <v>521</v>
      </c>
      <c r="B556" t="s">
        <v>15</v>
      </c>
      <c r="C556">
        <v>0</v>
      </c>
      <c r="D556">
        <v>538</v>
      </c>
      <c r="E556" s="1">
        <v>45781</v>
      </c>
      <c r="F556">
        <v>851</v>
      </c>
      <c r="G556" t="s">
        <v>28</v>
      </c>
      <c r="H556" t="str">
        <f>TEXT(sales[[#This Row],[sale_date]],"dddd")</f>
        <v>Sunday</v>
      </c>
      <c r="I556">
        <f>_xlfn.XLOOKUP(A556,salesitems[sale_id],salesitems[revenue],0)</f>
        <v>109.74</v>
      </c>
      <c r="J556">
        <v>1</v>
      </c>
      <c r="K556" s="10" t="str">
        <f>_xlfn.XLOOKUP(F556,customers[customer_id],customers[age_range])</f>
        <v>46-55</v>
      </c>
      <c r="L556" s="1">
        <f>_xlfn.XLOOKUP(F556,customers[customer_id],customers[signup_date])</f>
        <v>45737</v>
      </c>
      <c r="M556">
        <f>sales[[#This Row],[sale_date]]-sales[[#This Row],[sighnup_date]]</f>
        <v>44</v>
      </c>
      <c r="N556" t="str">
        <f t="shared" si="8"/>
        <v>new customer</v>
      </c>
      <c r="O556" t="str">
        <f>_xlfn.XLOOKUP(A556,salesitems[sale_id],salesitems[category])</f>
        <v>Shoes</v>
      </c>
    </row>
    <row r="557" spans="1:15" x14ac:dyDescent="0.45">
      <c r="A557">
        <v>524</v>
      </c>
      <c r="B557" t="s">
        <v>15</v>
      </c>
      <c r="C557">
        <v>1</v>
      </c>
      <c r="D557">
        <v>284.64999999999998</v>
      </c>
      <c r="E557" s="1">
        <v>45792</v>
      </c>
      <c r="F557">
        <v>144</v>
      </c>
      <c r="G557" t="s">
        <v>36</v>
      </c>
      <c r="H557" t="str">
        <f>TEXT(sales[[#This Row],[sale_date]],"dddd")</f>
        <v>Thursday</v>
      </c>
      <c r="I557">
        <f>_xlfn.XLOOKUP(A557,salesitems[sale_id],salesitems[revenue],0)</f>
        <v>75.48</v>
      </c>
      <c r="J557">
        <v>1</v>
      </c>
      <c r="K557" s="10" t="str">
        <f>_xlfn.XLOOKUP(F557,customers[customer_id],customers[age_range])</f>
        <v>46-55</v>
      </c>
      <c r="L557" s="1">
        <f>_xlfn.XLOOKUP(F557,customers[customer_id],customers[signup_date])</f>
        <v>45725</v>
      </c>
      <c r="M557">
        <f>sales[[#This Row],[sale_date]]-sales[[#This Row],[sighnup_date]]</f>
        <v>67</v>
      </c>
      <c r="N557" t="str">
        <f t="shared" si="8"/>
        <v>new customer</v>
      </c>
      <c r="O557" t="str">
        <f>_xlfn.XLOOKUP(A557,salesitems[sale_id],salesitems[category])</f>
        <v>Sleepwear</v>
      </c>
    </row>
    <row r="558" spans="1:15" x14ac:dyDescent="0.45">
      <c r="A558">
        <v>525</v>
      </c>
      <c r="B558" t="s">
        <v>15</v>
      </c>
      <c r="C558">
        <v>0</v>
      </c>
      <c r="D558">
        <v>380.43</v>
      </c>
      <c r="E558" s="1">
        <v>45798</v>
      </c>
      <c r="F558">
        <v>908</v>
      </c>
      <c r="G558" t="s">
        <v>36</v>
      </c>
      <c r="H558" t="str">
        <f>TEXT(sales[[#This Row],[sale_date]],"dddd")</f>
        <v>Wednesday</v>
      </c>
      <c r="I558">
        <f>_xlfn.XLOOKUP(A558,salesitems[sale_id],salesitems[revenue],0)</f>
        <v>40.92</v>
      </c>
      <c r="J558">
        <v>1</v>
      </c>
      <c r="K558" s="10" t="str">
        <f>_xlfn.XLOOKUP(F558,customers[customer_id],customers[age_range])</f>
        <v>16-25</v>
      </c>
      <c r="L558" s="1">
        <f>_xlfn.XLOOKUP(F558,customers[customer_id],customers[signup_date])</f>
        <v>45701</v>
      </c>
      <c r="M558">
        <f>sales[[#This Row],[sale_date]]-sales[[#This Row],[sighnup_date]]</f>
        <v>97</v>
      </c>
      <c r="N558" t="str">
        <f t="shared" si="8"/>
        <v>existing customer</v>
      </c>
      <c r="O558" t="str">
        <f>_xlfn.XLOOKUP(A558,salesitems[sale_id],salesitems[category])</f>
        <v>T-Shirts</v>
      </c>
    </row>
    <row r="559" spans="1:15" x14ac:dyDescent="0.45">
      <c r="A559">
        <v>527</v>
      </c>
      <c r="B559" t="s">
        <v>21</v>
      </c>
      <c r="C559">
        <v>0</v>
      </c>
      <c r="D559">
        <v>420.5</v>
      </c>
      <c r="E559" s="1">
        <v>45805</v>
      </c>
      <c r="F559">
        <v>160</v>
      </c>
      <c r="G559" t="s">
        <v>36</v>
      </c>
      <c r="H559" t="str">
        <f>TEXT(sales[[#This Row],[sale_date]],"dddd")</f>
        <v>Wednesday</v>
      </c>
      <c r="I559">
        <f>_xlfn.XLOOKUP(A559,salesitems[sale_id],salesitems[revenue],0)</f>
        <v>54.87</v>
      </c>
      <c r="J559">
        <v>1</v>
      </c>
      <c r="K559" s="10" t="str">
        <f>_xlfn.XLOOKUP(F559,customers[customer_id],customers[age_range])</f>
        <v>56-65</v>
      </c>
      <c r="L559" s="1">
        <f>_xlfn.XLOOKUP(F559,customers[customer_id],customers[signup_date])</f>
        <v>45700</v>
      </c>
      <c r="M559">
        <f>sales[[#This Row],[sale_date]]-sales[[#This Row],[sighnup_date]]</f>
        <v>105</v>
      </c>
      <c r="N559" t="str">
        <f t="shared" si="8"/>
        <v>existing customer</v>
      </c>
      <c r="O559" t="str">
        <f>_xlfn.XLOOKUP(A559,salesitems[sale_id],salesitems[category])</f>
        <v>Shoes</v>
      </c>
    </row>
    <row r="560" spans="1:15" x14ac:dyDescent="0.45">
      <c r="A560">
        <v>528</v>
      </c>
      <c r="B560" t="s">
        <v>15</v>
      </c>
      <c r="C560">
        <v>1</v>
      </c>
      <c r="D560">
        <v>333.83</v>
      </c>
      <c r="E560" s="1">
        <v>45794</v>
      </c>
      <c r="F560">
        <v>921</v>
      </c>
      <c r="G560" t="s">
        <v>33</v>
      </c>
      <c r="H560" t="str">
        <f>TEXT(sales[[#This Row],[sale_date]],"dddd")</f>
        <v>Saturday</v>
      </c>
      <c r="I560">
        <f>_xlfn.XLOOKUP(A560,salesitems[sale_id],salesitems[revenue],0)</f>
        <v>93.78</v>
      </c>
      <c r="J560">
        <v>1</v>
      </c>
      <c r="K560" s="10" t="str">
        <f>_xlfn.XLOOKUP(F560,customers[customer_id],customers[age_range])</f>
        <v>46-55</v>
      </c>
      <c r="L560" s="1">
        <f>_xlfn.XLOOKUP(F560,customers[customer_id],customers[signup_date])</f>
        <v>45780</v>
      </c>
      <c r="M560">
        <f>sales[[#This Row],[sale_date]]-sales[[#This Row],[sighnup_date]]</f>
        <v>14</v>
      </c>
      <c r="N560" t="str">
        <f t="shared" si="8"/>
        <v>new customer</v>
      </c>
      <c r="O560" t="str">
        <f>_xlfn.XLOOKUP(A560,salesitems[sale_id],salesitems[category])</f>
        <v>Pants</v>
      </c>
    </row>
    <row r="561" spans="1:15" x14ac:dyDescent="0.45">
      <c r="A561">
        <v>529</v>
      </c>
      <c r="B561" t="s">
        <v>15</v>
      </c>
      <c r="C561">
        <v>0</v>
      </c>
      <c r="D561">
        <v>341.18</v>
      </c>
      <c r="E561" s="1">
        <v>45761</v>
      </c>
      <c r="F561">
        <v>566</v>
      </c>
      <c r="G561" t="s">
        <v>33</v>
      </c>
      <c r="H561" t="str">
        <f>TEXT(sales[[#This Row],[sale_date]],"dddd")</f>
        <v>Monday</v>
      </c>
      <c r="I561">
        <f>_xlfn.XLOOKUP(A561,salesitems[sale_id],salesitems[revenue],0)</f>
        <v>120.72</v>
      </c>
      <c r="J561">
        <v>1</v>
      </c>
      <c r="K561" s="10" t="str">
        <f>_xlfn.XLOOKUP(F561,customers[customer_id],customers[age_range])</f>
        <v>36-45</v>
      </c>
      <c r="L561" s="1">
        <f>_xlfn.XLOOKUP(F561,customers[customer_id],customers[signup_date])</f>
        <v>45699</v>
      </c>
      <c r="M561">
        <f>sales[[#This Row],[sale_date]]-sales[[#This Row],[sighnup_date]]</f>
        <v>62</v>
      </c>
      <c r="N561" t="str">
        <f t="shared" si="8"/>
        <v>new customer</v>
      </c>
      <c r="O561" t="str">
        <f>_xlfn.XLOOKUP(A561,salesitems[sale_id],salesitems[category])</f>
        <v>Pants</v>
      </c>
    </row>
    <row r="562" spans="1:15" x14ac:dyDescent="0.45">
      <c r="A562">
        <v>53</v>
      </c>
      <c r="B562" t="s">
        <v>21</v>
      </c>
      <c r="C562">
        <v>0</v>
      </c>
      <c r="D562">
        <v>324.33</v>
      </c>
      <c r="E562" s="1">
        <v>45761</v>
      </c>
      <c r="F562">
        <v>885</v>
      </c>
      <c r="G562" t="s">
        <v>34</v>
      </c>
      <c r="H562" t="str">
        <f>TEXT(sales[[#This Row],[sale_date]],"dddd")</f>
        <v>Monday</v>
      </c>
      <c r="I562">
        <f>_xlfn.XLOOKUP(A562,salesitems[sale_id],salesitems[revenue],0)</f>
        <v>40.36</v>
      </c>
      <c r="J562">
        <v>1</v>
      </c>
      <c r="K562" s="10" t="str">
        <f>_xlfn.XLOOKUP(F562,customers[customer_id],customers[age_range])</f>
        <v>56-65</v>
      </c>
      <c r="L562" s="1">
        <f>_xlfn.XLOOKUP(F562,customers[customer_id],customers[signup_date])</f>
        <v>45757</v>
      </c>
      <c r="M562">
        <f>sales[[#This Row],[sale_date]]-sales[[#This Row],[sighnup_date]]</f>
        <v>4</v>
      </c>
      <c r="N562" t="str">
        <f t="shared" si="8"/>
        <v>new customer</v>
      </c>
      <c r="O562" t="str">
        <f>_xlfn.XLOOKUP(A562,salesitems[sale_id],salesitems[category])</f>
        <v>Pants</v>
      </c>
    </row>
    <row r="563" spans="1:15" x14ac:dyDescent="0.45">
      <c r="A563">
        <v>530</v>
      </c>
      <c r="B563" t="s">
        <v>15</v>
      </c>
      <c r="C563">
        <v>0</v>
      </c>
      <c r="D563">
        <v>547.16</v>
      </c>
      <c r="E563" s="1">
        <v>45766</v>
      </c>
      <c r="F563">
        <v>398</v>
      </c>
      <c r="G563" t="s">
        <v>34</v>
      </c>
      <c r="H563" t="str">
        <f>TEXT(sales[[#This Row],[sale_date]],"dddd")</f>
        <v>Saturday</v>
      </c>
      <c r="I563">
        <f>_xlfn.XLOOKUP(A563,salesitems[sale_id],salesitems[revenue],0)</f>
        <v>123.4</v>
      </c>
      <c r="J563">
        <v>1</v>
      </c>
      <c r="K563" s="10" t="str">
        <f>_xlfn.XLOOKUP(F563,customers[customer_id],customers[age_range])</f>
        <v>16-25</v>
      </c>
      <c r="L563" s="1">
        <f>_xlfn.XLOOKUP(F563,customers[customer_id],customers[signup_date])</f>
        <v>45683</v>
      </c>
      <c r="M563">
        <f>sales[[#This Row],[sale_date]]-sales[[#This Row],[sighnup_date]]</f>
        <v>83</v>
      </c>
      <c r="N563" t="str">
        <f t="shared" si="8"/>
        <v>new customer</v>
      </c>
      <c r="O563" t="str">
        <f>_xlfn.XLOOKUP(A563,salesitems[sale_id],salesitems[category])</f>
        <v>Sleepwear</v>
      </c>
    </row>
    <row r="564" spans="1:15" x14ac:dyDescent="0.45">
      <c r="A564">
        <v>531</v>
      </c>
      <c r="B564" t="s">
        <v>15</v>
      </c>
      <c r="C564">
        <v>0</v>
      </c>
      <c r="D564">
        <v>417.74</v>
      </c>
      <c r="E564" s="1">
        <v>45807</v>
      </c>
      <c r="F564">
        <v>900</v>
      </c>
      <c r="G564" t="s">
        <v>36</v>
      </c>
      <c r="H564" t="str">
        <f>TEXT(sales[[#This Row],[sale_date]],"dddd")</f>
        <v>Friday</v>
      </c>
      <c r="I564">
        <f>_xlfn.XLOOKUP(A564,salesitems[sale_id],salesitems[revenue],0)</f>
        <v>55.27</v>
      </c>
      <c r="J564">
        <v>1</v>
      </c>
      <c r="K564" s="10" t="str">
        <f>_xlfn.XLOOKUP(F564,customers[customer_id],customers[age_range])</f>
        <v>36-45</v>
      </c>
      <c r="L564" s="1">
        <f>_xlfn.XLOOKUP(F564,customers[customer_id],customers[signup_date])</f>
        <v>45720</v>
      </c>
      <c r="M564">
        <f>sales[[#This Row],[sale_date]]-sales[[#This Row],[sighnup_date]]</f>
        <v>87</v>
      </c>
      <c r="N564" t="str">
        <f t="shared" si="8"/>
        <v>new customer</v>
      </c>
      <c r="O564" t="str">
        <f>_xlfn.XLOOKUP(A564,salesitems[sale_id],salesitems[category])</f>
        <v>Shoes</v>
      </c>
    </row>
    <row r="565" spans="1:15" x14ac:dyDescent="0.45">
      <c r="A565">
        <v>534</v>
      </c>
      <c r="B565" t="s">
        <v>15</v>
      </c>
      <c r="C565">
        <v>0</v>
      </c>
      <c r="D565">
        <v>385.1</v>
      </c>
      <c r="E565" s="1">
        <v>45769</v>
      </c>
      <c r="F565">
        <v>652</v>
      </c>
      <c r="G565" t="s">
        <v>36</v>
      </c>
      <c r="H565" t="str">
        <f>TEXT(sales[[#This Row],[sale_date]],"dddd")</f>
        <v>Tuesday</v>
      </c>
      <c r="I565">
        <f>_xlfn.XLOOKUP(A565,salesitems[sale_id],salesitems[revenue],0)</f>
        <v>64.099999999999994</v>
      </c>
      <c r="J565">
        <v>1</v>
      </c>
      <c r="K565" s="10" t="str">
        <f>_xlfn.XLOOKUP(F565,customers[customer_id],customers[age_range])</f>
        <v>56-65</v>
      </c>
      <c r="L565" s="1">
        <f>_xlfn.XLOOKUP(F565,customers[customer_id],customers[signup_date])</f>
        <v>45731</v>
      </c>
      <c r="M565">
        <f>sales[[#This Row],[sale_date]]-sales[[#This Row],[sighnup_date]]</f>
        <v>38</v>
      </c>
      <c r="N565" t="str">
        <f t="shared" si="8"/>
        <v>new customer</v>
      </c>
      <c r="O565" t="str">
        <f>_xlfn.XLOOKUP(A565,salesitems[sale_id],salesitems[category])</f>
        <v>T-Shirts</v>
      </c>
    </row>
    <row r="566" spans="1:15" x14ac:dyDescent="0.45">
      <c r="A566">
        <v>535</v>
      </c>
      <c r="B566" t="s">
        <v>15</v>
      </c>
      <c r="C566">
        <v>0</v>
      </c>
      <c r="D566">
        <v>568.88</v>
      </c>
      <c r="E566" s="1">
        <v>45808</v>
      </c>
      <c r="F566">
        <v>174</v>
      </c>
      <c r="G566" t="s">
        <v>36</v>
      </c>
      <c r="H566" t="str">
        <f>TEXT(sales[[#This Row],[sale_date]],"dddd")</f>
        <v>Saturday</v>
      </c>
      <c r="I566">
        <f>_xlfn.XLOOKUP(A566,salesitems[sale_id],salesitems[revenue],0)</f>
        <v>45.19</v>
      </c>
      <c r="J566">
        <v>1</v>
      </c>
      <c r="K566" s="10" t="str">
        <f>_xlfn.XLOOKUP(F566,customers[customer_id],customers[age_range])</f>
        <v>26-35</v>
      </c>
      <c r="L566" s="1">
        <f>_xlfn.XLOOKUP(F566,customers[customer_id],customers[signup_date])</f>
        <v>45804</v>
      </c>
      <c r="M566">
        <f>sales[[#This Row],[sale_date]]-sales[[#This Row],[sighnup_date]]</f>
        <v>4</v>
      </c>
      <c r="N566" t="str">
        <f t="shared" si="8"/>
        <v>new customer</v>
      </c>
      <c r="O566" t="str">
        <f>_xlfn.XLOOKUP(A566,salesitems[sale_id],salesitems[category])</f>
        <v>Sleepwear</v>
      </c>
    </row>
    <row r="567" spans="1:15" x14ac:dyDescent="0.45">
      <c r="A567">
        <v>536</v>
      </c>
      <c r="B567" t="s">
        <v>15</v>
      </c>
      <c r="C567">
        <v>0</v>
      </c>
      <c r="D567">
        <v>390.51</v>
      </c>
      <c r="E567" s="1">
        <v>45813</v>
      </c>
      <c r="F567">
        <v>47</v>
      </c>
      <c r="G567" t="s">
        <v>36</v>
      </c>
      <c r="H567" t="str">
        <f>TEXT(sales[[#This Row],[sale_date]],"dddd")</f>
        <v>Thursday</v>
      </c>
      <c r="I567">
        <f>_xlfn.XLOOKUP(A567,salesitems[sale_id],salesitems[revenue],0)</f>
        <v>87.84</v>
      </c>
      <c r="J567">
        <v>1</v>
      </c>
      <c r="K567" s="10" t="str">
        <f>_xlfn.XLOOKUP(F567,customers[customer_id],customers[age_range])</f>
        <v>26-35</v>
      </c>
      <c r="L567" s="1">
        <f>_xlfn.XLOOKUP(F567,customers[customer_id],customers[signup_date])</f>
        <v>45754</v>
      </c>
      <c r="M567">
        <f>sales[[#This Row],[sale_date]]-sales[[#This Row],[sighnup_date]]</f>
        <v>59</v>
      </c>
      <c r="N567" t="str">
        <f t="shared" si="8"/>
        <v>new customer</v>
      </c>
      <c r="O567" t="str">
        <f>_xlfn.XLOOKUP(A567,salesitems[sale_id],salesitems[category])</f>
        <v>T-Shirts</v>
      </c>
    </row>
    <row r="568" spans="1:15" x14ac:dyDescent="0.45">
      <c r="A568">
        <v>537</v>
      </c>
      <c r="B568" t="s">
        <v>21</v>
      </c>
      <c r="C568">
        <v>0</v>
      </c>
      <c r="D568">
        <v>254.97</v>
      </c>
      <c r="E568" s="1">
        <v>45777</v>
      </c>
      <c r="F568">
        <v>897</v>
      </c>
      <c r="G568" t="s">
        <v>28</v>
      </c>
      <c r="H568" t="str">
        <f>TEXT(sales[[#This Row],[sale_date]],"dddd")</f>
        <v>Wednesday</v>
      </c>
      <c r="I568">
        <f>_xlfn.XLOOKUP(A568,salesitems[sale_id],salesitems[revenue],0)</f>
        <v>46.72</v>
      </c>
      <c r="J568">
        <v>1</v>
      </c>
      <c r="K568" s="10" t="str">
        <f>_xlfn.XLOOKUP(F568,customers[customer_id],customers[age_range])</f>
        <v>56-65</v>
      </c>
      <c r="L568" s="1">
        <f>_xlfn.XLOOKUP(F568,customers[customer_id],customers[signup_date])</f>
        <v>45734</v>
      </c>
      <c r="M568">
        <f>sales[[#This Row],[sale_date]]-sales[[#This Row],[sighnup_date]]</f>
        <v>43</v>
      </c>
      <c r="N568" t="str">
        <f t="shared" si="8"/>
        <v>new customer</v>
      </c>
      <c r="O568" t="str">
        <f>_xlfn.XLOOKUP(A568,salesitems[sale_id],salesitems[category])</f>
        <v>Shoes</v>
      </c>
    </row>
    <row r="569" spans="1:15" x14ac:dyDescent="0.45">
      <c r="A569">
        <v>538</v>
      </c>
      <c r="B569" t="s">
        <v>15</v>
      </c>
      <c r="C569">
        <v>0</v>
      </c>
      <c r="D569">
        <v>502.9</v>
      </c>
      <c r="E569" s="1">
        <v>45813</v>
      </c>
      <c r="F569">
        <v>739</v>
      </c>
      <c r="G569" t="s">
        <v>38</v>
      </c>
      <c r="H569" t="str">
        <f>TEXT(sales[[#This Row],[sale_date]],"dddd")</f>
        <v>Thursday</v>
      </c>
      <c r="I569">
        <f>_xlfn.XLOOKUP(A569,salesitems[sale_id],salesitems[revenue],0)</f>
        <v>88.54</v>
      </c>
      <c r="J569">
        <v>1</v>
      </c>
      <c r="K569" s="10" t="str">
        <f>_xlfn.XLOOKUP(F569,customers[customer_id],customers[age_range])</f>
        <v>26-35</v>
      </c>
      <c r="L569" s="1">
        <f>_xlfn.XLOOKUP(F569,customers[customer_id],customers[signup_date])</f>
        <v>45697</v>
      </c>
      <c r="M569">
        <f>sales[[#This Row],[sale_date]]-sales[[#This Row],[sighnup_date]]</f>
        <v>116</v>
      </c>
      <c r="N569" t="str">
        <f t="shared" si="8"/>
        <v>existing customer</v>
      </c>
      <c r="O569" t="str">
        <f>_xlfn.XLOOKUP(A569,salesitems[sale_id],salesitems[category])</f>
        <v>Sleepwear</v>
      </c>
    </row>
    <row r="570" spans="1:15" x14ac:dyDescent="0.45">
      <c r="A570">
        <v>539</v>
      </c>
      <c r="B570" t="s">
        <v>21</v>
      </c>
      <c r="C570">
        <v>0</v>
      </c>
      <c r="D570">
        <v>506.48</v>
      </c>
      <c r="E570" s="1">
        <v>45773</v>
      </c>
      <c r="F570">
        <v>422</v>
      </c>
      <c r="G570" t="s">
        <v>31</v>
      </c>
      <c r="H570" t="str">
        <f>TEXT(sales[[#This Row],[sale_date]],"dddd")</f>
        <v>Saturday</v>
      </c>
      <c r="I570">
        <f>_xlfn.XLOOKUP(A570,salesitems[sale_id],salesitems[revenue],0)</f>
        <v>56.58</v>
      </c>
      <c r="J570">
        <v>1</v>
      </c>
      <c r="K570" s="10" t="str">
        <f>_xlfn.XLOOKUP(F570,customers[customer_id],customers[age_range])</f>
        <v>46-55</v>
      </c>
      <c r="L570" s="1">
        <f>_xlfn.XLOOKUP(F570,customers[customer_id],customers[signup_date])</f>
        <v>45713</v>
      </c>
      <c r="M570">
        <f>sales[[#This Row],[sale_date]]-sales[[#This Row],[sighnup_date]]</f>
        <v>60</v>
      </c>
      <c r="N570" t="str">
        <f t="shared" si="8"/>
        <v>new customer</v>
      </c>
      <c r="O570" t="str">
        <f>_xlfn.XLOOKUP(A570,salesitems[sale_id],salesitems[category])</f>
        <v>Sleepwear</v>
      </c>
    </row>
    <row r="571" spans="1:15" x14ac:dyDescent="0.45">
      <c r="A571">
        <v>54</v>
      </c>
      <c r="B571" t="s">
        <v>15</v>
      </c>
      <c r="C571">
        <v>0</v>
      </c>
      <c r="D571">
        <v>416.34</v>
      </c>
      <c r="E571" s="1">
        <v>45805</v>
      </c>
      <c r="F571">
        <v>517</v>
      </c>
      <c r="G571" t="s">
        <v>31</v>
      </c>
      <c r="H571" t="str">
        <f>TEXT(sales[[#This Row],[sale_date]],"dddd")</f>
        <v>Wednesday</v>
      </c>
      <c r="I571">
        <f>_xlfn.XLOOKUP(A571,salesitems[sale_id],salesitems[revenue],0)</f>
        <v>64.5</v>
      </c>
      <c r="J571">
        <v>1</v>
      </c>
      <c r="K571" s="10" t="str">
        <f>_xlfn.XLOOKUP(F571,customers[customer_id],customers[age_range])</f>
        <v>26-35</v>
      </c>
      <c r="L571" s="1">
        <f>_xlfn.XLOOKUP(F571,customers[customer_id],customers[signup_date])</f>
        <v>45691</v>
      </c>
      <c r="M571">
        <f>sales[[#This Row],[sale_date]]-sales[[#This Row],[sighnup_date]]</f>
        <v>114</v>
      </c>
      <c r="N571" t="str">
        <f t="shared" si="8"/>
        <v>existing customer</v>
      </c>
      <c r="O571" t="str">
        <f>_xlfn.XLOOKUP(A571,salesitems[sale_id],salesitems[category])</f>
        <v>Pants</v>
      </c>
    </row>
    <row r="572" spans="1:15" x14ac:dyDescent="0.45">
      <c r="A572">
        <v>541</v>
      </c>
      <c r="B572" t="s">
        <v>15</v>
      </c>
      <c r="C572">
        <v>0</v>
      </c>
      <c r="D572">
        <v>505.76</v>
      </c>
      <c r="E572" s="1">
        <v>45774</v>
      </c>
      <c r="F572">
        <v>877</v>
      </c>
      <c r="G572" t="s">
        <v>28</v>
      </c>
      <c r="H572" t="str">
        <f>TEXT(sales[[#This Row],[sale_date]],"dddd")</f>
        <v>Sunday</v>
      </c>
      <c r="I572">
        <f>_xlfn.XLOOKUP(A572,salesitems[sale_id],salesitems[revenue],0)</f>
        <v>107.34</v>
      </c>
      <c r="J572">
        <v>1</v>
      </c>
      <c r="K572" s="10" t="str">
        <f>_xlfn.XLOOKUP(F572,customers[customer_id],customers[age_range])</f>
        <v>26-35</v>
      </c>
      <c r="L572" s="1">
        <f>_xlfn.XLOOKUP(F572,customers[customer_id],customers[signup_date])</f>
        <v>45790</v>
      </c>
      <c r="M572">
        <f>sales[[#This Row],[sale_date]]-sales[[#This Row],[sighnup_date]]</f>
        <v>-16</v>
      </c>
      <c r="N572" t="str">
        <f t="shared" si="8"/>
        <v>data issue</v>
      </c>
      <c r="O572" t="str">
        <f>_xlfn.XLOOKUP(A572,salesitems[sale_id],salesitems[category])</f>
        <v>Pants</v>
      </c>
    </row>
    <row r="573" spans="1:15" x14ac:dyDescent="0.45">
      <c r="A573">
        <v>542</v>
      </c>
      <c r="B573" t="s">
        <v>21</v>
      </c>
      <c r="C573">
        <v>0</v>
      </c>
      <c r="D573">
        <v>382.14</v>
      </c>
      <c r="E573" s="1">
        <v>45801</v>
      </c>
      <c r="F573">
        <v>771</v>
      </c>
      <c r="G573" t="s">
        <v>38</v>
      </c>
      <c r="H573" t="str">
        <f>TEXT(sales[[#This Row],[sale_date]],"dddd")</f>
        <v>Saturday</v>
      </c>
      <c r="I573">
        <f>_xlfn.XLOOKUP(A573,salesitems[sale_id],salesitems[revenue],0)</f>
        <v>51.17</v>
      </c>
      <c r="J573">
        <v>1</v>
      </c>
      <c r="K573" s="10" t="str">
        <f>_xlfn.XLOOKUP(F573,customers[customer_id],customers[age_range])</f>
        <v>16-25</v>
      </c>
      <c r="L573" s="1">
        <f>_xlfn.XLOOKUP(F573,customers[customer_id],customers[signup_date])</f>
        <v>45709</v>
      </c>
      <c r="M573">
        <f>sales[[#This Row],[sale_date]]-sales[[#This Row],[sighnup_date]]</f>
        <v>92</v>
      </c>
      <c r="N573" t="str">
        <f t="shared" si="8"/>
        <v>existing customer</v>
      </c>
      <c r="O573" t="str">
        <f>_xlfn.XLOOKUP(A573,salesitems[sale_id],salesitems[category])</f>
        <v>T-Shirts</v>
      </c>
    </row>
    <row r="574" spans="1:15" x14ac:dyDescent="0.45">
      <c r="A574">
        <v>543</v>
      </c>
      <c r="B574" t="s">
        <v>21</v>
      </c>
      <c r="C574">
        <v>0</v>
      </c>
      <c r="D574">
        <v>403.83</v>
      </c>
      <c r="E574" s="1">
        <v>45773</v>
      </c>
      <c r="F574">
        <v>896</v>
      </c>
      <c r="G574" t="s">
        <v>38</v>
      </c>
      <c r="H574" t="str">
        <f>TEXT(sales[[#This Row],[sale_date]],"dddd")</f>
        <v>Saturday</v>
      </c>
      <c r="I574">
        <f>_xlfn.XLOOKUP(A574,salesitems[sale_id],salesitems[revenue],0)</f>
        <v>52.1</v>
      </c>
      <c r="J574">
        <v>1</v>
      </c>
      <c r="K574" s="10" t="str">
        <f>_xlfn.XLOOKUP(F574,customers[customer_id],customers[age_range])</f>
        <v>46-55</v>
      </c>
      <c r="L574" s="1">
        <f>_xlfn.XLOOKUP(F574,customers[customer_id],customers[signup_date])</f>
        <v>45757</v>
      </c>
      <c r="M574">
        <f>sales[[#This Row],[sale_date]]-sales[[#This Row],[sighnup_date]]</f>
        <v>16</v>
      </c>
      <c r="N574" t="str">
        <f t="shared" si="8"/>
        <v>new customer</v>
      </c>
      <c r="O574" t="str">
        <f>_xlfn.XLOOKUP(A574,salesitems[sale_id],salesitems[category])</f>
        <v>Dresses</v>
      </c>
    </row>
    <row r="575" spans="1:15" x14ac:dyDescent="0.45">
      <c r="A575">
        <v>545</v>
      </c>
      <c r="B575" t="s">
        <v>21</v>
      </c>
      <c r="C575">
        <v>0</v>
      </c>
      <c r="D575">
        <v>391.91</v>
      </c>
      <c r="E575" s="1">
        <v>45752</v>
      </c>
      <c r="F575">
        <v>99</v>
      </c>
      <c r="G575" t="s">
        <v>34</v>
      </c>
      <c r="H575" t="str">
        <f>TEXT(sales[[#This Row],[sale_date]],"dddd")</f>
        <v>Saturday</v>
      </c>
      <c r="I575">
        <f>_xlfn.XLOOKUP(A575,salesitems[sale_id],salesitems[revenue],0)</f>
        <v>51.8</v>
      </c>
      <c r="J575">
        <v>1</v>
      </c>
      <c r="K575" s="10" t="str">
        <f>_xlfn.XLOOKUP(F575,customers[customer_id],customers[age_range])</f>
        <v>36-45</v>
      </c>
      <c r="L575" s="1">
        <f>_xlfn.XLOOKUP(F575,customers[customer_id],customers[signup_date])</f>
        <v>45733</v>
      </c>
      <c r="M575">
        <f>sales[[#This Row],[sale_date]]-sales[[#This Row],[sighnup_date]]</f>
        <v>19</v>
      </c>
      <c r="N575" t="str">
        <f t="shared" si="8"/>
        <v>new customer</v>
      </c>
      <c r="O575" t="str">
        <f>_xlfn.XLOOKUP(A575,salesitems[sale_id],salesitems[category])</f>
        <v>Sleepwear</v>
      </c>
    </row>
    <row r="576" spans="1:15" x14ac:dyDescent="0.45">
      <c r="A576">
        <v>546</v>
      </c>
      <c r="B576" t="s">
        <v>21</v>
      </c>
      <c r="C576">
        <v>0</v>
      </c>
      <c r="D576">
        <v>184.6</v>
      </c>
      <c r="E576" s="1">
        <v>45775</v>
      </c>
      <c r="F576">
        <v>787</v>
      </c>
      <c r="G576" t="s">
        <v>33</v>
      </c>
      <c r="H576" t="str">
        <f>TEXT(sales[[#This Row],[sale_date]],"dddd")</f>
        <v>Monday</v>
      </c>
      <c r="I576">
        <f>_xlfn.XLOOKUP(A576,salesitems[sale_id],salesitems[revenue],0)</f>
        <v>52.28</v>
      </c>
      <c r="J576">
        <v>1</v>
      </c>
      <c r="K576" s="10" t="str">
        <f>_xlfn.XLOOKUP(F576,customers[customer_id],customers[age_range])</f>
        <v>46-55</v>
      </c>
      <c r="L576" s="1">
        <f>_xlfn.XLOOKUP(F576,customers[customer_id],customers[signup_date])</f>
        <v>45707</v>
      </c>
      <c r="M576">
        <f>sales[[#This Row],[sale_date]]-sales[[#This Row],[sighnup_date]]</f>
        <v>68</v>
      </c>
      <c r="N576" t="str">
        <f t="shared" si="8"/>
        <v>new customer</v>
      </c>
      <c r="O576" t="str">
        <f>_xlfn.XLOOKUP(A576,salesitems[sale_id],salesitems[category])</f>
        <v>Sleepwear</v>
      </c>
    </row>
    <row r="577" spans="1:15" x14ac:dyDescent="0.45">
      <c r="A577">
        <v>548</v>
      </c>
      <c r="B577" t="s">
        <v>15</v>
      </c>
      <c r="C577">
        <v>0</v>
      </c>
      <c r="D577">
        <v>635.79999999999995</v>
      </c>
      <c r="E577" s="1">
        <v>45772</v>
      </c>
      <c r="F577">
        <v>916</v>
      </c>
      <c r="G577" t="s">
        <v>34</v>
      </c>
      <c r="H577" t="str">
        <f>TEXT(sales[[#This Row],[sale_date]],"dddd")</f>
        <v>Friday</v>
      </c>
      <c r="I577">
        <f>_xlfn.XLOOKUP(A577,salesitems[sale_id],salesitems[revenue],0)</f>
        <v>168.60000000000002</v>
      </c>
      <c r="J577">
        <v>1</v>
      </c>
      <c r="K577" s="10" t="str">
        <f>_xlfn.XLOOKUP(F577,customers[customer_id],customers[age_range])</f>
        <v>36-45</v>
      </c>
      <c r="L577" s="1">
        <f>_xlfn.XLOOKUP(F577,customers[customer_id],customers[signup_date])</f>
        <v>45772</v>
      </c>
      <c r="M577">
        <f>sales[[#This Row],[sale_date]]-sales[[#This Row],[sighnup_date]]</f>
        <v>0</v>
      </c>
      <c r="N577" t="str">
        <f t="shared" si="8"/>
        <v>new customer</v>
      </c>
      <c r="O577" t="str">
        <f>_xlfn.XLOOKUP(A577,salesitems[sale_id],salesitems[category])</f>
        <v>Shoes</v>
      </c>
    </row>
    <row r="578" spans="1:15" x14ac:dyDescent="0.45">
      <c r="A578">
        <v>55</v>
      </c>
      <c r="B578" t="s">
        <v>21</v>
      </c>
      <c r="C578">
        <v>0</v>
      </c>
      <c r="D578">
        <v>355.12</v>
      </c>
      <c r="E578" s="1">
        <v>45764</v>
      </c>
      <c r="F578">
        <v>511</v>
      </c>
      <c r="G578" t="s">
        <v>28</v>
      </c>
      <c r="H578" t="str">
        <f>TEXT(sales[[#This Row],[sale_date]],"dddd")</f>
        <v>Thursday</v>
      </c>
      <c r="I578">
        <f>_xlfn.XLOOKUP(A578,salesitems[sale_id],salesitems[revenue],0)</f>
        <v>53.74</v>
      </c>
      <c r="J578">
        <v>1</v>
      </c>
      <c r="K578" s="10" t="str">
        <f>_xlfn.XLOOKUP(F578,customers[customer_id],customers[age_range])</f>
        <v>16-25</v>
      </c>
      <c r="L578" s="1">
        <f>_xlfn.XLOOKUP(F578,customers[customer_id],customers[signup_date])</f>
        <v>45765</v>
      </c>
      <c r="M578">
        <f>sales[[#This Row],[sale_date]]-sales[[#This Row],[sighnup_date]]</f>
        <v>-1</v>
      </c>
      <c r="N578" t="str">
        <f t="shared" ref="N578:N641" si="9">IF(M578&lt;0,"data issue",IF(M578&lt;=90,"new customer","existing customer"))</f>
        <v>data issue</v>
      </c>
      <c r="O578" t="str">
        <f>_xlfn.XLOOKUP(A578,salesitems[sale_id],salesitems[category])</f>
        <v>Sleepwear</v>
      </c>
    </row>
    <row r="579" spans="1:15" x14ac:dyDescent="0.45">
      <c r="A579">
        <v>550</v>
      </c>
      <c r="B579" t="s">
        <v>21</v>
      </c>
      <c r="C579">
        <v>0</v>
      </c>
      <c r="D579">
        <v>335.22</v>
      </c>
      <c r="E579" s="1">
        <v>45793</v>
      </c>
      <c r="F579">
        <v>190</v>
      </c>
      <c r="G579" t="s">
        <v>33</v>
      </c>
      <c r="H579" t="str">
        <f>TEXT(sales[[#This Row],[sale_date]],"dddd")</f>
        <v>Friday</v>
      </c>
      <c r="I579">
        <f>_xlfn.XLOOKUP(A579,salesitems[sale_id],salesitems[revenue],0)</f>
        <v>33.590000000000003</v>
      </c>
      <c r="J579">
        <v>1</v>
      </c>
      <c r="K579" s="10" t="str">
        <f>_xlfn.XLOOKUP(F579,customers[customer_id],customers[age_range])</f>
        <v>26-35</v>
      </c>
      <c r="L579" s="1">
        <f>_xlfn.XLOOKUP(F579,customers[customer_id],customers[signup_date])</f>
        <v>45739</v>
      </c>
      <c r="M579">
        <f>sales[[#This Row],[sale_date]]-sales[[#This Row],[sighnup_date]]</f>
        <v>54</v>
      </c>
      <c r="N579" t="str">
        <f t="shared" si="9"/>
        <v>new customer</v>
      </c>
      <c r="O579" t="str">
        <f>_xlfn.XLOOKUP(A579,salesitems[sale_id],salesitems[category])</f>
        <v>T-Shirts</v>
      </c>
    </row>
    <row r="580" spans="1:15" x14ac:dyDescent="0.45">
      <c r="A580">
        <v>551</v>
      </c>
      <c r="B580" t="s">
        <v>21</v>
      </c>
      <c r="C580">
        <v>0</v>
      </c>
      <c r="D580">
        <v>274.52999999999997</v>
      </c>
      <c r="E580" s="1">
        <v>45808</v>
      </c>
      <c r="F580">
        <v>398</v>
      </c>
      <c r="G580" t="s">
        <v>34</v>
      </c>
      <c r="H580" t="str">
        <f>TEXT(sales[[#This Row],[sale_date]],"dddd")</f>
        <v>Saturday</v>
      </c>
      <c r="I580">
        <f>_xlfn.XLOOKUP(A580,salesitems[sale_id],salesitems[revenue],0)</f>
        <v>51</v>
      </c>
      <c r="J580">
        <v>1</v>
      </c>
      <c r="K580" s="10" t="str">
        <f>_xlfn.XLOOKUP(F580,customers[customer_id],customers[age_range])</f>
        <v>16-25</v>
      </c>
      <c r="L580" s="1">
        <f>_xlfn.XLOOKUP(F580,customers[customer_id],customers[signup_date])</f>
        <v>45683</v>
      </c>
      <c r="M580">
        <f>sales[[#This Row],[sale_date]]-sales[[#This Row],[sighnup_date]]</f>
        <v>125</v>
      </c>
      <c r="N580" t="str">
        <f t="shared" si="9"/>
        <v>existing customer</v>
      </c>
      <c r="O580" t="str">
        <f>_xlfn.XLOOKUP(A580,salesitems[sale_id],salesitems[category])</f>
        <v>Pants</v>
      </c>
    </row>
    <row r="581" spans="1:15" x14ac:dyDescent="0.45">
      <c r="A581">
        <v>552</v>
      </c>
      <c r="B581" t="s">
        <v>15</v>
      </c>
      <c r="C581">
        <v>1</v>
      </c>
      <c r="D581">
        <v>377.54</v>
      </c>
      <c r="E581" s="1">
        <v>45792</v>
      </c>
      <c r="F581">
        <v>54</v>
      </c>
      <c r="G581" t="s">
        <v>33</v>
      </c>
      <c r="H581" t="str">
        <f>TEXT(sales[[#This Row],[sale_date]],"dddd")</f>
        <v>Thursday</v>
      </c>
      <c r="I581">
        <f>_xlfn.XLOOKUP(A581,salesitems[sale_id],salesitems[revenue],0)</f>
        <v>71.52</v>
      </c>
      <c r="J581">
        <v>1</v>
      </c>
      <c r="K581" s="10" t="str">
        <f>_xlfn.XLOOKUP(F581,customers[customer_id],customers[age_range])</f>
        <v>26-35</v>
      </c>
      <c r="L581" s="1">
        <f>_xlfn.XLOOKUP(F581,customers[customer_id],customers[signup_date])</f>
        <v>45701</v>
      </c>
      <c r="M581">
        <f>sales[[#This Row],[sale_date]]-sales[[#This Row],[sighnup_date]]</f>
        <v>91</v>
      </c>
      <c r="N581" t="str">
        <f t="shared" si="9"/>
        <v>existing customer</v>
      </c>
      <c r="O581" t="str">
        <f>_xlfn.XLOOKUP(A581,salesitems[sale_id],salesitems[category])</f>
        <v>Shoes</v>
      </c>
    </row>
    <row r="582" spans="1:15" x14ac:dyDescent="0.45">
      <c r="A582">
        <v>553</v>
      </c>
      <c r="B582" t="s">
        <v>15</v>
      </c>
      <c r="C582">
        <v>1</v>
      </c>
      <c r="D582">
        <v>276.39</v>
      </c>
      <c r="E582" s="1">
        <v>45795</v>
      </c>
      <c r="F582">
        <v>804</v>
      </c>
      <c r="G582" t="s">
        <v>33</v>
      </c>
      <c r="H582" t="str">
        <f>TEXT(sales[[#This Row],[sale_date]],"dddd")</f>
        <v>Sunday</v>
      </c>
      <c r="I582">
        <f>_xlfn.XLOOKUP(A582,salesitems[sale_id],salesitems[revenue],0)</f>
        <v>71.7</v>
      </c>
      <c r="J582">
        <v>1</v>
      </c>
      <c r="K582" s="10" t="str">
        <f>_xlfn.XLOOKUP(F582,customers[customer_id],customers[age_range])</f>
        <v>26-35</v>
      </c>
      <c r="L582" s="1">
        <f>_xlfn.XLOOKUP(F582,customers[customer_id],customers[signup_date])</f>
        <v>45782</v>
      </c>
      <c r="M582">
        <f>sales[[#This Row],[sale_date]]-sales[[#This Row],[sighnup_date]]</f>
        <v>13</v>
      </c>
      <c r="N582" t="str">
        <f t="shared" si="9"/>
        <v>new customer</v>
      </c>
      <c r="O582" t="str">
        <f>_xlfn.XLOOKUP(A582,salesitems[sale_id],salesitems[category])</f>
        <v>T-Shirts</v>
      </c>
    </row>
    <row r="583" spans="1:15" x14ac:dyDescent="0.45">
      <c r="A583">
        <v>554</v>
      </c>
      <c r="B583" t="s">
        <v>21</v>
      </c>
      <c r="C583">
        <v>0</v>
      </c>
      <c r="D583">
        <v>322.94</v>
      </c>
      <c r="E583" s="1">
        <v>45821</v>
      </c>
      <c r="F583">
        <v>861</v>
      </c>
      <c r="G583" t="s">
        <v>38</v>
      </c>
      <c r="H583" t="str">
        <f>TEXT(sales[[#This Row],[sale_date]],"dddd")</f>
        <v>Friday</v>
      </c>
      <c r="I583">
        <f>_xlfn.XLOOKUP(A583,salesitems[sale_id],salesitems[revenue],0)</f>
        <v>45.42</v>
      </c>
      <c r="J583">
        <v>1</v>
      </c>
      <c r="K583" s="10" t="str">
        <f>_xlfn.XLOOKUP(F583,customers[customer_id],customers[age_range])</f>
        <v>26-35</v>
      </c>
      <c r="L583" s="1">
        <f>_xlfn.XLOOKUP(F583,customers[customer_id],customers[signup_date])</f>
        <v>45707</v>
      </c>
      <c r="M583">
        <f>sales[[#This Row],[sale_date]]-sales[[#This Row],[sighnup_date]]</f>
        <v>114</v>
      </c>
      <c r="N583" t="str">
        <f t="shared" si="9"/>
        <v>existing customer</v>
      </c>
      <c r="O583" t="str">
        <f>_xlfn.XLOOKUP(A583,salesitems[sale_id],salesitems[category])</f>
        <v>Dresses</v>
      </c>
    </row>
    <row r="584" spans="1:15" x14ac:dyDescent="0.45">
      <c r="A584">
        <v>555</v>
      </c>
      <c r="B584" t="s">
        <v>15</v>
      </c>
      <c r="C584">
        <v>0</v>
      </c>
      <c r="D584">
        <v>376.87</v>
      </c>
      <c r="E584" s="1">
        <v>45802</v>
      </c>
      <c r="F584">
        <v>997</v>
      </c>
      <c r="G584" t="s">
        <v>33</v>
      </c>
      <c r="H584" t="str">
        <f>TEXT(sales[[#This Row],[sale_date]],"dddd")</f>
        <v>Sunday</v>
      </c>
      <c r="I584">
        <f>_xlfn.XLOOKUP(A584,salesitems[sale_id],salesitems[revenue],0)</f>
        <v>32.409999999999997</v>
      </c>
      <c r="J584">
        <v>1</v>
      </c>
      <c r="K584" s="10" t="str">
        <f>_xlfn.XLOOKUP(F584,customers[customer_id],customers[age_range])</f>
        <v>56-65</v>
      </c>
      <c r="L584" s="1">
        <f>_xlfn.XLOOKUP(F584,customers[customer_id],customers[signup_date])</f>
        <v>45745</v>
      </c>
      <c r="M584">
        <f>sales[[#This Row],[sale_date]]-sales[[#This Row],[sighnup_date]]</f>
        <v>57</v>
      </c>
      <c r="N584" t="str">
        <f t="shared" si="9"/>
        <v>new customer</v>
      </c>
      <c r="O584" t="str">
        <f>_xlfn.XLOOKUP(A584,salesitems[sale_id],salesitems[category])</f>
        <v>Shoes</v>
      </c>
    </row>
    <row r="585" spans="1:15" x14ac:dyDescent="0.45">
      <c r="A585">
        <v>556</v>
      </c>
      <c r="B585" t="s">
        <v>21</v>
      </c>
      <c r="C585">
        <v>0</v>
      </c>
      <c r="D585">
        <v>553.83000000000004</v>
      </c>
      <c r="E585" s="1">
        <v>45777</v>
      </c>
      <c r="F585">
        <v>751</v>
      </c>
      <c r="G585" t="s">
        <v>28</v>
      </c>
      <c r="H585" t="str">
        <f>TEXT(sales[[#This Row],[sale_date]],"dddd")</f>
        <v>Wednesday</v>
      </c>
      <c r="I585">
        <f>_xlfn.XLOOKUP(A585,salesitems[sale_id],salesitems[revenue],0)</f>
        <v>148.02000000000001</v>
      </c>
      <c r="J585">
        <v>1</v>
      </c>
      <c r="K585" s="10" t="str">
        <f>_xlfn.XLOOKUP(F585,customers[customer_id],customers[age_range])</f>
        <v>56-65</v>
      </c>
      <c r="L585" s="1">
        <f>_xlfn.XLOOKUP(F585,customers[customer_id],customers[signup_date])</f>
        <v>45764</v>
      </c>
      <c r="M585">
        <f>sales[[#This Row],[sale_date]]-sales[[#This Row],[sighnup_date]]</f>
        <v>13</v>
      </c>
      <c r="N585" t="str">
        <f t="shared" si="9"/>
        <v>new customer</v>
      </c>
      <c r="O585" t="str">
        <f>_xlfn.XLOOKUP(A585,salesitems[sale_id],salesitems[category])</f>
        <v>Shoes</v>
      </c>
    </row>
    <row r="586" spans="1:15" x14ac:dyDescent="0.45">
      <c r="A586">
        <v>557</v>
      </c>
      <c r="B586" t="s">
        <v>15</v>
      </c>
      <c r="C586">
        <v>0</v>
      </c>
      <c r="D586">
        <v>423.11</v>
      </c>
      <c r="E586" s="1">
        <v>45772</v>
      </c>
      <c r="F586">
        <v>194</v>
      </c>
      <c r="G586" t="s">
        <v>31</v>
      </c>
      <c r="H586" t="str">
        <f>TEXT(sales[[#This Row],[sale_date]],"dddd")</f>
        <v>Friday</v>
      </c>
      <c r="I586">
        <f>_xlfn.XLOOKUP(A586,salesitems[sale_id],salesitems[revenue],0)</f>
        <v>59.78</v>
      </c>
      <c r="J586">
        <v>1</v>
      </c>
      <c r="K586" s="10" t="str">
        <f>_xlfn.XLOOKUP(F586,customers[customer_id],customers[age_range])</f>
        <v>16-25</v>
      </c>
      <c r="L586" s="1">
        <f>_xlfn.XLOOKUP(F586,customers[customer_id],customers[signup_date])</f>
        <v>45769</v>
      </c>
      <c r="M586">
        <f>sales[[#This Row],[sale_date]]-sales[[#This Row],[sighnup_date]]</f>
        <v>3</v>
      </c>
      <c r="N586" t="str">
        <f t="shared" si="9"/>
        <v>new customer</v>
      </c>
      <c r="O586" t="str">
        <f>_xlfn.XLOOKUP(A586,salesitems[sale_id],salesitems[category])</f>
        <v>T-Shirts</v>
      </c>
    </row>
    <row r="587" spans="1:15" x14ac:dyDescent="0.45">
      <c r="A587">
        <v>558</v>
      </c>
      <c r="B587" t="s">
        <v>15</v>
      </c>
      <c r="C587">
        <v>1</v>
      </c>
      <c r="D587">
        <v>191.33</v>
      </c>
      <c r="E587" s="1">
        <v>45794</v>
      </c>
      <c r="F587">
        <v>525</v>
      </c>
      <c r="G587" t="s">
        <v>33</v>
      </c>
      <c r="H587" t="str">
        <f>TEXT(sales[[#This Row],[sale_date]],"dddd")</f>
        <v>Saturday</v>
      </c>
      <c r="I587">
        <f>_xlfn.XLOOKUP(A587,salesitems[sale_id],salesitems[revenue],0)</f>
        <v>40.78</v>
      </c>
      <c r="J587">
        <v>1</v>
      </c>
      <c r="K587" s="10" t="str">
        <f>_xlfn.XLOOKUP(F587,customers[customer_id],customers[age_range])</f>
        <v>16-25</v>
      </c>
      <c r="L587" s="1">
        <f>_xlfn.XLOOKUP(F587,customers[customer_id],customers[signup_date])</f>
        <v>45770</v>
      </c>
      <c r="M587">
        <f>sales[[#This Row],[sale_date]]-sales[[#This Row],[sighnup_date]]</f>
        <v>24</v>
      </c>
      <c r="N587" t="str">
        <f t="shared" si="9"/>
        <v>new customer</v>
      </c>
      <c r="O587" t="str">
        <f>_xlfn.XLOOKUP(A587,salesitems[sale_id],salesitems[category])</f>
        <v>T-Shirts</v>
      </c>
    </row>
    <row r="588" spans="1:15" x14ac:dyDescent="0.45">
      <c r="A588">
        <v>559</v>
      </c>
      <c r="B588" t="s">
        <v>21</v>
      </c>
      <c r="C588">
        <v>1</v>
      </c>
      <c r="D588">
        <v>393</v>
      </c>
      <c r="E588" s="1">
        <v>45753</v>
      </c>
      <c r="F588">
        <v>192</v>
      </c>
      <c r="G588" t="s">
        <v>34</v>
      </c>
      <c r="H588" t="str">
        <f>TEXT(sales[[#This Row],[sale_date]],"dddd")</f>
        <v>Sunday</v>
      </c>
      <c r="I588">
        <f>_xlfn.XLOOKUP(A588,salesitems[sale_id],salesitems[revenue],0)</f>
        <v>35.01</v>
      </c>
      <c r="J588">
        <v>1</v>
      </c>
      <c r="K588" s="10" t="str">
        <f>_xlfn.XLOOKUP(F588,customers[customer_id],customers[age_range])</f>
        <v>46-55</v>
      </c>
      <c r="L588" s="1">
        <f>_xlfn.XLOOKUP(F588,customers[customer_id],customers[signup_date])</f>
        <v>45719</v>
      </c>
      <c r="M588">
        <f>sales[[#This Row],[sale_date]]-sales[[#This Row],[sighnup_date]]</f>
        <v>34</v>
      </c>
      <c r="N588" t="str">
        <f t="shared" si="9"/>
        <v>new customer</v>
      </c>
      <c r="O588" t="str">
        <f>_xlfn.XLOOKUP(A588,salesitems[sale_id],salesitems[category])</f>
        <v>Shoes</v>
      </c>
    </row>
    <row r="589" spans="1:15" x14ac:dyDescent="0.45">
      <c r="A589">
        <v>56</v>
      </c>
      <c r="B589" t="s">
        <v>15</v>
      </c>
      <c r="C589">
        <v>0</v>
      </c>
      <c r="D589">
        <v>337.98</v>
      </c>
      <c r="E589" s="1">
        <v>45806</v>
      </c>
      <c r="F589">
        <v>223</v>
      </c>
      <c r="G589" t="s">
        <v>36</v>
      </c>
      <c r="H589" t="str">
        <f>TEXT(sales[[#This Row],[sale_date]],"dddd")</f>
        <v>Thursday</v>
      </c>
      <c r="I589">
        <f>_xlfn.XLOOKUP(A589,salesitems[sale_id],salesitems[revenue],0)</f>
        <v>36.840000000000003</v>
      </c>
      <c r="J589">
        <v>1</v>
      </c>
      <c r="K589" s="10" t="str">
        <f>_xlfn.XLOOKUP(F589,customers[customer_id],customers[age_range])</f>
        <v>16-25</v>
      </c>
      <c r="L589" s="1">
        <f>_xlfn.XLOOKUP(F589,customers[customer_id],customers[signup_date])</f>
        <v>45743</v>
      </c>
      <c r="M589">
        <f>sales[[#This Row],[sale_date]]-sales[[#This Row],[sighnup_date]]</f>
        <v>63</v>
      </c>
      <c r="N589" t="str">
        <f t="shared" si="9"/>
        <v>new customer</v>
      </c>
      <c r="O589" t="str">
        <f>_xlfn.XLOOKUP(A589,salesitems[sale_id],salesitems[category])</f>
        <v>Pants</v>
      </c>
    </row>
    <row r="590" spans="1:15" x14ac:dyDescent="0.45">
      <c r="A590">
        <v>561</v>
      </c>
      <c r="B590" t="s">
        <v>21</v>
      </c>
      <c r="C590">
        <v>1</v>
      </c>
      <c r="D590">
        <v>416.29</v>
      </c>
      <c r="E590" s="1">
        <v>45814</v>
      </c>
      <c r="F590">
        <v>829</v>
      </c>
      <c r="G590" t="s">
        <v>38</v>
      </c>
      <c r="H590" t="str">
        <f>TEXT(sales[[#This Row],[sale_date]],"dddd")</f>
        <v>Friday</v>
      </c>
      <c r="I590">
        <f>_xlfn.XLOOKUP(A590,salesitems[sale_id],salesitems[revenue],0)</f>
        <v>45.31</v>
      </c>
      <c r="J590">
        <v>1</v>
      </c>
      <c r="K590" s="10" t="str">
        <f>_xlfn.XLOOKUP(F590,customers[customer_id],customers[age_range])</f>
        <v>26-35</v>
      </c>
      <c r="L590" s="1">
        <f>_xlfn.XLOOKUP(F590,customers[customer_id],customers[signup_date])</f>
        <v>45762</v>
      </c>
      <c r="M590">
        <f>sales[[#This Row],[sale_date]]-sales[[#This Row],[sighnup_date]]</f>
        <v>52</v>
      </c>
      <c r="N590" t="str">
        <f t="shared" si="9"/>
        <v>new customer</v>
      </c>
      <c r="O590" t="str">
        <f>_xlfn.XLOOKUP(A590,salesitems[sale_id],salesitems[category])</f>
        <v>T-Shirts</v>
      </c>
    </row>
    <row r="591" spans="1:15" x14ac:dyDescent="0.45">
      <c r="A591">
        <v>562</v>
      </c>
      <c r="B591" t="s">
        <v>15</v>
      </c>
      <c r="C591">
        <v>0</v>
      </c>
      <c r="D591">
        <v>552.4</v>
      </c>
      <c r="E591" s="1">
        <v>45765</v>
      </c>
      <c r="F591">
        <v>225</v>
      </c>
      <c r="G591" t="s">
        <v>28</v>
      </c>
      <c r="H591" t="str">
        <f>TEXT(sales[[#This Row],[sale_date]],"dddd")</f>
        <v>Friday</v>
      </c>
      <c r="I591">
        <f>_xlfn.XLOOKUP(A591,salesitems[sale_id],salesitems[revenue],0)</f>
        <v>82.52</v>
      </c>
      <c r="J591">
        <v>1</v>
      </c>
      <c r="K591" s="10" t="str">
        <f>_xlfn.XLOOKUP(F591,customers[customer_id],customers[age_range])</f>
        <v>26-35</v>
      </c>
      <c r="L591" s="1">
        <f>_xlfn.XLOOKUP(F591,customers[customer_id],customers[signup_date])</f>
        <v>45728</v>
      </c>
      <c r="M591">
        <f>sales[[#This Row],[sale_date]]-sales[[#This Row],[sighnup_date]]</f>
        <v>37</v>
      </c>
      <c r="N591" t="str">
        <f t="shared" si="9"/>
        <v>new customer</v>
      </c>
      <c r="O591" t="str">
        <f>_xlfn.XLOOKUP(A591,salesitems[sale_id],salesitems[category])</f>
        <v>Sleepwear</v>
      </c>
    </row>
    <row r="592" spans="1:15" x14ac:dyDescent="0.45">
      <c r="A592">
        <v>564</v>
      </c>
      <c r="B592" t="s">
        <v>21</v>
      </c>
      <c r="C592">
        <v>0</v>
      </c>
      <c r="D592">
        <v>351.54</v>
      </c>
      <c r="E592" s="1">
        <v>45805</v>
      </c>
      <c r="F592">
        <v>511</v>
      </c>
      <c r="G592" t="s">
        <v>28</v>
      </c>
      <c r="H592" t="str">
        <f>TEXT(sales[[#This Row],[sale_date]],"dddd")</f>
        <v>Wednesday</v>
      </c>
      <c r="I592">
        <f>_xlfn.XLOOKUP(A592,salesitems[sale_id],salesitems[revenue],0)</f>
        <v>57.11</v>
      </c>
      <c r="J592">
        <v>1</v>
      </c>
      <c r="K592" s="10" t="str">
        <f>_xlfn.XLOOKUP(F592,customers[customer_id],customers[age_range])</f>
        <v>16-25</v>
      </c>
      <c r="L592" s="1">
        <f>_xlfn.XLOOKUP(F592,customers[customer_id],customers[signup_date])</f>
        <v>45765</v>
      </c>
      <c r="M592">
        <f>sales[[#This Row],[sale_date]]-sales[[#This Row],[sighnup_date]]</f>
        <v>40</v>
      </c>
      <c r="N592" t="str">
        <f t="shared" si="9"/>
        <v>new customer</v>
      </c>
      <c r="O592" t="str">
        <f>_xlfn.XLOOKUP(A592,salesitems[sale_id],salesitems[category])</f>
        <v>T-Shirts</v>
      </c>
    </row>
    <row r="593" spans="1:15" x14ac:dyDescent="0.45">
      <c r="A593">
        <v>565</v>
      </c>
      <c r="B593" t="s">
        <v>21</v>
      </c>
      <c r="C593">
        <v>0</v>
      </c>
      <c r="D593">
        <v>448.32</v>
      </c>
      <c r="E593" s="1">
        <v>45781</v>
      </c>
      <c r="F593">
        <v>751</v>
      </c>
      <c r="G593" t="s">
        <v>28</v>
      </c>
      <c r="H593" t="str">
        <f>TEXT(sales[[#This Row],[sale_date]],"dddd")</f>
        <v>Sunday</v>
      </c>
      <c r="I593">
        <f>_xlfn.XLOOKUP(A593,salesitems[sale_id],salesitems[revenue],0)</f>
        <v>114.18</v>
      </c>
      <c r="J593">
        <v>1</v>
      </c>
      <c r="K593" s="10" t="str">
        <f>_xlfn.XLOOKUP(F593,customers[customer_id],customers[age_range])</f>
        <v>56-65</v>
      </c>
      <c r="L593" s="1">
        <f>_xlfn.XLOOKUP(F593,customers[customer_id],customers[signup_date])</f>
        <v>45764</v>
      </c>
      <c r="M593">
        <f>sales[[#This Row],[sale_date]]-sales[[#This Row],[sighnup_date]]</f>
        <v>17</v>
      </c>
      <c r="N593" t="str">
        <f t="shared" si="9"/>
        <v>new customer</v>
      </c>
      <c r="O593" t="str">
        <f>_xlfn.XLOOKUP(A593,salesitems[sale_id],salesitems[category])</f>
        <v>Sleepwear</v>
      </c>
    </row>
    <row r="594" spans="1:15" x14ac:dyDescent="0.45">
      <c r="A594">
        <v>566</v>
      </c>
      <c r="B594" t="s">
        <v>21</v>
      </c>
      <c r="C594">
        <v>0</v>
      </c>
      <c r="D594">
        <v>382.77</v>
      </c>
      <c r="E594" s="1">
        <v>45768</v>
      </c>
      <c r="F594">
        <v>325</v>
      </c>
      <c r="G594" t="s">
        <v>36</v>
      </c>
      <c r="H594" t="str">
        <f>TEXT(sales[[#This Row],[sale_date]],"dddd")</f>
        <v>Monday</v>
      </c>
      <c r="I594">
        <f>_xlfn.XLOOKUP(A594,salesitems[sale_id],salesitems[revenue],0)</f>
        <v>107.22</v>
      </c>
      <c r="J594">
        <v>1</v>
      </c>
      <c r="K594" s="10" t="str">
        <f>_xlfn.XLOOKUP(F594,customers[customer_id],customers[age_range])</f>
        <v>36-45</v>
      </c>
      <c r="L594" s="1">
        <f>_xlfn.XLOOKUP(F594,customers[customer_id],customers[signup_date])</f>
        <v>45742</v>
      </c>
      <c r="M594">
        <f>sales[[#This Row],[sale_date]]-sales[[#This Row],[sighnup_date]]</f>
        <v>26</v>
      </c>
      <c r="N594" t="str">
        <f t="shared" si="9"/>
        <v>new customer</v>
      </c>
      <c r="O594" t="str">
        <f>_xlfn.XLOOKUP(A594,salesitems[sale_id],salesitems[category])</f>
        <v>T-Shirts</v>
      </c>
    </row>
    <row r="595" spans="1:15" x14ac:dyDescent="0.45">
      <c r="A595">
        <v>567</v>
      </c>
      <c r="B595" t="s">
        <v>21</v>
      </c>
      <c r="C595">
        <v>0</v>
      </c>
      <c r="D595">
        <v>511.12</v>
      </c>
      <c r="E595" s="1">
        <v>45794</v>
      </c>
      <c r="F595">
        <v>686</v>
      </c>
      <c r="G595" t="s">
        <v>31</v>
      </c>
      <c r="H595" t="str">
        <f>TEXT(sales[[#This Row],[sale_date]],"dddd")</f>
        <v>Saturday</v>
      </c>
      <c r="I595">
        <f>_xlfn.XLOOKUP(A595,salesitems[sale_id],salesitems[revenue],0)</f>
        <v>42.47</v>
      </c>
      <c r="J595">
        <v>1</v>
      </c>
      <c r="K595" s="10" t="str">
        <f>_xlfn.XLOOKUP(F595,customers[customer_id],customers[age_range])</f>
        <v>16-25</v>
      </c>
      <c r="L595" s="1">
        <f>_xlfn.XLOOKUP(F595,customers[customer_id],customers[signup_date])</f>
        <v>45758</v>
      </c>
      <c r="M595">
        <f>sales[[#This Row],[sale_date]]-sales[[#This Row],[sighnup_date]]</f>
        <v>36</v>
      </c>
      <c r="N595" t="str">
        <f t="shared" si="9"/>
        <v>new customer</v>
      </c>
      <c r="O595" t="str">
        <f>_xlfn.XLOOKUP(A595,salesitems[sale_id],salesitems[category])</f>
        <v>Shoes</v>
      </c>
    </row>
    <row r="596" spans="1:15" x14ac:dyDescent="0.45">
      <c r="A596">
        <v>571</v>
      </c>
      <c r="B596" t="s">
        <v>15</v>
      </c>
      <c r="C596">
        <v>0</v>
      </c>
      <c r="D596">
        <v>859.38</v>
      </c>
      <c r="E596" s="1">
        <v>45800</v>
      </c>
      <c r="F596">
        <v>191</v>
      </c>
      <c r="G596" t="s">
        <v>36</v>
      </c>
      <c r="H596" t="str">
        <f>TEXT(sales[[#This Row],[sale_date]],"dddd")</f>
        <v>Friday</v>
      </c>
      <c r="I596">
        <f>_xlfn.XLOOKUP(A596,salesitems[sale_id],salesitems[revenue],0)</f>
        <v>301.88</v>
      </c>
      <c r="J596">
        <v>1</v>
      </c>
      <c r="K596" s="10" t="str">
        <f>_xlfn.XLOOKUP(F596,customers[customer_id],customers[age_range])</f>
        <v>16-25</v>
      </c>
      <c r="L596" s="1">
        <f>_xlfn.XLOOKUP(F596,customers[customer_id],customers[signup_date])</f>
        <v>45736</v>
      </c>
      <c r="M596">
        <f>sales[[#This Row],[sale_date]]-sales[[#This Row],[sighnup_date]]</f>
        <v>64</v>
      </c>
      <c r="N596" t="str">
        <f t="shared" si="9"/>
        <v>new customer</v>
      </c>
      <c r="O596" t="str">
        <f>_xlfn.XLOOKUP(A596,salesitems[sale_id],salesitems[category])</f>
        <v>Shoes</v>
      </c>
    </row>
    <row r="597" spans="1:15" x14ac:dyDescent="0.45">
      <c r="A597">
        <v>572</v>
      </c>
      <c r="B597" t="s">
        <v>15</v>
      </c>
      <c r="C597">
        <v>0</v>
      </c>
      <c r="D597">
        <v>709.31</v>
      </c>
      <c r="E597" s="1">
        <v>45769</v>
      </c>
      <c r="F597">
        <v>506</v>
      </c>
      <c r="G597" t="s">
        <v>28</v>
      </c>
      <c r="H597" t="str">
        <f>TEXT(sales[[#This Row],[sale_date]],"dddd")</f>
        <v>Tuesday</v>
      </c>
      <c r="I597">
        <f>_xlfn.XLOOKUP(A597,salesitems[sale_id],salesitems[revenue],0)</f>
        <v>291.2</v>
      </c>
      <c r="J597">
        <v>1</v>
      </c>
      <c r="K597" s="10" t="str">
        <f>_xlfn.XLOOKUP(F597,customers[customer_id],customers[age_range])</f>
        <v>26-35</v>
      </c>
      <c r="L597" s="1">
        <f>_xlfn.XLOOKUP(F597,customers[customer_id],customers[signup_date])</f>
        <v>45799</v>
      </c>
      <c r="M597">
        <f>sales[[#This Row],[sale_date]]-sales[[#This Row],[sighnup_date]]</f>
        <v>-30</v>
      </c>
      <c r="N597" t="str">
        <f t="shared" si="9"/>
        <v>data issue</v>
      </c>
      <c r="O597" t="str">
        <f>_xlfn.XLOOKUP(A597,salesitems[sale_id],salesitems[category])</f>
        <v>Dresses</v>
      </c>
    </row>
    <row r="598" spans="1:15" x14ac:dyDescent="0.45">
      <c r="A598">
        <v>575</v>
      </c>
      <c r="B598" t="s">
        <v>15</v>
      </c>
      <c r="C598">
        <v>0</v>
      </c>
      <c r="D598">
        <v>400.38</v>
      </c>
      <c r="E598" s="1">
        <v>45774</v>
      </c>
      <c r="F598">
        <v>5</v>
      </c>
      <c r="G598" t="s">
        <v>34</v>
      </c>
      <c r="H598" t="str">
        <f>TEXT(sales[[#This Row],[sale_date]],"dddd")</f>
        <v>Sunday</v>
      </c>
      <c r="I598">
        <f>_xlfn.XLOOKUP(A598,salesitems[sale_id],salesitems[revenue],0)</f>
        <v>77.48</v>
      </c>
      <c r="J598">
        <v>1</v>
      </c>
      <c r="K598" s="10" t="str">
        <f>_xlfn.XLOOKUP(F598,customers[customer_id],customers[age_range])</f>
        <v>26-35</v>
      </c>
      <c r="L598" s="1">
        <f>_xlfn.XLOOKUP(F598,customers[customer_id],customers[signup_date])</f>
        <v>45773</v>
      </c>
      <c r="M598">
        <f>sales[[#This Row],[sale_date]]-sales[[#This Row],[sighnup_date]]</f>
        <v>1</v>
      </c>
      <c r="N598" t="str">
        <f t="shared" si="9"/>
        <v>new customer</v>
      </c>
      <c r="O598" t="str">
        <f>_xlfn.XLOOKUP(A598,salesitems[sale_id],salesitems[category])</f>
        <v>Dresses</v>
      </c>
    </row>
    <row r="599" spans="1:15" x14ac:dyDescent="0.45">
      <c r="A599">
        <v>576</v>
      </c>
      <c r="B599" t="s">
        <v>21</v>
      </c>
      <c r="C599">
        <v>0</v>
      </c>
      <c r="D599">
        <v>537.95000000000005</v>
      </c>
      <c r="E599" s="1">
        <v>45821</v>
      </c>
      <c r="F599">
        <v>20</v>
      </c>
      <c r="G599" t="s">
        <v>28</v>
      </c>
      <c r="H599" t="str">
        <f>TEXT(sales[[#This Row],[sale_date]],"dddd")</f>
        <v>Friday</v>
      </c>
      <c r="I599">
        <f>_xlfn.XLOOKUP(A599,salesitems[sale_id],salesitems[revenue],0)</f>
        <v>245.37</v>
      </c>
      <c r="J599">
        <v>1</v>
      </c>
      <c r="K599" s="10" t="str">
        <f>_xlfn.XLOOKUP(F599,customers[customer_id],customers[age_range])</f>
        <v>26-35</v>
      </c>
      <c r="L599" s="1">
        <f>_xlfn.XLOOKUP(F599,customers[customer_id],customers[signup_date])</f>
        <v>45767</v>
      </c>
      <c r="M599">
        <f>sales[[#This Row],[sale_date]]-sales[[#This Row],[sighnup_date]]</f>
        <v>54</v>
      </c>
      <c r="N599" t="str">
        <f t="shared" si="9"/>
        <v>new customer</v>
      </c>
      <c r="O599" t="str">
        <f>_xlfn.XLOOKUP(A599,salesitems[sale_id],salesitems[category])</f>
        <v>Shoes</v>
      </c>
    </row>
    <row r="600" spans="1:15" x14ac:dyDescent="0.45">
      <c r="A600">
        <v>577</v>
      </c>
      <c r="B600" t="s">
        <v>21</v>
      </c>
      <c r="C600">
        <v>0</v>
      </c>
      <c r="D600">
        <v>161.54</v>
      </c>
      <c r="E600" s="1">
        <v>45804</v>
      </c>
      <c r="F600">
        <v>958</v>
      </c>
      <c r="G600" t="s">
        <v>36</v>
      </c>
      <c r="H600" t="str">
        <f>TEXT(sales[[#This Row],[sale_date]],"dddd")</f>
        <v>Tuesday</v>
      </c>
      <c r="I600">
        <f>_xlfn.XLOOKUP(A600,salesitems[sale_id],salesitems[revenue],0)</f>
        <v>55.25</v>
      </c>
      <c r="J600">
        <v>1</v>
      </c>
      <c r="K600" s="10" t="str">
        <f>_xlfn.XLOOKUP(F600,customers[customer_id],customers[age_range])</f>
        <v>56-65</v>
      </c>
      <c r="L600" s="1">
        <f>_xlfn.XLOOKUP(F600,customers[customer_id],customers[signup_date])</f>
        <v>45711</v>
      </c>
      <c r="M600">
        <f>sales[[#This Row],[sale_date]]-sales[[#This Row],[sighnup_date]]</f>
        <v>93</v>
      </c>
      <c r="N600" t="str">
        <f t="shared" si="9"/>
        <v>existing customer</v>
      </c>
      <c r="O600" t="str">
        <f>_xlfn.XLOOKUP(A600,salesitems[sale_id],salesitems[category])</f>
        <v>Shoes</v>
      </c>
    </row>
    <row r="601" spans="1:15" x14ac:dyDescent="0.45">
      <c r="A601">
        <v>578</v>
      </c>
      <c r="B601" t="s">
        <v>15</v>
      </c>
      <c r="C601">
        <v>0</v>
      </c>
      <c r="D601">
        <v>357.46</v>
      </c>
      <c r="E601" s="1">
        <v>45772</v>
      </c>
      <c r="F601">
        <v>849</v>
      </c>
      <c r="G601" t="s">
        <v>33</v>
      </c>
      <c r="H601" t="str">
        <f>TEXT(sales[[#This Row],[sale_date]],"dddd")</f>
        <v>Friday</v>
      </c>
      <c r="I601">
        <f>_xlfn.XLOOKUP(A601,salesitems[sale_id],salesitems[revenue],0)</f>
        <v>55.06</v>
      </c>
      <c r="J601">
        <v>1</v>
      </c>
      <c r="K601" s="10" t="str">
        <f>_xlfn.XLOOKUP(F601,customers[customer_id],customers[age_range])</f>
        <v>56-65</v>
      </c>
      <c r="L601" s="1">
        <f>_xlfn.XLOOKUP(F601,customers[customer_id],customers[signup_date])</f>
        <v>45802</v>
      </c>
      <c r="M601">
        <f>sales[[#This Row],[sale_date]]-sales[[#This Row],[sighnup_date]]</f>
        <v>-30</v>
      </c>
      <c r="N601" t="str">
        <f t="shared" si="9"/>
        <v>data issue</v>
      </c>
      <c r="O601" t="str">
        <f>_xlfn.XLOOKUP(A601,salesitems[sale_id],salesitems[category])</f>
        <v>Shoes</v>
      </c>
    </row>
    <row r="602" spans="1:15" x14ac:dyDescent="0.45">
      <c r="A602">
        <v>580</v>
      </c>
      <c r="B602" t="s">
        <v>15</v>
      </c>
      <c r="C602">
        <v>0</v>
      </c>
      <c r="D602">
        <v>422.78</v>
      </c>
      <c r="E602" s="1">
        <v>45808</v>
      </c>
      <c r="F602">
        <v>833</v>
      </c>
      <c r="G602" t="s">
        <v>38</v>
      </c>
      <c r="H602" t="str">
        <f>TEXT(sales[[#This Row],[sale_date]],"dddd")</f>
        <v>Saturday</v>
      </c>
      <c r="I602">
        <f>_xlfn.XLOOKUP(A602,salesitems[sale_id],salesitems[revenue],0)</f>
        <v>124.54</v>
      </c>
      <c r="J602">
        <v>1</v>
      </c>
      <c r="K602" s="10" t="str">
        <f>_xlfn.XLOOKUP(F602,customers[customer_id],customers[age_range])</f>
        <v>56-65</v>
      </c>
      <c r="L602" s="1">
        <f>_xlfn.XLOOKUP(F602,customers[customer_id],customers[signup_date])</f>
        <v>45723</v>
      </c>
      <c r="M602">
        <f>sales[[#This Row],[sale_date]]-sales[[#This Row],[sighnup_date]]</f>
        <v>85</v>
      </c>
      <c r="N602" t="str">
        <f t="shared" si="9"/>
        <v>new customer</v>
      </c>
      <c r="O602" t="str">
        <f>_xlfn.XLOOKUP(A602,salesitems[sale_id],salesitems[category])</f>
        <v>Sleepwear</v>
      </c>
    </row>
    <row r="603" spans="1:15" x14ac:dyDescent="0.45">
      <c r="A603">
        <v>581</v>
      </c>
      <c r="B603" t="s">
        <v>21</v>
      </c>
      <c r="C603">
        <v>0</v>
      </c>
      <c r="D603">
        <v>516.66</v>
      </c>
      <c r="E603" s="1">
        <v>45808</v>
      </c>
      <c r="F603">
        <v>125</v>
      </c>
      <c r="G603" t="s">
        <v>36</v>
      </c>
      <c r="H603" t="str">
        <f>TEXT(sales[[#This Row],[sale_date]],"dddd")</f>
        <v>Saturday</v>
      </c>
      <c r="I603">
        <f>_xlfn.XLOOKUP(A603,salesitems[sale_id],salesitems[revenue],0)</f>
        <v>69.819999999999993</v>
      </c>
      <c r="J603">
        <v>1</v>
      </c>
      <c r="K603" s="10" t="str">
        <f>_xlfn.XLOOKUP(F603,customers[customer_id],customers[age_range])</f>
        <v>46-55</v>
      </c>
      <c r="L603" s="1">
        <f>_xlfn.XLOOKUP(F603,customers[customer_id],customers[signup_date])</f>
        <v>45782</v>
      </c>
      <c r="M603">
        <f>sales[[#This Row],[sale_date]]-sales[[#This Row],[sighnup_date]]</f>
        <v>26</v>
      </c>
      <c r="N603" t="str">
        <f t="shared" si="9"/>
        <v>new customer</v>
      </c>
      <c r="O603" t="str">
        <f>_xlfn.XLOOKUP(A603,salesitems[sale_id],salesitems[category])</f>
        <v>Pants</v>
      </c>
    </row>
    <row r="604" spans="1:15" x14ac:dyDescent="0.45">
      <c r="A604">
        <v>582</v>
      </c>
      <c r="B604" t="s">
        <v>21</v>
      </c>
      <c r="C604">
        <v>0</v>
      </c>
      <c r="D604">
        <v>308.11</v>
      </c>
      <c r="E604" s="1">
        <v>45812</v>
      </c>
      <c r="F604">
        <v>357</v>
      </c>
      <c r="G604" t="s">
        <v>33</v>
      </c>
      <c r="H604" t="str">
        <f>TEXT(sales[[#This Row],[sale_date]],"dddd")</f>
        <v>Wednesday</v>
      </c>
      <c r="I604">
        <f>_xlfn.XLOOKUP(A604,salesitems[sale_id],salesitems[revenue],0)</f>
        <v>112.12</v>
      </c>
      <c r="J604">
        <v>1</v>
      </c>
      <c r="K604" s="10" t="str">
        <f>_xlfn.XLOOKUP(F604,customers[customer_id],customers[age_range])</f>
        <v>36-45</v>
      </c>
      <c r="L604" s="1">
        <f>_xlfn.XLOOKUP(F604,customers[customer_id],customers[signup_date])</f>
        <v>45708</v>
      </c>
      <c r="M604">
        <f>sales[[#This Row],[sale_date]]-sales[[#This Row],[sighnup_date]]</f>
        <v>104</v>
      </c>
      <c r="N604" t="str">
        <f t="shared" si="9"/>
        <v>existing customer</v>
      </c>
      <c r="O604" t="str">
        <f>_xlfn.XLOOKUP(A604,salesitems[sale_id],salesitems[category])</f>
        <v>Dresses</v>
      </c>
    </row>
    <row r="605" spans="1:15" x14ac:dyDescent="0.45">
      <c r="A605">
        <v>588</v>
      </c>
      <c r="B605" t="s">
        <v>15</v>
      </c>
      <c r="C605">
        <v>1</v>
      </c>
      <c r="D605">
        <v>178.9</v>
      </c>
      <c r="E605" s="1">
        <v>45791</v>
      </c>
      <c r="F605">
        <v>898</v>
      </c>
      <c r="G605" t="s">
        <v>33</v>
      </c>
      <c r="H605" t="str">
        <f>TEXT(sales[[#This Row],[sale_date]],"dddd")</f>
        <v>Wednesday</v>
      </c>
      <c r="I605">
        <f>_xlfn.XLOOKUP(A605,salesitems[sale_id],salesitems[revenue],0)</f>
        <v>17.47</v>
      </c>
      <c r="J605">
        <v>1</v>
      </c>
      <c r="K605" s="10" t="str">
        <f>_xlfn.XLOOKUP(F605,customers[customer_id],customers[age_range])</f>
        <v>36-45</v>
      </c>
      <c r="L605" s="1">
        <f>_xlfn.XLOOKUP(F605,customers[customer_id],customers[signup_date])</f>
        <v>45716</v>
      </c>
      <c r="M605">
        <f>sales[[#This Row],[sale_date]]-sales[[#This Row],[sighnup_date]]</f>
        <v>75</v>
      </c>
      <c r="N605" t="str">
        <f t="shared" si="9"/>
        <v>new customer</v>
      </c>
      <c r="O605" t="str">
        <f>_xlfn.XLOOKUP(A605,salesitems[sale_id],salesitems[category])</f>
        <v>Dresses</v>
      </c>
    </row>
    <row r="606" spans="1:15" x14ac:dyDescent="0.45">
      <c r="A606">
        <v>589</v>
      </c>
      <c r="B606" t="s">
        <v>15</v>
      </c>
      <c r="C606">
        <v>0</v>
      </c>
      <c r="D606">
        <v>372.08</v>
      </c>
      <c r="E606" s="1">
        <v>45825</v>
      </c>
      <c r="F606">
        <v>160</v>
      </c>
      <c r="G606" t="s">
        <v>36</v>
      </c>
      <c r="H606" t="str">
        <f>TEXT(sales[[#This Row],[sale_date]],"dddd")</f>
        <v>Tuesday</v>
      </c>
      <c r="I606">
        <f>_xlfn.XLOOKUP(A606,salesitems[sale_id],salesitems[revenue],0)</f>
        <v>33.950000000000003</v>
      </c>
      <c r="J606">
        <v>1</v>
      </c>
      <c r="K606" s="10" t="str">
        <f>_xlfn.XLOOKUP(F606,customers[customer_id],customers[age_range])</f>
        <v>56-65</v>
      </c>
      <c r="L606" s="1">
        <f>_xlfn.XLOOKUP(F606,customers[customer_id],customers[signup_date])</f>
        <v>45700</v>
      </c>
      <c r="M606">
        <f>sales[[#This Row],[sale_date]]-sales[[#This Row],[sighnup_date]]</f>
        <v>125</v>
      </c>
      <c r="N606" t="str">
        <f t="shared" si="9"/>
        <v>existing customer</v>
      </c>
      <c r="O606" t="str">
        <f>_xlfn.XLOOKUP(A606,salesitems[sale_id],salesitems[category])</f>
        <v>Sleepwear</v>
      </c>
    </row>
    <row r="607" spans="1:15" x14ac:dyDescent="0.45">
      <c r="A607">
        <v>59</v>
      </c>
      <c r="B607" t="s">
        <v>21</v>
      </c>
      <c r="C607">
        <v>0</v>
      </c>
      <c r="D607">
        <v>435.92</v>
      </c>
      <c r="E607" s="1">
        <v>45791</v>
      </c>
      <c r="F607">
        <v>787</v>
      </c>
      <c r="G607" t="s">
        <v>33</v>
      </c>
      <c r="H607" t="str">
        <f>TEXT(sales[[#This Row],[sale_date]],"dddd")</f>
        <v>Wednesday</v>
      </c>
      <c r="I607">
        <f>_xlfn.XLOOKUP(A607,salesitems[sale_id],salesitems[revenue],0)</f>
        <v>163.58000000000001</v>
      </c>
      <c r="J607">
        <v>1</v>
      </c>
      <c r="K607" s="10" t="str">
        <f>_xlfn.XLOOKUP(F607,customers[customer_id],customers[age_range])</f>
        <v>46-55</v>
      </c>
      <c r="L607" s="1">
        <f>_xlfn.XLOOKUP(F607,customers[customer_id],customers[signup_date])</f>
        <v>45707</v>
      </c>
      <c r="M607">
        <f>sales[[#This Row],[sale_date]]-sales[[#This Row],[sighnup_date]]</f>
        <v>84</v>
      </c>
      <c r="N607" t="str">
        <f t="shared" si="9"/>
        <v>new customer</v>
      </c>
      <c r="O607" t="str">
        <f>_xlfn.XLOOKUP(A607,salesitems[sale_id],salesitems[category])</f>
        <v>Shoes</v>
      </c>
    </row>
    <row r="608" spans="1:15" x14ac:dyDescent="0.45">
      <c r="A608">
        <v>590</v>
      </c>
      <c r="B608" t="s">
        <v>21</v>
      </c>
      <c r="C608">
        <v>0</v>
      </c>
      <c r="D608">
        <v>324.12</v>
      </c>
      <c r="E608" s="1">
        <v>45760</v>
      </c>
      <c r="F608">
        <v>512</v>
      </c>
      <c r="G608" t="s">
        <v>36</v>
      </c>
      <c r="H608" t="str">
        <f>TEXT(sales[[#This Row],[sale_date]],"dddd")</f>
        <v>Sunday</v>
      </c>
      <c r="I608">
        <f>_xlfn.XLOOKUP(A608,salesitems[sale_id],salesitems[revenue],0)</f>
        <v>52.08</v>
      </c>
      <c r="J608">
        <v>1</v>
      </c>
      <c r="K608" s="10" t="str">
        <f>_xlfn.XLOOKUP(F608,customers[customer_id],customers[age_range])</f>
        <v>56-65</v>
      </c>
      <c r="L608" s="1">
        <f>_xlfn.XLOOKUP(F608,customers[customer_id],customers[signup_date])</f>
        <v>45689</v>
      </c>
      <c r="M608">
        <f>sales[[#This Row],[sale_date]]-sales[[#This Row],[sighnup_date]]</f>
        <v>71</v>
      </c>
      <c r="N608" t="str">
        <f t="shared" si="9"/>
        <v>new customer</v>
      </c>
      <c r="O608" t="str">
        <f>_xlfn.XLOOKUP(A608,salesitems[sale_id],salesitems[category])</f>
        <v>Dresses</v>
      </c>
    </row>
    <row r="609" spans="1:15" x14ac:dyDescent="0.45">
      <c r="A609">
        <v>591</v>
      </c>
      <c r="B609" t="s">
        <v>21</v>
      </c>
      <c r="C609">
        <v>0</v>
      </c>
      <c r="D609">
        <v>616.58000000000004</v>
      </c>
      <c r="E609" s="1">
        <v>45800</v>
      </c>
      <c r="F609">
        <v>525</v>
      </c>
      <c r="G609" t="s">
        <v>33</v>
      </c>
      <c r="H609" t="str">
        <f>TEXT(sales[[#This Row],[sale_date]],"dddd")</f>
        <v>Friday</v>
      </c>
      <c r="I609">
        <f>_xlfn.XLOOKUP(A609,salesitems[sale_id],salesitems[revenue],0)</f>
        <v>92.18</v>
      </c>
      <c r="J609">
        <v>1</v>
      </c>
      <c r="K609" s="10" t="str">
        <f>_xlfn.XLOOKUP(F609,customers[customer_id],customers[age_range])</f>
        <v>16-25</v>
      </c>
      <c r="L609" s="1">
        <f>_xlfn.XLOOKUP(F609,customers[customer_id],customers[signup_date])</f>
        <v>45770</v>
      </c>
      <c r="M609">
        <f>sales[[#This Row],[sale_date]]-sales[[#This Row],[sighnup_date]]</f>
        <v>30</v>
      </c>
      <c r="N609" t="str">
        <f t="shared" si="9"/>
        <v>new customer</v>
      </c>
      <c r="O609" t="str">
        <f>_xlfn.XLOOKUP(A609,salesitems[sale_id],salesitems[category])</f>
        <v>Pants</v>
      </c>
    </row>
    <row r="610" spans="1:15" x14ac:dyDescent="0.45">
      <c r="A610">
        <v>592</v>
      </c>
      <c r="B610" t="s">
        <v>21</v>
      </c>
      <c r="C610">
        <v>0</v>
      </c>
      <c r="D610">
        <v>134.93</v>
      </c>
      <c r="E610" s="1">
        <v>45794</v>
      </c>
      <c r="F610">
        <v>906</v>
      </c>
      <c r="G610" t="s">
        <v>31</v>
      </c>
      <c r="H610" t="str">
        <f>TEXT(sales[[#This Row],[sale_date]],"dddd")</f>
        <v>Saturday</v>
      </c>
      <c r="I610">
        <f>_xlfn.XLOOKUP(A610,salesitems[sale_id],salesitems[revenue],0)</f>
        <v>55.06</v>
      </c>
      <c r="J610">
        <v>1</v>
      </c>
      <c r="K610" s="10" t="str">
        <f>_xlfn.XLOOKUP(F610,customers[customer_id],customers[age_range])</f>
        <v>46-55</v>
      </c>
      <c r="L610" s="1">
        <f>_xlfn.XLOOKUP(F610,customers[customer_id],customers[signup_date])</f>
        <v>45780</v>
      </c>
      <c r="M610">
        <f>sales[[#This Row],[sale_date]]-sales[[#This Row],[sighnup_date]]</f>
        <v>14</v>
      </c>
      <c r="N610" t="str">
        <f t="shared" si="9"/>
        <v>new customer</v>
      </c>
      <c r="O610" t="str">
        <f>_xlfn.XLOOKUP(A610,salesitems[sale_id],salesitems[category])</f>
        <v>Shoes</v>
      </c>
    </row>
    <row r="611" spans="1:15" x14ac:dyDescent="0.45">
      <c r="A611">
        <v>593</v>
      </c>
      <c r="B611" t="s">
        <v>15</v>
      </c>
      <c r="C611">
        <v>0</v>
      </c>
      <c r="D611">
        <v>303.48</v>
      </c>
      <c r="E611" s="1">
        <v>45824</v>
      </c>
      <c r="F611">
        <v>758</v>
      </c>
      <c r="G611" t="s">
        <v>38</v>
      </c>
      <c r="H611" t="str">
        <f>TEXT(sales[[#This Row],[sale_date]],"dddd")</f>
        <v>Monday</v>
      </c>
      <c r="I611">
        <f>_xlfn.XLOOKUP(A611,salesitems[sale_id],salesitems[revenue],0)</f>
        <v>50.52</v>
      </c>
      <c r="J611">
        <v>1</v>
      </c>
      <c r="K611" s="10" t="str">
        <f>_xlfn.XLOOKUP(F611,customers[customer_id],customers[age_range])</f>
        <v>36-45</v>
      </c>
      <c r="L611" s="1">
        <f>_xlfn.XLOOKUP(F611,customers[customer_id],customers[signup_date])</f>
        <v>45731</v>
      </c>
      <c r="M611">
        <f>sales[[#This Row],[sale_date]]-sales[[#This Row],[sighnup_date]]</f>
        <v>93</v>
      </c>
      <c r="N611" t="str">
        <f t="shared" si="9"/>
        <v>existing customer</v>
      </c>
      <c r="O611" t="str">
        <f>_xlfn.XLOOKUP(A611,salesitems[sale_id],salesitems[category])</f>
        <v>T-Shirts</v>
      </c>
    </row>
    <row r="612" spans="1:15" x14ac:dyDescent="0.45">
      <c r="A612">
        <v>594</v>
      </c>
      <c r="B612" t="s">
        <v>15</v>
      </c>
      <c r="C612">
        <v>0</v>
      </c>
      <c r="D612">
        <v>493.31</v>
      </c>
      <c r="E612" s="1">
        <v>45807</v>
      </c>
      <c r="F612">
        <v>69</v>
      </c>
      <c r="G612" t="s">
        <v>36</v>
      </c>
      <c r="H612" t="str">
        <f>TEXT(sales[[#This Row],[sale_date]],"dddd")</f>
        <v>Friday</v>
      </c>
      <c r="I612">
        <f>_xlfn.XLOOKUP(A612,salesitems[sale_id],salesitems[revenue],0)</f>
        <v>58.11</v>
      </c>
      <c r="J612">
        <v>1</v>
      </c>
      <c r="K612" s="10" t="str">
        <f>_xlfn.XLOOKUP(F612,customers[customer_id],customers[age_range])</f>
        <v>16-25</v>
      </c>
      <c r="L612" s="1">
        <f>_xlfn.XLOOKUP(F612,customers[customer_id],customers[signup_date])</f>
        <v>45798</v>
      </c>
      <c r="M612">
        <f>sales[[#This Row],[sale_date]]-sales[[#This Row],[sighnup_date]]</f>
        <v>9</v>
      </c>
      <c r="N612" t="str">
        <f t="shared" si="9"/>
        <v>new customer</v>
      </c>
      <c r="O612" t="str">
        <f>_xlfn.XLOOKUP(A612,salesitems[sale_id],salesitems[category])</f>
        <v>T-Shirts</v>
      </c>
    </row>
    <row r="613" spans="1:15" x14ac:dyDescent="0.45">
      <c r="A613">
        <v>597</v>
      </c>
      <c r="B613" t="s">
        <v>15</v>
      </c>
      <c r="C613">
        <v>0</v>
      </c>
      <c r="D613">
        <v>760.4</v>
      </c>
      <c r="E613" s="1">
        <v>45765</v>
      </c>
      <c r="F613">
        <v>132</v>
      </c>
      <c r="G613" t="s">
        <v>28</v>
      </c>
      <c r="H613" t="str">
        <f>TEXT(sales[[#This Row],[sale_date]],"dddd")</f>
        <v>Friday</v>
      </c>
      <c r="I613">
        <f>_xlfn.XLOOKUP(A613,salesitems[sale_id],salesitems[revenue],0)</f>
        <v>206.8</v>
      </c>
      <c r="J613">
        <v>1</v>
      </c>
      <c r="K613" s="10" t="str">
        <f>_xlfn.XLOOKUP(F613,customers[customer_id],customers[age_range])</f>
        <v>46-55</v>
      </c>
      <c r="L613" s="1">
        <f>_xlfn.XLOOKUP(F613,customers[customer_id],customers[signup_date])</f>
        <v>45714</v>
      </c>
      <c r="M613">
        <f>sales[[#This Row],[sale_date]]-sales[[#This Row],[sighnup_date]]</f>
        <v>51</v>
      </c>
      <c r="N613" t="str">
        <f t="shared" si="9"/>
        <v>new customer</v>
      </c>
      <c r="O613" t="str">
        <f>_xlfn.XLOOKUP(A613,salesitems[sale_id],salesitems[category])</f>
        <v>Pants</v>
      </c>
    </row>
    <row r="614" spans="1:15" x14ac:dyDescent="0.45">
      <c r="A614">
        <v>6</v>
      </c>
      <c r="B614" t="s">
        <v>21</v>
      </c>
      <c r="C614">
        <v>0</v>
      </c>
      <c r="D614">
        <v>416.43</v>
      </c>
      <c r="E614" s="1">
        <v>45822</v>
      </c>
      <c r="F614">
        <v>659</v>
      </c>
      <c r="G614" t="s">
        <v>38</v>
      </c>
      <c r="H614" t="str">
        <f>TEXT(sales[[#This Row],[sale_date]],"dddd")</f>
        <v>Saturday</v>
      </c>
      <c r="I614">
        <f>_xlfn.XLOOKUP(A614,salesitems[sale_id],salesitems[revenue],0)</f>
        <v>135.52000000000001</v>
      </c>
      <c r="J614">
        <v>1</v>
      </c>
      <c r="K614" s="10" t="str">
        <f>_xlfn.XLOOKUP(F614,customers[customer_id],customers[age_range])</f>
        <v>46-55</v>
      </c>
      <c r="L614" s="1">
        <f>_xlfn.XLOOKUP(F614,customers[customer_id],customers[signup_date])</f>
        <v>45735</v>
      </c>
      <c r="M614">
        <f>sales[[#This Row],[sale_date]]-sales[[#This Row],[sighnup_date]]</f>
        <v>87</v>
      </c>
      <c r="N614" t="str">
        <f t="shared" si="9"/>
        <v>new customer</v>
      </c>
      <c r="O614" t="str">
        <f>_xlfn.XLOOKUP(A614,salesitems[sale_id],salesitems[category])</f>
        <v>T-Shirts</v>
      </c>
    </row>
    <row r="615" spans="1:15" x14ac:dyDescent="0.45">
      <c r="A615">
        <v>601</v>
      </c>
      <c r="B615" t="s">
        <v>21</v>
      </c>
      <c r="C615">
        <v>0</v>
      </c>
      <c r="D615">
        <v>542.91999999999996</v>
      </c>
      <c r="E615" s="1">
        <v>45808</v>
      </c>
      <c r="F615">
        <v>387</v>
      </c>
      <c r="G615" t="s">
        <v>28</v>
      </c>
      <c r="H615" t="str">
        <f>TEXT(sales[[#This Row],[sale_date]],"dddd")</f>
        <v>Saturday</v>
      </c>
      <c r="I615">
        <f>_xlfn.XLOOKUP(A615,salesitems[sale_id],salesitems[revenue],0)</f>
        <v>57.8</v>
      </c>
      <c r="J615">
        <v>1</v>
      </c>
      <c r="K615" s="10" t="str">
        <f>_xlfn.XLOOKUP(F615,customers[customer_id],customers[age_range])</f>
        <v>46-55</v>
      </c>
      <c r="L615" s="1">
        <f>_xlfn.XLOOKUP(F615,customers[customer_id],customers[signup_date])</f>
        <v>45692</v>
      </c>
      <c r="M615">
        <f>sales[[#This Row],[sale_date]]-sales[[#This Row],[sighnup_date]]</f>
        <v>116</v>
      </c>
      <c r="N615" t="str">
        <f t="shared" si="9"/>
        <v>existing customer</v>
      </c>
      <c r="O615" t="str">
        <f>_xlfn.XLOOKUP(A615,salesitems[sale_id],salesitems[category])</f>
        <v>T-Shirts</v>
      </c>
    </row>
    <row r="616" spans="1:15" x14ac:dyDescent="0.45">
      <c r="A616">
        <v>602</v>
      </c>
      <c r="B616" t="s">
        <v>21</v>
      </c>
      <c r="C616">
        <v>0</v>
      </c>
      <c r="D616">
        <v>447.92</v>
      </c>
      <c r="E616" s="1">
        <v>45775</v>
      </c>
      <c r="F616">
        <v>284</v>
      </c>
      <c r="G616" t="s">
        <v>33</v>
      </c>
      <c r="H616" t="str">
        <f>TEXT(sales[[#This Row],[sale_date]],"dddd")</f>
        <v>Monday</v>
      </c>
      <c r="I616">
        <f>_xlfn.XLOOKUP(A616,salesitems[sale_id],salesitems[revenue],0)</f>
        <v>92.72</v>
      </c>
      <c r="J616">
        <v>1</v>
      </c>
      <c r="K616" s="10" t="str">
        <f>_xlfn.XLOOKUP(F616,customers[customer_id],customers[age_range])</f>
        <v>16-25</v>
      </c>
      <c r="L616" s="1">
        <f>_xlfn.XLOOKUP(F616,customers[customer_id],customers[signup_date])</f>
        <v>45743</v>
      </c>
      <c r="M616">
        <f>sales[[#This Row],[sale_date]]-sales[[#This Row],[sighnup_date]]</f>
        <v>32</v>
      </c>
      <c r="N616" t="str">
        <f t="shared" si="9"/>
        <v>new customer</v>
      </c>
      <c r="O616" t="str">
        <f>_xlfn.XLOOKUP(A616,salesitems[sale_id],salesitems[category])</f>
        <v>T-Shirts</v>
      </c>
    </row>
    <row r="617" spans="1:15" x14ac:dyDescent="0.45">
      <c r="A617">
        <v>603</v>
      </c>
      <c r="B617" t="s">
        <v>15</v>
      </c>
      <c r="C617">
        <v>0</v>
      </c>
      <c r="D617">
        <v>367.01</v>
      </c>
      <c r="E617" s="1">
        <v>45808</v>
      </c>
      <c r="F617">
        <v>182</v>
      </c>
      <c r="G617" t="s">
        <v>28</v>
      </c>
      <c r="H617" t="str">
        <f>TEXT(sales[[#This Row],[sale_date]],"dddd")</f>
        <v>Saturday</v>
      </c>
      <c r="I617">
        <f>_xlfn.XLOOKUP(A617,salesitems[sale_id],salesitems[revenue],0)</f>
        <v>37.94</v>
      </c>
      <c r="J617">
        <v>1</v>
      </c>
      <c r="K617" s="10" t="str">
        <f>_xlfn.XLOOKUP(F617,customers[customer_id],customers[age_range])</f>
        <v>46-55</v>
      </c>
      <c r="L617" s="1">
        <f>_xlfn.XLOOKUP(F617,customers[customer_id],customers[signup_date])</f>
        <v>45738</v>
      </c>
      <c r="M617">
        <f>sales[[#This Row],[sale_date]]-sales[[#This Row],[sighnup_date]]</f>
        <v>70</v>
      </c>
      <c r="N617" t="str">
        <f t="shared" si="9"/>
        <v>new customer</v>
      </c>
      <c r="O617" t="str">
        <f>_xlfn.XLOOKUP(A617,salesitems[sale_id],salesitems[category])</f>
        <v>Pants</v>
      </c>
    </row>
    <row r="618" spans="1:15" x14ac:dyDescent="0.45">
      <c r="A618">
        <v>604</v>
      </c>
      <c r="B618" t="s">
        <v>21</v>
      </c>
      <c r="C618">
        <v>0</v>
      </c>
      <c r="D618">
        <v>499.56</v>
      </c>
      <c r="E618" s="1">
        <v>45803</v>
      </c>
      <c r="F618">
        <v>338</v>
      </c>
      <c r="G618" t="s">
        <v>34</v>
      </c>
      <c r="H618" t="str">
        <f>TEXT(sales[[#This Row],[sale_date]],"dddd")</f>
        <v>Monday</v>
      </c>
      <c r="I618">
        <f>_xlfn.XLOOKUP(A618,salesitems[sale_id],salesitems[revenue],0)</f>
        <v>52.94</v>
      </c>
      <c r="J618">
        <v>1</v>
      </c>
      <c r="K618" s="10" t="str">
        <f>_xlfn.XLOOKUP(F618,customers[customer_id],customers[age_range])</f>
        <v>26-35</v>
      </c>
      <c r="L618" s="1">
        <f>_xlfn.XLOOKUP(F618,customers[customer_id],customers[signup_date])</f>
        <v>45751</v>
      </c>
      <c r="M618">
        <f>sales[[#This Row],[sale_date]]-sales[[#This Row],[sighnup_date]]</f>
        <v>52</v>
      </c>
      <c r="N618" t="str">
        <f t="shared" si="9"/>
        <v>new customer</v>
      </c>
      <c r="O618" t="str">
        <f>_xlfn.XLOOKUP(A618,salesitems[sale_id],salesitems[category])</f>
        <v>Sleepwear</v>
      </c>
    </row>
    <row r="619" spans="1:15" x14ac:dyDescent="0.45">
      <c r="A619">
        <v>605</v>
      </c>
      <c r="B619" t="s">
        <v>15</v>
      </c>
      <c r="C619">
        <v>0</v>
      </c>
      <c r="D619">
        <v>411.94</v>
      </c>
      <c r="E619" s="1">
        <v>45812</v>
      </c>
      <c r="F619">
        <v>118</v>
      </c>
      <c r="G619" t="s">
        <v>33</v>
      </c>
      <c r="H619" t="str">
        <f>TEXT(sales[[#This Row],[sale_date]],"dddd")</f>
        <v>Wednesday</v>
      </c>
      <c r="I619">
        <f>_xlfn.XLOOKUP(A619,salesitems[sale_id],salesitems[revenue],0)</f>
        <v>53.32</v>
      </c>
      <c r="J619">
        <v>1</v>
      </c>
      <c r="K619" s="10" t="str">
        <f>_xlfn.XLOOKUP(F619,customers[customer_id],customers[age_range])</f>
        <v>16-25</v>
      </c>
      <c r="L619" s="1">
        <f>_xlfn.XLOOKUP(F619,customers[customer_id],customers[signup_date])</f>
        <v>45703</v>
      </c>
      <c r="M619">
        <f>sales[[#This Row],[sale_date]]-sales[[#This Row],[sighnup_date]]</f>
        <v>109</v>
      </c>
      <c r="N619" t="str">
        <f t="shared" si="9"/>
        <v>existing customer</v>
      </c>
      <c r="O619" t="str">
        <f>_xlfn.XLOOKUP(A619,salesitems[sale_id],salesitems[category])</f>
        <v>Dresses</v>
      </c>
    </row>
    <row r="620" spans="1:15" x14ac:dyDescent="0.45">
      <c r="A620">
        <v>607</v>
      </c>
      <c r="B620" t="s">
        <v>15</v>
      </c>
      <c r="C620">
        <v>0</v>
      </c>
      <c r="D620">
        <v>395.28</v>
      </c>
      <c r="E620" s="1">
        <v>45777</v>
      </c>
      <c r="F620">
        <v>785</v>
      </c>
      <c r="G620" t="s">
        <v>28</v>
      </c>
      <c r="H620" t="str">
        <f>TEXT(sales[[#This Row],[sale_date]],"dddd")</f>
        <v>Wednesday</v>
      </c>
      <c r="I620">
        <f>_xlfn.XLOOKUP(A620,salesitems[sale_id],salesitems[revenue],0)</f>
        <v>60.12</v>
      </c>
      <c r="J620">
        <v>1</v>
      </c>
      <c r="K620" s="10" t="str">
        <f>_xlfn.XLOOKUP(F620,customers[customer_id],customers[age_range])</f>
        <v>56-65</v>
      </c>
      <c r="L620" s="1">
        <f>_xlfn.XLOOKUP(F620,customers[customer_id],customers[signup_date])</f>
        <v>45734</v>
      </c>
      <c r="M620">
        <f>sales[[#This Row],[sale_date]]-sales[[#This Row],[sighnup_date]]</f>
        <v>43</v>
      </c>
      <c r="N620" t="str">
        <f t="shared" si="9"/>
        <v>new customer</v>
      </c>
      <c r="O620" t="str">
        <f>_xlfn.XLOOKUP(A620,salesitems[sale_id],salesitems[category])</f>
        <v>Pants</v>
      </c>
    </row>
    <row r="621" spans="1:15" x14ac:dyDescent="0.45">
      <c r="A621">
        <v>609</v>
      </c>
      <c r="B621" t="s">
        <v>15</v>
      </c>
      <c r="C621">
        <v>0</v>
      </c>
      <c r="D621">
        <v>340.38</v>
      </c>
      <c r="E621" s="1">
        <v>45799</v>
      </c>
      <c r="F621">
        <v>946</v>
      </c>
      <c r="G621" t="s">
        <v>28</v>
      </c>
      <c r="H621" t="str">
        <f>TEXT(sales[[#This Row],[sale_date]],"dddd")</f>
        <v>Thursday</v>
      </c>
      <c r="I621">
        <f>_xlfn.XLOOKUP(A621,salesitems[sale_id],salesitems[revenue],0)</f>
        <v>38.14</v>
      </c>
      <c r="J621">
        <v>1</v>
      </c>
      <c r="K621" s="10" t="str">
        <f>_xlfn.XLOOKUP(F621,customers[customer_id],customers[age_range])</f>
        <v>16-25</v>
      </c>
      <c r="L621" s="1">
        <f>_xlfn.XLOOKUP(F621,customers[customer_id],customers[signup_date])</f>
        <v>45750</v>
      </c>
      <c r="M621">
        <f>sales[[#This Row],[sale_date]]-sales[[#This Row],[sighnup_date]]</f>
        <v>49</v>
      </c>
      <c r="N621" t="str">
        <f t="shared" si="9"/>
        <v>new customer</v>
      </c>
      <c r="O621" t="str">
        <f>_xlfn.XLOOKUP(A621,salesitems[sale_id],salesitems[category])</f>
        <v>Pants</v>
      </c>
    </row>
    <row r="622" spans="1:15" x14ac:dyDescent="0.45">
      <c r="A622">
        <v>61</v>
      </c>
      <c r="B622" t="s">
        <v>15</v>
      </c>
      <c r="C622">
        <v>0</v>
      </c>
      <c r="D622">
        <v>370.24</v>
      </c>
      <c r="E622" s="1">
        <v>45803</v>
      </c>
      <c r="F622">
        <v>444</v>
      </c>
      <c r="G622" t="s">
        <v>36</v>
      </c>
      <c r="H622" t="str">
        <f>TEXT(sales[[#This Row],[sale_date]],"dddd")</f>
        <v>Monday</v>
      </c>
      <c r="I622">
        <f>_xlfn.XLOOKUP(A622,salesitems[sale_id],salesitems[revenue],0)</f>
        <v>92.08</v>
      </c>
      <c r="J622">
        <v>1</v>
      </c>
      <c r="K622" s="10" t="str">
        <f>_xlfn.XLOOKUP(F622,customers[customer_id],customers[age_range])</f>
        <v>26-35</v>
      </c>
      <c r="L622" s="1">
        <f>_xlfn.XLOOKUP(F622,customers[customer_id],customers[signup_date])</f>
        <v>45685</v>
      </c>
      <c r="M622">
        <f>sales[[#This Row],[sale_date]]-sales[[#This Row],[sighnup_date]]</f>
        <v>118</v>
      </c>
      <c r="N622" t="str">
        <f t="shared" si="9"/>
        <v>existing customer</v>
      </c>
      <c r="O622" t="str">
        <f>_xlfn.XLOOKUP(A622,salesitems[sale_id],salesitems[category])</f>
        <v>Pants</v>
      </c>
    </row>
    <row r="623" spans="1:15" x14ac:dyDescent="0.45">
      <c r="A623">
        <v>610</v>
      </c>
      <c r="B623" t="s">
        <v>21</v>
      </c>
      <c r="C623">
        <v>0</v>
      </c>
      <c r="D623">
        <v>435.62</v>
      </c>
      <c r="E623" s="1">
        <v>45807</v>
      </c>
      <c r="F623">
        <v>504</v>
      </c>
      <c r="G623" t="s">
        <v>31</v>
      </c>
      <c r="H623" t="str">
        <f>TEXT(sales[[#This Row],[sale_date]],"dddd")</f>
        <v>Friday</v>
      </c>
      <c r="I623">
        <f>_xlfn.XLOOKUP(A623,salesitems[sale_id],salesitems[revenue],0)</f>
        <v>99.62</v>
      </c>
      <c r="J623">
        <v>1</v>
      </c>
      <c r="K623" s="10" t="str">
        <f>_xlfn.XLOOKUP(F623,customers[customer_id],customers[age_range])</f>
        <v>16-25</v>
      </c>
      <c r="L623" s="1">
        <f>_xlfn.XLOOKUP(F623,customers[customer_id],customers[signup_date])</f>
        <v>45768</v>
      </c>
      <c r="M623">
        <f>sales[[#This Row],[sale_date]]-sales[[#This Row],[sighnup_date]]</f>
        <v>39</v>
      </c>
      <c r="N623" t="str">
        <f t="shared" si="9"/>
        <v>new customer</v>
      </c>
      <c r="O623" t="str">
        <f>_xlfn.XLOOKUP(A623,salesitems[sale_id],salesitems[category])</f>
        <v>Shoes</v>
      </c>
    </row>
    <row r="624" spans="1:15" x14ac:dyDescent="0.45">
      <c r="A624">
        <v>612</v>
      </c>
      <c r="B624" t="s">
        <v>15</v>
      </c>
      <c r="C624">
        <v>0</v>
      </c>
      <c r="D624">
        <v>588.12</v>
      </c>
      <c r="E624" s="1">
        <v>45802</v>
      </c>
      <c r="F624">
        <v>488</v>
      </c>
      <c r="G624" t="s">
        <v>36</v>
      </c>
      <c r="H624" t="str">
        <f>TEXT(sales[[#This Row],[sale_date]],"dddd")</f>
        <v>Sunday</v>
      </c>
      <c r="I624">
        <f>_xlfn.XLOOKUP(A624,salesitems[sale_id],salesitems[revenue],0)</f>
        <v>101.7</v>
      </c>
      <c r="J624">
        <v>1</v>
      </c>
      <c r="K624" s="10" t="str">
        <f>_xlfn.XLOOKUP(F624,customers[customer_id],customers[age_range])</f>
        <v>46-55</v>
      </c>
      <c r="L624" s="1">
        <f>_xlfn.XLOOKUP(F624,customers[customer_id],customers[signup_date])</f>
        <v>45753</v>
      </c>
      <c r="M624">
        <f>sales[[#This Row],[sale_date]]-sales[[#This Row],[sighnup_date]]</f>
        <v>49</v>
      </c>
      <c r="N624" t="str">
        <f t="shared" si="9"/>
        <v>new customer</v>
      </c>
      <c r="O624" t="str">
        <f>_xlfn.XLOOKUP(A624,salesitems[sale_id],salesitems[category])</f>
        <v>Sleepwear</v>
      </c>
    </row>
    <row r="625" spans="1:15" x14ac:dyDescent="0.45">
      <c r="A625">
        <v>613</v>
      </c>
      <c r="B625" t="s">
        <v>21</v>
      </c>
      <c r="C625">
        <v>0</v>
      </c>
      <c r="D625">
        <v>562.46</v>
      </c>
      <c r="E625" s="1">
        <v>45823</v>
      </c>
      <c r="F625">
        <v>112</v>
      </c>
      <c r="G625" t="s">
        <v>28</v>
      </c>
      <c r="H625" t="str">
        <f>TEXT(sales[[#This Row],[sale_date]],"dddd")</f>
        <v>Sunday</v>
      </c>
      <c r="I625">
        <f>_xlfn.XLOOKUP(A625,salesitems[sale_id],salesitems[revenue],0)</f>
        <v>48.64</v>
      </c>
      <c r="J625">
        <v>1</v>
      </c>
      <c r="K625" s="10" t="str">
        <f>_xlfn.XLOOKUP(F625,customers[customer_id],customers[age_range])</f>
        <v>26-35</v>
      </c>
      <c r="L625" s="1">
        <f>_xlfn.XLOOKUP(F625,customers[customer_id],customers[signup_date])</f>
        <v>45760</v>
      </c>
      <c r="M625">
        <f>sales[[#This Row],[sale_date]]-sales[[#This Row],[sighnup_date]]</f>
        <v>63</v>
      </c>
      <c r="N625" t="str">
        <f t="shared" si="9"/>
        <v>new customer</v>
      </c>
      <c r="O625" t="str">
        <f>_xlfn.XLOOKUP(A625,salesitems[sale_id],salesitems[category])</f>
        <v>T-Shirts</v>
      </c>
    </row>
    <row r="626" spans="1:15" x14ac:dyDescent="0.45">
      <c r="A626">
        <v>614</v>
      </c>
      <c r="B626" t="s">
        <v>15</v>
      </c>
      <c r="C626">
        <v>0</v>
      </c>
      <c r="D626">
        <v>498.27</v>
      </c>
      <c r="E626" s="1">
        <v>45806</v>
      </c>
      <c r="F626">
        <v>761</v>
      </c>
      <c r="G626" t="s">
        <v>31</v>
      </c>
      <c r="H626" t="str">
        <f>TEXT(sales[[#This Row],[sale_date]],"dddd")</f>
        <v>Thursday</v>
      </c>
      <c r="I626">
        <f>_xlfn.XLOOKUP(A626,salesitems[sale_id],salesitems[revenue],0)</f>
        <v>45.27</v>
      </c>
      <c r="J626">
        <v>1</v>
      </c>
      <c r="K626" s="10" t="str">
        <f>_xlfn.XLOOKUP(F626,customers[customer_id],customers[age_range])</f>
        <v>36-45</v>
      </c>
      <c r="L626" s="1">
        <f>_xlfn.XLOOKUP(F626,customers[customer_id],customers[signup_date])</f>
        <v>45762</v>
      </c>
      <c r="M626">
        <f>sales[[#This Row],[sale_date]]-sales[[#This Row],[sighnup_date]]</f>
        <v>44</v>
      </c>
      <c r="N626" t="str">
        <f t="shared" si="9"/>
        <v>new customer</v>
      </c>
      <c r="O626" t="str">
        <f>_xlfn.XLOOKUP(A626,salesitems[sale_id],salesitems[category])</f>
        <v>Dresses</v>
      </c>
    </row>
    <row r="627" spans="1:15" x14ac:dyDescent="0.45">
      <c r="A627">
        <v>615</v>
      </c>
      <c r="B627" t="s">
        <v>15</v>
      </c>
      <c r="C627">
        <v>1</v>
      </c>
      <c r="D627">
        <v>207.29</v>
      </c>
      <c r="E627" s="1">
        <v>45793</v>
      </c>
      <c r="F627">
        <v>23</v>
      </c>
      <c r="G627" t="s">
        <v>28</v>
      </c>
      <c r="H627" t="str">
        <f>TEXT(sales[[#This Row],[sale_date]],"dddd")</f>
        <v>Friday</v>
      </c>
      <c r="I627">
        <f>_xlfn.XLOOKUP(A627,salesitems[sale_id],salesitems[revenue],0)</f>
        <v>26.46</v>
      </c>
      <c r="J627">
        <v>1</v>
      </c>
      <c r="K627" s="10" t="str">
        <f>_xlfn.XLOOKUP(F627,customers[customer_id],customers[age_range])</f>
        <v>56-65</v>
      </c>
      <c r="L627" s="1">
        <f>_xlfn.XLOOKUP(F627,customers[customer_id],customers[signup_date])</f>
        <v>45697</v>
      </c>
      <c r="M627">
        <f>sales[[#This Row],[sale_date]]-sales[[#This Row],[sighnup_date]]</f>
        <v>96</v>
      </c>
      <c r="N627" t="str">
        <f t="shared" si="9"/>
        <v>existing customer</v>
      </c>
      <c r="O627" t="str">
        <f>_xlfn.XLOOKUP(A627,salesitems[sale_id],salesitems[category])</f>
        <v>T-Shirts</v>
      </c>
    </row>
    <row r="628" spans="1:15" x14ac:dyDescent="0.45">
      <c r="A628">
        <v>616</v>
      </c>
      <c r="B628" t="s">
        <v>21</v>
      </c>
      <c r="C628">
        <v>0</v>
      </c>
      <c r="D628">
        <v>243.91</v>
      </c>
      <c r="E628" s="1">
        <v>45770</v>
      </c>
      <c r="F628">
        <v>838</v>
      </c>
      <c r="G628" t="s">
        <v>34</v>
      </c>
      <c r="H628" t="str">
        <f>TEXT(sales[[#This Row],[sale_date]],"dddd")</f>
        <v>Wednesday</v>
      </c>
      <c r="I628">
        <f>_xlfn.XLOOKUP(A628,salesitems[sale_id],salesitems[revenue],0)</f>
        <v>42.47</v>
      </c>
      <c r="J628">
        <v>1</v>
      </c>
      <c r="K628" s="10" t="str">
        <f>_xlfn.XLOOKUP(F628,customers[customer_id],customers[age_range])</f>
        <v>46-55</v>
      </c>
      <c r="L628" s="1">
        <f>_xlfn.XLOOKUP(F628,customers[customer_id],customers[signup_date])</f>
        <v>45743</v>
      </c>
      <c r="M628">
        <f>sales[[#This Row],[sale_date]]-sales[[#This Row],[sighnup_date]]</f>
        <v>27</v>
      </c>
      <c r="N628" t="str">
        <f t="shared" si="9"/>
        <v>new customer</v>
      </c>
      <c r="O628" t="str">
        <f>_xlfn.XLOOKUP(A628,salesitems[sale_id],salesitems[category])</f>
        <v>Shoes</v>
      </c>
    </row>
    <row r="629" spans="1:15" x14ac:dyDescent="0.45">
      <c r="A629">
        <v>617</v>
      </c>
      <c r="B629" t="s">
        <v>21</v>
      </c>
      <c r="C629">
        <v>0</v>
      </c>
      <c r="D629">
        <v>566.22</v>
      </c>
      <c r="E629" s="1">
        <v>45795</v>
      </c>
      <c r="F629">
        <v>62</v>
      </c>
      <c r="G629" t="s">
        <v>34</v>
      </c>
      <c r="H629" t="str">
        <f>TEXT(sales[[#This Row],[sale_date]],"dddd")</f>
        <v>Sunday</v>
      </c>
      <c r="I629">
        <f>_xlfn.XLOOKUP(A629,salesitems[sale_id],salesitems[revenue],0)</f>
        <v>75.17</v>
      </c>
      <c r="J629">
        <v>1</v>
      </c>
      <c r="K629" s="10" t="str">
        <f>_xlfn.XLOOKUP(F629,customers[customer_id],customers[age_range])</f>
        <v>56-65</v>
      </c>
      <c r="L629" s="1">
        <f>_xlfn.XLOOKUP(F629,customers[customer_id],customers[signup_date])</f>
        <v>45746</v>
      </c>
      <c r="M629">
        <f>sales[[#This Row],[sale_date]]-sales[[#This Row],[sighnup_date]]</f>
        <v>49</v>
      </c>
      <c r="N629" t="str">
        <f t="shared" si="9"/>
        <v>new customer</v>
      </c>
      <c r="O629" t="str">
        <f>_xlfn.XLOOKUP(A629,salesitems[sale_id],salesitems[category])</f>
        <v>Dresses</v>
      </c>
    </row>
    <row r="630" spans="1:15" x14ac:dyDescent="0.45">
      <c r="A630">
        <v>618</v>
      </c>
      <c r="B630" t="s">
        <v>15</v>
      </c>
      <c r="C630">
        <v>0</v>
      </c>
      <c r="D630">
        <v>227.85</v>
      </c>
      <c r="E630" s="1">
        <v>45766</v>
      </c>
      <c r="F630">
        <v>653</v>
      </c>
      <c r="G630" t="s">
        <v>38</v>
      </c>
      <c r="H630" t="str">
        <f>TEXT(sales[[#This Row],[sale_date]],"dddd")</f>
        <v>Saturday</v>
      </c>
      <c r="I630">
        <f>_xlfn.XLOOKUP(A630,salesitems[sale_id],salesitems[revenue],0)</f>
        <v>40.92</v>
      </c>
      <c r="J630">
        <v>1</v>
      </c>
      <c r="K630" s="10" t="str">
        <f>_xlfn.XLOOKUP(F630,customers[customer_id],customers[age_range])</f>
        <v>36-45</v>
      </c>
      <c r="L630" s="1">
        <f>_xlfn.XLOOKUP(F630,customers[customer_id],customers[signup_date])</f>
        <v>45789</v>
      </c>
      <c r="M630">
        <f>sales[[#This Row],[sale_date]]-sales[[#This Row],[sighnup_date]]</f>
        <v>-23</v>
      </c>
      <c r="N630" t="str">
        <f t="shared" si="9"/>
        <v>data issue</v>
      </c>
      <c r="O630" t="str">
        <f>_xlfn.XLOOKUP(A630,salesitems[sale_id],salesitems[category])</f>
        <v>T-Shirts</v>
      </c>
    </row>
    <row r="631" spans="1:15" x14ac:dyDescent="0.45">
      <c r="A631">
        <v>619</v>
      </c>
      <c r="B631" t="s">
        <v>15</v>
      </c>
      <c r="C631">
        <v>1</v>
      </c>
      <c r="D631">
        <v>232.25</v>
      </c>
      <c r="E631" s="1">
        <v>45792</v>
      </c>
      <c r="F631">
        <v>895</v>
      </c>
      <c r="G631" t="s">
        <v>28</v>
      </c>
      <c r="H631" t="str">
        <f>TEXT(sales[[#This Row],[sale_date]],"dddd")</f>
        <v>Thursday</v>
      </c>
      <c r="I631">
        <f>_xlfn.XLOOKUP(A631,salesitems[sale_id],salesitems[revenue],0)</f>
        <v>32.82</v>
      </c>
      <c r="J631">
        <v>1</v>
      </c>
      <c r="K631" s="10" t="str">
        <f>_xlfn.XLOOKUP(F631,customers[customer_id],customers[age_range])</f>
        <v>26-35</v>
      </c>
      <c r="L631" s="1">
        <f>_xlfn.XLOOKUP(F631,customers[customer_id],customers[signup_date])</f>
        <v>45775</v>
      </c>
      <c r="M631">
        <f>sales[[#This Row],[sale_date]]-sales[[#This Row],[sighnup_date]]</f>
        <v>17</v>
      </c>
      <c r="N631" t="str">
        <f t="shared" si="9"/>
        <v>new customer</v>
      </c>
      <c r="O631" t="str">
        <f>_xlfn.XLOOKUP(A631,salesitems[sale_id],salesitems[category])</f>
        <v>Pants</v>
      </c>
    </row>
    <row r="632" spans="1:15" x14ac:dyDescent="0.45">
      <c r="A632">
        <v>620</v>
      </c>
      <c r="B632" t="s">
        <v>21</v>
      </c>
      <c r="C632">
        <v>0</v>
      </c>
      <c r="D632">
        <v>426.3</v>
      </c>
      <c r="E632" s="1">
        <v>45797</v>
      </c>
      <c r="F632">
        <v>65</v>
      </c>
      <c r="G632" t="s">
        <v>34</v>
      </c>
      <c r="H632" t="str">
        <f>TEXT(sales[[#This Row],[sale_date]],"dddd")</f>
        <v>Tuesday</v>
      </c>
      <c r="I632">
        <f>_xlfn.XLOOKUP(A632,salesitems[sale_id],salesitems[revenue],0)</f>
        <v>56.7</v>
      </c>
      <c r="J632">
        <v>1</v>
      </c>
      <c r="K632" s="10" t="str">
        <f>_xlfn.XLOOKUP(F632,customers[customer_id],customers[age_range])</f>
        <v>16-25</v>
      </c>
      <c r="L632" s="1">
        <f>_xlfn.XLOOKUP(F632,customers[customer_id],customers[signup_date])</f>
        <v>45786</v>
      </c>
      <c r="M632">
        <f>sales[[#This Row],[sale_date]]-sales[[#This Row],[sighnup_date]]</f>
        <v>11</v>
      </c>
      <c r="N632" t="str">
        <f t="shared" si="9"/>
        <v>new customer</v>
      </c>
      <c r="O632" t="str">
        <f>_xlfn.XLOOKUP(A632,salesitems[sale_id],salesitems[category])</f>
        <v>Dresses</v>
      </c>
    </row>
    <row r="633" spans="1:15" x14ac:dyDescent="0.45">
      <c r="A633">
        <v>621</v>
      </c>
      <c r="B633" t="s">
        <v>15</v>
      </c>
      <c r="C633">
        <v>1</v>
      </c>
      <c r="D633">
        <v>263.25</v>
      </c>
      <c r="E633" s="1">
        <v>45792</v>
      </c>
      <c r="F633">
        <v>86</v>
      </c>
      <c r="G633" t="s">
        <v>31</v>
      </c>
      <c r="H633" t="str">
        <f>TEXT(sales[[#This Row],[sale_date]],"dddd")</f>
        <v>Thursday</v>
      </c>
      <c r="I633">
        <f>_xlfn.XLOOKUP(A633,salesitems[sale_id],salesitems[revenue],0)</f>
        <v>82.14</v>
      </c>
      <c r="J633">
        <v>1</v>
      </c>
      <c r="K633" s="10" t="str">
        <f>_xlfn.XLOOKUP(F633,customers[customer_id],customers[age_range])</f>
        <v>46-55</v>
      </c>
      <c r="L633" s="1">
        <f>_xlfn.XLOOKUP(F633,customers[customer_id],customers[signup_date])</f>
        <v>45756</v>
      </c>
      <c r="M633">
        <f>sales[[#This Row],[sale_date]]-sales[[#This Row],[sighnup_date]]</f>
        <v>36</v>
      </c>
      <c r="N633" t="str">
        <f t="shared" si="9"/>
        <v>new customer</v>
      </c>
      <c r="O633" t="str">
        <f>_xlfn.XLOOKUP(A633,salesitems[sale_id],salesitems[category])</f>
        <v>Sleepwear</v>
      </c>
    </row>
    <row r="634" spans="1:15" x14ac:dyDescent="0.45">
      <c r="A634">
        <v>622</v>
      </c>
      <c r="B634" t="s">
        <v>21</v>
      </c>
      <c r="C634">
        <v>0</v>
      </c>
      <c r="D634">
        <v>194.57</v>
      </c>
      <c r="E634" s="1">
        <v>45773</v>
      </c>
      <c r="F634">
        <v>217</v>
      </c>
      <c r="G634" t="s">
        <v>33</v>
      </c>
      <c r="H634" t="str">
        <f>TEXT(sales[[#This Row],[sale_date]],"dddd")</f>
        <v>Saturday</v>
      </c>
      <c r="I634">
        <f>_xlfn.XLOOKUP(A634,salesitems[sale_id],salesitems[revenue],0)</f>
        <v>51</v>
      </c>
      <c r="J634">
        <v>1</v>
      </c>
      <c r="K634" s="10" t="str">
        <f>_xlfn.XLOOKUP(F634,customers[customer_id],customers[age_range])</f>
        <v>56-65</v>
      </c>
      <c r="L634" s="1">
        <f>_xlfn.XLOOKUP(F634,customers[customer_id],customers[signup_date])</f>
        <v>45757</v>
      </c>
      <c r="M634">
        <f>sales[[#This Row],[sale_date]]-sales[[#This Row],[sighnup_date]]</f>
        <v>16</v>
      </c>
      <c r="N634" t="str">
        <f t="shared" si="9"/>
        <v>new customer</v>
      </c>
      <c r="O634" t="str">
        <f>_xlfn.XLOOKUP(A634,salesitems[sale_id],salesitems[category])</f>
        <v>T-Shirts</v>
      </c>
    </row>
    <row r="635" spans="1:15" x14ac:dyDescent="0.45">
      <c r="A635">
        <v>623</v>
      </c>
      <c r="B635" t="s">
        <v>21</v>
      </c>
      <c r="C635">
        <v>0</v>
      </c>
      <c r="D635">
        <v>284.26</v>
      </c>
      <c r="E635" s="1">
        <v>45761</v>
      </c>
      <c r="F635">
        <v>943</v>
      </c>
      <c r="G635" t="s">
        <v>33</v>
      </c>
      <c r="H635" t="str">
        <f>TEXT(sales[[#This Row],[sale_date]],"dddd")</f>
        <v>Monday</v>
      </c>
      <c r="I635">
        <f>_xlfn.XLOOKUP(A635,salesitems[sale_id],salesitems[revenue],0)</f>
        <v>50.52</v>
      </c>
      <c r="J635">
        <v>1</v>
      </c>
      <c r="K635" s="10" t="str">
        <f>_xlfn.XLOOKUP(F635,customers[customer_id],customers[age_range])</f>
        <v>56-65</v>
      </c>
      <c r="L635" s="1">
        <f>_xlfn.XLOOKUP(F635,customers[customer_id],customers[signup_date])</f>
        <v>45718</v>
      </c>
      <c r="M635">
        <f>sales[[#This Row],[sale_date]]-sales[[#This Row],[sighnup_date]]</f>
        <v>43</v>
      </c>
      <c r="N635" t="str">
        <f t="shared" si="9"/>
        <v>new customer</v>
      </c>
      <c r="O635" t="str">
        <f>_xlfn.XLOOKUP(A635,salesitems[sale_id],salesitems[category])</f>
        <v>T-Shirts</v>
      </c>
    </row>
    <row r="636" spans="1:15" x14ac:dyDescent="0.45">
      <c r="A636">
        <v>624</v>
      </c>
      <c r="B636" t="s">
        <v>15</v>
      </c>
      <c r="C636">
        <v>1</v>
      </c>
      <c r="D636">
        <v>383.49</v>
      </c>
      <c r="E636" s="1">
        <v>45790</v>
      </c>
      <c r="F636">
        <v>223</v>
      </c>
      <c r="G636" t="s">
        <v>36</v>
      </c>
      <c r="H636" t="str">
        <f>TEXT(sales[[#This Row],[sale_date]],"dddd")</f>
        <v>Tuesday</v>
      </c>
      <c r="I636">
        <f>_xlfn.XLOOKUP(A636,salesitems[sale_id],salesitems[revenue],0)</f>
        <v>97.350000000000009</v>
      </c>
      <c r="J636">
        <v>1</v>
      </c>
      <c r="K636" s="10" t="str">
        <f>_xlfn.XLOOKUP(F636,customers[customer_id],customers[age_range])</f>
        <v>16-25</v>
      </c>
      <c r="L636" s="1">
        <f>_xlfn.XLOOKUP(F636,customers[customer_id],customers[signup_date])</f>
        <v>45743</v>
      </c>
      <c r="M636">
        <f>sales[[#This Row],[sale_date]]-sales[[#This Row],[sighnup_date]]</f>
        <v>47</v>
      </c>
      <c r="N636" t="str">
        <f t="shared" si="9"/>
        <v>new customer</v>
      </c>
      <c r="O636" t="str">
        <f>_xlfn.XLOOKUP(A636,salesitems[sale_id],salesitems[category])</f>
        <v>T-Shirts</v>
      </c>
    </row>
    <row r="637" spans="1:15" x14ac:dyDescent="0.45">
      <c r="A637">
        <v>626</v>
      </c>
      <c r="B637" t="s">
        <v>15</v>
      </c>
      <c r="C637">
        <v>0</v>
      </c>
      <c r="D637">
        <v>147.29</v>
      </c>
      <c r="E637" s="1">
        <v>45771</v>
      </c>
      <c r="F637">
        <v>376</v>
      </c>
      <c r="G637" t="s">
        <v>36</v>
      </c>
      <c r="H637" t="str">
        <f>TEXT(sales[[#This Row],[sale_date]],"dddd")</f>
        <v>Thursday</v>
      </c>
      <c r="I637">
        <f>_xlfn.XLOOKUP(A637,salesitems[sale_id],salesitems[revenue],0)</f>
        <v>61.95</v>
      </c>
      <c r="J637">
        <v>1</v>
      </c>
      <c r="K637" s="10" t="str">
        <f>_xlfn.XLOOKUP(F637,customers[customer_id],customers[age_range])</f>
        <v>36-45</v>
      </c>
      <c r="L637" s="1">
        <f>_xlfn.XLOOKUP(F637,customers[customer_id],customers[signup_date])</f>
        <v>45763</v>
      </c>
      <c r="M637">
        <f>sales[[#This Row],[sale_date]]-sales[[#This Row],[sighnup_date]]</f>
        <v>8</v>
      </c>
      <c r="N637" t="str">
        <f t="shared" si="9"/>
        <v>new customer</v>
      </c>
      <c r="O637" t="str">
        <f>_xlfn.XLOOKUP(A637,salesitems[sale_id],salesitems[category])</f>
        <v>T-Shirts</v>
      </c>
    </row>
    <row r="638" spans="1:15" x14ac:dyDescent="0.45">
      <c r="A638">
        <v>627</v>
      </c>
      <c r="B638" t="s">
        <v>15</v>
      </c>
      <c r="C638">
        <v>0</v>
      </c>
      <c r="D638">
        <v>467.58</v>
      </c>
      <c r="E638" s="1">
        <v>45800</v>
      </c>
      <c r="F638">
        <v>973</v>
      </c>
      <c r="G638" t="s">
        <v>33</v>
      </c>
      <c r="H638" t="str">
        <f>TEXT(sales[[#This Row],[sale_date]],"dddd")</f>
        <v>Friday</v>
      </c>
      <c r="I638">
        <f>_xlfn.XLOOKUP(A638,salesitems[sale_id],salesitems[revenue],0)</f>
        <v>128.16</v>
      </c>
      <c r="J638">
        <v>1</v>
      </c>
      <c r="K638" s="10" t="str">
        <f>_xlfn.XLOOKUP(F638,customers[customer_id],customers[age_range])</f>
        <v>56-65</v>
      </c>
      <c r="L638" s="1">
        <f>_xlfn.XLOOKUP(F638,customers[customer_id],customers[signup_date])</f>
        <v>45738</v>
      </c>
      <c r="M638">
        <f>sales[[#This Row],[sale_date]]-sales[[#This Row],[sighnup_date]]</f>
        <v>62</v>
      </c>
      <c r="N638" t="str">
        <f t="shared" si="9"/>
        <v>new customer</v>
      </c>
      <c r="O638" t="str">
        <f>_xlfn.XLOOKUP(A638,salesitems[sale_id],salesitems[category])</f>
        <v>Dresses</v>
      </c>
    </row>
    <row r="639" spans="1:15" x14ac:dyDescent="0.45">
      <c r="A639">
        <v>629</v>
      </c>
      <c r="B639" t="s">
        <v>15</v>
      </c>
      <c r="C639">
        <v>0</v>
      </c>
      <c r="D639">
        <v>400.35</v>
      </c>
      <c r="E639" s="1">
        <v>45803</v>
      </c>
      <c r="F639">
        <v>186</v>
      </c>
      <c r="G639" t="s">
        <v>31</v>
      </c>
      <c r="H639" t="str">
        <f>TEXT(sales[[#This Row],[sale_date]],"dddd")</f>
        <v>Monday</v>
      </c>
      <c r="I639">
        <f>_xlfn.XLOOKUP(A639,salesitems[sale_id],salesitems[revenue],0)</f>
        <v>57.35</v>
      </c>
      <c r="J639">
        <v>1</v>
      </c>
      <c r="K639" s="10" t="str">
        <f>_xlfn.XLOOKUP(F639,customers[customer_id],customers[age_range])</f>
        <v>46-55</v>
      </c>
      <c r="L639" s="1">
        <f>_xlfn.XLOOKUP(F639,customers[customer_id],customers[signup_date])</f>
        <v>45743</v>
      </c>
      <c r="M639">
        <f>sales[[#This Row],[sale_date]]-sales[[#This Row],[sighnup_date]]</f>
        <v>60</v>
      </c>
      <c r="N639" t="str">
        <f t="shared" si="9"/>
        <v>new customer</v>
      </c>
      <c r="O639" t="str">
        <f>_xlfn.XLOOKUP(A639,salesitems[sale_id],salesitems[category])</f>
        <v>T-Shirts</v>
      </c>
    </row>
    <row r="640" spans="1:15" x14ac:dyDescent="0.45">
      <c r="A640">
        <v>63</v>
      </c>
      <c r="B640" t="s">
        <v>15</v>
      </c>
      <c r="C640">
        <v>0</v>
      </c>
      <c r="D640">
        <v>431.64</v>
      </c>
      <c r="E640" s="1">
        <v>45781</v>
      </c>
      <c r="F640">
        <v>35</v>
      </c>
      <c r="G640" t="s">
        <v>28</v>
      </c>
      <c r="H640" t="str">
        <f>TEXT(sales[[#This Row],[sale_date]],"dddd")</f>
        <v>Sunday</v>
      </c>
      <c r="I640">
        <f>_xlfn.XLOOKUP(A640,salesitems[sale_id],salesitems[revenue],0)</f>
        <v>59.62</v>
      </c>
      <c r="J640">
        <v>1</v>
      </c>
      <c r="K640" s="10" t="str">
        <f>_xlfn.XLOOKUP(F640,customers[customer_id],customers[age_range])</f>
        <v>26-35</v>
      </c>
      <c r="L640" s="1">
        <f>_xlfn.XLOOKUP(F640,customers[customer_id],customers[signup_date])</f>
        <v>45775</v>
      </c>
      <c r="M640">
        <f>sales[[#This Row],[sale_date]]-sales[[#This Row],[sighnup_date]]</f>
        <v>6</v>
      </c>
      <c r="N640" t="str">
        <f t="shared" si="9"/>
        <v>new customer</v>
      </c>
      <c r="O640" t="str">
        <f>_xlfn.XLOOKUP(A640,salesitems[sale_id],salesitems[category])</f>
        <v>Sleepwear</v>
      </c>
    </row>
    <row r="641" spans="1:15" x14ac:dyDescent="0.45">
      <c r="A641">
        <v>630</v>
      </c>
      <c r="B641" t="s">
        <v>21</v>
      </c>
      <c r="C641">
        <v>0</v>
      </c>
      <c r="D641">
        <v>466.2</v>
      </c>
      <c r="E641" s="1">
        <v>45806</v>
      </c>
      <c r="F641">
        <v>120</v>
      </c>
      <c r="G641" t="s">
        <v>36</v>
      </c>
      <c r="H641" t="str">
        <f>TEXT(sales[[#This Row],[sale_date]],"dddd")</f>
        <v>Thursday</v>
      </c>
      <c r="I641">
        <f>_xlfn.XLOOKUP(A641,salesitems[sale_id],salesitems[revenue],0)</f>
        <v>192.12</v>
      </c>
      <c r="J641">
        <v>1</v>
      </c>
      <c r="K641" s="10" t="str">
        <f>_xlfn.XLOOKUP(F641,customers[customer_id],customers[age_range])</f>
        <v>46-55</v>
      </c>
      <c r="L641" s="1">
        <f>_xlfn.XLOOKUP(F641,customers[customer_id],customers[signup_date])</f>
        <v>45773</v>
      </c>
      <c r="M641">
        <f>sales[[#This Row],[sale_date]]-sales[[#This Row],[sighnup_date]]</f>
        <v>33</v>
      </c>
      <c r="N641" t="str">
        <f t="shared" si="9"/>
        <v>new customer</v>
      </c>
      <c r="O641" t="str">
        <f>_xlfn.XLOOKUP(A641,salesitems[sale_id],salesitems[category])</f>
        <v>Pants</v>
      </c>
    </row>
    <row r="642" spans="1:15" x14ac:dyDescent="0.45">
      <c r="A642">
        <v>632</v>
      </c>
      <c r="B642" t="s">
        <v>15</v>
      </c>
      <c r="C642">
        <v>1</v>
      </c>
      <c r="D642">
        <v>240.4</v>
      </c>
      <c r="E642" s="1">
        <v>45793</v>
      </c>
      <c r="F642">
        <v>144</v>
      </c>
      <c r="G642" t="s">
        <v>36</v>
      </c>
      <c r="H642" t="str">
        <f>TEXT(sales[[#This Row],[sale_date]],"dddd")</f>
        <v>Friday</v>
      </c>
      <c r="I642">
        <f>_xlfn.XLOOKUP(A642,salesitems[sale_id],salesitems[revenue],0)</f>
        <v>72.94</v>
      </c>
      <c r="J642">
        <v>1</v>
      </c>
      <c r="K642" s="10" t="str">
        <f>_xlfn.XLOOKUP(F642,customers[customer_id],customers[age_range])</f>
        <v>46-55</v>
      </c>
      <c r="L642" s="1">
        <f>_xlfn.XLOOKUP(F642,customers[customer_id],customers[signup_date])</f>
        <v>45725</v>
      </c>
      <c r="M642">
        <f>sales[[#This Row],[sale_date]]-sales[[#This Row],[sighnup_date]]</f>
        <v>68</v>
      </c>
      <c r="N642" t="str">
        <f t="shared" ref="N642:N705" si="10">IF(M642&lt;0,"data issue",IF(M642&lt;=90,"new customer","existing customer"))</f>
        <v>new customer</v>
      </c>
      <c r="O642" t="str">
        <f>_xlfn.XLOOKUP(A642,salesitems[sale_id],salesitems[category])</f>
        <v>Dresses</v>
      </c>
    </row>
    <row r="643" spans="1:15" x14ac:dyDescent="0.45">
      <c r="A643">
        <v>635</v>
      </c>
      <c r="B643" t="s">
        <v>15</v>
      </c>
      <c r="C643">
        <v>0</v>
      </c>
      <c r="D643">
        <v>347.37</v>
      </c>
      <c r="E643" s="1">
        <v>45763</v>
      </c>
      <c r="F643">
        <v>104</v>
      </c>
      <c r="G643" t="s">
        <v>31</v>
      </c>
      <c r="H643" t="str">
        <f>TEXT(sales[[#This Row],[sale_date]],"dddd")</f>
        <v>Wednesday</v>
      </c>
      <c r="I643">
        <f>_xlfn.XLOOKUP(A643,salesitems[sale_id],salesitems[revenue],0)</f>
        <v>56.91</v>
      </c>
      <c r="J643">
        <v>1</v>
      </c>
      <c r="K643" s="10" t="str">
        <f>_xlfn.XLOOKUP(F643,customers[customer_id],customers[age_range])</f>
        <v>56-65</v>
      </c>
      <c r="L643" s="1">
        <f>_xlfn.XLOOKUP(F643,customers[customer_id],customers[signup_date])</f>
        <v>45736</v>
      </c>
      <c r="M643">
        <f>sales[[#This Row],[sale_date]]-sales[[#This Row],[sighnup_date]]</f>
        <v>27</v>
      </c>
      <c r="N643" t="str">
        <f t="shared" si="10"/>
        <v>new customer</v>
      </c>
      <c r="O643" t="str">
        <f>_xlfn.XLOOKUP(A643,salesitems[sale_id],salesitems[category])</f>
        <v>Sleepwear</v>
      </c>
    </row>
    <row r="644" spans="1:15" x14ac:dyDescent="0.45">
      <c r="A644">
        <v>637</v>
      </c>
      <c r="B644" t="s">
        <v>15</v>
      </c>
      <c r="C644">
        <v>0</v>
      </c>
      <c r="D644">
        <v>298.98</v>
      </c>
      <c r="E644" s="1">
        <v>45765</v>
      </c>
      <c r="F644">
        <v>37</v>
      </c>
      <c r="G644" t="s">
        <v>31</v>
      </c>
      <c r="H644" t="str">
        <f>TEXT(sales[[#This Row],[sale_date]],"dddd")</f>
        <v>Friday</v>
      </c>
      <c r="I644">
        <f>_xlfn.XLOOKUP(A644,salesitems[sale_id],salesitems[revenue],0)</f>
        <v>123.4</v>
      </c>
      <c r="J644">
        <v>1</v>
      </c>
      <c r="K644" s="10" t="str">
        <f>_xlfn.XLOOKUP(F644,customers[customer_id],customers[age_range])</f>
        <v>46-55</v>
      </c>
      <c r="L644" s="1">
        <f>_xlfn.XLOOKUP(F644,customers[customer_id],customers[signup_date])</f>
        <v>45718</v>
      </c>
      <c r="M644">
        <f>sales[[#This Row],[sale_date]]-sales[[#This Row],[sighnup_date]]</f>
        <v>47</v>
      </c>
      <c r="N644" t="str">
        <f t="shared" si="10"/>
        <v>new customer</v>
      </c>
      <c r="O644" t="str">
        <f>_xlfn.XLOOKUP(A644,salesitems[sale_id],salesitems[category])</f>
        <v>Sleepwear</v>
      </c>
    </row>
    <row r="645" spans="1:15" x14ac:dyDescent="0.45">
      <c r="A645">
        <v>639</v>
      </c>
      <c r="B645" t="s">
        <v>21</v>
      </c>
      <c r="C645">
        <v>0</v>
      </c>
      <c r="D645">
        <v>499.62</v>
      </c>
      <c r="E645" s="1">
        <v>45769</v>
      </c>
      <c r="F645">
        <v>346</v>
      </c>
      <c r="G645" t="s">
        <v>33</v>
      </c>
      <c r="H645" t="str">
        <f>TEXT(sales[[#This Row],[sale_date]],"dddd")</f>
        <v>Tuesday</v>
      </c>
      <c r="I645">
        <f>_xlfn.XLOOKUP(A645,salesitems[sale_id],salesitems[revenue],0)</f>
        <v>43.04</v>
      </c>
      <c r="J645">
        <v>1</v>
      </c>
      <c r="K645" s="10" t="str">
        <f>_xlfn.XLOOKUP(F645,customers[customer_id],customers[age_range])</f>
        <v>56-65</v>
      </c>
      <c r="L645" s="1">
        <f>_xlfn.XLOOKUP(F645,customers[customer_id],customers[signup_date])</f>
        <v>45683</v>
      </c>
      <c r="M645">
        <f>sales[[#This Row],[sale_date]]-sales[[#This Row],[sighnup_date]]</f>
        <v>86</v>
      </c>
      <c r="N645" t="str">
        <f t="shared" si="10"/>
        <v>new customer</v>
      </c>
      <c r="O645" t="str">
        <f>_xlfn.XLOOKUP(A645,salesitems[sale_id],salesitems[category])</f>
        <v>Dresses</v>
      </c>
    </row>
    <row r="646" spans="1:15" x14ac:dyDescent="0.45">
      <c r="A646">
        <v>64</v>
      </c>
      <c r="B646" t="s">
        <v>15</v>
      </c>
      <c r="C646">
        <v>0</v>
      </c>
      <c r="D646">
        <v>426.45</v>
      </c>
      <c r="E646" s="1">
        <v>45798</v>
      </c>
      <c r="F646">
        <v>795</v>
      </c>
      <c r="G646" t="s">
        <v>36</v>
      </c>
      <c r="H646" t="str">
        <f>TEXT(sales[[#This Row],[sale_date]],"dddd")</f>
        <v>Wednesday</v>
      </c>
      <c r="I646">
        <f>_xlfn.XLOOKUP(A646,salesitems[sale_id],salesitems[revenue],0)</f>
        <v>109.8</v>
      </c>
      <c r="J646">
        <v>1</v>
      </c>
      <c r="K646" s="10" t="str">
        <f>_xlfn.XLOOKUP(F646,customers[customer_id],customers[age_range])</f>
        <v>36-45</v>
      </c>
      <c r="L646" s="1">
        <f>_xlfn.XLOOKUP(F646,customers[customer_id],customers[signup_date])</f>
        <v>45790</v>
      </c>
      <c r="M646">
        <f>sales[[#This Row],[sale_date]]-sales[[#This Row],[sighnup_date]]</f>
        <v>8</v>
      </c>
      <c r="N646" t="str">
        <f t="shared" si="10"/>
        <v>new customer</v>
      </c>
      <c r="O646" t="str">
        <f>_xlfn.XLOOKUP(A646,salesitems[sale_id],salesitems[category])</f>
        <v>T-Shirts</v>
      </c>
    </row>
    <row r="647" spans="1:15" x14ac:dyDescent="0.45">
      <c r="A647">
        <v>640</v>
      </c>
      <c r="B647" t="s">
        <v>15</v>
      </c>
      <c r="C647">
        <v>0</v>
      </c>
      <c r="D647">
        <v>521.41</v>
      </c>
      <c r="E647" s="1">
        <v>45765</v>
      </c>
      <c r="F647">
        <v>196</v>
      </c>
      <c r="G647" t="s">
        <v>33</v>
      </c>
      <c r="H647" t="str">
        <f>TEXT(sales[[#This Row],[sale_date]],"dddd")</f>
        <v>Friday</v>
      </c>
      <c r="I647">
        <f>_xlfn.XLOOKUP(A647,salesitems[sale_id],salesitems[revenue],0)</f>
        <v>208.44</v>
      </c>
      <c r="J647">
        <v>1</v>
      </c>
      <c r="K647" s="10" t="str">
        <f>_xlfn.XLOOKUP(F647,customers[customer_id],customers[age_range])</f>
        <v>16-25</v>
      </c>
      <c r="L647" s="1">
        <f>_xlfn.XLOOKUP(F647,customers[customer_id],customers[signup_date])</f>
        <v>45793</v>
      </c>
      <c r="M647">
        <f>sales[[#This Row],[sale_date]]-sales[[#This Row],[sighnup_date]]</f>
        <v>-28</v>
      </c>
      <c r="N647" t="str">
        <f t="shared" si="10"/>
        <v>data issue</v>
      </c>
      <c r="O647" t="str">
        <f>_xlfn.XLOOKUP(A647,salesitems[sale_id],salesitems[category])</f>
        <v>T-Shirts</v>
      </c>
    </row>
    <row r="648" spans="1:15" x14ac:dyDescent="0.45">
      <c r="A648">
        <v>642</v>
      </c>
      <c r="B648" t="s">
        <v>21</v>
      </c>
      <c r="C648">
        <v>0</v>
      </c>
      <c r="D648">
        <v>504.5</v>
      </c>
      <c r="E648" s="1">
        <v>45796</v>
      </c>
      <c r="F648">
        <v>796</v>
      </c>
      <c r="G648" t="s">
        <v>31</v>
      </c>
      <c r="H648" t="str">
        <f>TEXT(sales[[#This Row],[sale_date]],"dddd")</f>
        <v>Monday</v>
      </c>
      <c r="I648">
        <f>_xlfn.XLOOKUP(A648,salesitems[sale_id],salesitems[revenue],0)</f>
        <v>134.69999999999999</v>
      </c>
      <c r="J648">
        <v>1</v>
      </c>
      <c r="K648" s="10" t="str">
        <f>_xlfn.XLOOKUP(F648,customers[customer_id],customers[age_range])</f>
        <v>16-25</v>
      </c>
      <c r="L648" s="1">
        <f>_xlfn.XLOOKUP(F648,customers[customer_id],customers[signup_date])</f>
        <v>45719</v>
      </c>
      <c r="M648">
        <f>sales[[#This Row],[sale_date]]-sales[[#This Row],[sighnup_date]]</f>
        <v>77</v>
      </c>
      <c r="N648" t="str">
        <f t="shared" si="10"/>
        <v>new customer</v>
      </c>
      <c r="O648" t="str">
        <f>_xlfn.XLOOKUP(A648,salesitems[sale_id],salesitems[category])</f>
        <v>T-Shirts</v>
      </c>
    </row>
    <row r="649" spans="1:15" x14ac:dyDescent="0.45">
      <c r="A649">
        <v>643</v>
      </c>
      <c r="B649" t="s">
        <v>21</v>
      </c>
      <c r="C649">
        <v>0</v>
      </c>
      <c r="D649">
        <v>506.83</v>
      </c>
      <c r="E649" s="1">
        <v>45771</v>
      </c>
      <c r="F649">
        <v>259</v>
      </c>
      <c r="G649" t="s">
        <v>36</v>
      </c>
      <c r="H649" t="str">
        <f>TEXT(sales[[#This Row],[sale_date]],"dddd")</f>
        <v>Thursday</v>
      </c>
      <c r="I649">
        <f>_xlfn.XLOOKUP(A649,salesitems[sale_id],salesitems[revenue],0)</f>
        <v>48.03</v>
      </c>
      <c r="J649">
        <v>1</v>
      </c>
      <c r="K649" s="10" t="str">
        <f>_xlfn.XLOOKUP(F649,customers[customer_id],customers[age_range])</f>
        <v>36-45</v>
      </c>
      <c r="L649" s="1">
        <f>_xlfn.XLOOKUP(F649,customers[customer_id],customers[signup_date])</f>
        <v>45741</v>
      </c>
      <c r="M649">
        <f>sales[[#This Row],[sale_date]]-sales[[#This Row],[sighnup_date]]</f>
        <v>30</v>
      </c>
      <c r="N649" t="str">
        <f t="shared" si="10"/>
        <v>new customer</v>
      </c>
      <c r="O649" t="str">
        <f>_xlfn.XLOOKUP(A649,salesitems[sale_id],salesitems[category])</f>
        <v>Pants</v>
      </c>
    </row>
    <row r="650" spans="1:15" x14ac:dyDescent="0.45">
      <c r="A650">
        <v>644</v>
      </c>
      <c r="B650" t="s">
        <v>21</v>
      </c>
      <c r="C650">
        <v>0</v>
      </c>
      <c r="D650">
        <v>231.66</v>
      </c>
      <c r="E650" s="1">
        <v>45751</v>
      </c>
      <c r="F650">
        <v>374</v>
      </c>
      <c r="G650" t="s">
        <v>33</v>
      </c>
      <c r="H650" t="str">
        <f>TEXT(sales[[#This Row],[sale_date]],"dddd")</f>
        <v>Friday</v>
      </c>
      <c r="I650">
        <f>_xlfn.XLOOKUP(A650,salesitems[sale_id],salesitems[revenue],0)</f>
        <v>75.400000000000006</v>
      </c>
      <c r="J650">
        <v>1</v>
      </c>
      <c r="K650" s="10" t="str">
        <f>_xlfn.XLOOKUP(F650,customers[customer_id],customers[age_range])</f>
        <v>16-25</v>
      </c>
      <c r="L650" s="1">
        <f>_xlfn.XLOOKUP(F650,customers[customer_id],customers[signup_date])</f>
        <v>45719</v>
      </c>
      <c r="M650">
        <f>sales[[#This Row],[sale_date]]-sales[[#This Row],[sighnup_date]]</f>
        <v>32</v>
      </c>
      <c r="N650" t="str">
        <f t="shared" si="10"/>
        <v>new customer</v>
      </c>
      <c r="O650" t="str">
        <f>_xlfn.XLOOKUP(A650,salesitems[sale_id],salesitems[category])</f>
        <v>Dresses</v>
      </c>
    </row>
    <row r="651" spans="1:15" x14ac:dyDescent="0.45">
      <c r="A651">
        <v>645</v>
      </c>
      <c r="B651" t="s">
        <v>21</v>
      </c>
      <c r="C651">
        <v>0</v>
      </c>
      <c r="D651">
        <v>640.26</v>
      </c>
      <c r="E651" s="1">
        <v>45761</v>
      </c>
      <c r="F651">
        <v>776</v>
      </c>
      <c r="G651" t="s">
        <v>38</v>
      </c>
      <c r="H651" t="str">
        <f>TEXT(sales[[#This Row],[sale_date]],"dddd")</f>
        <v>Monday</v>
      </c>
      <c r="I651">
        <f>_xlfn.XLOOKUP(A651,salesitems[sale_id],salesitems[revenue],0)</f>
        <v>189.69</v>
      </c>
      <c r="J651">
        <v>1</v>
      </c>
      <c r="K651" s="10" t="str">
        <f>_xlfn.XLOOKUP(F651,customers[customer_id],customers[age_range])</f>
        <v>56-65</v>
      </c>
      <c r="L651" s="1">
        <f>_xlfn.XLOOKUP(F651,customers[customer_id],customers[signup_date])</f>
        <v>45734</v>
      </c>
      <c r="M651">
        <f>sales[[#This Row],[sale_date]]-sales[[#This Row],[sighnup_date]]</f>
        <v>27</v>
      </c>
      <c r="N651" t="str">
        <f t="shared" si="10"/>
        <v>new customer</v>
      </c>
      <c r="O651" t="str">
        <f>_xlfn.XLOOKUP(A651,salesitems[sale_id],salesitems[category])</f>
        <v>Pants</v>
      </c>
    </row>
    <row r="652" spans="1:15" x14ac:dyDescent="0.45">
      <c r="A652">
        <v>646</v>
      </c>
      <c r="B652" t="s">
        <v>21</v>
      </c>
      <c r="C652">
        <v>0</v>
      </c>
      <c r="D652">
        <v>151.74</v>
      </c>
      <c r="E652" s="1">
        <v>45791</v>
      </c>
      <c r="F652">
        <v>396</v>
      </c>
      <c r="G652" t="s">
        <v>31</v>
      </c>
      <c r="H652" t="str">
        <f>TEXT(sales[[#This Row],[sale_date]],"dddd")</f>
        <v>Wednesday</v>
      </c>
      <c r="I652">
        <f>_xlfn.XLOOKUP(A652,salesitems[sale_id],salesitems[revenue],0)</f>
        <v>56.2</v>
      </c>
      <c r="J652">
        <v>1</v>
      </c>
      <c r="K652" s="10" t="str">
        <f>_xlfn.XLOOKUP(F652,customers[customer_id],customers[age_range])</f>
        <v>36-45</v>
      </c>
      <c r="L652" s="1">
        <f>_xlfn.XLOOKUP(F652,customers[customer_id],customers[signup_date])</f>
        <v>45754</v>
      </c>
      <c r="M652">
        <f>sales[[#This Row],[sale_date]]-sales[[#This Row],[sighnup_date]]</f>
        <v>37</v>
      </c>
      <c r="N652" t="str">
        <f t="shared" si="10"/>
        <v>new customer</v>
      </c>
      <c r="O652" t="str">
        <f>_xlfn.XLOOKUP(A652,salesitems[sale_id],salesitems[category])</f>
        <v>Shoes</v>
      </c>
    </row>
    <row r="653" spans="1:15" x14ac:dyDescent="0.45">
      <c r="A653">
        <v>647</v>
      </c>
      <c r="B653" t="s">
        <v>21</v>
      </c>
      <c r="C653">
        <v>0</v>
      </c>
      <c r="D653">
        <v>379.16</v>
      </c>
      <c r="E653" s="1">
        <v>45777</v>
      </c>
      <c r="F653">
        <v>688</v>
      </c>
      <c r="G653" t="s">
        <v>33</v>
      </c>
      <c r="H653" t="str">
        <f>TEXT(sales[[#This Row],[sale_date]],"dddd")</f>
        <v>Wednesday</v>
      </c>
      <c r="I653">
        <f>_xlfn.XLOOKUP(A653,salesitems[sale_id],salesitems[revenue],0)</f>
        <v>58.26</v>
      </c>
      <c r="J653">
        <v>1</v>
      </c>
      <c r="K653" s="10" t="str">
        <f>_xlfn.XLOOKUP(F653,customers[customer_id],customers[age_range])</f>
        <v>46-55</v>
      </c>
      <c r="L653" s="1">
        <f>_xlfn.XLOOKUP(F653,customers[customer_id],customers[signup_date])</f>
        <v>45749</v>
      </c>
      <c r="M653">
        <f>sales[[#This Row],[sale_date]]-sales[[#This Row],[sighnup_date]]</f>
        <v>28</v>
      </c>
      <c r="N653" t="str">
        <f t="shared" si="10"/>
        <v>new customer</v>
      </c>
      <c r="O653" t="str">
        <f>_xlfn.XLOOKUP(A653,salesitems[sale_id],salesitems[category])</f>
        <v>T-Shirts</v>
      </c>
    </row>
    <row r="654" spans="1:15" x14ac:dyDescent="0.45">
      <c r="A654">
        <v>65</v>
      </c>
      <c r="B654" t="s">
        <v>21</v>
      </c>
      <c r="C654">
        <v>0</v>
      </c>
      <c r="D654">
        <v>326.98</v>
      </c>
      <c r="E654" s="1">
        <v>45813</v>
      </c>
      <c r="F654">
        <v>168</v>
      </c>
      <c r="G654" t="s">
        <v>28</v>
      </c>
      <c r="H654" t="str">
        <f>TEXT(sales[[#This Row],[sale_date]],"dddd")</f>
        <v>Thursday</v>
      </c>
      <c r="I654">
        <f>_xlfn.XLOOKUP(A654,salesitems[sale_id],salesitems[revenue],0)</f>
        <v>58.94</v>
      </c>
      <c r="J654">
        <v>1</v>
      </c>
      <c r="K654" s="10" t="str">
        <f>_xlfn.XLOOKUP(F654,customers[customer_id],customers[age_range])</f>
        <v>36-45</v>
      </c>
      <c r="L654" s="1">
        <f>_xlfn.XLOOKUP(F654,customers[customer_id],customers[signup_date])</f>
        <v>45680</v>
      </c>
      <c r="M654">
        <f>sales[[#This Row],[sale_date]]-sales[[#This Row],[sighnup_date]]</f>
        <v>133</v>
      </c>
      <c r="N654" t="str">
        <f t="shared" si="10"/>
        <v>existing customer</v>
      </c>
      <c r="O654" t="str">
        <f>_xlfn.XLOOKUP(A654,salesitems[sale_id],salesitems[category])</f>
        <v>Sleepwear</v>
      </c>
    </row>
    <row r="655" spans="1:15" x14ac:dyDescent="0.45">
      <c r="A655">
        <v>651</v>
      </c>
      <c r="B655" t="s">
        <v>21</v>
      </c>
      <c r="C655">
        <v>0</v>
      </c>
      <c r="D655">
        <v>501.78</v>
      </c>
      <c r="E655" s="1">
        <v>45763</v>
      </c>
      <c r="F655">
        <v>225</v>
      </c>
      <c r="G655" t="s">
        <v>28</v>
      </c>
      <c r="H655" t="str">
        <f>TEXT(sales[[#This Row],[sale_date]],"dddd")</f>
        <v>Wednesday</v>
      </c>
      <c r="I655">
        <f>_xlfn.XLOOKUP(A655,salesitems[sale_id],salesitems[revenue],0)</f>
        <v>51.38</v>
      </c>
      <c r="J655">
        <v>1</v>
      </c>
      <c r="K655" s="10" t="str">
        <f>_xlfn.XLOOKUP(F655,customers[customer_id],customers[age_range])</f>
        <v>26-35</v>
      </c>
      <c r="L655" s="1">
        <f>_xlfn.XLOOKUP(F655,customers[customer_id],customers[signup_date])</f>
        <v>45728</v>
      </c>
      <c r="M655">
        <f>sales[[#This Row],[sale_date]]-sales[[#This Row],[sighnup_date]]</f>
        <v>35</v>
      </c>
      <c r="N655" t="str">
        <f t="shared" si="10"/>
        <v>new customer</v>
      </c>
      <c r="O655" t="str">
        <f>_xlfn.XLOOKUP(A655,salesitems[sale_id],salesitems[category])</f>
        <v>Dresses</v>
      </c>
    </row>
    <row r="656" spans="1:15" x14ac:dyDescent="0.45">
      <c r="A656">
        <v>653</v>
      </c>
      <c r="B656" t="s">
        <v>21</v>
      </c>
      <c r="C656">
        <v>0</v>
      </c>
      <c r="D656">
        <v>644.05999999999995</v>
      </c>
      <c r="E656" s="1">
        <v>45798</v>
      </c>
      <c r="F656">
        <v>168</v>
      </c>
      <c r="G656" t="s">
        <v>28</v>
      </c>
      <c r="H656" t="str">
        <f>TEXT(sales[[#This Row],[sale_date]],"dddd")</f>
        <v>Wednesday</v>
      </c>
      <c r="I656">
        <f>_xlfn.XLOOKUP(A656,salesitems[sale_id],salesitems[revenue],0)</f>
        <v>54.91</v>
      </c>
      <c r="J656">
        <v>1</v>
      </c>
      <c r="K656" s="10" t="str">
        <f>_xlfn.XLOOKUP(F656,customers[customer_id],customers[age_range])</f>
        <v>36-45</v>
      </c>
      <c r="L656" s="1">
        <f>_xlfn.XLOOKUP(F656,customers[customer_id],customers[signup_date])</f>
        <v>45680</v>
      </c>
      <c r="M656">
        <f>sales[[#This Row],[sale_date]]-sales[[#This Row],[sighnup_date]]</f>
        <v>118</v>
      </c>
      <c r="N656" t="str">
        <f t="shared" si="10"/>
        <v>existing customer</v>
      </c>
      <c r="O656" t="str">
        <f>_xlfn.XLOOKUP(A656,salesitems[sale_id],salesitems[category])</f>
        <v>T-Shirts</v>
      </c>
    </row>
    <row r="657" spans="1:15" x14ac:dyDescent="0.45">
      <c r="A657">
        <v>654</v>
      </c>
      <c r="B657" t="s">
        <v>15</v>
      </c>
      <c r="C657">
        <v>0</v>
      </c>
      <c r="D657">
        <v>328.98</v>
      </c>
      <c r="E657" s="1">
        <v>45752</v>
      </c>
      <c r="F657">
        <v>881</v>
      </c>
      <c r="G657" t="s">
        <v>38</v>
      </c>
      <c r="H657" t="str">
        <f>TEXT(sales[[#This Row],[sale_date]],"dddd")</f>
        <v>Saturday</v>
      </c>
      <c r="I657">
        <f>_xlfn.XLOOKUP(A657,salesitems[sale_id],salesitems[revenue],0)</f>
        <v>41.7</v>
      </c>
      <c r="J657">
        <v>1</v>
      </c>
      <c r="K657" s="10" t="str">
        <f>_xlfn.XLOOKUP(F657,customers[customer_id],customers[age_range])</f>
        <v>36-45</v>
      </c>
      <c r="L657" s="1">
        <f>_xlfn.XLOOKUP(F657,customers[customer_id],customers[signup_date])</f>
        <v>45719</v>
      </c>
      <c r="M657">
        <f>sales[[#This Row],[sale_date]]-sales[[#This Row],[sighnup_date]]</f>
        <v>33</v>
      </c>
      <c r="N657" t="str">
        <f t="shared" si="10"/>
        <v>new customer</v>
      </c>
      <c r="O657" t="str">
        <f>_xlfn.XLOOKUP(A657,salesitems[sale_id],salesitems[category])</f>
        <v>Shoes</v>
      </c>
    </row>
    <row r="658" spans="1:15" x14ac:dyDescent="0.45">
      <c r="A658">
        <v>655</v>
      </c>
      <c r="B658" t="s">
        <v>21</v>
      </c>
      <c r="C658">
        <v>0</v>
      </c>
      <c r="D658">
        <v>511.39</v>
      </c>
      <c r="E658" s="1">
        <v>45771</v>
      </c>
      <c r="F658">
        <v>16</v>
      </c>
      <c r="G658" t="s">
        <v>36</v>
      </c>
      <c r="H658" t="str">
        <f>TEXT(sales[[#This Row],[sale_date]],"dddd")</f>
        <v>Thursday</v>
      </c>
      <c r="I658">
        <f>_xlfn.XLOOKUP(A658,salesitems[sale_id],salesitems[revenue],0)</f>
        <v>170.68</v>
      </c>
      <c r="J658">
        <v>1</v>
      </c>
      <c r="K658" s="10" t="str">
        <f>_xlfn.XLOOKUP(F658,customers[customer_id],customers[age_range])</f>
        <v>26-35</v>
      </c>
      <c r="L658" s="1">
        <f>_xlfn.XLOOKUP(F658,customers[customer_id],customers[signup_date])</f>
        <v>45752</v>
      </c>
      <c r="M658">
        <f>sales[[#This Row],[sale_date]]-sales[[#This Row],[sighnup_date]]</f>
        <v>19</v>
      </c>
      <c r="N658" t="str">
        <f t="shared" si="10"/>
        <v>new customer</v>
      </c>
      <c r="O658" t="str">
        <f>_xlfn.XLOOKUP(A658,salesitems[sale_id],salesitems[category])</f>
        <v>Shoes</v>
      </c>
    </row>
    <row r="659" spans="1:15" x14ac:dyDescent="0.45">
      <c r="A659">
        <v>658</v>
      </c>
      <c r="B659" t="s">
        <v>15</v>
      </c>
      <c r="C659">
        <v>0</v>
      </c>
      <c r="D659">
        <v>374.25</v>
      </c>
      <c r="E659" s="1">
        <v>45824</v>
      </c>
      <c r="F659">
        <v>835</v>
      </c>
      <c r="G659" t="s">
        <v>38</v>
      </c>
      <c r="H659" t="str">
        <f>TEXT(sales[[#This Row],[sale_date]],"dddd")</f>
        <v>Monday</v>
      </c>
      <c r="I659">
        <f>_xlfn.XLOOKUP(A659,salesitems[sale_id],salesitems[revenue],0)</f>
        <v>81.8</v>
      </c>
      <c r="J659">
        <v>1</v>
      </c>
      <c r="K659" s="10" t="str">
        <f>_xlfn.XLOOKUP(F659,customers[customer_id],customers[age_range])</f>
        <v>46-55</v>
      </c>
      <c r="L659" s="1">
        <f>_xlfn.XLOOKUP(F659,customers[customer_id],customers[signup_date])</f>
        <v>45773</v>
      </c>
      <c r="M659">
        <f>sales[[#This Row],[sale_date]]-sales[[#This Row],[sighnup_date]]</f>
        <v>51</v>
      </c>
      <c r="N659" t="str">
        <f t="shared" si="10"/>
        <v>new customer</v>
      </c>
      <c r="O659" t="str">
        <f>_xlfn.XLOOKUP(A659,salesitems[sale_id],salesitems[category])</f>
        <v>Dresses</v>
      </c>
    </row>
    <row r="660" spans="1:15" x14ac:dyDescent="0.45">
      <c r="A660">
        <v>659</v>
      </c>
      <c r="B660" t="s">
        <v>15</v>
      </c>
      <c r="C660">
        <v>0</v>
      </c>
      <c r="D660">
        <v>610.09</v>
      </c>
      <c r="E660" s="1">
        <v>45764</v>
      </c>
      <c r="F660">
        <v>656</v>
      </c>
      <c r="G660" t="s">
        <v>36</v>
      </c>
      <c r="H660" t="str">
        <f>TEXT(sales[[#This Row],[sale_date]],"dddd")</f>
        <v>Thursday</v>
      </c>
      <c r="I660">
        <f>_xlfn.XLOOKUP(A660,salesitems[sale_id],salesitems[revenue],0)</f>
        <v>138.21</v>
      </c>
      <c r="J660">
        <v>1</v>
      </c>
      <c r="K660" s="10" t="str">
        <f>_xlfn.XLOOKUP(F660,customers[customer_id],customers[age_range])</f>
        <v>56-65</v>
      </c>
      <c r="L660" s="1">
        <f>_xlfn.XLOOKUP(F660,customers[customer_id],customers[signup_date])</f>
        <v>45740</v>
      </c>
      <c r="M660">
        <f>sales[[#This Row],[sale_date]]-sales[[#This Row],[sighnup_date]]</f>
        <v>24</v>
      </c>
      <c r="N660" t="str">
        <f t="shared" si="10"/>
        <v>new customer</v>
      </c>
      <c r="O660" t="str">
        <f>_xlfn.XLOOKUP(A660,salesitems[sale_id],salesitems[category])</f>
        <v>Dresses</v>
      </c>
    </row>
    <row r="661" spans="1:15" x14ac:dyDescent="0.45">
      <c r="A661">
        <v>660</v>
      </c>
      <c r="B661" t="s">
        <v>15</v>
      </c>
      <c r="C661">
        <v>0</v>
      </c>
      <c r="D661">
        <v>368.79</v>
      </c>
      <c r="E661" s="1">
        <v>45822</v>
      </c>
      <c r="F661">
        <v>86</v>
      </c>
      <c r="G661" t="s">
        <v>31</v>
      </c>
      <c r="H661" t="str">
        <f>TEXT(sales[[#This Row],[sale_date]],"dddd")</f>
        <v>Saturday</v>
      </c>
      <c r="I661">
        <f>_xlfn.XLOOKUP(A661,salesitems[sale_id],salesitems[revenue],0)</f>
        <v>74.81</v>
      </c>
      <c r="J661">
        <v>1</v>
      </c>
      <c r="K661" s="10" t="str">
        <f>_xlfn.XLOOKUP(F661,customers[customer_id],customers[age_range])</f>
        <v>46-55</v>
      </c>
      <c r="L661" s="1">
        <f>_xlfn.XLOOKUP(F661,customers[customer_id],customers[signup_date])</f>
        <v>45756</v>
      </c>
      <c r="M661">
        <f>sales[[#This Row],[sale_date]]-sales[[#This Row],[sighnup_date]]</f>
        <v>66</v>
      </c>
      <c r="N661" t="str">
        <f t="shared" si="10"/>
        <v>new customer</v>
      </c>
      <c r="O661" t="str">
        <f>_xlfn.XLOOKUP(A661,salesitems[sale_id],salesitems[category])</f>
        <v>Pants</v>
      </c>
    </row>
    <row r="662" spans="1:15" x14ac:dyDescent="0.45">
      <c r="A662">
        <v>663</v>
      </c>
      <c r="B662" t="s">
        <v>21</v>
      </c>
      <c r="C662">
        <v>0</v>
      </c>
      <c r="D662">
        <v>440.02</v>
      </c>
      <c r="E662" s="1">
        <v>45812</v>
      </c>
      <c r="F662">
        <v>780</v>
      </c>
      <c r="G662" t="s">
        <v>38</v>
      </c>
      <c r="H662" t="str">
        <f>TEXT(sales[[#This Row],[sale_date]],"dddd")</f>
        <v>Wednesday</v>
      </c>
      <c r="I662">
        <f>_xlfn.XLOOKUP(A662,salesitems[sale_id],salesitems[revenue],0)</f>
        <v>101.78</v>
      </c>
      <c r="J662">
        <v>1</v>
      </c>
      <c r="K662" s="10" t="str">
        <f>_xlfn.XLOOKUP(F662,customers[customer_id],customers[age_range])</f>
        <v>16-25</v>
      </c>
      <c r="L662" s="1">
        <f>_xlfn.XLOOKUP(F662,customers[customer_id],customers[signup_date])</f>
        <v>45744</v>
      </c>
      <c r="M662">
        <f>sales[[#This Row],[sale_date]]-sales[[#This Row],[sighnup_date]]</f>
        <v>68</v>
      </c>
      <c r="N662" t="str">
        <f t="shared" si="10"/>
        <v>new customer</v>
      </c>
      <c r="O662" t="str">
        <f>_xlfn.XLOOKUP(A662,salesitems[sale_id],salesitems[category])</f>
        <v>Sleepwear</v>
      </c>
    </row>
    <row r="663" spans="1:15" x14ac:dyDescent="0.45">
      <c r="A663">
        <v>664</v>
      </c>
      <c r="B663" t="s">
        <v>15</v>
      </c>
      <c r="C663">
        <v>0</v>
      </c>
      <c r="D663">
        <v>353.01</v>
      </c>
      <c r="E663" s="1">
        <v>45822</v>
      </c>
      <c r="F663">
        <v>493</v>
      </c>
      <c r="G663" t="s">
        <v>36</v>
      </c>
      <c r="H663" t="str">
        <f>TEXT(sales[[#This Row],[sale_date]],"dddd")</f>
        <v>Saturday</v>
      </c>
      <c r="I663">
        <f>_xlfn.XLOOKUP(A663,salesitems[sale_id],salesitems[revenue],0)</f>
        <v>122.97</v>
      </c>
      <c r="J663">
        <v>1</v>
      </c>
      <c r="K663" s="10" t="str">
        <f>_xlfn.XLOOKUP(F663,customers[customer_id],customers[age_range])</f>
        <v>56-65</v>
      </c>
      <c r="L663" s="1">
        <f>_xlfn.XLOOKUP(F663,customers[customer_id],customers[signup_date])</f>
        <v>45705</v>
      </c>
      <c r="M663">
        <f>sales[[#This Row],[sale_date]]-sales[[#This Row],[sighnup_date]]</f>
        <v>117</v>
      </c>
      <c r="N663" t="str">
        <f t="shared" si="10"/>
        <v>existing customer</v>
      </c>
      <c r="O663" t="str">
        <f>_xlfn.XLOOKUP(A663,salesitems[sale_id],salesitems[category])</f>
        <v>Shoes</v>
      </c>
    </row>
    <row r="664" spans="1:15" x14ac:dyDescent="0.45">
      <c r="A664">
        <v>665</v>
      </c>
      <c r="B664" t="s">
        <v>21</v>
      </c>
      <c r="C664">
        <v>0</v>
      </c>
      <c r="D664">
        <v>440.01</v>
      </c>
      <c r="E664" s="1">
        <v>45760</v>
      </c>
      <c r="F664">
        <v>477</v>
      </c>
      <c r="G664" t="s">
        <v>34</v>
      </c>
      <c r="H664" t="str">
        <f>TEXT(sales[[#This Row],[sale_date]],"dddd")</f>
        <v>Sunday</v>
      </c>
      <c r="I664">
        <f>_xlfn.XLOOKUP(A664,salesitems[sale_id],salesitems[revenue],0)</f>
        <v>209.56</v>
      </c>
      <c r="J664">
        <v>1</v>
      </c>
      <c r="K664" s="10" t="str">
        <f>_xlfn.XLOOKUP(F664,customers[customer_id],customers[age_range])</f>
        <v>16-25</v>
      </c>
      <c r="L664" s="1">
        <f>_xlfn.XLOOKUP(F664,customers[customer_id],customers[signup_date])</f>
        <v>45711</v>
      </c>
      <c r="M664">
        <f>sales[[#This Row],[sale_date]]-sales[[#This Row],[sighnup_date]]</f>
        <v>49</v>
      </c>
      <c r="N664" t="str">
        <f t="shared" si="10"/>
        <v>new customer</v>
      </c>
      <c r="O664" t="str">
        <f>_xlfn.XLOOKUP(A664,salesitems[sale_id],salesitems[category])</f>
        <v>T-Shirts</v>
      </c>
    </row>
    <row r="665" spans="1:15" x14ac:dyDescent="0.45">
      <c r="A665">
        <v>666</v>
      </c>
      <c r="B665" t="s">
        <v>21</v>
      </c>
      <c r="C665">
        <v>0</v>
      </c>
      <c r="D665">
        <v>236.19</v>
      </c>
      <c r="E665" s="1">
        <v>45801</v>
      </c>
      <c r="F665">
        <v>743</v>
      </c>
      <c r="G665" t="s">
        <v>31</v>
      </c>
      <c r="H665" t="str">
        <f>TEXT(sales[[#This Row],[sale_date]],"dddd")</f>
        <v>Saturday</v>
      </c>
      <c r="I665">
        <f>_xlfn.XLOOKUP(A665,salesitems[sale_id],salesitems[revenue],0)</f>
        <v>53.19</v>
      </c>
      <c r="J665">
        <v>1</v>
      </c>
      <c r="K665" s="10" t="str">
        <f>_xlfn.XLOOKUP(F665,customers[customer_id],customers[age_range])</f>
        <v>16-25</v>
      </c>
      <c r="L665" s="1">
        <f>_xlfn.XLOOKUP(F665,customers[customer_id],customers[signup_date])</f>
        <v>45781</v>
      </c>
      <c r="M665">
        <f>sales[[#This Row],[sale_date]]-sales[[#This Row],[sighnup_date]]</f>
        <v>20</v>
      </c>
      <c r="N665" t="str">
        <f t="shared" si="10"/>
        <v>new customer</v>
      </c>
      <c r="O665" t="str">
        <f>_xlfn.XLOOKUP(A665,salesitems[sale_id],salesitems[category])</f>
        <v>Pants</v>
      </c>
    </row>
    <row r="666" spans="1:15" x14ac:dyDescent="0.45">
      <c r="A666">
        <v>667</v>
      </c>
      <c r="B666" t="s">
        <v>15</v>
      </c>
      <c r="C666">
        <v>0</v>
      </c>
      <c r="D666">
        <v>288.19</v>
      </c>
      <c r="E666" s="1">
        <v>45762</v>
      </c>
      <c r="F666">
        <v>218</v>
      </c>
      <c r="G666" t="s">
        <v>36</v>
      </c>
      <c r="H666" t="str">
        <f>TEXT(sales[[#This Row],[sale_date]],"dddd")</f>
        <v>Tuesday</v>
      </c>
      <c r="I666">
        <f>_xlfn.XLOOKUP(A666,salesitems[sale_id],salesitems[revenue],0)</f>
        <v>116.68</v>
      </c>
      <c r="J666">
        <v>1</v>
      </c>
      <c r="K666" s="10" t="str">
        <f>_xlfn.XLOOKUP(F666,customers[customer_id],customers[age_range])</f>
        <v>16-25</v>
      </c>
      <c r="L666" s="1">
        <f>_xlfn.XLOOKUP(F666,customers[customer_id],customers[signup_date])</f>
        <v>45735</v>
      </c>
      <c r="M666">
        <f>sales[[#This Row],[sale_date]]-sales[[#This Row],[sighnup_date]]</f>
        <v>27</v>
      </c>
      <c r="N666" t="str">
        <f t="shared" si="10"/>
        <v>new customer</v>
      </c>
      <c r="O666" t="str">
        <f>_xlfn.XLOOKUP(A666,salesitems[sale_id],salesitems[category])</f>
        <v>Pants</v>
      </c>
    </row>
    <row r="667" spans="1:15" x14ac:dyDescent="0.45">
      <c r="A667">
        <v>668</v>
      </c>
      <c r="B667" t="s">
        <v>21</v>
      </c>
      <c r="C667">
        <v>0</v>
      </c>
      <c r="D667">
        <v>321.60000000000002</v>
      </c>
      <c r="E667" s="1">
        <v>45767</v>
      </c>
      <c r="F667">
        <v>167</v>
      </c>
      <c r="G667" t="s">
        <v>28</v>
      </c>
      <c r="H667" t="str">
        <f>TEXT(sales[[#This Row],[sale_date]],"dddd")</f>
        <v>Sunday</v>
      </c>
      <c r="I667">
        <f>_xlfn.XLOOKUP(A667,salesitems[sale_id],salesitems[revenue],0)</f>
        <v>238.32</v>
      </c>
      <c r="J667">
        <v>1</v>
      </c>
      <c r="K667" s="10" t="str">
        <f>_xlfn.XLOOKUP(F667,customers[customer_id],customers[age_range])</f>
        <v>46-55</v>
      </c>
      <c r="L667" s="1">
        <f>_xlfn.XLOOKUP(F667,customers[customer_id],customers[signup_date])</f>
        <v>45723</v>
      </c>
      <c r="M667">
        <f>sales[[#This Row],[sale_date]]-sales[[#This Row],[sighnup_date]]</f>
        <v>44</v>
      </c>
      <c r="N667" t="str">
        <f t="shared" si="10"/>
        <v>new customer</v>
      </c>
      <c r="O667" t="str">
        <f>_xlfn.XLOOKUP(A667,salesitems[sale_id],salesitems[category])</f>
        <v>Shoes</v>
      </c>
    </row>
    <row r="668" spans="1:15" x14ac:dyDescent="0.45">
      <c r="A668">
        <v>67</v>
      </c>
      <c r="B668" t="s">
        <v>15</v>
      </c>
      <c r="C668">
        <v>0</v>
      </c>
      <c r="D668">
        <v>414.7</v>
      </c>
      <c r="E668" s="1">
        <v>45751</v>
      </c>
      <c r="F668">
        <v>128</v>
      </c>
      <c r="G668" t="s">
        <v>31</v>
      </c>
      <c r="H668" t="str">
        <f>TEXT(sales[[#This Row],[sale_date]],"dddd")</f>
        <v>Friday</v>
      </c>
      <c r="I668">
        <f>_xlfn.XLOOKUP(A668,salesitems[sale_id],salesitems[revenue],0)</f>
        <v>76.28</v>
      </c>
      <c r="J668">
        <v>1</v>
      </c>
      <c r="K668" s="10" t="str">
        <f>_xlfn.XLOOKUP(F668,customers[customer_id],customers[age_range])</f>
        <v>56-65</v>
      </c>
      <c r="L668" s="1">
        <f>_xlfn.XLOOKUP(F668,customers[customer_id],customers[signup_date])</f>
        <v>45725</v>
      </c>
      <c r="M668">
        <f>sales[[#This Row],[sale_date]]-sales[[#This Row],[sighnup_date]]</f>
        <v>26</v>
      </c>
      <c r="N668" t="str">
        <f t="shared" si="10"/>
        <v>new customer</v>
      </c>
      <c r="O668" t="str">
        <f>_xlfn.XLOOKUP(A668,salesitems[sale_id],salesitems[category])</f>
        <v>Pants</v>
      </c>
    </row>
    <row r="669" spans="1:15" x14ac:dyDescent="0.45">
      <c r="A669">
        <v>670</v>
      </c>
      <c r="B669" t="s">
        <v>15</v>
      </c>
      <c r="C669">
        <v>0</v>
      </c>
      <c r="D669">
        <v>173.7</v>
      </c>
      <c r="E669" s="1">
        <v>45804</v>
      </c>
      <c r="F669">
        <v>820</v>
      </c>
      <c r="G669" t="s">
        <v>34</v>
      </c>
      <c r="H669" t="str">
        <f>TEXT(sales[[#This Row],[sale_date]],"dddd")</f>
        <v>Tuesday</v>
      </c>
      <c r="I669">
        <f>_xlfn.XLOOKUP(A669,salesitems[sale_id],salesitems[revenue],0)</f>
        <v>69.48</v>
      </c>
      <c r="J669">
        <v>1</v>
      </c>
      <c r="K669" s="10" t="str">
        <f>_xlfn.XLOOKUP(F669,customers[customer_id],customers[age_range])</f>
        <v>56-65</v>
      </c>
      <c r="L669" s="1">
        <f>_xlfn.XLOOKUP(F669,customers[customer_id],customers[signup_date])</f>
        <v>45686</v>
      </c>
      <c r="M669">
        <f>sales[[#This Row],[sale_date]]-sales[[#This Row],[sighnup_date]]</f>
        <v>118</v>
      </c>
      <c r="N669" t="str">
        <f t="shared" si="10"/>
        <v>existing customer</v>
      </c>
      <c r="O669" t="str">
        <f>_xlfn.XLOOKUP(A669,salesitems[sale_id],salesitems[category])</f>
        <v>T-Shirts</v>
      </c>
    </row>
    <row r="670" spans="1:15" x14ac:dyDescent="0.45">
      <c r="A670">
        <v>672</v>
      </c>
      <c r="B670" t="s">
        <v>15</v>
      </c>
      <c r="C670">
        <v>0</v>
      </c>
      <c r="D670">
        <v>337.28</v>
      </c>
      <c r="E670" s="1">
        <v>45772</v>
      </c>
      <c r="F670">
        <v>807</v>
      </c>
      <c r="G670" t="s">
        <v>36</v>
      </c>
      <c r="H670" t="str">
        <f>TEXT(sales[[#This Row],[sale_date]],"dddd")</f>
        <v>Friday</v>
      </c>
      <c r="I670">
        <f>_xlfn.XLOOKUP(A670,salesitems[sale_id],salesitems[revenue],0)</f>
        <v>146.64000000000001</v>
      </c>
      <c r="J670">
        <v>1</v>
      </c>
      <c r="K670" s="10" t="str">
        <f>_xlfn.XLOOKUP(F670,customers[customer_id],customers[age_range])</f>
        <v>16-25</v>
      </c>
      <c r="L670" s="1">
        <f>_xlfn.XLOOKUP(F670,customers[customer_id],customers[signup_date])</f>
        <v>45761</v>
      </c>
      <c r="M670">
        <f>sales[[#This Row],[sale_date]]-sales[[#This Row],[sighnup_date]]</f>
        <v>11</v>
      </c>
      <c r="N670" t="str">
        <f t="shared" si="10"/>
        <v>new customer</v>
      </c>
      <c r="O670" t="str">
        <f>_xlfn.XLOOKUP(A670,salesitems[sale_id],salesitems[category])</f>
        <v>Shoes</v>
      </c>
    </row>
    <row r="671" spans="1:15" x14ac:dyDescent="0.45">
      <c r="A671">
        <v>675</v>
      </c>
      <c r="B671" t="s">
        <v>21</v>
      </c>
      <c r="C671">
        <v>0</v>
      </c>
      <c r="D671">
        <v>102.61</v>
      </c>
      <c r="E671" s="1">
        <v>45800</v>
      </c>
      <c r="F671">
        <v>126</v>
      </c>
      <c r="G671" t="s">
        <v>31</v>
      </c>
      <c r="H671" t="str">
        <f>TEXT(sales[[#This Row],[sale_date]],"dddd")</f>
        <v>Friday</v>
      </c>
      <c r="I671">
        <f>_xlfn.XLOOKUP(A671,salesitems[sale_id],salesitems[revenue],0)</f>
        <v>53.73</v>
      </c>
      <c r="J671">
        <v>1</v>
      </c>
      <c r="K671" s="10" t="str">
        <f>_xlfn.XLOOKUP(F671,customers[customer_id],customers[age_range])</f>
        <v>26-35</v>
      </c>
      <c r="L671" s="1">
        <f>_xlfn.XLOOKUP(F671,customers[customer_id],customers[signup_date])</f>
        <v>45689</v>
      </c>
      <c r="M671">
        <f>sales[[#This Row],[sale_date]]-sales[[#This Row],[sighnup_date]]</f>
        <v>111</v>
      </c>
      <c r="N671" t="str">
        <f t="shared" si="10"/>
        <v>existing customer</v>
      </c>
      <c r="O671" t="str">
        <f>_xlfn.XLOOKUP(A671,salesitems[sale_id],salesitems[category])</f>
        <v>T-Shirts</v>
      </c>
    </row>
    <row r="672" spans="1:15" x14ac:dyDescent="0.45">
      <c r="A672">
        <v>676</v>
      </c>
      <c r="B672" t="s">
        <v>15</v>
      </c>
      <c r="C672">
        <v>0</v>
      </c>
      <c r="D672">
        <v>583.9</v>
      </c>
      <c r="E672" s="1">
        <v>45797</v>
      </c>
      <c r="F672">
        <v>254</v>
      </c>
      <c r="G672" t="s">
        <v>33</v>
      </c>
      <c r="H672" t="str">
        <f>TEXT(sales[[#This Row],[sale_date]],"dddd")</f>
        <v>Tuesday</v>
      </c>
      <c r="I672">
        <f>_xlfn.XLOOKUP(A672,salesitems[sale_id],salesitems[revenue],0)</f>
        <v>309.75</v>
      </c>
      <c r="J672">
        <v>1</v>
      </c>
      <c r="K672" s="10" t="str">
        <f>_xlfn.XLOOKUP(F672,customers[customer_id],customers[age_range])</f>
        <v>36-45</v>
      </c>
      <c r="L672" s="1">
        <f>_xlfn.XLOOKUP(F672,customers[customer_id],customers[signup_date])</f>
        <v>45768</v>
      </c>
      <c r="M672">
        <f>sales[[#This Row],[sale_date]]-sales[[#This Row],[sighnup_date]]</f>
        <v>29</v>
      </c>
      <c r="N672" t="str">
        <f t="shared" si="10"/>
        <v>new customer</v>
      </c>
      <c r="O672" t="str">
        <f>_xlfn.XLOOKUP(A672,salesitems[sale_id],salesitems[category])</f>
        <v>T-Shirts</v>
      </c>
    </row>
    <row r="673" spans="1:15" x14ac:dyDescent="0.45">
      <c r="A673">
        <v>677</v>
      </c>
      <c r="B673" t="s">
        <v>21</v>
      </c>
      <c r="C673">
        <v>0</v>
      </c>
      <c r="D673">
        <v>112.89</v>
      </c>
      <c r="E673" s="1">
        <v>45822</v>
      </c>
      <c r="F673">
        <v>827</v>
      </c>
      <c r="G673" t="s">
        <v>28</v>
      </c>
      <c r="H673" t="str">
        <f>TEXT(sales[[#This Row],[sale_date]],"dddd")</f>
        <v>Saturday</v>
      </c>
      <c r="I673">
        <f>_xlfn.XLOOKUP(A673,salesitems[sale_id],salesitems[revenue],0)</f>
        <v>39.090000000000003</v>
      </c>
      <c r="J673">
        <v>1</v>
      </c>
      <c r="K673" s="10" t="str">
        <f>_xlfn.XLOOKUP(F673,customers[customer_id],customers[age_range])</f>
        <v>46-55</v>
      </c>
      <c r="L673" s="1">
        <f>_xlfn.XLOOKUP(F673,customers[customer_id],customers[signup_date])</f>
        <v>45768</v>
      </c>
      <c r="M673">
        <f>sales[[#This Row],[sale_date]]-sales[[#This Row],[sighnup_date]]</f>
        <v>54</v>
      </c>
      <c r="N673" t="str">
        <f t="shared" si="10"/>
        <v>new customer</v>
      </c>
      <c r="O673" t="str">
        <f>_xlfn.XLOOKUP(A673,salesitems[sale_id],salesitems[category])</f>
        <v>Dresses</v>
      </c>
    </row>
    <row r="674" spans="1:15" x14ac:dyDescent="0.45">
      <c r="A674">
        <v>678</v>
      </c>
      <c r="B674" t="s">
        <v>21</v>
      </c>
      <c r="C674">
        <v>0</v>
      </c>
      <c r="D674">
        <v>562.41999999999996</v>
      </c>
      <c r="E674" s="1">
        <v>45781</v>
      </c>
      <c r="F674">
        <v>37</v>
      </c>
      <c r="G674" t="s">
        <v>31</v>
      </c>
      <c r="H674" t="str">
        <f>TEXT(sales[[#This Row],[sale_date]],"dddd")</f>
        <v>Sunday</v>
      </c>
      <c r="I674">
        <f>_xlfn.XLOOKUP(A674,salesitems[sale_id],salesitems[revenue],0)</f>
        <v>256.32</v>
      </c>
      <c r="J674">
        <v>1</v>
      </c>
      <c r="K674" s="10" t="str">
        <f>_xlfn.XLOOKUP(F674,customers[customer_id],customers[age_range])</f>
        <v>46-55</v>
      </c>
      <c r="L674" s="1">
        <f>_xlfn.XLOOKUP(F674,customers[customer_id],customers[signup_date])</f>
        <v>45718</v>
      </c>
      <c r="M674">
        <f>sales[[#This Row],[sale_date]]-sales[[#This Row],[sighnup_date]]</f>
        <v>63</v>
      </c>
      <c r="N674" t="str">
        <f t="shared" si="10"/>
        <v>new customer</v>
      </c>
      <c r="O674" t="str">
        <f>_xlfn.XLOOKUP(A674,salesitems[sale_id],salesitems[category])</f>
        <v>Dresses</v>
      </c>
    </row>
    <row r="675" spans="1:15" x14ac:dyDescent="0.45">
      <c r="A675">
        <v>68</v>
      </c>
      <c r="B675" t="s">
        <v>21</v>
      </c>
      <c r="C675">
        <v>0</v>
      </c>
      <c r="D675">
        <v>740.54</v>
      </c>
      <c r="E675" s="1">
        <v>45800</v>
      </c>
      <c r="F675">
        <v>413</v>
      </c>
      <c r="G675" t="s">
        <v>28</v>
      </c>
      <c r="H675" t="str">
        <f>TEXT(sales[[#This Row],[sale_date]],"dddd")</f>
        <v>Friday</v>
      </c>
      <c r="I675">
        <f>_xlfn.XLOOKUP(A675,salesitems[sale_id],salesitems[revenue],0)</f>
        <v>192.24</v>
      </c>
      <c r="J675">
        <v>1</v>
      </c>
      <c r="K675" s="10" t="str">
        <f>_xlfn.XLOOKUP(F675,customers[customer_id],customers[age_range])</f>
        <v>16-25</v>
      </c>
      <c r="L675" s="1">
        <f>_xlfn.XLOOKUP(F675,customers[customer_id],customers[signup_date])</f>
        <v>45776</v>
      </c>
      <c r="M675">
        <f>sales[[#This Row],[sale_date]]-sales[[#This Row],[sighnup_date]]</f>
        <v>24</v>
      </c>
      <c r="N675" t="str">
        <f t="shared" si="10"/>
        <v>new customer</v>
      </c>
      <c r="O675" t="str">
        <f>_xlfn.XLOOKUP(A675,salesitems[sale_id],salesitems[category])</f>
        <v>Dresses</v>
      </c>
    </row>
    <row r="676" spans="1:15" x14ac:dyDescent="0.45">
      <c r="A676">
        <v>686</v>
      </c>
      <c r="B676" t="s">
        <v>21</v>
      </c>
      <c r="C676">
        <v>0</v>
      </c>
      <c r="D676">
        <v>207.3</v>
      </c>
      <c r="E676" s="1">
        <v>45807</v>
      </c>
      <c r="F676">
        <v>25</v>
      </c>
      <c r="G676" t="s">
        <v>33</v>
      </c>
      <c r="H676" t="str">
        <f>TEXT(sales[[#This Row],[sale_date]],"dddd")</f>
        <v>Friday</v>
      </c>
      <c r="I676">
        <f>_xlfn.XLOOKUP(A676,salesitems[sale_id],salesitems[revenue],0)</f>
        <v>129.68</v>
      </c>
      <c r="J676">
        <v>1</v>
      </c>
      <c r="K676" s="10" t="str">
        <f>_xlfn.XLOOKUP(F676,customers[customer_id],customers[age_range])</f>
        <v>36-45</v>
      </c>
      <c r="L676" s="1">
        <f>_xlfn.XLOOKUP(F676,customers[customer_id],customers[signup_date])</f>
        <v>45740</v>
      </c>
      <c r="M676">
        <f>sales[[#This Row],[sale_date]]-sales[[#This Row],[sighnup_date]]</f>
        <v>67</v>
      </c>
      <c r="N676" t="str">
        <f t="shared" si="10"/>
        <v>new customer</v>
      </c>
      <c r="O676" t="str">
        <f>_xlfn.XLOOKUP(A676,salesitems[sale_id],salesitems[category])</f>
        <v>Pants</v>
      </c>
    </row>
    <row r="677" spans="1:15" x14ac:dyDescent="0.45">
      <c r="A677">
        <v>689</v>
      </c>
      <c r="B677" t="s">
        <v>15</v>
      </c>
      <c r="C677">
        <v>0</v>
      </c>
      <c r="D677">
        <v>405.34</v>
      </c>
      <c r="E677" s="1">
        <v>45762</v>
      </c>
      <c r="F677">
        <v>891</v>
      </c>
      <c r="G677" t="s">
        <v>38</v>
      </c>
      <c r="H677" t="str">
        <f>TEXT(sales[[#This Row],[sale_date]],"dddd")</f>
        <v>Tuesday</v>
      </c>
      <c r="I677">
        <f>_xlfn.XLOOKUP(A677,salesitems[sale_id],salesitems[revenue],0)</f>
        <v>148.44</v>
      </c>
      <c r="J677">
        <v>1</v>
      </c>
      <c r="K677" s="10" t="str">
        <f>_xlfn.XLOOKUP(F677,customers[customer_id],customers[age_range])</f>
        <v>46-55</v>
      </c>
      <c r="L677" s="1">
        <f>_xlfn.XLOOKUP(F677,customers[customer_id],customers[signup_date])</f>
        <v>45744</v>
      </c>
      <c r="M677">
        <f>sales[[#This Row],[sale_date]]-sales[[#This Row],[sighnup_date]]</f>
        <v>18</v>
      </c>
      <c r="N677" t="str">
        <f t="shared" si="10"/>
        <v>new customer</v>
      </c>
      <c r="O677" t="str">
        <f>_xlfn.XLOOKUP(A677,salesitems[sale_id],salesitems[category])</f>
        <v>Pants</v>
      </c>
    </row>
    <row r="678" spans="1:15" x14ac:dyDescent="0.45">
      <c r="A678">
        <v>691</v>
      </c>
      <c r="B678" t="s">
        <v>15</v>
      </c>
      <c r="C678">
        <v>0</v>
      </c>
      <c r="D678">
        <v>475.07</v>
      </c>
      <c r="E678" s="1">
        <v>45825</v>
      </c>
      <c r="F678">
        <v>33</v>
      </c>
      <c r="G678" t="s">
        <v>33</v>
      </c>
      <c r="H678" t="str">
        <f>TEXT(sales[[#This Row],[sale_date]],"dddd")</f>
        <v>Tuesday</v>
      </c>
      <c r="I678">
        <f>_xlfn.XLOOKUP(A678,salesitems[sale_id],salesitems[revenue],0)</f>
        <v>199.92</v>
      </c>
      <c r="J678">
        <v>1</v>
      </c>
      <c r="K678" s="10" t="str">
        <f>_xlfn.XLOOKUP(F678,customers[customer_id],customers[age_range])</f>
        <v>56-65</v>
      </c>
      <c r="L678" s="1">
        <f>_xlfn.XLOOKUP(F678,customers[customer_id],customers[signup_date])</f>
        <v>45714</v>
      </c>
      <c r="M678">
        <f>sales[[#This Row],[sale_date]]-sales[[#This Row],[sighnup_date]]</f>
        <v>111</v>
      </c>
      <c r="N678" t="str">
        <f t="shared" si="10"/>
        <v>existing customer</v>
      </c>
      <c r="O678" t="str">
        <f>_xlfn.XLOOKUP(A678,salesitems[sale_id],salesitems[category])</f>
        <v>Shoes</v>
      </c>
    </row>
    <row r="679" spans="1:15" x14ac:dyDescent="0.45">
      <c r="A679">
        <v>694</v>
      </c>
      <c r="B679" t="s">
        <v>15</v>
      </c>
      <c r="C679">
        <v>0</v>
      </c>
      <c r="D679">
        <v>183.33</v>
      </c>
      <c r="E679" s="1">
        <v>45813</v>
      </c>
      <c r="F679">
        <v>884</v>
      </c>
      <c r="G679" t="s">
        <v>34</v>
      </c>
      <c r="H679" t="str">
        <f>TEXT(sales[[#This Row],[sale_date]],"dddd")</f>
        <v>Thursday</v>
      </c>
      <c r="I679">
        <f>_xlfn.XLOOKUP(A679,salesitems[sale_id],salesitems[revenue],0)</f>
        <v>50.91</v>
      </c>
      <c r="J679">
        <v>1</v>
      </c>
      <c r="K679" s="10" t="str">
        <f>_xlfn.XLOOKUP(F679,customers[customer_id],customers[age_range])</f>
        <v>26-35</v>
      </c>
      <c r="L679" s="1">
        <f>_xlfn.XLOOKUP(F679,customers[customer_id],customers[signup_date])</f>
        <v>45760</v>
      </c>
      <c r="M679">
        <f>sales[[#This Row],[sale_date]]-sales[[#This Row],[sighnup_date]]</f>
        <v>53</v>
      </c>
      <c r="N679" t="str">
        <f t="shared" si="10"/>
        <v>new customer</v>
      </c>
      <c r="O679" t="str">
        <f>_xlfn.XLOOKUP(A679,salesitems[sale_id],salesitems[category])</f>
        <v>Pants</v>
      </c>
    </row>
    <row r="680" spans="1:15" x14ac:dyDescent="0.45">
      <c r="A680">
        <v>695</v>
      </c>
      <c r="B680" t="s">
        <v>15</v>
      </c>
      <c r="C680">
        <v>0</v>
      </c>
      <c r="D680">
        <v>437.62</v>
      </c>
      <c r="E680" s="1">
        <v>45771</v>
      </c>
      <c r="F680">
        <v>634</v>
      </c>
      <c r="G680" t="s">
        <v>38</v>
      </c>
      <c r="H680" t="str">
        <f>TEXT(sales[[#This Row],[sale_date]],"dddd")</f>
        <v>Thursday</v>
      </c>
      <c r="I680">
        <f>_xlfn.XLOOKUP(A680,salesitems[sale_id],salesitems[revenue],0)</f>
        <v>154.72</v>
      </c>
      <c r="J680">
        <v>1</v>
      </c>
      <c r="K680" s="10" t="str">
        <f>_xlfn.XLOOKUP(F680,customers[customer_id],customers[age_range])</f>
        <v>46-55</v>
      </c>
      <c r="L680" s="1">
        <f>_xlfn.XLOOKUP(F680,customers[customer_id],customers[signup_date])</f>
        <v>45719</v>
      </c>
      <c r="M680">
        <f>sales[[#This Row],[sale_date]]-sales[[#This Row],[sighnup_date]]</f>
        <v>52</v>
      </c>
      <c r="N680" t="str">
        <f t="shared" si="10"/>
        <v>new customer</v>
      </c>
      <c r="O680" t="str">
        <f>_xlfn.XLOOKUP(A680,salesitems[sale_id],salesitems[category])</f>
        <v>Shoes</v>
      </c>
    </row>
    <row r="681" spans="1:15" x14ac:dyDescent="0.45">
      <c r="A681">
        <v>698</v>
      </c>
      <c r="B681" t="s">
        <v>21</v>
      </c>
      <c r="C681">
        <v>0</v>
      </c>
      <c r="D681">
        <v>260.26</v>
      </c>
      <c r="E681" s="1">
        <v>45793</v>
      </c>
      <c r="F681">
        <v>96</v>
      </c>
      <c r="G681" t="s">
        <v>33</v>
      </c>
      <c r="H681" t="str">
        <f>TEXT(sales[[#This Row],[sale_date]],"dddd")</f>
        <v>Friday</v>
      </c>
      <c r="I681">
        <f>_xlfn.XLOOKUP(A681,salesitems[sale_id],salesitems[revenue],0)</f>
        <v>68.78</v>
      </c>
      <c r="J681">
        <v>1</v>
      </c>
      <c r="K681" s="10" t="str">
        <f>_xlfn.XLOOKUP(F681,customers[customer_id],customers[age_range])</f>
        <v>36-45</v>
      </c>
      <c r="L681" s="1">
        <f>_xlfn.XLOOKUP(F681,customers[customer_id],customers[signup_date])</f>
        <v>45703</v>
      </c>
      <c r="M681">
        <f>sales[[#This Row],[sale_date]]-sales[[#This Row],[sighnup_date]]</f>
        <v>90</v>
      </c>
      <c r="N681" t="str">
        <f t="shared" si="10"/>
        <v>new customer</v>
      </c>
      <c r="O681" t="str">
        <f>_xlfn.XLOOKUP(A681,salesitems[sale_id],salesitems[category])</f>
        <v>T-Shirts</v>
      </c>
    </row>
    <row r="682" spans="1:15" x14ac:dyDescent="0.45">
      <c r="A682">
        <v>700</v>
      </c>
      <c r="B682" t="s">
        <v>21</v>
      </c>
      <c r="C682">
        <v>0</v>
      </c>
      <c r="D682">
        <v>249.32</v>
      </c>
      <c r="E682" s="1">
        <v>45803</v>
      </c>
      <c r="F682">
        <v>801</v>
      </c>
      <c r="G682" t="s">
        <v>31</v>
      </c>
      <c r="H682" t="str">
        <f>TEXT(sales[[#This Row],[sale_date]],"dddd")</f>
        <v>Monday</v>
      </c>
      <c r="I682">
        <f>_xlfn.XLOOKUP(A682,salesitems[sale_id],salesitems[revenue],0)</f>
        <v>62.3</v>
      </c>
      <c r="J682">
        <v>1</v>
      </c>
      <c r="K682" s="10" t="str">
        <f>_xlfn.XLOOKUP(F682,customers[customer_id],customers[age_range])</f>
        <v>46-55</v>
      </c>
      <c r="L682" s="1">
        <f>_xlfn.XLOOKUP(F682,customers[customer_id],customers[signup_date])</f>
        <v>45684</v>
      </c>
      <c r="M682">
        <f>sales[[#This Row],[sale_date]]-sales[[#This Row],[sighnup_date]]</f>
        <v>119</v>
      </c>
      <c r="N682" t="str">
        <f t="shared" si="10"/>
        <v>existing customer</v>
      </c>
      <c r="O682" t="str">
        <f>_xlfn.XLOOKUP(A682,salesitems[sale_id],salesitems[category])</f>
        <v>Sleepwear</v>
      </c>
    </row>
    <row r="683" spans="1:15" x14ac:dyDescent="0.45">
      <c r="A683">
        <v>701</v>
      </c>
      <c r="B683" t="s">
        <v>15</v>
      </c>
      <c r="C683">
        <v>0</v>
      </c>
      <c r="D683">
        <v>340.18</v>
      </c>
      <c r="E683" s="1">
        <v>45821</v>
      </c>
      <c r="F683">
        <v>855</v>
      </c>
      <c r="G683" t="s">
        <v>34</v>
      </c>
      <c r="H683" t="str">
        <f>TEXT(sales[[#This Row],[sale_date]],"dddd")</f>
        <v>Friday</v>
      </c>
      <c r="I683">
        <f>_xlfn.XLOOKUP(A683,salesitems[sale_id],salesitems[revenue],0)</f>
        <v>127.97999999999999</v>
      </c>
      <c r="J683">
        <v>1</v>
      </c>
      <c r="K683" s="10" t="str">
        <f>_xlfn.XLOOKUP(F683,customers[customer_id],customers[age_range])</f>
        <v>16-25</v>
      </c>
      <c r="L683" s="1">
        <f>_xlfn.XLOOKUP(F683,customers[customer_id],customers[signup_date])</f>
        <v>45728</v>
      </c>
      <c r="M683">
        <f>sales[[#This Row],[sale_date]]-sales[[#This Row],[sighnup_date]]</f>
        <v>93</v>
      </c>
      <c r="N683" t="str">
        <f t="shared" si="10"/>
        <v>existing customer</v>
      </c>
      <c r="O683" t="str">
        <f>_xlfn.XLOOKUP(A683,salesitems[sale_id],salesitems[category])</f>
        <v>Sleepwear</v>
      </c>
    </row>
    <row r="684" spans="1:15" x14ac:dyDescent="0.45">
      <c r="A684">
        <v>702</v>
      </c>
      <c r="B684" t="s">
        <v>15</v>
      </c>
      <c r="C684">
        <v>0</v>
      </c>
      <c r="D684">
        <v>333.21</v>
      </c>
      <c r="E684" s="1">
        <v>45806</v>
      </c>
      <c r="F684">
        <v>764</v>
      </c>
      <c r="G684" t="s">
        <v>28</v>
      </c>
      <c r="H684" t="str">
        <f>TEXT(sales[[#This Row],[sale_date]],"dddd")</f>
        <v>Thursday</v>
      </c>
      <c r="I684">
        <f>_xlfn.XLOOKUP(A684,salesitems[sale_id],salesitems[revenue],0)</f>
        <v>185.25</v>
      </c>
      <c r="J684">
        <v>1</v>
      </c>
      <c r="K684" s="10" t="str">
        <f>_xlfn.XLOOKUP(F684,customers[customer_id],customers[age_range])</f>
        <v>26-35</v>
      </c>
      <c r="L684" s="1">
        <f>_xlfn.XLOOKUP(F684,customers[customer_id],customers[signup_date])</f>
        <v>45789</v>
      </c>
      <c r="M684">
        <f>sales[[#This Row],[sale_date]]-sales[[#This Row],[sighnup_date]]</f>
        <v>17</v>
      </c>
      <c r="N684" t="str">
        <f t="shared" si="10"/>
        <v>new customer</v>
      </c>
      <c r="O684" t="str">
        <f>_xlfn.XLOOKUP(A684,salesitems[sale_id],salesitems[category])</f>
        <v>Pants</v>
      </c>
    </row>
    <row r="685" spans="1:15" x14ac:dyDescent="0.45">
      <c r="A685">
        <v>703</v>
      </c>
      <c r="B685" t="s">
        <v>21</v>
      </c>
      <c r="C685">
        <v>0</v>
      </c>
      <c r="D685">
        <v>472.8</v>
      </c>
      <c r="E685" s="1">
        <v>45782</v>
      </c>
      <c r="F685">
        <v>660</v>
      </c>
      <c r="G685" t="s">
        <v>33</v>
      </c>
      <c r="H685" t="str">
        <f>TEXT(sales[[#This Row],[sale_date]],"dddd")</f>
        <v>Monday</v>
      </c>
      <c r="I685">
        <f>_xlfn.XLOOKUP(A685,salesitems[sale_id],salesitems[revenue],0)</f>
        <v>171</v>
      </c>
      <c r="J685">
        <v>1</v>
      </c>
      <c r="K685" s="10" t="str">
        <f>_xlfn.XLOOKUP(F685,customers[customer_id],customers[age_range])</f>
        <v>56-65</v>
      </c>
      <c r="L685" s="1">
        <f>_xlfn.XLOOKUP(F685,customers[customer_id],customers[signup_date])</f>
        <v>45770</v>
      </c>
      <c r="M685">
        <f>sales[[#This Row],[sale_date]]-sales[[#This Row],[sighnup_date]]</f>
        <v>12</v>
      </c>
      <c r="N685" t="str">
        <f t="shared" si="10"/>
        <v>new customer</v>
      </c>
      <c r="O685" t="str">
        <f>_xlfn.XLOOKUP(A685,salesitems[sale_id],salesitems[category])</f>
        <v>T-Shirts</v>
      </c>
    </row>
    <row r="686" spans="1:15" x14ac:dyDescent="0.45">
      <c r="A686">
        <v>704</v>
      </c>
      <c r="B686" t="s">
        <v>21</v>
      </c>
      <c r="C686">
        <v>0</v>
      </c>
      <c r="D686">
        <v>328.55</v>
      </c>
      <c r="E686" s="1">
        <v>45795</v>
      </c>
      <c r="F686">
        <v>418</v>
      </c>
      <c r="G686" t="s">
        <v>28</v>
      </c>
      <c r="H686" t="str">
        <f>TEXT(sales[[#This Row],[sale_date]],"dddd")</f>
        <v>Sunday</v>
      </c>
      <c r="I686">
        <f>_xlfn.XLOOKUP(A686,salesitems[sale_id],salesitems[revenue],0)</f>
        <v>92.2</v>
      </c>
      <c r="J686">
        <v>1</v>
      </c>
      <c r="K686" s="10" t="str">
        <f>_xlfn.XLOOKUP(F686,customers[customer_id],customers[age_range])</f>
        <v>36-45</v>
      </c>
      <c r="L686" s="1">
        <f>_xlfn.XLOOKUP(F686,customers[customer_id],customers[signup_date])</f>
        <v>45703</v>
      </c>
      <c r="M686">
        <f>sales[[#This Row],[sale_date]]-sales[[#This Row],[sighnup_date]]</f>
        <v>92</v>
      </c>
      <c r="N686" t="str">
        <f t="shared" si="10"/>
        <v>existing customer</v>
      </c>
      <c r="O686" t="str">
        <f>_xlfn.XLOOKUP(A686,salesitems[sale_id],salesitems[category])</f>
        <v>T-Shirts</v>
      </c>
    </row>
    <row r="687" spans="1:15" x14ac:dyDescent="0.45">
      <c r="A687">
        <v>705</v>
      </c>
      <c r="B687" t="s">
        <v>21</v>
      </c>
      <c r="C687">
        <v>0</v>
      </c>
      <c r="D687">
        <v>190.64</v>
      </c>
      <c r="E687" s="1">
        <v>45765</v>
      </c>
      <c r="F687">
        <v>47</v>
      </c>
      <c r="G687" t="s">
        <v>36</v>
      </c>
      <c r="H687" t="str">
        <f>TEXT(sales[[#This Row],[sale_date]],"dddd")</f>
        <v>Friday</v>
      </c>
      <c r="I687">
        <f>_xlfn.XLOOKUP(A687,salesitems[sale_id],salesitems[revenue],0)</f>
        <v>36.65</v>
      </c>
      <c r="J687">
        <v>1</v>
      </c>
      <c r="K687" s="10" t="str">
        <f>_xlfn.XLOOKUP(F687,customers[customer_id],customers[age_range])</f>
        <v>26-35</v>
      </c>
      <c r="L687" s="1">
        <f>_xlfn.XLOOKUP(F687,customers[customer_id],customers[signup_date])</f>
        <v>45754</v>
      </c>
      <c r="M687">
        <f>sales[[#This Row],[sale_date]]-sales[[#This Row],[sighnup_date]]</f>
        <v>11</v>
      </c>
      <c r="N687" t="str">
        <f t="shared" si="10"/>
        <v>new customer</v>
      </c>
      <c r="O687" t="str">
        <f>_xlfn.XLOOKUP(A687,salesitems[sale_id],salesitems[category])</f>
        <v>Dresses</v>
      </c>
    </row>
    <row r="688" spans="1:15" x14ac:dyDescent="0.45">
      <c r="A688">
        <v>706</v>
      </c>
      <c r="B688" t="s">
        <v>15</v>
      </c>
      <c r="C688">
        <v>0</v>
      </c>
      <c r="D688">
        <v>118.14</v>
      </c>
      <c r="E688" s="1">
        <v>45782</v>
      </c>
      <c r="F688">
        <v>268</v>
      </c>
      <c r="G688" t="s">
        <v>36</v>
      </c>
      <c r="H688" t="str">
        <f>TEXT(sales[[#This Row],[sale_date]],"dddd")</f>
        <v>Monday</v>
      </c>
      <c r="I688">
        <f>_xlfn.XLOOKUP(A688,salesitems[sale_id],salesitems[revenue],0)</f>
        <v>39.78</v>
      </c>
      <c r="J688">
        <v>1</v>
      </c>
      <c r="K688" s="10" t="str">
        <f>_xlfn.XLOOKUP(F688,customers[customer_id],customers[age_range])</f>
        <v>46-55</v>
      </c>
      <c r="L688" s="1">
        <f>_xlfn.XLOOKUP(F688,customers[customer_id],customers[signup_date])</f>
        <v>45707</v>
      </c>
      <c r="M688">
        <f>sales[[#This Row],[sale_date]]-sales[[#This Row],[sighnup_date]]</f>
        <v>75</v>
      </c>
      <c r="N688" t="str">
        <f t="shared" si="10"/>
        <v>new customer</v>
      </c>
      <c r="O688" t="str">
        <f>_xlfn.XLOOKUP(A688,salesitems[sale_id],salesitems[category])</f>
        <v>Sleepwear</v>
      </c>
    </row>
    <row r="689" spans="1:15" x14ac:dyDescent="0.45">
      <c r="A689">
        <v>707</v>
      </c>
      <c r="B689" t="s">
        <v>21</v>
      </c>
      <c r="C689">
        <v>0</v>
      </c>
      <c r="D689">
        <v>89.46</v>
      </c>
      <c r="E689" s="1">
        <v>45800</v>
      </c>
      <c r="F689">
        <v>154</v>
      </c>
      <c r="G689" t="s">
        <v>28</v>
      </c>
      <c r="H689" t="str">
        <f>TEXT(sales[[#This Row],[sale_date]],"dddd")</f>
        <v>Friday</v>
      </c>
      <c r="I689">
        <f>_xlfn.XLOOKUP(A689,salesitems[sale_id],salesitems[revenue],0)</f>
        <v>55.01</v>
      </c>
      <c r="J689">
        <v>1</v>
      </c>
      <c r="K689" s="10" t="str">
        <f>_xlfn.XLOOKUP(F689,customers[customer_id],customers[age_range])</f>
        <v>36-45</v>
      </c>
      <c r="L689" s="1">
        <f>_xlfn.XLOOKUP(F689,customers[customer_id],customers[signup_date])</f>
        <v>45673</v>
      </c>
      <c r="M689">
        <f>sales[[#This Row],[sale_date]]-sales[[#This Row],[sighnup_date]]</f>
        <v>127</v>
      </c>
      <c r="N689" t="str">
        <f t="shared" si="10"/>
        <v>existing customer</v>
      </c>
      <c r="O689" t="str">
        <f>_xlfn.XLOOKUP(A689,salesitems[sale_id],salesitems[category])</f>
        <v>Shoes</v>
      </c>
    </row>
    <row r="690" spans="1:15" x14ac:dyDescent="0.45">
      <c r="A690">
        <v>708</v>
      </c>
      <c r="B690" t="s">
        <v>15</v>
      </c>
      <c r="C690">
        <v>0</v>
      </c>
      <c r="D690">
        <v>231.49</v>
      </c>
      <c r="E690" s="1">
        <v>45763</v>
      </c>
      <c r="F690">
        <v>951</v>
      </c>
      <c r="G690" t="s">
        <v>38</v>
      </c>
      <c r="H690" t="str">
        <f>TEXT(sales[[#This Row],[sale_date]],"dddd")</f>
        <v>Wednesday</v>
      </c>
      <c r="I690">
        <f>_xlfn.XLOOKUP(A690,salesitems[sale_id],salesitems[revenue],0)</f>
        <v>54.91</v>
      </c>
      <c r="J690">
        <v>1</v>
      </c>
      <c r="K690" s="10" t="str">
        <f>_xlfn.XLOOKUP(F690,customers[customer_id],customers[age_range])</f>
        <v>26-35</v>
      </c>
      <c r="L690" s="1">
        <f>_xlfn.XLOOKUP(F690,customers[customer_id],customers[signup_date])</f>
        <v>45707</v>
      </c>
      <c r="M690">
        <f>sales[[#This Row],[sale_date]]-sales[[#This Row],[sighnup_date]]</f>
        <v>56</v>
      </c>
      <c r="N690" t="str">
        <f t="shared" si="10"/>
        <v>new customer</v>
      </c>
      <c r="O690" t="str">
        <f>_xlfn.XLOOKUP(A690,salesitems[sale_id],salesitems[category])</f>
        <v>T-Shirts</v>
      </c>
    </row>
    <row r="691" spans="1:15" x14ac:dyDescent="0.45">
      <c r="A691">
        <v>709</v>
      </c>
      <c r="B691" t="s">
        <v>15</v>
      </c>
      <c r="C691">
        <v>0</v>
      </c>
      <c r="D691">
        <v>284.08</v>
      </c>
      <c r="E691" s="1">
        <v>45775</v>
      </c>
      <c r="F691">
        <v>596</v>
      </c>
      <c r="G691" t="s">
        <v>33</v>
      </c>
      <c r="H691" t="str">
        <f>TEXT(sales[[#This Row],[sale_date]],"dddd")</f>
        <v>Monday</v>
      </c>
      <c r="I691">
        <f>_xlfn.XLOOKUP(A691,salesitems[sale_id],salesitems[revenue],0)</f>
        <v>50.72</v>
      </c>
      <c r="J691">
        <v>1</v>
      </c>
      <c r="K691" s="10" t="str">
        <f>_xlfn.XLOOKUP(F691,customers[customer_id],customers[age_range])</f>
        <v>26-35</v>
      </c>
      <c r="L691" s="1">
        <f>_xlfn.XLOOKUP(F691,customers[customer_id],customers[signup_date])</f>
        <v>45792</v>
      </c>
      <c r="M691">
        <f>sales[[#This Row],[sale_date]]-sales[[#This Row],[sighnup_date]]</f>
        <v>-17</v>
      </c>
      <c r="N691" t="str">
        <f t="shared" si="10"/>
        <v>data issue</v>
      </c>
      <c r="O691" t="str">
        <f>_xlfn.XLOOKUP(A691,salesitems[sale_id],salesitems[category])</f>
        <v>T-Shirts</v>
      </c>
    </row>
    <row r="692" spans="1:15" x14ac:dyDescent="0.45">
      <c r="A692">
        <v>710</v>
      </c>
      <c r="B692" t="s">
        <v>21</v>
      </c>
      <c r="C692">
        <v>0</v>
      </c>
      <c r="D692">
        <v>440.06</v>
      </c>
      <c r="E692" s="1">
        <v>45825</v>
      </c>
      <c r="F692">
        <v>826</v>
      </c>
      <c r="G692" t="s">
        <v>38</v>
      </c>
      <c r="H692" t="str">
        <f>TEXT(sales[[#This Row],[sale_date]],"dddd")</f>
        <v>Tuesday</v>
      </c>
      <c r="I692">
        <f>_xlfn.XLOOKUP(A692,salesitems[sale_id],salesitems[revenue],0)</f>
        <v>126.06</v>
      </c>
      <c r="J692">
        <v>1</v>
      </c>
      <c r="K692" s="10" t="str">
        <f>_xlfn.XLOOKUP(F692,customers[customer_id],customers[age_range])</f>
        <v>26-35</v>
      </c>
      <c r="L692" s="1">
        <f>_xlfn.XLOOKUP(F692,customers[customer_id],customers[signup_date])</f>
        <v>45784</v>
      </c>
      <c r="M692">
        <f>sales[[#This Row],[sale_date]]-sales[[#This Row],[sighnup_date]]</f>
        <v>41</v>
      </c>
      <c r="N692" t="str">
        <f t="shared" si="10"/>
        <v>new customer</v>
      </c>
      <c r="O692" t="str">
        <f>_xlfn.XLOOKUP(A692,salesitems[sale_id],salesitems[category])</f>
        <v>Pants</v>
      </c>
    </row>
    <row r="693" spans="1:15" x14ac:dyDescent="0.45">
      <c r="A693">
        <v>711</v>
      </c>
      <c r="B693" t="s">
        <v>15</v>
      </c>
      <c r="C693">
        <v>0</v>
      </c>
      <c r="D693">
        <v>226.56</v>
      </c>
      <c r="E693" s="1">
        <v>45801</v>
      </c>
      <c r="F693">
        <v>695</v>
      </c>
      <c r="G693" t="s">
        <v>34</v>
      </c>
      <c r="H693" t="str">
        <f>TEXT(sales[[#This Row],[sale_date]],"dddd")</f>
        <v>Saturday</v>
      </c>
      <c r="I693">
        <f>_xlfn.XLOOKUP(A693,salesitems[sale_id],salesitems[revenue],0)</f>
        <v>113.68</v>
      </c>
      <c r="J693">
        <v>1</v>
      </c>
      <c r="K693" s="10" t="str">
        <f>_xlfn.XLOOKUP(F693,customers[customer_id],customers[age_range])</f>
        <v>56-65</v>
      </c>
      <c r="L693" s="1">
        <f>_xlfn.XLOOKUP(F693,customers[customer_id],customers[signup_date])</f>
        <v>45705</v>
      </c>
      <c r="M693">
        <f>sales[[#This Row],[sale_date]]-sales[[#This Row],[sighnup_date]]</f>
        <v>96</v>
      </c>
      <c r="N693" t="str">
        <f t="shared" si="10"/>
        <v>existing customer</v>
      </c>
      <c r="O693" t="str">
        <f>_xlfn.XLOOKUP(A693,salesitems[sale_id],salesitems[category])</f>
        <v>T-Shirts</v>
      </c>
    </row>
    <row r="694" spans="1:15" x14ac:dyDescent="0.45">
      <c r="A694">
        <v>713</v>
      </c>
      <c r="B694" t="s">
        <v>15</v>
      </c>
      <c r="C694">
        <v>0</v>
      </c>
      <c r="D694">
        <v>548.6</v>
      </c>
      <c r="E694" s="1">
        <v>45783</v>
      </c>
      <c r="F694">
        <v>253</v>
      </c>
      <c r="G694" t="s">
        <v>28</v>
      </c>
      <c r="H694" t="str">
        <f>TEXT(sales[[#This Row],[sale_date]],"dddd")</f>
        <v>Tuesday</v>
      </c>
      <c r="I694">
        <f>_xlfn.XLOOKUP(A694,salesitems[sale_id],salesitems[revenue],0)</f>
        <v>313.8</v>
      </c>
      <c r="J694">
        <v>1</v>
      </c>
      <c r="K694" s="10" t="str">
        <f>_xlfn.XLOOKUP(F694,customers[customer_id],customers[age_range])</f>
        <v>26-35</v>
      </c>
      <c r="L694" s="1">
        <f>_xlfn.XLOOKUP(F694,customers[customer_id],customers[signup_date])</f>
        <v>45748</v>
      </c>
      <c r="M694">
        <f>sales[[#This Row],[sale_date]]-sales[[#This Row],[sighnup_date]]</f>
        <v>35</v>
      </c>
      <c r="N694" t="str">
        <f t="shared" si="10"/>
        <v>new customer</v>
      </c>
      <c r="O694" t="str">
        <f>_xlfn.XLOOKUP(A694,salesitems[sale_id],salesitems[category])</f>
        <v>T-Shirts</v>
      </c>
    </row>
    <row r="695" spans="1:15" x14ac:dyDescent="0.45">
      <c r="A695">
        <v>714</v>
      </c>
      <c r="B695" t="s">
        <v>15</v>
      </c>
      <c r="C695">
        <v>0</v>
      </c>
      <c r="D695">
        <v>181.1</v>
      </c>
      <c r="E695" s="1">
        <v>45765</v>
      </c>
      <c r="F695">
        <v>764</v>
      </c>
      <c r="G695" t="s">
        <v>28</v>
      </c>
      <c r="H695" t="str">
        <f>TEXT(sales[[#This Row],[sale_date]],"dddd")</f>
        <v>Friday</v>
      </c>
      <c r="I695">
        <f>_xlfn.XLOOKUP(A695,salesitems[sale_id],salesitems[revenue],0)</f>
        <v>92.82</v>
      </c>
      <c r="J695">
        <v>1</v>
      </c>
      <c r="K695" s="10" t="str">
        <f>_xlfn.XLOOKUP(F695,customers[customer_id],customers[age_range])</f>
        <v>26-35</v>
      </c>
      <c r="L695" s="1">
        <f>_xlfn.XLOOKUP(F695,customers[customer_id],customers[signup_date])</f>
        <v>45789</v>
      </c>
      <c r="M695">
        <f>sales[[#This Row],[sale_date]]-sales[[#This Row],[sighnup_date]]</f>
        <v>-24</v>
      </c>
      <c r="N695" t="str">
        <f t="shared" si="10"/>
        <v>data issue</v>
      </c>
      <c r="O695" t="str">
        <f>_xlfn.XLOOKUP(A695,salesitems[sale_id],salesitems[category])</f>
        <v>Sleepwear</v>
      </c>
    </row>
    <row r="696" spans="1:15" x14ac:dyDescent="0.45">
      <c r="A696">
        <v>715</v>
      </c>
      <c r="B696" t="s">
        <v>21</v>
      </c>
      <c r="C696">
        <v>0</v>
      </c>
      <c r="D696">
        <v>512.83000000000004</v>
      </c>
      <c r="E696" s="1">
        <v>45823</v>
      </c>
      <c r="F696">
        <v>830</v>
      </c>
      <c r="G696" t="s">
        <v>33</v>
      </c>
      <c r="H696" t="str">
        <f>TEXT(sales[[#This Row],[sale_date]],"dddd")</f>
        <v>Sunday</v>
      </c>
      <c r="I696">
        <f>_xlfn.XLOOKUP(A696,salesitems[sale_id],salesitems[revenue],0)</f>
        <v>216.18</v>
      </c>
      <c r="J696">
        <v>1</v>
      </c>
      <c r="K696" s="10" t="str">
        <f>_xlfn.XLOOKUP(F696,customers[customer_id],customers[age_range])</f>
        <v>56-65</v>
      </c>
      <c r="L696" s="1">
        <f>_xlfn.XLOOKUP(F696,customers[customer_id],customers[signup_date])</f>
        <v>45714</v>
      </c>
      <c r="M696">
        <f>sales[[#This Row],[sale_date]]-sales[[#This Row],[sighnup_date]]</f>
        <v>109</v>
      </c>
      <c r="N696" t="str">
        <f t="shared" si="10"/>
        <v>existing customer</v>
      </c>
      <c r="O696" t="str">
        <f>_xlfn.XLOOKUP(A696,salesitems[sale_id],salesitems[category])</f>
        <v>Dresses</v>
      </c>
    </row>
    <row r="697" spans="1:15" x14ac:dyDescent="0.45">
      <c r="A697">
        <v>716</v>
      </c>
      <c r="B697" t="s">
        <v>21</v>
      </c>
      <c r="C697">
        <v>0</v>
      </c>
      <c r="D697">
        <v>483.65</v>
      </c>
      <c r="E697" s="1">
        <v>45766</v>
      </c>
      <c r="F697">
        <v>508</v>
      </c>
      <c r="G697" t="s">
        <v>33</v>
      </c>
      <c r="H697" t="str">
        <f>TEXT(sales[[#This Row],[sale_date]],"dddd")</f>
        <v>Saturday</v>
      </c>
      <c r="I697">
        <f>_xlfn.XLOOKUP(A697,salesitems[sale_id],salesitems[revenue],0)</f>
        <v>261.39999999999998</v>
      </c>
      <c r="J697">
        <v>1</v>
      </c>
      <c r="K697" s="10" t="str">
        <f>_xlfn.XLOOKUP(F697,customers[customer_id],customers[age_range])</f>
        <v>16-25</v>
      </c>
      <c r="L697" s="1">
        <f>_xlfn.XLOOKUP(F697,customers[customer_id],customers[signup_date])</f>
        <v>45734</v>
      </c>
      <c r="M697">
        <f>sales[[#This Row],[sale_date]]-sales[[#This Row],[sighnup_date]]</f>
        <v>32</v>
      </c>
      <c r="N697" t="str">
        <f t="shared" si="10"/>
        <v>new customer</v>
      </c>
      <c r="O697" t="str">
        <f>_xlfn.XLOOKUP(A697,salesitems[sale_id],salesitems[category])</f>
        <v>Sleepwear</v>
      </c>
    </row>
    <row r="698" spans="1:15" x14ac:dyDescent="0.45">
      <c r="A698">
        <v>718</v>
      </c>
      <c r="B698" t="s">
        <v>15</v>
      </c>
      <c r="C698">
        <v>1</v>
      </c>
      <c r="D698">
        <v>180.9</v>
      </c>
      <c r="E698" s="1">
        <v>45794</v>
      </c>
      <c r="F698">
        <v>952</v>
      </c>
      <c r="G698" t="s">
        <v>33</v>
      </c>
      <c r="H698" t="str">
        <f>TEXT(sales[[#This Row],[sale_date]],"dddd")</f>
        <v>Saturday</v>
      </c>
      <c r="I698">
        <f>_xlfn.XLOOKUP(A698,salesitems[sale_id],salesitems[revenue],0)</f>
        <v>75.819999999999993</v>
      </c>
      <c r="J698">
        <v>1</v>
      </c>
      <c r="K698" s="10" t="str">
        <f>_xlfn.XLOOKUP(F698,customers[customer_id],customers[age_range])</f>
        <v>16-25</v>
      </c>
      <c r="L698" s="1">
        <f>_xlfn.XLOOKUP(F698,customers[customer_id],customers[signup_date])</f>
        <v>45730</v>
      </c>
      <c r="M698">
        <f>sales[[#This Row],[sale_date]]-sales[[#This Row],[sighnup_date]]</f>
        <v>64</v>
      </c>
      <c r="N698" t="str">
        <f t="shared" si="10"/>
        <v>new customer</v>
      </c>
      <c r="O698" t="str">
        <f>_xlfn.XLOOKUP(A698,salesitems[sale_id],salesitems[category])</f>
        <v>T-Shirts</v>
      </c>
    </row>
    <row r="699" spans="1:15" x14ac:dyDescent="0.45">
      <c r="A699">
        <v>719</v>
      </c>
      <c r="B699" t="s">
        <v>21</v>
      </c>
      <c r="C699">
        <v>0</v>
      </c>
      <c r="D699">
        <v>381.98</v>
      </c>
      <c r="E699" s="1">
        <v>45769</v>
      </c>
      <c r="F699">
        <v>992</v>
      </c>
      <c r="G699" t="s">
        <v>33</v>
      </c>
      <c r="H699" t="str">
        <f>TEXT(sales[[#This Row],[sale_date]],"dddd")</f>
        <v>Tuesday</v>
      </c>
      <c r="I699">
        <f>_xlfn.XLOOKUP(A699,salesitems[sale_id],salesitems[revenue],0)</f>
        <v>95.18</v>
      </c>
      <c r="J699">
        <v>1</v>
      </c>
      <c r="K699" s="10" t="str">
        <f>_xlfn.XLOOKUP(F699,customers[customer_id],customers[age_range])</f>
        <v>36-45</v>
      </c>
      <c r="L699" s="1">
        <f>_xlfn.XLOOKUP(F699,customers[customer_id],customers[signup_date])</f>
        <v>45791</v>
      </c>
      <c r="M699">
        <f>sales[[#This Row],[sale_date]]-sales[[#This Row],[sighnup_date]]</f>
        <v>-22</v>
      </c>
      <c r="N699" t="str">
        <f t="shared" si="10"/>
        <v>data issue</v>
      </c>
      <c r="O699" t="str">
        <f>_xlfn.XLOOKUP(A699,salesitems[sale_id],salesitems[category])</f>
        <v>Dresses</v>
      </c>
    </row>
    <row r="700" spans="1:15" x14ac:dyDescent="0.45">
      <c r="A700">
        <v>72</v>
      </c>
      <c r="B700" t="s">
        <v>21</v>
      </c>
      <c r="C700">
        <v>0</v>
      </c>
      <c r="D700">
        <v>622.14</v>
      </c>
      <c r="E700" s="1">
        <v>45796</v>
      </c>
      <c r="F700">
        <v>710</v>
      </c>
      <c r="G700" t="s">
        <v>28</v>
      </c>
      <c r="H700" t="str">
        <f>TEXT(sales[[#This Row],[sale_date]],"dddd")</f>
        <v>Monday</v>
      </c>
      <c r="I700">
        <f>_xlfn.XLOOKUP(A700,salesitems[sale_id],salesitems[revenue],0)</f>
        <v>46.99</v>
      </c>
      <c r="J700">
        <v>1</v>
      </c>
      <c r="K700" s="10" t="str">
        <f>_xlfn.XLOOKUP(F700,customers[customer_id],customers[age_range])</f>
        <v>36-45</v>
      </c>
      <c r="L700" s="1">
        <f>_xlfn.XLOOKUP(F700,customers[customer_id],customers[signup_date])</f>
        <v>45693</v>
      </c>
      <c r="M700">
        <f>sales[[#This Row],[sale_date]]-sales[[#This Row],[sighnup_date]]</f>
        <v>103</v>
      </c>
      <c r="N700" t="str">
        <f t="shared" si="10"/>
        <v>existing customer</v>
      </c>
      <c r="O700" t="str">
        <f>_xlfn.XLOOKUP(A700,salesitems[sale_id],salesitems[category])</f>
        <v>T-Shirts</v>
      </c>
    </row>
    <row r="701" spans="1:15" x14ac:dyDescent="0.45">
      <c r="A701">
        <v>722</v>
      </c>
      <c r="B701" t="s">
        <v>15</v>
      </c>
      <c r="C701">
        <v>0</v>
      </c>
      <c r="D701">
        <v>238.35</v>
      </c>
      <c r="E701" s="1">
        <v>45781</v>
      </c>
      <c r="F701">
        <v>620</v>
      </c>
      <c r="G701" t="s">
        <v>31</v>
      </c>
      <c r="H701" t="str">
        <f>TEXT(sales[[#This Row],[sale_date]],"dddd")</f>
        <v>Sunday</v>
      </c>
      <c r="I701">
        <f>_xlfn.XLOOKUP(A701,salesitems[sale_id],salesitems[revenue],0)</f>
        <v>36.99</v>
      </c>
      <c r="J701">
        <v>1</v>
      </c>
      <c r="K701" s="10" t="str">
        <f>_xlfn.XLOOKUP(F701,customers[customer_id],customers[age_range])</f>
        <v>56-65</v>
      </c>
      <c r="L701" s="1">
        <f>_xlfn.XLOOKUP(F701,customers[customer_id],customers[signup_date])</f>
        <v>45767</v>
      </c>
      <c r="M701">
        <f>sales[[#This Row],[sale_date]]-sales[[#This Row],[sighnup_date]]</f>
        <v>14</v>
      </c>
      <c r="N701" t="str">
        <f t="shared" si="10"/>
        <v>new customer</v>
      </c>
      <c r="O701" t="str">
        <f>_xlfn.XLOOKUP(A701,salesitems[sale_id],salesitems[category])</f>
        <v>Dresses</v>
      </c>
    </row>
    <row r="702" spans="1:15" x14ac:dyDescent="0.45">
      <c r="A702">
        <v>724</v>
      </c>
      <c r="B702" t="s">
        <v>21</v>
      </c>
      <c r="C702">
        <v>0</v>
      </c>
      <c r="D702">
        <v>183.62</v>
      </c>
      <c r="E702" s="1">
        <v>45807</v>
      </c>
      <c r="F702">
        <v>227</v>
      </c>
      <c r="G702" t="s">
        <v>28</v>
      </c>
      <c r="H702" t="str">
        <f>TEXT(sales[[#This Row],[sale_date]],"dddd")</f>
        <v>Friday</v>
      </c>
      <c r="I702">
        <f>_xlfn.XLOOKUP(A702,salesitems[sale_id],salesitems[revenue],0)</f>
        <v>107.07</v>
      </c>
      <c r="J702">
        <v>1</v>
      </c>
      <c r="K702" s="10" t="str">
        <f>_xlfn.XLOOKUP(F702,customers[customer_id],customers[age_range])</f>
        <v>46-55</v>
      </c>
      <c r="L702" s="1">
        <f>_xlfn.XLOOKUP(F702,customers[customer_id],customers[signup_date])</f>
        <v>45770</v>
      </c>
      <c r="M702">
        <f>sales[[#This Row],[sale_date]]-sales[[#This Row],[sighnup_date]]</f>
        <v>37</v>
      </c>
      <c r="N702" t="str">
        <f t="shared" si="10"/>
        <v>new customer</v>
      </c>
      <c r="O702" t="str">
        <f>_xlfn.XLOOKUP(A702,salesitems[sale_id],salesitems[category])</f>
        <v>Sleepwear</v>
      </c>
    </row>
    <row r="703" spans="1:15" x14ac:dyDescent="0.45">
      <c r="A703">
        <v>725</v>
      </c>
      <c r="B703" t="s">
        <v>15</v>
      </c>
      <c r="C703">
        <v>0</v>
      </c>
      <c r="D703">
        <v>401.53</v>
      </c>
      <c r="E703" s="1">
        <v>45823</v>
      </c>
      <c r="F703">
        <v>445</v>
      </c>
      <c r="G703" t="s">
        <v>33</v>
      </c>
      <c r="H703" t="str">
        <f>TEXT(sales[[#This Row],[sale_date]],"dddd")</f>
        <v>Sunday</v>
      </c>
      <c r="I703">
        <f>_xlfn.XLOOKUP(A703,salesitems[sale_id],salesitems[revenue],0)</f>
        <v>67.180000000000007</v>
      </c>
      <c r="J703">
        <v>1</v>
      </c>
      <c r="K703" s="10" t="str">
        <f>_xlfn.XLOOKUP(F703,customers[customer_id],customers[age_range])</f>
        <v>46-55</v>
      </c>
      <c r="L703" s="1">
        <f>_xlfn.XLOOKUP(F703,customers[customer_id],customers[signup_date])</f>
        <v>45741</v>
      </c>
      <c r="M703">
        <f>sales[[#This Row],[sale_date]]-sales[[#This Row],[sighnup_date]]</f>
        <v>82</v>
      </c>
      <c r="N703" t="str">
        <f t="shared" si="10"/>
        <v>new customer</v>
      </c>
      <c r="O703" t="str">
        <f>_xlfn.XLOOKUP(A703,salesitems[sale_id],salesitems[category])</f>
        <v>Pants</v>
      </c>
    </row>
    <row r="704" spans="1:15" x14ac:dyDescent="0.45">
      <c r="A704">
        <v>727</v>
      </c>
      <c r="B704" t="s">
        <v>21</v>
      </c>
      <c r="C704">
        <v>0</v>
      </c>
      <c r="D704">
        <v>330.45</v>
      </c>
      <c r="E704" s="1">
        <v>45769</v>
      </c>
      <c r="F704">
        <v>834</v>
      </c>
      <c r="G704" t="s">
        <v>31</v>
      </c>
      <c r="H704" t="str">
        <f>TEXT(sales[[#This Row],[sale_date]],"dddd")</f>
        <v>Tuesday</v>
      </c>
      <c r="I704">
        <f>_xlfn.XLOOKUP(A704,salesitems[sale_id],salesitems[revenue],0)</f>
        <v>226.35000000000002</v>
      </c>
      <c r="J704">
        <v>1</v>
      </c>
      <c r="K704" s="10" t="str">
        <f>_xlfn.XLOOKUP(F704,customers[customer_id],customers[age_range])</f>
        <v>26-35</v>
      </c>
      <c r="L704" s="1">
        <f>_xlfn.XLOOKUP(F704,customers[customer_id],customers[signup_date])</f>
        <v>45766</v>
      </c>
      <c r="M704">
        <f>sales[[#This Row],[sale_date]]-sales[[#This Row],[sighnup_date]]</f>
        <v>3</v>
      </c>
      <c r="N704" t="str">
        <f t="shared" si="10"/>
        <v>new customer</v>
      </c>
      <c r="O704" t="str">
        <f>_xlfn.XLOOKUP(A704,salesitems[sale_id],salesitems[category])</f>
        <v>Dresses</v>
      </c>
    </row>
    <row r="705" spans="1:15" x14ac:dyDescent="0.45">
      <c r="A705">
        <v>728</v>
      </c>
      <c r="B705" t="s">
        <v>15</v>
      </c>
      <c r="C705">
        <v>1</v>
      </c>
      <c r="D705">
        <v>309.68</v>
      </c>
      <c r="E705" s="1">
        <v>45795</v>
      </c>
      <c r="F705">
        <v>258</v>
      </c>
      <c r="G705" t="s">
        <v>31</v>
      </c>
      <c r="H705" t="str">
        <f>TEXT(sales[[#This Row],[sale_date]],"dddd")</f>
        <v>Sunday</v>
      </c>
      <c r="I705">
        <f>_xlfn.XLOOKUP(A705,salesitems[sale_id],salesitems[revenue],0)</f>
        <v>98.49</v>
      </c>
      <c r="J705">
        <v>1</v>
      </c>
      <c r="K705" s="10" t="str">
        <f>_xlfn.XLOOKUP(F705,customers[customer_id],customers[age_range])</f>
        <v>46-55</v>
      </c>
      <c r="L705" s="1">
        <f>_xlfn.XLOOKUP(F705,customers[customer_id],customers[signup_date])</f>
        <v>45803</v>
      </c>
      <c r="M705">
        <f>sales[[#This Row],[sale_date]]-sales[[#This Row],[sighnup_date]]</f>
        <v>-8</v>
      </c>
      <c r="N705" t="str">
        <f t="shared" si="10"/>
        <v>data issue</v>
      </c>
      <c r="O705" t="str">
        <f>_xlfn.XLOOKUP(A705,salesitems[sale_id],salesitems[category])</f>
        <v>Shoes</v>
      </c>
    </row>
    <row r="706" spans="1:15" x14ac:dyDescent="0.45">
      <c r="A706">
        <v>729</v>
      </c>
      <c r="B706" t="s">
        <v>21</v>
      </c>
      <c r="C706">
        <v>0</v>
      </c>
      <c r="D706">
        <v>350.42</v>
      </c>
      <c r="E706" s="1">
        <v>45774</v>
      </c>
      <c r="F706">
        <v>190</v>
      </c>
      <c r="G706" t="s">
        <v>33</v>
      </c>
      <c r="H706" t="str">
        <f>TEXT(sales[[#This Row],[sale_date]],"dddd")</f>
        <v>Sunday</v>
      </c>
      <c r="I706">
        <f>_xlfn.XLOOKUP(A706,salesitems[sale_id],salesitems[revenue],0)</f>
        <v>44.32</v>
      </c>
      <c r="J706">
        <v>1</v>
      </c>
      <c r="K706" s="10" t="str">
        <f>_xlfn.XLOOKUP(F706,customers[customer_id],customers[age_range])</f>
        <v>26-35</v>
      </c>
      <c r="L706" s="1">
        <f>_xlfn.XLOOKUP(F706,customers[customer_id],customers[signup_date])</f>
        <v>45739</v>
      </c>
      <c r="M706">
        <f>sales[[#This Row],[sale_date]]-sales[[#This Row],[sighnup_date]]</f>
        <v>35</v>
      </c>
      <c r="N706" t="str">
        <f t="shared" ref="N706:N769" si="11">IF(M706&lt;0,"data issue",IF(M706&lt;=90,"new customer","existing customer"))</f>
        <v>new customer</v>
      </c>
      <c r="O706" t="str">
        <f>_xlfn.XLOOKUP(A706,salesitems[sale_id],salesitems[category])</f>
        <v>T-Shirts</v>
      </c>
    </row>
    <row r="707" spans="1:15" x14ac:dyDescent="0.45">
      <c r="A707">
        <v>73</v>
      </c>
      <c r="B707" t="s">
        <v>21</v>
      </c>
      <c r="C707">
        <v>0</v>
      </c>
      <c r="D707">
        <v>453.55</v>
      </c>
      <c r="E707" s="1">
        <v>45796</v>
      </c>
      <c r="F707">
        <v>477</v>
      </c>
      <c r="G707" t="s">
        <v>34</v>
      </c>
      <c r="H707" t="str">
        <f>TEXT(sales[[#This Row],[sale_date]],"dddd")</f>
        <v>Monday</v>
      </c>
      <c r="I707">
        <f>_xlfn.XLOOKUP(A707,salesitems[sale_id],salesitems[revenue],0)</f>
        <v>36.880000000000003</v>
      </c>
      <c r="J707">
        <v>1</v>
      </c>
      <c r="K707" s="10" t="str">
        <f>_xlfn.XLOOKUP(F707,customers[customer_id],customers[age_range])</f>
        <v>16-25</v>
      </c>
      <c r="L707" s="1">
        <f>_xlfn.XLOOKUP(F707,customers[customer_id],customers[signup_date])</f>
        <v>45711</v>
      </c>
      <c r="M707">
        <f>sales[[#This Row],[sale_date]]-sales[[#This Row],[sighnup_date]]</f>
        <v>85</v>
      </c>
      <c r="N707" t="str">
        <f t="shared" si="11"/>
        <v>new customer</v>
      </c>
      <c r="O707" t="str">
        <f>_xlfn.XLOOKUP(A707,salesitems[sale_id],salesitems[category])</f>
        <v>T-Shirts</v>
      </c>
    </row>
    <row r="708" spans="1:15" x14ac:dyDescent="0.45">
      <c r="A708">
        <v>730</v>
      </c>
      <c r="B708" t="s">
        <v>21</v>
      </c>
      <c r="C708">
        <v>0</v>
      </c>
      <c r="D708">
        <v>191.32</v>
      </c>
      <c r="E708" s="1">
        <v>45796</v>
      </c>
      <c r="F708">
        <v>53</v>
      </c>
      <c r="G708" t="s">
        <v>33</v>
      </c>
      <c r="H708" t="str">
        <f>TEXT(sales[[#This Row],[sale_date]],"dddd")</f>
        <v>Monday</v>
      </c>
      <c r="I708">
        <f>_xlfn.XLOOKUP(A708,salesitems[sale_id],salesitems[revenue],0)</f>
        <v>111.82</v>
      </c>
      <c r="J708">
        <v>1</v>
      </c>
      <c r="K708" s="10" t="str">
        <f>_xlfn.XLOOKUP(F708,customers[customer_id],customers[age_range])</f>
        <v>46-55</v>
      </c>
      <c r="L708" s="1">
        <f>_xlfn.XLOOKUP(F708,customers[customer_id],customers[signup_date])</f>
        <v>45789</v>
      </c>
      <c r="M708">
        <f>sales[[#This Row],[sale_date]]-sales[[#This Row],[sighnup_date]]</f>
        <v>7</v>
      </c>
      <c r="N708" t="str">
        <f t="shared" si="11"/>
        <v>new customer</v>
      </c>
      <c r="O708" t="str">
        <f>_xlfn.XLOOKUP(A708,salesitems[sale_id],salesitems[category])</f>
        <v>Sleepwear</v>
      </c>
    </row>
    <row r="709" spans="1:15" x14ac:dyDescent="0.45">
      <c r="A709">
        <v>736</v>
      </c>
      <c r="B709" t="s">
        <v>21</v>
      </c>
      <c r="C709">
        <v>0</v>
      </c>
      <c r="D709">
        <v>572.20000000000005</v>
      </c>
      <c r="E709" s="1">
        <v>45761</v>
      </c>
      <c r="F709">
        <v>505</v>
      </c>
      <c r="G709" t="s">
        <v>36</v>
      </c>
      <c r="H709" t="str">
        <f>TEXT(sales[[#This Row],[sale_date]],"dddd")</f>
        <v>Monday</v>
      </c>
      <c r="I709">
        <f>_xlfn.XLOOKUP(A709,salesitems[sale_id],salesitems[revenue],0)</f>
        <v>311.60000000000002</v>
      </c>
      <c r="J709">
        <v>1</v>
      </c>
      <c r="K709" s="10" t="str">
        <f>_xlfn.XLOOKUP(F709,customers[customer_id],customers[age_range])</f>
        <v>26-35</v>
      </c>
      <c r="L709" s="1">
        <f>_xlfn.XLOOKUP(F709,customers[customer_id],customers[signup_date])</f>
        <v>45744</v>
      </c>
      <c r="M709">
        <f>sales[[#This Row],[sale_date]]-sales[[#This Row],[sighnup_date]]</f>
        <v>17</v>
      </c>
      <c r="N709" t="str">
        <f t="shared" si="11"/>
        <v>new customer</v>
      </c>
      <c r="O709" t="str">
        <f>_xlfn.XLOOKUP(A709,salesitems[sale_id],salesitems[category])</f>
        <v>Shoes</v>
      </c>
    </row>
    <row r="710" spans="1:15" x14ac:dyDescent="0.45">
      <c r="A710">
        <v>737</v>
      </c>
      <c r="B710" t="s">
        <v>21</v>
      </c>
      <c r="C710">
        <v>0</v>
      </c>
      <c r="D710">
        <v>410.06</v>
      </c>
      <c r="E710" s="1">
        <v>45769</v>
      </c>
      <c r="F710">
        <v>802</v>
      </c>
      <c r="G710" t="s">
        <v>34</v>
      </c>
      <c r="H710" t="str">
        <f>TEXT(sales[[#This Row],[sale_date]],"dddd")</f>
        <v>Tuesday</v>
      </c>
      <c r="I710">
        <f>_xlfn.XLOOKUP(A710,salesitems[sale_id],salesitems[revenue],0)</f>
        <v>189.76</v>
      </c>
      <c r="J710">
        <v>1</v>
      </c>
      <c r="K710" s="10" t="str">
        <f>_xlfn.XLOOKUP(F710,customers[customer_id],customers[age_range])</f>
        <v>36-45</v>
      </c>
      <c r="L710" s="1">
        <f>_xlfn.XLOOKUP(F710,customers[customer_id],customers[signup_date])</f>
        <v>45719</v>
      </c>
      <c r="M710">
        <f>sales[[#This Row],[sale_date]]-sales[[#This Row],[sighnup_date]]</f>
        <v>50</v>
      </c>
      <c r="N710" t="str">
        <f t="shared" si="11"/>
        <v>new customer</v>
      </c>
      <c r="O710" t="str">
        <f>_xlfn.XLOOKUP(A710,salesitems[sale_id],salesitems[category])</f>
        <v>Shoes</v>
      </c>
    </row>
    <row r="711" spans="1:15" x14ac:dyDescent="0.45">
      <c r="A711">
        <v>739</v>
      </c>
      <c r="B711" t="s">
        <v>15</v>
      </c>
      <c r="C711">
        <v>0</v>
      </c>
      <c r="D711">
        <v>350.65</v>
      </c>
      <c r="E711" s="1">
        <v>45782</v>
      </c>
      <c r="F711">
        <v>885</v>
      </c>
      <c r="G711" t="s">
        <v>34</v>
      </c>
      <c r="H711" t="str">
        <f>TEXT(sales[[#This Row],[sale_date]],"dddd")</f>
        <v>Monday</v>
      </c>
      <c r="I711">
        <f>_xlfn.XLOOKUP(A711,salesitems[sale_id],salesitems[revenue],0)</f>
        <v>103.6</v>
      </c>
      <c r="J711">
        <v>1</v>
      </c>
      <c r="K711" s="10" t="str">
        <f>_xlfn.XLOOKUP(F711,customers[customer_id],customers[age_range])</f>
        <v>56-65</v>
      </c>
      <c r="L711" s="1">
        <f>_xlfn.XLOOKUP(F711,customers[customer_id],customers[signup_date])</f>
        <v>45757</v>
      </c>
      <c r="M711">
        <f>sales[[#This Row],[sale_date]]-sales[[#This Row],[sighnup_date]]</f>
        <v>25</v>
      </c>
      <c r="N711" t="str">
        <f t="shared" si="11"/>
        <v>new customer</v>
      </c>
      <c r="O711" t="str">
        <f>_xlfn.XLOOKUP(A711,salesitems[sale_id],salesitems[category])</f>
        <v>Sleepwear</v>
      </c>
    </row>
    <row r="712" spans="1:15" x14ac:dyDescent="0.45">
      <c r="A712">
        <v>740</v>
      </c>
      <c r="B712" t="s">
        <v>21</v>
      </c>
      <c r="C712">
        <v>0</v>
      </c>
      <c r="D712">
        <v>415.23</v>
      </c>
      <c r="E712" s="1">
        <v>45776</v>
      </c>
      <c r="F712">
        <v>370</v>
      </c>
      <c r="G712" t="s">
        <v>31</v>
      </c>
      <c r="H712" t="str">
        <f>TEXT(sales[[#This Row],[sale_date]],"dddd")</f>
        <v>Tuesday</v>
      </c>
      <c r="I712">
        <f>_xlfn.XLOOKUP(A712,salesitems[sale_id],salesitems[revenue],0)</f>
        <v>148.47999999999999</v>
      </c>
      <c r="J712">
        <v>1</v>
      </c>
      <c r="K712" s="10" t="str">
        <f>_xlfn.XLOOKUP(F712,customers[customer_id],customers[age_range])</f>
        <v>26-35</v>
      </c>
      <c r="L712" s="1">
        <f>_xlfn.XLOOKUP(F712,customers[customer_id],customers[signup_date])</f>
        <v>45680</v>
      </c>
      <c r="M712">
        <f>sales[[#This Row],[sale_date]]-sales[[#This Row],[sighnup_date]]</f>
        <v>96</v>
      </c>
      <c r="N712" t="str">
        <f t="shared" si="11"/>
        <v>existing customer</v>
      </c>
      <c r="O712" t="str">
        <f>_xlfn.XLOOKUP(A712,salesitems[sale_id],salesitems[category])</f>
        <v>Pants</v>
      </c>
    </row>
    <row r="713" spans="1:15" x14ac:dyDescent="0.45">
      <c r="A713">
        <v>742</v>
      </c>
      <c r="B713" t="s">
        <v>15</v>
      </c>
      <c r="C713">
        <v>0</v>
      </c>
      <c r="D713">
        <v>227.27</v>
      </c>
      <c r="E713" s="1">
        <v>45767</v>
      </c>
      <c r="F713">
        <v>123</v>
      </c>
      <c r="G713" t="s">
        <v>33</v>
      </c>
      <c r="H713" t="str">
        <f>TEXT(sales[[#This Row],[sale_date]],"dddd")</f>
        <v>Sunday</v>
      </c>
      <c r="I713">
        <f>_xlfn.XLOOKUP(A713,salesitems[sale_id],salesitems[revenue],0)</f>
        <v>108.03</v>
      </c>
      <c r="J713">
        <v>1</v>
      </c>
      <c r="K713" s="10" t="str">
        <f>_xlfn.XLOOKUP(F713,customers[customer_id],customers[age_range])</f>
        <v>26-35</v>
      </c>
      <c r="L713" s="1">
        <f>_xlfn.XLOOKUP(F713,customers[customer_id],customers[signup_date])</f>
        <v>45735</v>
      </c>
      <c r="M713">
        <f>sales[[#This Row],[sale_date]]-sales[[#This Row],[sighnup_date]]</f>
        <v>32</v>
      </c>
      <c r="N713" t="str">
        <f t="shared" si="11"/>
        <v>new customer</v>
      </c>
      <c r="O713" t="str">
        <f>_xlfn.XLOOKUP(A713,salesitems[sale_id],salesitems[category])</f>
        <v>Sleepwear</v>
      </c>
    </row>
    <row r="714" spans="1:15" x14ac:dyDescent="0.45">
      <c r="A714">
        <v>744</v>
      </c>
      <c r="B714" t="s">
        <v>15</v>
      </c>
      <c r="C714">
        <v>0</v>
      </c>
      <c r="D714">
        <v>202.93</v>
      </c>
      <c r="E714" s="1">
        <v>45814</v>
      </c>
      <c r="F714">
        <v>736</v>
      </c>
      <c r="G714" t="s">
        <v>36</v>
      </c>
      <c r="H714" t="str">
        <f>TEXT(sales[[#This Row],[sale_date]],"dddd")</f>
        <v>Friday</v>
      </c>
      <c r="I714">
        <f>_xlfn.XLOOKUP(A714,salesitems[sale_id],salesitems[revenue],0)</f>
        <v>51.17</v>
      </c>
      <c r="J714">
        <v>1</v>
      </c>
      <c r="K714" s="10" t="str">
        <f>_xlfn.XLOOKUP(F714,customers[customer_id],customers[age_range])</f>
        <v>26-35</v>
      </c>
      <c r="L714" s="1">
        <f>_xlfn.XLOOKUP(F714,customers[customer_id],customers[signup_date])</f>
        <v>45707</v>
      </c>
      <c r="M714">
        <f>sales[[#This Row],[sale_date]]-sales[[#This Row],[sighnup_date]]</f>
        <v>107</v>
      </c>
      <c r="N714" t="str">
        <f t="shared" si="11"/>
        <v>existing customer</v>
      </c>
      <c r="O714" t="str">
        <f>_xlfn.XLOOKUP(A714,salesitems[sale_id],salesitems[category])</f>
        <v>T-Shirts</v>
      </c>
    </row>
    <row r="715" spans="1:15" x14ac:dyDescent="0.45">
      <c r="A715">
        <v>745</v>
      </c>
      <c r="B715" t="s">
        <v>21</v>
      </c>
      <c r="C715">
        <v>0</v>
      </c>
      <c r="D715">
        <v>120.29</v>
      </c>
      <c r="E715" s="1">
        <v>45775</v>
      </c>
      <c r="F715">
        <v>556</v>
      </c>
      <c r="G715" t="s">
        <v>33</v>
      </c>
      <c r="H715" t="str">
        <f>TEXT(sales[[#This Row],[sale_date]],"dddd")</f>
        <v>Monday</v>
      </c>
      <c r="I715">
        <f>_xlfn.XLOOKUP(A715,salesitems[sale_id],salesitems[revenue],0)</f>
        <v>39.03</v>
      </c>
      <c r="J715">
        <v>1</v>
      </c>
      <c r="K715" s="10" t="str">
        <f>_xlfn.XLOOKUP(F715,customers[customer_id],customers[age_range])</f>
        <v>16-25</v>
      </c>
      <c r="L715" s="1">
        <f>_xlfn.XLOOKUP(F715,customers[customer_id],customers[signup_date])</f>
        <v>45743</v>
      </c>
      <c r="M715">
        <f>sales[[#This Row],[sale_date]]-sales[[#This Row],[sighnup_date]]</f>
        <v>32</v>
      </c>
      <c r="N715" t="str">
        <f t="shared" si="11"/>
        <v>new customer</v>
      </c>
      <c r="O715" t="str">
        <f>_xlfn.XLOOKUP(A715,salesitems[sale_id],salesitems[category])</f>
        <v>T-Shirts</v>
      </c>
    </row>
    <row r="716" spans="1:15" x14ac:dyDescent="0.45">
      <c r="A716">
        <v>746</v>
      </c>
      <c r="B716" t="s">
        <v>21</v>
      </c>
      <c r="C716">
        <v>0</v>
      </c>
      <c r="D716">
        <v>302.39999999999998</v>
      </c>
      <c r="E716" s="1">
        <v>45793</v>
      </c>
      <c r="F716">
        <v>522</v>
      </c>
      <c r="G716" t="s">
        <v>34</v>
      </c>
      <c r="H716" t="str">
        <f>TEXT(sales[[#This Row],[sale_date]],"dddd")</f>
        <v>Friday</v>
      </c>
      <c r="I716">
        <f>_xlfn.XLOOKUP(A716,salesitems[sale_id],salesitems[revenue],0)</f>
        <v>86.68</v>
      </c>
      <c r="J716">
        <v>1</v>
      </c>
      <c r="K716" s="10" t="str">
        <f>_xlfn.XLOOKUP(F716,customers[customer_id],customers[age_range])</f>
        <v>16-25</v>
      </c>
      <c r="L716" s="1">
        <f>_xlfn.XLOOKUP(F716,customers[customer_id],customers[signup_date])</f>
        <v>45700</v>
      </c>
      <c r="M716">
        <f>sales[[#This Row],[sale_date]]-sales[[#This Row],[sighnup_date]]</f>
        <v>93</v>
      </c>
      <c r="N716" t="str">
        <f t="shared" si="11"/>
        <v>existing customer</v>
      </c>
      <c r="O716" t="str">
        <f>_xlfn.XLOOKUP(A716,salesitems[sale_id],salesitems[category])</f>
        <v>T-Shirts</v>
      </c>
    </row>
    <row r="717" spans="1:15" x14ac:dyDescent="0.45">
      <c r="A717">
        <v>747</v>
      </c>
      <c r="B717" t="s">
        <v>15</v>
      </c>
      <c r="C717">
        <v>0</v>
      </c>
      <c r="D717">
        <v>250.93</v>
      </c>
      <c r="E717" s="1">
        <v>45768</v>
      </c>
      <c r="F717">
        <v>442</v>
      </c>
      <c r="G717" t="s">
        <v>36</v>
      </c>
      <c r="H717" t="str">
        <f>TEXT(sales[[#This Row],[sale_date]],"dddd")</f>
        <v>Monday</v>
      </c>
      <c r="I717">
        <f>_xlfn.XLOOKUP(A717,salesitems[sale_id],salesitems[revenue],0)</f>
        <v>76.150000000000006</v>
      </c>
      <c r="J717">
        <v>1</v>
      </c>
      <c r="K717" s="10" t="str">
        <f>_xlfn.XLOOKUP(F717,customers[customer_id],customers[age_range])</f>
        <v>16-25</v>
      </c>
      <c r="L717" s="1">
        <f>_xlfn.XLOOKUP(F717,customers[customer_id],customers[signup_date])</f>
        <v>45769</v>
      </c>
      <c r="M717">
        <f>sales[[#This Row],[sale_date]]-sales[[#This Row],[sighnup_date]]</f>
        <v>-1</v>
      </c>
      <c r="N717" t="str">
        <f t="shared" si="11"/>
        <v>data issue</v>
      </c>
      <c r="O717" t="str">
        <f>_xlfn.XLOOKUP(A717,salesitems[sale_id],salesitems[category])</f>
        <v>Shoes</v>
      </c>
    </row>
    <row r="718" spans="1:15" x14ac:dyDescent="0.45">
      <c r="A718">
        <v>749</v>
      </c>
      <c r="B718" t="s">
        <v>21</v>
      </c>
      <c r="C718">
        <v>0</v>
      </c>
      <c r="D718">
        <v>240.91</v>
      </c>
      <c r="E718" s="1">
        <v>45773</v>
      </c>
      <c r="F718">
        <v>993</v>
      </c>
      <c r="G718" t="s">
        <v>36</v>
      </c>
      <c r="H718" t="str">
        <f>TEXT(sales[[#This Row],[sale_date]],"dddd")</f>
        <v>Saturday</v>
      </c>
      <c r="I718">
        <f>_xlfn.XLOOKUP(A718,salesitems[sale_id],salesitems[revenue],0)</f>
        <v>53.35</v>
      </c>
      <c r="J718">
        <v>1</v>
      </c>
      <c r="K718" s="10" t="str">
        <f>_xlfn.XLOOKUP(F718,customers[customer_id],customers[age_range])</f>
        <v>16-25</v>
      </c>
      <c r="L718" s="1">
        <f>_xlfn.XLOOKUP(F718,customers[customer_id],customers[signup_date])</f>
        <v>45764</v>
      </c>
      <c r="M718">
        <f>sales[[#This Row],[sale_date]]-sales[[#This Row],[sighnup_date]]</f>
        <v>9</v>
      </c>
      <c r="N718" t="str">
        <f t="shared" si="11"/>
        <v>new customer</v>
      </c>
      <c r="O718" t="str">
        <f>_xlfn.XLOOKUP(A718,salesitems[sale_id],salesitems[category])</f>
        <v>Sleepwear</v>
      </c>
    </row>
    <row r="719" spans="1:15" x14ac:dyDescent="0.45">
      <c r="A719">
        <v>75</v>
      </c>
      <c r="B719" t="s">
        <v>15</v>
      </c>
      <c r="C719">
        <v>0</v>
      </c>
      <c r="D719">
        <v>526.82000000000005</v>
      </c>
      <c r="E719" s="1">
        <v>45799</v>
      </c>
      <c r="F719">
        <v>469</v>
      </c>
      <c r="G719" t="s">
        <v>33</v>
      </c>
      <c r="H719" t="str">
        <f>TEXT(sales[[#This Row],[sale_date]],"dddd")</f>
        <v>Thursday</v>
      </c>
      <c r="I719">
        <f>_xlfn.XLOOKUP(A719,salesitems[sale_id],salesitems[revenue],0)</f>
        <v>45.27</v>
      </c>
      <c r="J719">
        <v>1</v>
      </c>
      <c r="K719" s="10" t="str">
        <f>_xlfn.XLOOKUP(F719,customers[customer_id],customers[age_range])</f>
        <v>26-35</v>
      </c>
      <c r="L719" s="1">
        <f>_xlfn.XLOOKUP(F719,customers[customer_id],customers[signup_date])</f>
        <v>45749</v>
      </c>
      <c r="M719">
        <f>sales[[#This Row],[sale_date]]-sales[[#This Row],[sighnup_date]]</f>
        <v>50</v>
      </c>
      <c r="N719" t="str">
        <f t="shared" si="11"/>
        <v>new customer</v>
      </c>
      <c r="O719" t="str">
        <f>_xlfn.XLOOKUP(A719,salesitems[sale_id],salesitems[category])</f>
        <v>Dresses</v>
      </c>
    </row>
    <row r="720" spans="1:15" x14ac:dyDescent="0.45">
      <c r="A720">
        <v>750</v>
      </c>
      <c r="B720" t="s">
        <v>21</v>
      </c>
      <c r="C720">
        <v>0</v>
      </c>
      <c r="D720">
        <v>230.45</v>
      </c>
      <c r="E720" s="1">
        <v>45763</v>
      </c>
      <c r="F720">
        <v>665</v>
      </c>
      <c r="G720" t="s">
        <v>38</v>
      </c>
      <c r="H720" t="str">
        <f>TEXT(sales[[#This Row],[sale_date]],"dddd")</f>
        <v>Wednesday</v>
      </c>
      <c r="I720">
        <f>_xlfn.XLOOKUP(A720,salesitems[sale_id],salesitems[revenue],0)</f>
        <v>40.770000000000003</v>
      </c>
      <c r="J720">
        <v>1</v>
      </c>
      <c r="K720" s="10" t="str">
        <f>_xlfn.XLOOKUP(F720,customers[customer_id],customers[age_range])</f>
        <v>26-35</v>
      </c>
      <c r="L720" s="1">
        <f>_xlfn.XLOOKUP(F720,customers[customer_id],customers[signup_date])</f>
        <v>45753</v>
      </c>
      <c r="M720">
        <f>sales[[#This Row],[sale_date]]-sales[[#This Row],[sighnup_date]]</f>
        <v>10</v>
      </c>
      <c r="N720" t="str">
        <f t="shared" si="11"/>
        <v>new customer</v>
      </c>
      <c r="O720" t="str">
        <f>_xlfn.XLOOKUP(A720,salesitems[sale_id],salesitems[category])</f>
        <v>Shoes</v>
      </c>
    </row>
    <row r="721" spans="1:15" x14ac:dyDescent="0.45">
      <c r="A721">
        <v>751</v>
      </c>
      <c r="B721" t="s">
        <v>21</v>
      </c>
      <c r="C721">
        <v>0</v>
      </c>
      <c r="D721">
        <v>342.96</v>
      </c>
      <c r="E721" s="1">
        <v>45824</v>
      </c>
      <c r="F721">
        <v>811</v>
      </c>
      <c r="G721" t="s">
        <v>28</v>
      </c>
      <c r="H721" t="str">
        <f>TEXT(sales[[#This Row],[sale_date]],"dddd")</f>
        <v>Monday</v>
      </c>
      <c r="I721">
        <f>_xlfn.XLOOKUP(A721,salesitems[sale_id],salesitems[revenue],0)</f>
        <v>87.68</v>
      </c>
      <c r="J721">
        <v>1</v>
      </c>
      <c r="K721" s="10" t="str">
        <f>_xlfn.XLOOKUP(F721,customers[customer_id],customers[age_range])</f>
        <v>26-35</v>
      </c>
      <c r="L721" s="1">
        <f>_xlfn.XLOOKUP(F721,customers[customer_id],customers[signup_date])</f>
        <v>45679</v>
      </c>
      <c r="M721">
        <f>sales[[#This Row],[sale_date]]-sales[[#This Row],[sighnup_date]]</f>
        <v>145</v>
      </c>
      <c r="N721" t="str">
        <f t="shared" si="11"/>
        <v>existing customer</v>
      </c>
      <c r="O721" t="str">
        <f>_xlfn.XLOOKUP(A721,salesitems[sale_id],salesitems[category])</f>
        <v>Dresses</v>
      </c>
    </row>
    <row r="722" spans="1:15" x14ac:dyDescent="0.45">
      <c r="A722">
        <v>753</v>
      </c>
      <c r="B722" t="s">
        <v>15</v>
      </c>
      <c r="C722">
        <v>0</v>
      </c>
      <c r="D722">
        <v>368.2</v>
      </c>
      <c r="E722" s="1">
        <v>45752</v>
      </c>
      <c r="F722">
        <v>684</v>
      </c>
      <c r="G722" t="s">
        <v>31</v>
      </c>
      <c r="H722" t="str">
        <f>TEXT(sales[[#This Row],[sale_date]],"dddd")</f>
        <v>Saturday</v>
      </c>
      <c r="I722">
        <f>_xlfn.XLOOKUP(A722,salesitems[sale_id],salesitems[revenue],0)</f>
        <v>116.52</v>
      </c>
      <c r="J722">
        <v>1</v>
      </c>
      <c r="K722" s="10" t="str">
        <f>_xlfn.XLOOKUP(F722,customers[customer_id],customers[age_range])</f>
        <v>56-65</v>
      </c>
      <c r="L722" s="1">
        <f>_xlfn.XLOOKUP(F722,customers[customer_id],customers[signup_date])</f>
        <v>45753</v>
      </c>
      <c r="M722">
        <f>sales[[#This Row],[sale_date]]-sales[[#This Row],[sighnup_date]]</f>
        <v>-1</v>
      </c>
      <c r="N722" t="str">
        <f t="shared" si="11"/>
        <v>data issue</v>
      </c>
      <c r="O722" t="str">
        <f>_xlfn.XLOOKUP(A722,salesitems[sale_id],salesitems[category])</f>
        <v>T-Shirts</v>
      </c>
    </row>
    <row r="723" spans="1:15" x14ac:dyDescent="0.45">
      <c r="A723">
        <v>755</v>
      </c>
      <c r="B723" t="s">
        <v>15</v>
      </c>
      <c r="C723">
        <v>0</v>
      </c>
      <c r="D723">
        <v>298.02</v>
      </c>
      <c r="E723" s="1">
        <v>45822</v>
      </c>
      <c r="F723">
        <v>369</v>
      </c>
      <c r="G723" t="s">
        <v>31</v>
      </c>
      <c r="H723" t="str">
        <f>TEXT(sales[[#This Row],[sale_date]],"dddd")</f>
        <v>Saturday</v>
      </c>
      <c r="I723">
        <f>_xlfn.XLOOKUP(A723,salesitems[sale_id],salesitems[revenue],0)</f>
        <v>60.7</v>
      </c>
      <c r="J723">
        <v>1</v>
      </c>
      <c r="K723" s="10" t="str">
        <f>_xlfn.XLOOKUP(F723,customers[customer_id],customers[age_range])</f>
        <v>36-45</v>
      </c>
      <c r="L723" s="1">
        <f>_xlfn.XLOOKUP(F723,customers[customer_id],customers[signup_date])</f>
        <v>45748</v>
      </c>
      <c r="M723">
        <f>sales[[#This Row],[sale_date]]-sales[[#This Row],[sighnup_date]]</f>
        <v>74</v>
      </c>
      <c r="N723" t="str">
        <f t="shared" si="11"/>
        <v>new customer</v>
      </c>
      <c r="O723" t="str">
        <f>_xlfn.XLOOKUP(A723,salesitems[sale_id],salesitems[category])</f>
        <v>T-Shirts</v>
      </c>
    </row>
    <row r="724" spans="1:15" x14ac:dyDescent="0.45">
      <c r="A724">
        <v>756</v>
      </c>
      <c r="B724" t="s">
        <v>21</v>
      </c>
      <c r="C724">
        <v>0</v>
      </c>
      <c r="D724">
        <v>481.76</v>
      </c>
      <c r="E724" s="1">
        <v>45821</v>
      </c>
      <c r="F724">
        <v>499</v>
      </c>
      <c r="G724" t="s">
        <v>28</v>
      </c>
      <c r="H724" t="str">
        <f>TEXT(sales[[#This Row],[sale_date]],"dddd")</f>
        <v>Friday</v>
      </c>
      <c r="I724">
        <f>_xlfn.XLOOKUP(A724,salesitems[sale_id],salesitems[revenue],0)</f>
        <v>326.8</v>
      </c>
      <c r="J724">
        <v>1</v>
      </c>
      <c r="K724" s="10" t="str">
        <f>_xlfn.XLOOKUP(F724,customers[customer_id],customers[age_range])</f>
        <v>36-45</v>
      </c>
      <c r="L724" s="1">
        <f>_xlfn.XLOOKUP(F724,customers[customer_id],customers[signup_date])</f>
        <v>45783</v>
      </c>
      <c r="M724">
        <f>sales[[#This Row],[sale_date]]-sales[[#This Row],[sighnup_date]]</f>
        <v>38</v>
      </c>
      <c r="N724" t="str">
        <f t="shared" si="11"/>
        <v>new customer</v>
      </c>
      <c r="O724" t="str">
        <f>_xlfn.XLOOKUP(A724,salesitems[sale_id],salesitems[category])</f>
        <v>T-Shirts</v>
      </c>
    </row>
    <row r="725" spans="1:15" x14ac:dyDescent="0.45">
      <c r="A725">
        <v>757</v>
      </c>
      <c r="B725" t="s">
        <v>21</v>
      </c>
      <c r="C725">
        <v>0</v>
      </c>
      <c r="D725">
        <v>309.83</v>
      </c>
      <c r="E725" s="1">
        <v>45773</v>
      </c>
      <c r="F725">
        <v>161</v>
      </c>
      <c r="G725" t="s">
        <v>34</v>
      </c>
      <c r="H725" t="str">
        <f>TEXT(sales[[#This Row],[sale_date]],"dddd")</f>
        <v>Saturday</v>
      </c>
      <c r="I725">
        <f>_xlfn.XLOOKUP(A725,salesitems[sale_id],salesitems[revenue],0)</f>
        <v>89.429999999999993</v>
      </c>
      <c r="J725">
        <v>1</v>
      </c>
      <c r="K725" s="10" t="str">
        <f>_xlfn.XLOOKUP(F725,customers[customer_id],customers[age_range])</f>
        <v>36-45</v>
      </c>
      <c r="L725" s="1">
        <f>_xlfn.XLOOKUP(F725,customers[customer_id],customers[signup_date])</f>
        <v>45742</v>
      </c>
      <c r="M725">
        <f>sales[[#This Row],[sale_date]]-sales[[#This Row],[sighnup_date]]</f>
        <v>31</v>
      </c>
      <c r="N725" t="str">
        <f t="shared" si="11"/>
        <v>new customer</v>
      </c>
      <c r="O725" t="str">
        <f>_xlfn.XLOOKUP(A725,salesitems[sale_id],salesitems[category])</f>
        <v>Sleepwear</v>
      </c>
    </row>
    <row r="726" spans="1:15" x14ac:dyDescent="0.45">
      <c r="A726">
        <v>760</v>
      </c>
      <c r="B726" t="s">
        <v>21</v>
      </c>
      <c r="C726">
        <v>0</v>
      </c>
      <c r="D726">
        <v>248.96</v>
      </c>
      <c r="E726" s="1">
        <v>45751</v>
      </c>
      <c r="F726">
        <v>172</v>
      </c>
      <c r="G726" t="s">
        <v>33</v>
      </c>
      <c r="H726" t="str">
        <f>TEXT(sales[[#This Row],[sale_date]],"dddd")</f>
        <v>Friday</v>
      </c>
      <c r="I726">
        <f>_xlfn.XLOOKUP(A726,salesitems[sale_id],salesitems[revenue],0)</f>
        <v>99.68</v>
      </c>
      <c r="J726">
        <v>1</v>
      </c>
      <c r="K726" s="10" t="str">
        <f>_xlfn.XLOOKUP(F726,customers[customer_id],customers[age_range])</f>
        <v>26-35</v>
      </c>
      <c r="L726" s="1">
        <f>_xlfn.XLOOKUP(F726,customers[customer_id],customers[signup_date])</f>
        <v>45688</v>
      </c>
      <c r="M726">
        <f>sales[[#This Row],[sale_date]]-sales[[#This Row],[sighnup_date]]</f>
        <v>63</v>
      </c>
      <c r="N726" t="str">
        <f t="shared" si="11"/>
        <v>new customer</v>
      </c>
      <c r="O726" t="str">
        <f>_xlfn.XLOOKUP(A726,salesitems[sale_id],salesitems[category])</f>
        <v>Shoes</v>
      </c>
    </row>
    <row r="727" spans="1:15" x14ac:dyDescent="0.45">
      <c r="A727">
        <v>761</v>
      </c>
      <c r="B727" t="s">
        <v>21</v>
      </c>
      <c r="C727">
        <v>0</v>
      </c>
      <c r="D727">
        <v>232.67</v>
      </c>
      <c r="E727" s="1">
        <v>45808</v>
      </c>
      <c r="F727">
        <v>858</v>
      </c>
      <c r="G727" t="s">
        <v>36</v>
      </c>
      <c r="H727" t="str">
        <f>TEXT(sales[[#This Row],[sale_date]],"dddd")</f>
        <v>Saturday</v>
      </c>
      <c r="I727">
        <f>_xlfn.XLOOKUP(A727,salesitems[sale_id],salesitems[revenue],0)</f>
        <v>59.77</v>
      </c>
      <c r="J727">
        <v>1</v>
      </c>
      <c r="K727" s="10" t="str">
        <f>_xlfn.XLOOKUP(F727,customers[customer_id],customers[age_range])</f>
        <v>16-25</v>
      </c>
      <c r="L727" s="1">
        <f>_xlfn.XLOOKUP(F727,customers[customer_id],customers[signup_date])</f>
        <v>45757</v>
      </c>
      <c r="M727">
        <f>sales[[#This Row],[sale_date]]-sales[[#This Row],[sighnup_date]]</f>
        <v>51</v>
      </c>
      <c r="N727" t="str">
        <f t="shared" si="11"/>
        <v>new customer</v>
      </c>
      <c r="O727" t="str">
        <f>_xlfn.XLOOKUP(A727,salesitems[sale_id],salesitems[category])</f>
        <v>Dresses</v>
      </c>
    </row>
    <row r="728" spans="1:15" x14ac:dyDescent="0.45">
      <c r="A728">
        <v>762</v>
      </c>
      <c r="B728" t="s">
        <v>21</v>
      </c>
      <c r="C728">
        <v>0</v>
      </c>
      <c r="D728">
        <v>222.42</v>
      </c>
      <c r="E728" s="1">
        <v>45821</v>
      </c>
      <c r="F728">
        <v>76</v>
      </c>
      <c r="G728" t="s">
        <v>36</v>
      </c>
      <c r="H728" t="str">
        <f>TEXT(sales[[#This Row],[sale_date]],"dddd")</f>
        <v>Friday</v>
      </c>
      <c r="I728">
        <f>_xlfn.XLOOKUP(A728,salesitems[sale_id],salesitems[revenue],0)</f>
        <v>51.27</v>
      </c>
      <c r="J728">
        <v>1</v>
      </c>
      <c r="K728" s="10" t="str">
        <f>_xlfn.XLOOKUP(F728,customers[customer_id],customers[age_range])</f>
        <v>56-65</v>
      </c>
      <c r="L728" s="1">
        <f>_xlfn.XLOOKUP(F728,customers[customer_id],customers[signup_date])</f>
        <v>45705</v>
      </c>
      <c r="M728">
        <f>sales[[#This Row],[sale_date]]-sales[[#This Row],[sighnup_date]]</f>
        <v>116</v>
      </c>
      <c r="N728" t="str">
        <f t="shared" si="11"/>
        <v>existing customer</v>
      </c>
      <c r="O728" t="str">
        <f>_xlfn.XLOOKUP(A728,salesitems[sale_id],salesitems[category])</f>
        <v>Dresses</v>
      </c>
    </row>
    <row r="729" spans="1:15" x14ac:dyDescent="0.45">
      <c r="A729">
        <v>763</v>
      </c>
      <c r="B729" t="s">
        <v>21</v>
      </c>
      <c r="C729">
        <v>0</v>
      </c>
      <c r="D729">
        <v>301.16000000000003</v>
      </c>
      <c r="E729" s="1">
        <v>45768</v>
      </c>
      <c r="F729">
        <v>602</v>
      </c>
      <c r="G729" t="s">
        <v>38</v>
      </c>
      <c r="H729" t="str">
        <f>TEXT(sales[[#This Row],[sale_date]],"dddd")</f>
        <v>Monday</v>
      </c>
      <c r="I729">
        <f>_xlfn.XLOOKUP(A729,salesitems[sale_id],salesitems[revenue],0)</f>
        <v>52.08</v>
      </c>
      <c r="J729">
        <v>1</v>
      </c>
      <c r="K729" s="10" t="str">
        <f>_xlfn.XLOOKUP(F729,customers[customer_id],customers[age_range])</f>
        <v>16-25</v>
      </c>
      <c r="L729" s="1">
        <f>_xlfn.XLOOKUP(F729,customers[customer_id],customers[signup_date])</f>
        <v>45786</v>
      </c>
      <c r="M729">
        <f>sales[[#This Row],[sale_date]]-sales[[#This Row],[sighnup_date]]</f>
        <v>-18</v>
      </c>
      <c r="N729" t="str">
        <f t="shared" si="11"/>
        <v>data issue</v>
      </c>
      <c r="O729" t="str">
        <f>_xlfn.XLOOKUP(A729,salesitems[sale_id],salesitems[category])</f>
        <v>Shoes</v>
      </c>
    </row>
    <row r="730" spans="1:15" x14ac:dyDescent="0.45">
      <c r="A730">
        <v>765</v>
      </c>
      <c r="B730" t="s">
        <v>21</v>
      </c>
      <c r="C730">
        <v>0</v>
      </c>
      <c r="D730">
        <v>536.98</v>
      </c>
      <c r="E730" s="1">
        <v>45767</v>
      </c>
      <c r="F730">
        <v>417</v>
      </c>
      <c r="G730" t="s">
        <v>34</v>
      </c>
      <c r="H730" t="str">
        <f>TEXT(sales[[#This Row],[sale_date]],"dddd")</f>
        <v>Sunday</v>
      </c>
      <c r="I730">
        <f>_xlfn.XLOOKUP(A730,salesitems[sale_id],salesitems[revenue],0)</f>
        <v>268.27999999999997</v>
      </c>
      <c r="J730">
        <v>1</v>
      </c>
      <c r="K730" s="10" t="str">
        <f>_xlfn.XLOOKUP(F730,customers[customer_id],customers[age_range])</f>
        <v>36-45</v>
      </c>
      <c r="L730" s="1">
        <f>_xlfn.XLOOKUP(F730,customers[customer_id],customers[signup_date])</f>
        <v>45719</v>
      </c>
      <c r="M730">
        <f>sales[[#This Row],[sale_date]]-sales[[#This Row],[sighnup_date]]</f>
        <v>48</v>
      </c>
      <c r="N730" t="str">
        <f t="shared" si="11"/>
        <v>new customer</v>
      </c>
      <c r="O730" t="str">
        <f>_xlfn.XLOOKUP(A730,salesitems[sale_id],salesitems[category])</f>
        <v>Dresses</v>
      </c>
    </row>
    <row r="731" spans="1:15" x14ac:dyDescent="0.45">
      <c r="A731">
        <v>766</v>
      </c>
      <c r="B731" t="s">
        <v>15</v>
      </c>
      <c r="C731">
        <v>0</v>
      </c>
      <c r="D731">
        <v>399.31</v>
      </c>
      <c r="E731" s="1">
        <v>45824</v>
      </c>
      <c r="F731">
        <v>955</v>
      </c>
      <c r="G731" t="s">
        <v>38</v>
      </c>
      <c r="H731" t="str">
        <f>TEXT(sales[[#This Row],[sale_date]],"dddd")</f>
        <v>Monday</v>
      </c>
      <c r="I731">
        <f>_xlfn.XLOOKUP(A731,salesitems[sale_id],salesitems[revenue],0)</f>
        <v>38.81</v>
      </c>
      <c r="J731">
        <v>1</v>
      </c>
      <c r="K731" s="10" t="str">
        <f>_xlfn.XLOOKUP(F731,customers[customer_id],customers[age_range])</f>
        <v>26-35</v>
      </c>
      <c r="L731" s="1">
        <f>_xlfn.XLOOKUP(F731,customers[customer_id],customers[signup_date])</f>
        <v>45761</v>
      </c>
      <c r="M731">
        <f>sales[[#This Row],[sale_date]]-sales[[#This Row],[sighnup_date]]</f>
        <v>63</v>
      </c>
      <c r="N731" t="str">
        <f t="shared" si="11"/>
        <v>new customer</v>
      </c>
      <c r="O731" t="str">
        <f>_xlfn.XLOOKUP(A731,salesitems[sale_id],salesitems[category])</f>
        <v>Shoes</v>
      </c>
    </row>
    <row r="732" spans="1:15" x14ac:dyDescent="0.45">
      <c r="A732">
        <v>767</v>
      </c>
      <c r="B732" t="s">
        <v>15</v>
      </c>
      <c r="C732">
        <v>0</v>
      </c>
      <c r="D732">
        <v>423.12</v>
      </c>
      <c r="E732" s="1">
        <v>45766</v>
      </c>
      <c r="F732">
        <v>427</v>
      </c>
      <c r="G732" t="s">
        <v>34</v>
      </c>
      <c r="H732" t="str">
        <f>TEXT(sales[[#This Row],[sale_date]],"dddd")</f>
        <v>Saturday</v>
      </c>
      <c r="I732">
        <f>_xlfn.XLOOKUP(A732,salesitems[sale_id],salesitems[revenue],0)</f>
        <v>122.52</v>
      </c>
      <c r="J732">
        <v>1</v>
      </c>
      <c r="K732" s="10" t="str">
        <f>_xlfn.XLOOKUP(F732,customers[customer_id],customers[age_range])</f>
        <v>26-35</v>
      </c>
      <c r="L732" s="1">
        <f>_xlfn.XLOOKUP(F732,customers[customer_id],customers[signup_date])</f>
        <v>45742</v>
      </c>
      <c r="M732">
        <f>sales[[#This Row],[sale_date]]-sales[[#This Row],[sighnup_date]]</f>
        <v>24</v>
      </c>
      <c r="N732" t="str">
        <f t="shared" si="11"/>
        <v>new customer</v>
      </c>
      <c r="O732" t="str">
        <f>_xlfn.XLOOKUP(A732,salesitems[sale_id],salesitems[category])</f>
        <v>T-Shirts</v>
      </c>
    </row>
    <row r="733" spans="1:15" x14ac:dyDescent="0.45">
      <c r="A733">
        <v>768</v>
      </c>
      <c r="B733" t="s">
        <v>21</v>
      </c>
      <c r="C733">
        <v>0</v>
      </c>
      <c r="D733">
        <v>220.42</v>
      </c>
      <c r="E733" s="1">
        <v>45805</v>
      </c>
      <c r="F733">
        <v>247</v>
      </c>
      <c r="G733" t="s">
        <v>31</v>
      </c>
      <c r="H733" t="str">
        <f>TEXT(sales[[#This Row],[sale_date]],"dddd")</f>
        <v>Wednesday</v>
      </c>
      <c r="I733">
        <f>_xlfn.XLOOKUP(A733,salesitems[sale_id],salesitems[revenue],0)</f>
        <v>118.64</v>
      </c>
      <c r="J733">
        <v>1</v>
      </c>
      <c r="K733" s="10" t="str">
        <f>_xlfn.XLOOKUP(F733,customers[customer_id],customers[age_range])</f>
        <v>46-55</v>
      </c>
      <c r="L733" s="1">
        <f>_xlfn.XLOOKUP(F733,customers[customer_id],customers[signup_date])</f>
        <v>45702</v>
      </c>
      <c r="M733">
        <f>sales[[#This Row],[sale_date]]-sales[[#This Row],[sighnup_date]]</f>
        <v>103</v>
      </c>
      <c r="N733" t="str">
        <f t="shared" si="11"/>
        <v>existing customer</v>
      </c>
      <c r="O733" t="str">
        <f>_xlfn.XLOOKUP(A733,salesitems[sale_id],salesitems[category])</f>
        <v>Shoes</v>
      </c>
    </row>
    <row r="734" spans="1:15" x14ac:dyDescent="0.45">
      <c r="A734">
        <v>769</v>
      </c>
      <c r="B734" t="s">
        <v>21</v>
      </c>
      <c r="C734">
        <v>0</v>
      </c>
      <c r="D734">
        <v>490.92</v>
      </c>
      <c r="E734" s="1">
        <v>45782</v>
      </c>
      <c r="F734">
        <v>501</v>
      </c>
      <c r="G734" t="s">
        <v>33</v>
      </c>
      <c r="H734" t="str">
        <f>TEXT(sales[[#This Row],[sale_date]],"dddd")</f>
        <v>Monday</v>
      </c>
      <c r="I734">
        <f>_xlfn.XLOOKUP(A734,salesitems[sale_id],salesitems[revenue],0)</f>
        <v>231.92</v>
      </c>
      <c r="J734">
        <v>1</v>
      </c>
      <c r="K734" s="10" t="str">
        <f>_xlfn.XLOOKUP(F734,customers[customer_id],customers[age_range])</f>
        <v>36-45</v>
      </c>
      <c r="L734" s="1">
        <f>_xlfn.XLOOKUP(F734,customers[customer_id],customers[signup_date])</f>
        <v>45735</v>
      </c>
      <c r="M734">
        <f>sales[[#This Row],[sale_date]]-sales[[#This Row],[sighnup_date]]</f>
        <v>47</v>
      </c>
      <c r="N734" t="str">
        <f t="shared" si="11"/>
        <v>new customer</v>
      </c>
      <c r="O734" t="str">
        <f>_xlfn.XLOOKUP(A734,salesitems[sale_id],salesitems[category])</f>
        <v>Dresses</v>
      </c>
    </row>
    <row r="735" spans="1:15" x14ac:dyDescent="0.45">
      <c r="A735">
        <v>770</v>
      </c>
      <c r="B735" t="s">
        <v>21</v>
      </c>
      <c r="C735">
        <v>0</v>
      </c>
      <c r="D735">
        <v>430.6</v>
      </c>
      <c r="E735" s="1">
        <v>45775</v>
      </c>
      <c r="F735">
        <v>714</v>
      </c>
      <c r="G735" t="s">
        <v>38</v>
      </c>
      <c r="H735" t="str">
        <f>TEXT(sales[[#This Row],[sale_date]],"dddd")</f>
        <v>Monday</v>
      </c>
      <c r="I735">
        <f>_xlfn.XLOOKUP(A735,salesitems[sale_id],salesitems[revenue],0)</f>
        <v>217</v>
      </c>
      <c r="J735">
        <v>1</v>
      </c>
      <c r="K735" s="10" t="str">
        <f>_xlfn.XLOOKUP(F735,customers[customer_id],customers[age_range])</f>
        <v>46-55</v>
      </c>
      <c r="L735" s="1">
        <f>_xlfn.XLOOKUP(F735,customers[customer_id],customers[signup_date])</f>
        <v>45738</v>
      </c>
      <c r="M735">
        <f>sales[[#This Row],[sale_date]]-sales[[#This Row],[sighnup_date]]</f>
        <v>37</v>
      </c>
      <c r="N735" t="str">
        <f t="shared" si="11"/>
        <v>new customer</v>
      </c>
      <c r="O735" t="str">
        <f>_xlfn.XLOOKUP(A735,salesitems[sale_id],salesitems[category])</f>
        <v>T-Shirts</v>
      </c>
    </row>
    <row r="736" spans="1:15" x14ac:dyDescent="0.45">
      <c r="A736">
        <v>772</v>
      </c>
      <c r="B736" t="s">
        <v>21</v>
      </c>
      <c r="C736">
        <v>0</v>
      </c>
      <c r="D736">
        <v>334.34</v>
      </c>
      <c r="E736" s="1">
        <v>45775</v>
      </c>
      <c r="F736">
        <v>970</v>
      </c>
      <c r="G736" t="s">
        <v>36</v>
      </c>
      <c r="H736" t="str">
        <f>TEXT(sales[[#This Row],[sale_date]],"dddd")</f>
        <v>Monday</v>
      </c>
      <c r="I736">
        <f>_xlfn.XLOOKUP(A736,salesitems[sale_id],salesitems[revenue],0)</f>
        <v>129.68</v>
      </c>
      <c r="J736">
        <v>1</v>
      </c>
      <c r="K736" s="10" t="str">
        <f>_xlfn.XLOOKUP(F736,customers[customer_id],customers[age_range])</f>
        <v>56-65</v>
      </c>
      <c r="L736" s="1">
        <f>_xlfn.XLOOKUP(F736,customers[customer_id],customers[signup_date])</f>
        <v>45765</v>
      </c>
      <c r="M736">
        <f>sales[[#This Row],[sale_date]]-sales[[#This Row],[sighnup_date]]</f>
        <v>10</v>
      </c>
      <c r="N736" t="str">
        <f t="shared" si="11"/>
        <v>new customer</v>
      </c>
      <c r="O736" t="str">
        <f>_xlfn.XLOOKUP(A736,salesitems[sale_id],salesitems[category])</f>
        <v>Pants</v>
      </c>
    </row>
    <row r="737" spans="1:15" x14ac:dyDescent="0.45">
      <c r="A737">
        <v>774</v>
      </c>
      <c r="B737" t="s">
        <v>15</v>
      </c>
      <c r="C737">
        <v>0</v>
      </c>
      <c r="D737">
        <v>335.05</v>
      </c>
      <c r="E737" s="1">
        <v>45799</v>
      </c>
      <c r="F737">
        <v>798</v>
      </c>
      <c r="G737" t="s">
        <v>38</v>
      </c>
      <c r="H737" t="str">
        <f>TEXT(sales[[#This Row],[sale_date]],"dddd")</f>
        <v>Thursday</v>
      </c>
      <c r="I737">
        <f>_xlfn.XLOOKUP(A737,salesitems[sale_id],salesitems[revenue],0)</f>
        <v>172.05</v>
      </c>
      <c r="J737">
        <v>1</v>
      </c>
      <c r="K737" s="10" t="str">
        <f>_xlfn.XLOOKUP(F737,customers[customer_id],customers[age_range])</f>
        <v>46-55</v>
      </c>
      <c r="L737" s="1">
        <f>_xlfn.XLOOKUP(F737,customers[customer_id],customers[signup_date])</f>
        <v>45730</v>
      </c>
      <c r="M737">
        <f>sales[[#This Row],[sale_date]]-sales[[#This Row],[sighnup_date]]</f>
        <v>69</v>
      </c>
      <c r="N737" t="str">
        <f t="shared" si="11"/>
        <v>new customer</v>
      </c>
      <c r="O737" t="str">
        <f>_xlfn.XLOOKUP(A737,salesitems[sale_id],salesitems[category])</f>
        <v>Dresses</v>
      </c>
    </row>
    <row r="738" spans="1:15" x14ac:dyDescent="0.45">
      <c r="A738">
        <v>776</v>
      </c>
      <c r="B738" t="s">
        <v>21</v>
      </c>
      <c r="C738">
        <v>0</v>
      </c>
      <c r="D738">
        <v>294.06</v>
      </c>
      <c r="E738" s="1">
        <v>45795</v>
      </c>
      <c r="F738">
        <v>361</v>
      </c>
      <c r="G738" t="s">
        <v>31</v>
      </c>
      <c r="H738" t="str">
        <f>TEXT(sales[[#This Row],[sale_date]],"dddd")</f>
        <v>Sunday</v>
      </c>
      <c r="I738">
        <f>_xlfn.XLOOKUP(A738,salesitems[sale_id],salesitems[revenue],0)</f>
        <v>47.66</v>
      </c>
      <c r="J738">
        <v>1</v>
      </c>
      <c r="K738" s="10" t="str">
        <f>_xlfn.XLOOKUP(F738,customers[customer_id],customers[age_range])</f>
        <v>26-35</v>
      </c>
      <c r="L738" s="1">
        <f>_xlfn.XLOOKUP(F738,customers[customer_id],customers[signup_date])</f>
        <v>45745</v>
      </c>
      <c r="M738">
        <f>sales[[#This Row],[sale_date]]-sales[[#This Row],[sighnup_date]]</f>
        <v>50</v>
      </c>
      <c r="N738" t="str">
        <f t="shared" si="11"/>
        <v>new customer</v>
      </c>
      <c r="O738" t="str">
        <f>_xlfn.XLOOKUP(A738,salesitems[sale_id],salesitems[category])</f>
        <v>Dresses</v>
      </c>
    </row>
    <row r="739" spans="1:15" x14ac:dyDescent="0.45">
      <c r="A739">
        <v>777</v>
      </c>
      <c r="B739" t="s">
        <v>21</v>
      </c>
      <c r="C739">
        <v>0</v>
      </c>
      <c r="D739">
        <v>310.70999999999998</v>
      </c>
      <c r="E739" s="1">
        <v>45805</v>
      </c>
      <c r="F739">
        <v>572</v>
      </c>
      <c r="G739" t="s">
        <v>31</v>
      </c>
      <c r="H739" t="str">
        <f>TEXT(sales[[#This Row],[sale_date]],"dddd")</f>
        <v>Wednesday</v>
      </c>
      <c r="I739">
        <f>_xlfn.XLOOKUP(A739,salesitems[sale_id],salesitems[revenue],0)</f>
        <v>49.81</v>
      </c>
      <c r="J739">
        <v>1</v>
      </c>
      <c r="K739" s="10" t="str">
        <f>_xlfn.XLOOKUP(F739,customers[customer_id],customers[age_range])</f>
        <v>56-65</v>
      </c>
      <c r="L739" s="1">
        <f>_xlfn.XLOOKUP(F739,customers[customer_id],customers[signup_date])</f>
        <v>45694</v>
      </c>
      <c r="M739">
        <f>sales[[#This Row],[sale_date]]-sales[[#This Row],[sighnup_date]]</f>
        <v>111</v>
      </c>
      <c r="N739" t="str">
        <f t="shared" si="11"/>
        <v>existing customer</v>
      </c>
      <c r="O739" t="str">
        <f>_xlfn.XLOOKUP(A739,salesitems[sale_id],salesitems[category])</f>
        <v>Shoes</v>
      </c>
    </row>
    <row r="740" spans="1:15" x14ac:dyDescent="0.45">
      <c r="A740">
        <v>778</v>
      </c>
      <c r="B740" t="s">
        <v>21</v>
      </c>
      <c r="C740">
        <v>0</v>
      </c>
      <c r="D740">
        <v>96.18</v>
      </c>
      <c r="E740" s="1">
        <v>45760</v>
      </c>
      <c r="F740">
        <v>548</v>
      </c>
      <c r="G740" t="s">
        <v>36</v>
      </c>
      <c r="H740" t="str">
        <f>TEXT(sales[[#This Row],[sale_date]],"dddd")</f>
        <v>Sunday</v>
      </c>
      <c r="I740">
        <f>_xlfn.XLOOKUP(A740,salesitems[sale_id],salesitems[revenue],0)</f>
        <v>53.46</v>
      </c>
      <c r="J740">
        <v>1</v>
      </c>
      <c r="K740" s="10" t="str">
        <f>_xlfn.XLOOKUP(F740,customers[customer_id],customers[age_range])</f>
        <v>36-45</v>
      </c>
      <c r="L740" s="1">
        <f>_xlfn.XLOOKUP(F740,customers[customer_id],customers[signup_date])</f>
        <v>45725</v>
      </c>
      <c r="M740">
        <f>sales[[#This Row],[sale_date]]-sales[[#This Row],[sighnup_date]]</f>
        <v>35</v>
      </c>
      <c r="N740" t="str">
        <f t="shared" si="11"/>
        <v>new customer</v>
      </c>
      <c r="O740" t="str">
        <f>_xlfn.XLOOKUP(A740,salesitems[sale_id],salesitems[category])</f>
        <v>Pants</v>
      </c>
    </row>
    <row r="741" spans="1:15" x14ac:dyDescent="0.45">
      <c r="A741">
        <v>779</v>
      </c>
      <c r="B741" t="s">
        <v>15</v>
      </c>
      <c r="C741">
        <v>0</v>
      </c>
      <c r="D741">
        <v>194.09</v>
      </c>
      <c r="E741" s="1">
        <v>45764</v>
      </c>
      <c r="F741">
        <v>577</v>
      </c>
      <c r="G741" t="s">
        <v>31</v>
      </c>
      <c r="H741" t="str">
        <f>TEXT(sales[[#This Row],[sale_date]],"dddd")</f>
        <v>Thursday</v>
      </c>
      <c r="I741">
        <f>_xlfn.XLOOKUP(A741,salesitems[sale_id],salesitems[revenue],0)</f>
        <v>61.67</v>
      </c>
      <c r="J741">
        <v>1</v>
      </c>
      <c r="K741" s="10" t="str">
        <f>_xlfn.XLOOKUP(F741,customers[customer_id],customers[age_range])</f>
        <v>26-35</v>
      </c>
      <c r="L741" s="1">
        <f>_xlfn.XLOOKUP(F741,customers[customer_id],customers[signup_date])</f>
        <v>45776</v>
      </c>
      <c r="M741">
        <f>sales[[#This Row],[sale_date]]-sales[[#This Row],[sighnup_date]]</f>
        <v>-12</v>
      </c>
      <c r="N741" t="str">
        <f t="shared" si="11"/>
        <v>data issue</v>
      </c>
      <c r="O741" t="str">
        <f>_xlfn.XLOOKUP(A741,salesitems[sale_id],salesitems[category])</f>
        <v>Pants</v>
      </c>
    </row>
    <row r="742" spans="1:15" x14ac:dyDescent="0.45">
      <c r="A742">
        <v>78</v>
      </c>
      <c r="B742" t="s">
        <v>21</v>
      </c>
      <c r="C742">
        <v>0</v>
      </c>
      <c r="D742">
        <v>683.47</v>
      </c>
      <c r="E742" s="1">
        <v>45795</v>
      </c>
      <c r="F742">
        <v>321</v>
      </c>
      <c r="G742" t="s">
        <v>36</v>
      </c>
      <c r="H742" t="str">
        <f>TEXT(sales[[#This Row],[sale_date]],"dddd")</f>
        <v>Sunday</v>
      </c>
      <c r="I742">
        <f>_xlfn.XLOOKUP(A742,salesitems[sale_id],salesitems[revenue],0)</f>
        <v>57.17</v>
      </c>
      <c r="J742">
        <v>1</v>
      </c>
      <c r="K742" s="10" t="str">
        <f>_xlfn.XLOOKUP(F742,customers[customer_id],customers[age_range])</f>
        <v>36-45</v>
      </c>
      <c r="L742" s="1">
        <f>_xlfn.XLOOKUP(F742,customers[customer_id],customers[signup_date])</f>
        <v>45774</v>
      </c>
      <c r="M742">
        <f>sales[[#This Row],[sale_date]]-sales[[#This Row],[sighnup_date]]</f>
        <v>21</v>
      </c>
      <c r="N742" t="str">
        <f t="shared" si="11"/>
        <v>new customer</v>
      </c>
      <c r="O742" t="str">
        <f>_xlfn.XLOOKUP(A742,salesitems[sale_id],salesitems[category])</f>
        <v>Shoes</v>
      </c>
    </row>
    <row r="743" spans="1:15" x14ac:dyDescent="0.45">
      <c r="A743">
        <v>780</v>
      </c>
      <c r="B743" t="s">
        <v>15</v>
      </c>
      <c r="C743">
        <v>0</v>
      </c>
      <c r="D743">
        <v>242.5</v>
      </c>
      <c r="E743" s="1">
        <v>45760</v>
      </c>
      <c r="F743">
        <v>407</v>
      </c>
      <c r="G743" t="s">
        <v>33</v>
      </c>
      <c r="H743" t="str">
        <f>TEXT(sales[[#This Row],[sale_date]],"dddd")</f>
        <v>Sunday</v>
      </c>
      <c r="I743">
        <f>_xlfn.XLOOKUP(A743,salesitems[sale_id],salesitems[revenue],0)</f>
        <v>132.76</v>
      </c>
      <c r="J743">
        <v>1</v>
      </c>
      <c r="K743" s="10" t="str">
        <f>_xlfn.XLOOKUP(F743,customers[customer_id],customers[age_range])</f>
        <v>16-25</v>
      </c>
      <c r="L743" s="1">
        <f>_xlfn.XLOOKUP(F743,customers[customer_id],customers[signup_date])</f>
        <v>45710</v>
      </c>
      <c r="M743">
        <f>sales[[#This Row],[sale_date]]-sales[[#This Row],[sighnup_date]]</f>
        <v>50</v>
      </c>
      <c r="N743" t="str">
        <f t="shared" si="11"/>
        <v>new customer</v>
      </c>
      <c r="O743" t="str">
        <f>_xlfn.XLOOKUP(A743,salesitems[sale_id],salesitems[category])</f>
        <v>Sleepwear</v>
      </c>
    </row>
    <row r="744" spans="1:15" x14ac:dyDescent="0.45">
      <c r="A744">
        <v>781</v>
      </c>
      <c r="B744" t="s">
        <v>15</v>
      </c>
      <c r="C744">
        <v>0</v>
      </c>
      <c r="D744">
        <v>232.42</v>
      </c>
      <c r="E744" s="1">
        <v>45770</v>
      </c>
      <c r="F744">
        <v>639</v>
      </c>
      <c r="G744" t="s">
        <v>33</v>
      </c>
      <c r="H744" t="str">
        <f>TEXT(sales[[#This Row],[sale_date]],"dddd")</f>
        <v>Wednesday</v>
      </c>
      <c r="I744">
        <f>_xlfn.XLOOKUP(A744,salesitems[sale_id],salesitems[revenue],0)</f>
        <v>123.2</v>
      </c>
      <c r="J744">
        <v>1</v>
      </c>
      <c r="K744" s="10" t="str">
        <f>_xlfn.XLOOKUP(F744,customers[customer_id],customers[age_range])</f>
        <v>56-65</v>
      </c>
      <c r="L744" s="1">
        <f>_xlfn.XLOOKUP(F744,customers[customer_id],customers[signup_date])</f>
        <v>45742</v>
      </c>
      <c r="M744">
        <f>sales[[#This Row],[sale_date]]-sales[[#This Row],[sighnup_date]]</f>
        <v>28</v>
      </c>
      <c r="N744" t="str">
        <f t="shared" si="11"/>
        <v>new customer</v>
      </c>
      <c r="O744" t="str">
        <f>_xlfn.XLOOKUP(A744,salesitems[sale_id],salesitems[category])</f>
        <v>Shoes</v>
      </c>
    </row>
    <row r="745" spans="1:15" x14ac:dyDescent="0.45">
      <c r="A745">
        <v>782</v>
      </c>
      <c r="B745" t="s">
        <v>15</v>
      </c>
      <c r="C745">
        <v>0</v>
      </c>
      <c r="D745">
        <v>400.44</v>
      </c>
      <c r="E745" s="1">
        <v>45760</v>
      </c>
      <c r="F745">
        <v>19</v>
      </c>
      <c r="G745" t="s">
        <v>36</v>
      </c>
      <c r="H745" t="str">
        <f>TEXT(sales[[#This Row],[sale_date]],"dddd")</f>
        <v>Sunday</v>
      </c>
      <c r="I745">
        <f>_xlfn.XLOOKUP(A745,salesitems[sale_id],salesitems[revenue],0)</f>
        <v>224.43</v>
      </c>
      <c r="J745">
        <v>1</v>
      </c>
      <c r="K745" s="10" t="str">
        <f>_xlfn.XLOOKUP(F745,customers[customer_id],customers[age_range])</f>
        <v>56-65</v>
      </c>
      <c r="L745" s="1">
        <f>_xlfn.XLOOKUP(F745,customers[customer_id],customers[signup_date])</f>
        <v>45702</v>
      </c>
      <c r="M745">
        <f>sales[[#This Row],[sale_date]]-sales[[#This Row],[sighnup_date]]</f>
        <v>58</v>
      </c>
      <c r="N745" t="str">
        <f t="shared" si="11"/>
        <v>new customer</v>
      </c>
      <c r="O745" t="str">
        <f>_xlfn.XLOOKUP(A745,salesitems[sale_id],salesitems[category])</f>
        <v>Pants</v>
      </c>
    </row>
    <row r="746" spans="1:15" x14ac:dyDescent="0.45">
      <c r="A746">
        <v>785</v>
      </c>
      <c r="B746" t="s">
        <v>15</v>
      </c>
      <c r="C746">
        <v>0</v>
      </c>
      <c r="D746">
        <v>200.97</v>
      </c>
      <c r="E746" s="1">
        <v>45808</v>
      </c>
      <c r="F746">
        <v>393</v>
      </c>
      <c r="G746" t="s">
        <v>28</v>
      </c>
      <c r="H746" t="str">
        <f>TEXT(sales[[#This Row],[sale_date]],"dddd")</f>
        <v>Saturday</v>
      </c>
      <c r="I746">
        <f>_xlfn.XLOOKUP(A746,salesitems[sale_id],salesitems[revenue],0)</f>
        <v>52.82</v>
      </c>
      <c r="J746">
        <v>1</v>
      </c>
      <c r="K746" s="10" t="str">
        <f>_xlfn.XLOOKUP(F746,customers[customer_id],customers[age_range])</f>
        <v>46-55</v>
      </c>
      <c r="L746" s="1">
        <f>_xlfn.XLOOKUP(F746,customers[customer_id],customers[signup_date])</f>
        <v>45756</v>
      </c>
      <c r="M746">
        <f>sales[[#This Row],[sale_date]]-sales[[#This Row],[sighnup_date]]</f>
        <v>52</v>
      </c>
      <c r="N746" t="str">
        <f t="shared" si="11"/>
        <v>new customer</v>
      </c>
      <c r="O746" t="str">
        <f>_xlfn.XLOOKUP(A746,salesitems[sale_id],salesitems[category])</f>
        <v>Sleepwear</v>
      </c>
    </row>
    <row r="747" spans="1:15" x14ac:dyDescent="0.45">
      <c r="A747">
        <v>787</v>
      </c>
      <c r="B747" t="s">
        <v>21</v>
      </c>
      <c r="C747">
        <v>0</v>
      </c>
      <c r="D747">
        <v>282.36</v>
      </c>
      <c r="E747" s="1">
        <v>45825</v>
      </c>
      <c r="F747">
        <v>610</v>
      </c>
      <c r="G747" t="s">
        <v>28</v>
      </c>
      <c r="H747" t="str">
        <f>TEXT(sales[[#This Row],[sale_date]],"dddd")</f>
        <v>Tuesday</v>
      </c>
      <c r="I747">
        <f>_xlfn.XLOOKUP(A747,salesitems[sale_id],salesitems[revenue],0)</f>
        <v>104.56</v>
      </c>
      <c r="J747">
        <v>1</v>
      </c>
      <c r="K747" s="10" t="str">
        <f>_xlfn.XLOOKUP(F747,customers[customer_id],customers[age_range])</f>
        <v>16-25</v>
      </c>
      <c r="L747" s="1">
        <f>_xlfn.XLOOKUP(F747,customers[customer_id],customers[signup_date])</f>
        <v>45759</v>
      </c>
      <c r="M747">
        <f>sales[[#This Row],[sale_date]]-sales[[#This Row],[sighnup_date]]</f>
        <v>66</v>
      </c>
      <c r="N747" t="str">
        <f t="shared" si="11"/>
        <v>new customer</v>
      </c>
      <c r="O747" t="str">
        <f>_xlfn.XLOOKUP(A747,salesitems[sale_id],salesitems[category])</f>
        <v>Dresses</v>
      </c>
    </row>
    <row r="748" spans="1:15" x14ac:dyDescent="0.45">
      <c r="A748">
        <v>790</v>
      </c>
      <c r="B748" t="s">
        <v>21</v>
      </c>
      <c r="C748">
        <v>0</v>
      </c>
      <c r="D748">
        <v>639.14</v>
      </c>
      <c r="E748" s="1">
        <v>45766</v>
      </c>
      <c r="F748">
        <v>829</v>
      </c>
      <c r="G748" t="s">
        <v>38</v>
      </c>
      <c r="H748" t="str">
        <f>TEXT(sales[[#This Row],[sale_date]],"dddd")</f>
        <v>Saturday</v>
      </c>
      <c r="I748">
        <f>_xlfn.XLOOKUP(A748,salesitems[sale_id],salesitems[revenue],0)</f>
        <v>261.04000000000002</v>
      </c>
      <c r="J748">
        <v>1</v>
      </c>
      <c r="K748" s="10" t="str">
        <f>_xlfn.XLOOKUP(F748,customers[customer_id],customers[age_range])</f>
        <v>26-35</v>
      </c>
      <c r="L748" s="1">
        <f>_xlfn.XLOOKUP(F748,customers[customer_id],customers[signup_date])</f>
        <v>45762</v>
      </c>
      <c r="M748">
        <f>sales[[#This Row],[sale_date]]-sales[[#This Row],[sighnup_date]]</f>
        <v>4</v>
      </c>
      <c r="N748" t="str">
        <f t="shared" si="11"/>
        <v>new customer</v>
      </c>
      <c r="O748" t="str">
        <f>_xlfn.XLOOKUP(A748,salesitems[sale_id],salesitems[category])</f>
        <v>Dresses</v>
      </c>
    </row>
    <row r="749" spans="1:15" x14ac:dyDescent="0.45">
      <c r="A749">
        <v>794</v>
      </c>
      <c r="B749" t="s">
        <v>15</v>
      </c>
      <c r="C749">
        <v>0</v>
      </c>
      <c r="D749">
        <v>230.88</v>
      </c>
      <c r="E749" s="1">
        <v>45801</v>
      </c>
      <c r="F749">
        <v>215</v>
      </c>
      <c r="G749" t="s">
        <v>31</v>
      </c>
      <c r="H749" t="str">
        <f>TEXT(sales[[#This Row],[sale_date]],"dddd")</f>
        <v>Saturday</v>
      </c>
      <c r="I749">
        <f>_xlfn.XLOOKUP(A749,salesitems[sale_id],salesitems[revenue],0)</f>
        <v>138.32999999999998</v>
      </c>
      <c r="J749">
        <v>1</v>
      </c>
      <c r="K749" s="10" t="str">
        <f>_xlfn.XLOOKUP(F749,customers[customer_id],customers[age_range])</f>
        <v>56-65</v>
      </c>
      <c r="L749" s="1">
        <f>_xlfn.XLOOKUP(F749,customers[customer_id],customers[signup_date])</f>
        <v>45691</v>
      </c>
      <c r="M749">
        <f>sales[[#This Row],[sale_date]]-sales[[#This Row],[sighnup_date]]</f>
        <v>110</v>
      </c>
      <c r="N749" t="str">
        <f t="shared" si="11"/>
        <v>existing customer</v>
      </c>
      <c r="O749" t="str">
        <f>_xlfn.XLOOKUP(A749,salesitems[sale_id],salesitems[category])</f>
        <v>Pants</v>
      </c>
    </row>
    <row r="750" spans="1:15" x14ac:dyDescent="0.45">
      <c r="A750">
        <v>795</v>
      </c>
      <c r="B750" t="s">
        <v>15</v>
      </c>
      <c r="C750">
        <v>0</v>
      </c>
      <c r="D750">
        <v>275.01</v>
      </c>
      <c r="E750" s="1">
        <v>45768</v>
      </c>
      <c r="F750">
        <v>741</v>
      </c>
      <c r="G750" t="s">
        <v>38</v>
      </c>
      <c r="H750" t="str">
        <f>TEXT(sales[[#This Row],[sale_date]],"dddd")</f>
        <v>Monday</v>
      </c>
      <c r="I750">
        <f>_xlfn.XLOOKUP(A750,salesitems[sale_id],salesitems[revenue],0)</f>
        <v>171.96</v>
      </c>
      <c r="J750">
        <v>1</v>
      </c>
      <c r="K750" s="10" t="str">
        <f>_xlfn.XLOOKUP(F750,customers[customer_id],customers[age_range])</f>
        <v>16-25</v>
      </c>
      <c r="L750" s="1">
        <f>_xlfn.XLOOKUP(F750,customers[customer_id],customers[signup_date])</f>
        <v>45739</v>
      </c>
      <c r="M750">
        <f>sales[[#This Row],[sale_date]]-sales[[#This Row],[sighnup_date]]</f>
        <v>29</v>
      </c>
      <c r="N750" t="str">
        <f t="shared" si="11"/>
        <v>new customer</v>
      </c>
      <c r="O750" t="str">
        <f>_xlfn.XLOOKUP(A750,salesitems[sale_id],salesitems[category])</f>
        <v>Sleepwear</v>
      </c>
    </row>
    <row r="751" spans="1:15" x14ac:dyDescent="0.45">
      <c r="A751">
        <v>796</v>
      </c>
      <c r="B751" t="s">
        <v>15</v>
      </c>
      <c r="C751">
        <v>0</v>
      </c>
      <c r="D751">
        <v>186.54</v>
      </c>
      <c r="E751" s="1">
        <v>45781</v>
      </c>
      <c r="F751">
        <v>754</v>
      </c>
      <c r="G751" t="s">
        <v>34</v>
      </c>
      <c r="H751" t="str">
        <f>TEXT(sales[[#This Row],[sale_date]],"dddd")</f>
        <v>Sunday</v>
      </c>
      <c r="I751">
        <f>_xlfn.XLOOKUP(A751,salesitems[sale_id],salesitems[revenue],0)</f>
        <v>104.56</v>
      </c>
      <c r="J751">
        <v>1</v>
      </c>
      <c r="K751" s="10" t="str">
        <f>_xlfn.XLOOKUP(F751,customers[customer_id],customers[age_range])</f>
        <v>26-35</v>
      </c>
      <c r="L751" s="1">
        <f>_xlfn.XLOOKUP(F751,customers[customer_id],customers[signup_date])</f>
        <v>45677</v>
      </c>
      <c r="M751">
        <f>sales[[#This Row],[sale_date]]-sales[[#This Row],[sighnup_date]]</f>
        <v>104</v>
      </c>
      <c r="N751" t="str">
        <f t="shared" si="11"/>
        <v>existing customer</v>
      </c>
      <c r="O751" t="str">
        <f>_xlfn.XLOOKUP(A751,salesitems[sale_id],salesitems[category])</f>
        <v>Sleepwear</v>
      </c>
    </row>
    <row r="752" spans="1:15" x14ac:dyDescent="0.45">
      <c r="A752">
        <v>797</v>
      </c>
      <c r="B752" t="s">
        <v>21</v>
      </c>
      <c r="C752">
        <v>0</v>
      </c>
      <c r="D752">
        <v>266.89999999999998</v>
      </c>
      <c r="E752" s="1">
        <v>45798</v>
      </c>
      <c r="F752">
        <v>657</v>
      </c>
      <c r="G752" t="s">
        <v>33</v>
      </c>
      <c r="H752" t="str">
        <f>TEXT(sales[[#This Row],[sale_date]],"dddd")</f>
        <v>Wednesday</v>
      </c>
      <c r="I752">
        <f>_xlfn.XLOOKUP(A752,salesitems[sale_id],salesitems[revenue],0)</f>
        <v>122.54</v>
      </c>
      <c r="J752">
        <v>1</v>
      </c>
      <c r="K752" s="10" t="str">
        <f>_xlfn.XLOOKUP(F752,customers[customer_id],customers[age_range])</f>
        <v>26-35</v>
      </c>
      <c r="L752" s="1">
        <f>_xlfn.XLOOKUP(F752,customers[customer_id],customers[signup_date])</f>
        <v>45732</v>
      </c>
      <c r="M752">
        <f>sales[[#This Row],[sale_date]]-sales[[#This Row],[sighnup_date]]</f>
        <v>66</v>
      </c>
      <c r="N752" t="str">
        <f t="shared" si="11"/>
        <v>new customer</v>
      </c>
      <c r="O752" t="str">
        <f>_xlfn.XLOOKUP(A752,salesitems[sale_id],salesitems[category])</f>
        <v>Shoes</v>
      </c>
    </row>
    <row r="753" spans="1:15" x14ac:dyDescent="0.45">
      <c r="A753">
        <v>798</v>
      </c>
      <c r="B753" t="s">
        <v>21</v>
      </c>
      <c r="C753">
        <v>0</v>
      </c>
      <c r="D753">
        <v>341.26</v>
      </c>
      <c r="E753" s="1">
        <v>45751</v>
      </c>
      <c r="F753">
        <v>565</v>
      </c>
      <c r="G753" t="s">
        <v>34</v>
      </c>
      <c r="H753" t="str">
        <f>TEXT(sales[[#This Row],[sale_date]],"dddd")</f>
        <v>Friday</v>
      </c>
      <c r="I753">
        <f>_xlfn.XLOOKUP(A753,salesitems[sale_id],salesitems[revenue],0)</f>
        <v>153.66</v>
      </c>
      <c r="J753">
        <v>1</v>
      </c>
      <c r="K753" s="10" t="str">
        <f>_xlfn.XLOOKUP(F753,customers[customer_id],customers[age_range])</f>
        <v>46-55</v>
      </c>
      <c r="L753" s="1">
        <f>_xlfn.XLOOKUP(F753,customers[customer_id],customers[signup_date])</f>
        <v>45785</v>
      </c>
      <c r="M753">
        <f>sales[[#This Row],[sale_date]]-sales[[#This Row],[sighnup_date]]</f>
        <v>-34</v>
      </c>
      <c r="N753" t="str">
        <f t="shared" si="11"/>
        <v>data issue</v>
      </c>
      <c r="O753" t="str">
        <f>_xlfn.XLOOKUP(A753,salesitems[sale_id],salesitems[category])</f>
        <v>T-Shirts</v>
      </c>
    </row>
    <row r="754" spans="1:15" x14ac:dyDescent="0.45">
      <c r="A754">
        <v>799</v>
      </c>
      <c r="B754" t="s">
        <v>15</v>
      </c>
      <c r="C754">
        <v>0</v>
      </c>
      <c r="D754">
        <v>251.92</v>
      </c>
      <c r="E754" s="1">
        <v>45763</v>
      </c>
      <c r="F754">
        <v>897</v>
      </c>
      <c r="G754" t="s">
        <v>28</v>
      </c>
      <c r="H754" t="str">
        <f>TEXT(sales[[#This Row],[sale_date]],"dddd")</f>
        <v>Wednesday</v>
      </c>
      <c r="I754">
        <f>_xlfn.XLOOKUP(A754,salesitems[sale_id],salesitems[revenue],0)</f>
        <v>104.56</v>
      </c>
      <c r="J754">
        <v>1</v>
      </c>
      <c r="K754" s="10" t="str">
        <f>_xlfn.XLOOKUP(F754,customers[customer_id],customers[age_range])</f>
        <v>56-65</v>
      </c>
      <c r="L754" s="1">
        <f>_xlfn.XLOOKUP(F754,customers[customer_id],customers[signup_date])</f>
        <v>45734</v>
      </c>
      <c r="M754">
        <f>sales[[#This Row],[sale_date]]-sales[[#This Row],[sighnup_date]]</f>
        <v>29</v>
      </c>
      <c r="N754" t="str">
        <f t="shared" si="11"/>
        <v>new customer</v>
      </c>
      <c r="O754" t="str">
        <f>_xlfn.XLOOKUP(A754,salesitems[sale_id],salesitems[category])</f>
        <v>Dresses</v>
      </c>
    </row>
    <row r="755" spans="1:15" x14ac:dyDescent="0.45">
      <c r="A755">
        <v>8</v>
      </c>
      <c r="B755" t="s">
        <v>15</v>
      </c>
      <c r="C755">
        <v>0</v>
      </c>
      <c r="D755">
        <v>408.13</v>
      </c>
      <c r="E755" s="1">
        <v>45803</v>
      </c>
      <c r="F755">
        <v>277</v>
      </c>
      <c r="G755" t="s">
        <v>33</v>
      </c>
      <c r="H755" t="str">
        <f>TEXT(sales[[#This Row],[sale_date]],"dddd")</f>
        <v>Monday</v>
      </c>
      <c r="I755">
        <f>_xlfn.XLOOKUP(A755,salesitems[sale_id],salesitems[revenue],0)</f>
        <v>145.16</v>
      </c>
      <c r="J755">
        <v>1</v>
      </c>
      <c r="K755" s="10" t="str">
        <f>_xlfn.XLOOKUP(F755,customers[customer_id],customers[age_range])</f>
        <v>16-25</v>
      </c>
      <c r="L755" s="1">
        <f>_xlfn.XLOOKUP(F755,customers[customer_id],customers[signup_date])</f>
        <v>45714</v>
      </c>
      <c r="M755">
        <f>sales[[#This Row],[sale_date]]-sales[[#This Row],[sighnup_date]]</f>
        <v>89</v>
      </c>
      <c r="N755" t="str">
        <f t="shared" si="11"/>
        <v>new customer</v>
      </c>
      <c r="O755" t="str">
        <f>_xlfn.XLOOKUP(A755,salesitems[sale_id],salesitems[category])</f>
        <v>Shoes</v>
      </c>
    </row>
    <row r="756" spans="1:15" x14ac:dyDescent="0.45">
      <c r="A756">
        <v>80</v>
      </c>
      <c r="B756" t="s">
        <v>21</v>
      </c>
      <c r="C756">
        <v>0</v>
      </c>
      <c r="D756">
        <v>369.31</v>
      </c>
      <c r="E756" s="1">
        <v>45802</v>
      </c>
      <c r="F756">
        <v>735</v>
      </c>
      <c r="G756" t="s">
        <v>28</v>
      </c>
      <c r="H756" t="str">
        <f>TEXT(sales[[#This Row],[sale_date]],"dddd")</f>
        <v>Sunday</v>
      </c>
      <c r="I756">
        <f>_xlfn.XLOOKUP(A756,salesitems[sale_id],salesitems[revenue],0)</f>
        <v>50.68</v>
      </c>
      <c r="J756">
        <v>1</v>
      </c>
      <c r="K756" s="10" t="str">
        <f>_xlfn.XLOOKUP(F756,customers[customer_id],customers[age_range])</f>
        <v>26-35</v>
      </c>
      <c r="L756" s="1">
        <f>_xlfn.XLOOKUP(F756,customers[customer_id],customers[signup_date])</f>
        <v>45749</v>
      </c>
      <c r="M756">
        <f>sales[[#This Row],[sale_date]]-sales[[#This Row],[sighnup_date]]</f>
        <v>53</v>
      </c>
      <c r="N756" t="str">
        <f t="shared" si="11"/>
        <v>new customer</v>
      </c>
      <c r="O756" t="str">
        <f>_xlfn.XLOOKUP(A756,salesitems[sale_id],salesitems[category])</f>
        <v>Sleepwear</v>
      </c>
    </row>
    <row r="757" spans="1:15" x14ac:dyDescent="0.45">
      <c r="A757">
        <v>800</v>
      </c>
      <c r="B757" t="s">
        <v>21</v>
      </c>
      <c r="C757">
        <v>0</v>
      </c>
      <c r="D757">
        <v>555.4</v>
      </c>
      <c r="E757" s="1">
        <v>45801</v>
      </c>
      <c r="F757">
        <v>96</v>
      </c>
      <c r="G757" t="s">
        <v>33</v>
      </c>
      <c r="H757" t="str">
        <f>TEXT(sales[[#This Row],[sale_date]],"dddd")</f>
        <v>Saturday</v>
      </c>
      <c r="I757">
        <f>_xlfn.XLOOKUP(A757,salesitems[sale_id],salesitems[revenue],0)</f>
        <v>156.9</v>
      </c>
      <c r="J757">
        <v>1</v>
      </c>
      <c r="K757" s="10" t="str">
        <f>_xlfn.XLOOKUP(F757,customers[customer_id],customers[age_range])</f>
        <v>36-45</v>
      </c>
      <c r="L757" s="1">
        <f>_xlfn.XLOOKUP(F757,customers[customer_id],customers[signup_date])</f>
        <v>45703</v>
      </c>
      <c r="M757">
        <f>sales[[#This Row],[sale_date]]-sales[[#This Row],[sighnup_date]]</f>
        <v>98</v>
      </c>
      <c r="N757" t="str">
        <f t="shared" si="11"/>
        <v>existing customer</v>
      </c>
      <c r="O757" t="str">
        <f>_xlfn.XLOOKUP(A757,salesitems[sale_id],salesitems[category])</f>
        <v>T-Shirts</v>
      </c>
    </row>
    <row r="758" spans="1:15" x14ac:dyDescent="0.45">
      <c r="A758">
        <v>801</v>
      </c>
      <c r="B758" t="s">
        <v>21</v>
      </c>
      <c r="C758">
        <v>0</v>
      </c>
      <c r="D758">
        <v>476.87</v>
      </c>
      <c r="E758" s="1">
        <v>45751</v>
      </c>
      <c r="F758">
        <v>876</v>
      </c>
      <c r="G758" t="s">
        <v>33</v>
      </c>
      <c r="H758" t="str">
        <f>TEXT(sales[[#This Row],[sale_date]],"dddd")</f>
        <v>Friday</v>
      </c>
      <c r="I758">
        <f>_xlfn.XLOOKUP(A758,salesitems[sale_id],salesitems[revenue],0)</f>
        <v>152.67000000000002</v>
      </c>
      <c r="J758">
        <v>1</v>
      </c>
      <c r="K758" s="10" t="str">
        <f>_xlfn.XLOOKUP(F758,customers[customer_id],customers[age_range])</f>
        <v>46-55</v>
      </c>
      <c r="L758" s="1">
        <f>_xlfn.XLOOKUP(F758,customers[customer_id],customers[signup_date])</f>
        <v>45726</v>
      </c>
      <c r="M758">
        <f>sales[[#This Row],[sale_date]]-sales[[#This Row],[sighnup_date]]</f>
        <v>25</v>
      </c>
      <c r="N758" t="str">
        <f t="shared" si="11"/>
        <v>new customer</v>
      </c>
      <c r="O758" t="str">
        <f>_xlfn.XLOOKUP(A758,salesitems[sale_id],salesitems[category])</f>
        <v>Sleepwear</v>
      </c>
    </row>
    <row r="759" spans="1:15" x14ac:dyDescent="0.45">
      <c r="A759">
        <v>802</v>
      </c>
      <c r="B759" t="s">
        <v>15</v>
      </c>
      <c r="C759">
        <v>0</v>
      </c>
      <c r="D759">
        <v>456.18</v>
      </c>
      <c r="E759" s="1">
        <v>45777</v>
      </c>
      <c r="F759">
        <v>920</v>
      </c>
      <c r="G759" t="s">
        <v>34</v>
      </c>
      <c r="H759" t="str">
        <f>TEXT(sales[[#This Row],[sale_date]],"dddd")</f>
        <v>Wednesday</v>
      </c>
      <c r="I759">
        <f>_xlfn.XLOOKUP(A759,salesitems[sale_id],salesitems[revenue],0)</f>
        <v>133.97999999999999</v>
      </c>
      <c r="J759">
        <v>1</v>
      </c>
      <c r="K759" s="10" t="str">
        <f>_xlfn.XLOOKUP(F759,customers[customer_id],customers[age_range])</f>
        <v>16-25</v>
      </c>
      <c r="L759" s="1">
        <f>_xlfn.XLOOKUP(F759,customers[customer_id],customers[signup_date])</f>
        <v>45710</v>
      </c>
      <c r="M759">
        <f>sales[[#This Row],[sale_date]]-sales[[#This Row],[sighnup_date]]</f>
        <v>67</v>
      </c>
      <c r="N759" t="str">
        <f t="shared" si="11"/>
        <v>new customer</v>
      </c>
      <c r="O759" t="str">
        <f>_xlfn.XLOOKUP(A759,salesitems[sale_id],salesitems[category])</f>
        <v>Pants</v>
      </c>
    </row>
    <row r="760" spans="1:15" x14ac:dyDescent="0.45">
      <c r="A760">
        <v>808</v>
      </c>
      <c r="B760" t="s">
        <v>21</v>
      </c>
      <c r="C760">
        <v>0</v>
      </c>
      <c r="D760">
        <v>168.3</v>
      </c>
      <c r="E760" s="1">
        <v>45774</v>
      </c>
      <c r="F760">
        <v>153</v>
      </c>
      <c r="G760" t="s">
        <v>28</v>
      </c>
      <c r="H760" t="str">
        <f>TEXT(sales[[#This Row],[sale_date]],"dddd")</f>
        <v>Sunday</v>
      </c>
      <c r="I760">
        <f>_xlfn.XLOOKUP(A760,salesitems[sale_id],salesitems[revenue],0)</f>
        <v>78.84</v>
      </c>
      <c r="J760">
        <v>1</v>
      </c>
      <c r="K760" s="10" t="str">
        <f>_xlfn.XLOOKUP(F760,customers[customer_id],customers[age_range])</f>
        <v>26-35</v>
      </c>
      <c r="L760" s="1">
        <f>_xlfn.XLOOKUP(F760,customers[customer_id],customers[signup_date])</f>
        <v>45798</v>
      </c>
      <c r="M760">
        <f>sales[[#This Row],[sale_date]]-sales[[#This Row],[sighnup_date]]</f>
        <v>-24</v>
      </c>
      <c r="N760" t="str">
        <f t="shared" si="11"/>
        <v>data issue</v>
      </c>
      <c r="O760" t="str">
        <f>_xlfn.XLOOKUP(A760,salesitems[sale_id],salesitems[category])</f>
        <v>Shoes</v>
      </c>
    </row>
    <row r="761" spans="1:15" x14ac:dyDescent="0.45">
      <c r="A761">
        <v>81</v>
      </c>
      <c r="B761" t="s">
        <v>15</v>
      </c>
      <c r="C761">
        <v>1</v>
      </c>
      <c r="D761">
        <v>449.17</v>
      </c>
      <c r="E761" s="1">
        <v>45795</v>
      </c>
      <c r="F761">
        <v>130</v>
      </c>
      <c r="G761" t="s">
        <v>36</v>
      </c>
      <c r="H761" t="str">
        <f>TEXT(sales[[#This Row],[sale_date]],"dddd")</f>
        <v>Sunday</v>
      </c>
      <c r="I761">
        <f>_xlfn.XLOOKUP(A761,salesitems[sale_id],salesitems[revenue],0)</f>
        <v>95.04</v>
      </c>
      <c r="J761">
        <v>1</v>
      </c>
      <c r="K761" s="10" t="str">
        <f>_xlfn.XLOOKUP(F761,customers[customer_id],customers[age_range])</f>
        <v>16-25</v>
      </c>
      <c r="L761" s="1">
        <f>_xlfn.XLOOKUP(F761,customers[customer_id],customers[signup_date])</f>
        <v>45712</v>
      </c>
      <c r="M761">
        <f>sales[[#This Row],[sale_date]]-sales[[#This Row],[sighnup_date]]</f>
        <v>83</v>
      </c>
      <c r="N761" t="str">
        <f t="shared" si="11"/>
        <v>new customer</v>
      </c>
      <c r="O761" t="str">
        <f>_xlfn.XLOOKUP(A761,salesitems[sale_id],salesitems[category])</f>
        <v>Shoes</v>
      </c>
    </row>
    <row r="762" spans="1:15" x14ac:dyDescent="0.45">
      <c r="A762">
        <v>810</v>
      </c>
      <c r="B762" t="s">
        <v>15</v>
      </c>
      <c r="C762">
        <v>0</v>
      </c>
      <c r="D762">
        <v>319.98</v>
      </c>
      <c r="E762" s="1">
        <v>45824</v>
      </c>
      <c r="F762">
        <v>913</v>
      </c>
      <c r="G762" t="s">
        <v>38</v>
      </c>
      <c r="H762" t="str">
        <f>TEXT(sales[[#This Row],[sale_date]],"dddd")</f>
        <v>Monday</v>
      </c>
      <c r="I762">
        <f>_xlfn.XLOOKUP(A762,salesitems[sale_id],salesitems[revenue],0)</f>
        <v>64.819999999999993</v>
      </c>
      <c r="J762">
        <v>1</v>
      </c>
      <c r="K762" s="10" t="str">
        <f>_xlfn.XLOOKUP(F762,customers[customer_id],customers[age_range])</f>
        <v>26-35</v>
      </c>
      <c r="L762" s="1">
        <f>_xlfn.XLOOKUP(F762,customers[customer_id],customers[signup_date])</f>
        <v>45684</v>
      </c>
      <c r="M762">
        <f>sales[[#This Row],[sale_date]]-sales[[#This Row],[sighnup_date]]</f>
        <v>140</v>
      </c>
      <c r="N762" t="str">
        <f t="shared" si="11"/>
        <v>existing customer</v>
      </c>
      <c r="O762" t="str">
        <f>_xlfn.XLOOKUP(A762,salesitems[sale_id],salesitems[category])</f>
        <v>Shoes</v>
      </c>
    </row>
    <row r="763" spans="1:15" x14ac:dyDescent="0.45">
      <c r="A763">
        <v>811</v>
      </c>
      <c r="B763" t="s">
        <v>15</v>
      </c>
      <c r="C763">
        <v>0</v>
      </c>
      <c r="D763">
        <v>427.27</v>
      </c>
      <c r="E763" s="1">
        <v>45774</v>
      </c>
      <c r="F763">
        <v>29</v>
      </c>
      <c r="G763" t="s">
        <v>34</v>
      </c>
      <c r="H763" t="str">
        <f>TEXT(sales[[#This Row],[sale_date]],"dddd")</f>
        <v>Sunday</v>
      </c>
      <c r="I763">
        <f>_xlfn.XLOOKUP(A763,salesitems[sale_id],salesitems[revenue],0)</f>
        <v>243.32</v>
      </c>
      <c r="J763">
        <v>1</v>
      </c>
      <c r="K763" s="10" t="str">
        <f>_xlfn.XLOOKUP(F763,customers[customer_id],customers[age_range])</f>
        <v>56-65</v>
      </c>
      <c r="L763" s="1">
        <f>_xlfn.XLOOKUP(F763,customers[customer_id],customers[signup_date])</f>
        <v>45743</v>
      </c>
      <c r="M763">
        <f>sales[[#This Row],[sale_date]]-sales[[#This Row],[sighnup_date]]</f>
        <v>31</v>
      </c>
      <c r="N763" t="str">
        <f t="shared" si="11"/>
        <v>new customer</v>
      </c>
      <c r="O763" t="str">
        <f>_xlfn.XLOOKUP(A763,salesitems[sale_id],salesitems[category])</f>
        <v>Shoes</v>
      </c>
    </row>
    <row r="764" spans="1:15" x14ac:dyDescent="0.45">
      <c r="A764">
        <v>812</v>
      </c>
      <c r="B764" t="s">
        <v>21</v>
      </c>
      <c r="C764">
        <v>0</v>
      </c>
      <c r="D764">
        <v>246.26</v>
      </c>
      <c r="E764" s="1">
        <v>45768</v>
      </c>
      <c r="F764">
        <v>256</v>
      </c>
      <c r="G764" t="s">
        <v>33</v>
      </c>
      <c r="H764" t="str">
        <f>TEXT(sales[[#This Row],[sale_date]],"dddd")</f>
        <v>Monday</v>
      </c>
      <c r="I764">
        <f>_xlfn.XLOOKUP(A764,salesitems[sale_id],salesitems[revenue],0)</f>
        <v>47.36</v>
      </c>
      <c r="J764">
        <v>1</v>
      </c>
      <c r="K764" s="10" t="str">
        <f>_xlfn.XLOOKUP(F764,customers[customer_id],customers[age_range])</f>
        <v>16-25</v>
      </c>
      <c r="L764" s="1">
        <f>_xlfn.XLOOKUP(F764,customers[customer_id],customers[signup_date])</f>
        <v>45790</v>
      </c>
      <c r="M764">
        <f>sales[[#This Row],[sale_date]]-sales[[#This Row],[sighnup_date]]</f>
        <v>-22</v>
      </c>
      <c r="N764" t="str">
        <f t="shared" si="11"/>
        <v>data issue</v>
      </c>
      <c r="O764" t="str">
        <f>_xlfn.XLOOKUP(A764,salesitems[sale_id],salesitems[category])</f>
        <v>Sleepwear</v>
      </c>
    </row>
    <row r="765" spans="1:15" x14ac:dyDescent="0.45">
      <c r="A765">
        <v>815</v>
      </c>
      <c r="B765" t="s">
        <v>15</v>
      </c>
      <c r="C765">
        <v>0</v>
      </c>
      <c r="D765">
        <v>160.88999999999999</v>
      </c>
      <c r="E765" s="1">
        <v>45774</v>
      </c>
      <c r="F765">
        <v>506</v>
      </c>
      <c r="G765" t="s">
        <v>28</v>
      </c>
      <c r="H765" t="str">
        <f>TEXT(sales[[#This Row],[sale_date]],"dddd")</f>
        <v>Sunday</v>
      </c>
      <c r="I765">
        <f>_xlfn.XLOOKUP(A765,salesitems[sale_id],salesitems[revenue],0)</f>
        <v>55.01</v>
      </c>
      <c r="J765">
        <v>1</v>
      </c>
      <c r="K765" s="10" t="str">
        <f>_xlfn.XLOOKUP(F765,customers[customer_id],customers[age_range])</f>
        <v>26-35</v>
      </c>
      <c r="L765" s="1">
        <f>_xlfn.XLOOKUP(F765,customers[customer_id],customers[signup_date])</f>
        <v>45799</v>
      </c>
      <c r="M765">
        <f>sales[[#This Row],[sale_date]]-sales[[#This Row],[sighnup_date]]</f>
        <v>-25</v>
      </c>
      <c r="N765" t="str">
        <f t="shared" si="11"/>
        <v>data issue</v>
      </c>
      <c r="O765" t="str">
        <f>_xlfn.XLOOKUP(A765,salesitems[sale_id],salesitems[category])</f>
        <v>T-Shirts</v>
      </c>
    </row>
    <row r="766" spans="1:15" x14ac:dyDescent="0.45">
      <c r="A766">
        <v>816</v>
      </c>
      <c r="B766" t="s">
        <v>15</v>
      </c>
      <c r="C766">
        <v>1</v>
      </c>
      <c r="D766">
        <v>160.13999999999999</v>
      </c>
      <c r="E766" s="1">
        <v>45792</v>
      </c>
      <c r="F766">
        <v>456</v>
      </c>
      <c r="G766" t="s">
        <v>33</v>
      </c>
      <c r="H766" t="str">
        <f>TEXT(sales[[#This Row],[sale_date]],"dddd")</f>
        <v>Thursday</v>
      </c>
      <c r="I766">
        <f>_xlfn.XLOOKUP(A766,salesitems[sale_id],salesitems[revenue],0)</f>
        <v>83.7</v>
      </c>
      <c r="J766">
        <v>1</v>
      </c>
      <c r="K766" s="10" t="str">
        <f>_xlfn.XLOOKUP(F766,customers[customer_id],customers[age_range])</f>
        <v>26-35</v>
      </c>
      <c r="L766" s="1">
        <f>_xlfn.XLOOKUP(F766,customers[customer_id],customers[signup_date])</f>
        <v>45688</v>
      </c>
      <c r="M766">
        <f>sales[[#This Row],[sale_date]]-sales[[#This Row],[sighnup_date]]</f>
        <v>104</v>
      </c>
      <c r="N766" t="str">
        <f t="shared" si="11"/>
        <v>existing customer</v>
      </c>
      <c r="O766" t="str">
        <f>_xlfn.XLOOKUP(A766,salesitems[sale_id],salesitems[category])</f>
        <v>T-Shirts</v>
      </c>
    </row>
    <row r="767" spans="1:15" x14ac:dyDescent="0.45">
      <c r="A767">
        <v>817</v>
      </c>
      <c r="B767" t="s">
        <v>21</v>
      </c>
      <c r="C767">
        <v>1</v>
      </c>
      <c r="D767">
        <v>67.02</v>
      </c>
      <c r="E767" s="1">
        <v>45783</v>
      </c>
      <c r="F767">
        <v>485</v>
      </c>
      <c r="G767" t="s">
        <v>31</v>
      </c>
      <c r="H767" t="str">
        <f>TEXT(sales[[#This Row],[sale_date]],"dddd")</f>
        <v>Tuesday</v>
      </c>
      <c r="I767">
        <f>_xlfn.XLOOKUP(A767,salesitems[sale_id],salesitems[revenue],0)</f>
        <v>39.04</v>
      </c>
      <c r="J767">
        <v>1</v>
      </c>
      <c r="K767" s="10" t="str">
        <f>_xlfn.XLOOKUP(F767,customers[customer_id],customers[age_range])</f>
        <v>36-45</v>
      </c>
      <c r="L767" s="1">
        <f>_xlfn.XLOOKUP(F767,customers[customer_id],customers[signup_date])</f>
        <v>45699</v>
      </c>
      <c r="M767">
        <f>sales[[#This Row],[sale_date]]-sales[[#This Row],[sighnup_date]]</f>
        <v>84</v>
      </c>
      <c r="N767" t="str">
        <f t="shared" si="11"/>
        <v>new customer</v>
      </c>
      <c r="O767" t="str">
        <f>_xlfn.XLOOKUP(A767,salesitems[sale_id],salesitems[category])</f>
        <v>Dresses</v>
      </c>
    </row>
    <row r="768" spans="1:15" x14ac:dyDescent="0.45">
      <c r="A768">
        <v>818</v>
      </c>
      <c r="B768" t="s">
        <v>21</v>
      </c>
      <c r="C768">
        <v>0</v>
      </c>
      <c r="D768">
        <v>250.7</v>
      </c>
      <c r="E768" s="1">
        <v>45824</v>
      </c>
      <c r="F768">
        <v>473</v>
      </c>
      <c r="G768" t="s">
        <v>28</v>
      </c>
      <c r="H768" t="str">
        <f>TEXT(sales[[#This Row],[sale_date]],"dddd")</f>
        <v>Monday</v>
      </c>
      <c r="I768">
        <f>_xlfn.XLOOKUP(A768,salesitems[sale_id],salesitems[revenue],0)</f>
        <v>165.18</v>
      </c>
      <c r="J768">
        <v>1</v>
      </c>
      <c r="K768" s="10" t="str">
        <f>_xlfn.XLOOKUP(F768,customers[customer_id],customers[age_range])</f>
        <v>16-25</v>
      </c>
      <c r="L768" s="1">
        <f>_xlfn.XLOOKUP(F768,customers[customer_id],customers[signup_date])</f>
        <v>45696</v>
      </c>
      <c r="M768">
        <f>sales[[#This Row],[sale_date]]-sales[[#This Row],[sighnup_date]]</f>
        <v>128</v>
      </c>
      <c r="N768" t="str">
        <f t="shared" si="11"/>
        <v>existing customer</v>
      </c>
      <c r="O768" t="str">
        <f>_xlfn.XLOOKUP(A768,salesitems[sale_id],salesitems[category])</f>
        <v>Shoes</v>
      </c>
    </row>
    <row r="769" spans="1:15" x14ac:dyDescent="0.45">
      <c r="A769">
        <v>819</v>
      </c>
      <c r="B769" t="s">
        <v>21</v>
      </c>
      <c r="C769">
        <v>0</v>
      </c>
      <c r="D769">
        <v>143.36000000000001</v>
      </c>
      <c r="E769" s="1">
        <v>45773</v>
      </c>
      <c r="F769">
        <v>653</v>
      </c>
      <c r="G769" t="s">
        <v>38</v>
      </c>
      <c r="H769" t="str">
        <f>TEXT(sales[[#This Row],[sale_date]],"dddd")</f>
        <v>Saturday</v>
      </c>
      <c r="I769">
        <f>_xlfn.XLOOKUP(A769,salesitems[sale_id],salesitems[revenue],0)</f>
        <v>42.76</v>
      </c>
      <c r="J769">
        <v>1</v>
      </c>
      <c r="K769" s="10" t="str">
        <f>_xlfn.XLOOKUP(F769,customers[customer_id],customers[age_range])</f>
        <v>36-45</v>
      </c>
      <c r="L769" s="1">
        <f>_xlfn.XLOOKUP(F769,customers[customer_id],customers[signup_date])</f>
        <v>45789</v>
      </c>
      <c r="M769">
        <f>sales[[#This Row],[sale_date]]-sales[[#This Row],[sighnup_date]]</f>
        <v>-16</v>
      </c>
      <c r="N769" t="str">
        <f t="shared" si="11"/>
        <v>data issue</v>
      </c>
      <c r="O769" t="str">
        <f>_xlfn.XLOOKUP(A769,salesitems[sale_id],salesitems[category])</f>
        <v>Pants</v>
      </c>
    </row>
    <row r="770" spans="1:15" x14ac:dyDescent="0.45">
      <c r="A770">
        <v>82</v>
      </c>
      <c r="B770" t="s">
        <v>21</v>
      </c>
      <c r="C770">
        <v>0</v>
      </c>
      <c r="D770">
        <v>753.88</v>
      </c>
      <c r="E770" s="1">
        <v>45761</v>
      </c>
      <c r="F770">
        <v>872</v>
      </c>
      <c r="G770" t="s">
        <v>31</v>
      </c>
      <c r="H770" t="str">
        <f>TEXT(sales[[#This Row],[sale_date]],"dddd")</f>
        <v>Monday</v>
      </c>
      <c r="I770">
        <f>_xlfn.XLOOKUP(A770,salesitems[sale_id],salesitems[revenue],0)</f>
        <v>194.88</v>
      </c>
      <c r="J770">
        <v>1</v>
      </c>
      <c r="K770" s="10" t="str">
        <f>_xlfn.XLOOKUP(F770,customers[customer_id],customers[age_range])</f>
        <v>26-35</v>
      </c>
      <c r="L770" s="1">
        <f>_xlfn.XLOOKUP(F770,customers[customer_id],customers[signup_date])</f>
        <v>45695</v>
      </c>
      <c r="M770">
        <f>sales[[#This Row],[sale_date]]-sales[[#This Row],[sighnup_date]]</f>
        <v>66</v>
      </c>
      <c r="N770" t="str">
        <f t="shared" ref="N770:N833" si="12">IF(M770&lt;0,"data issue",IF(M770&lt;=90,"new customer","existing customer"))</f>
        <v>new customer</v>
      </c>
      <c r="O770" t="str">
        <f>_xlfn.XLOOKUP(A770,salesitems[sale_id],salesitems[category])</f>
        <v>Dresses</v>
      </c>
    </row>
    <row r="771" spans="1:15" x14ac:dyDescent="0.45">
      <c r="A771">
        <v>820</v>
      </c>
      <c r="B771" t="s">
        <v>21</v>
      </c>
      <c r="C771">
        <v>0</v>
      </c>
      <c r="D771">
        <v>463.74</v>
      </c>
      <c r="E771" s="1">
        <v>45767</v>
      </c>
      <c r="F771">
        <v>280</v>
      </c>
      <c r="G771" t="s">
        <v>36</v>
      </c>
      <c r="H771" t="str">
        <f>TEXT(sales[[#This Row],[sale_date]],"dddd")</f>
        <v>Sunday</v>
      </c>
      <c r="I771">
        <f>_xlfn.XLOOKUP(A771,salesitems[sale_id],salesitems[revenue],0)</f>
        <v>195.78000000000003</v>
      </c>
      <c r="J771">
        <v>1</v>
      </c>
      <c r="K771" s="10" t="str">
        <f>_xlfn.XLOOKUP(F771,customers[customer_id],customers[age_range])</f>
        <v>26-35</v>
      </c>
      <c r="L771" s="1">
        <f>_xlfn.XLOOKUP(F771,customers[customer_id],customers[signup_date])</f>
        <v>45703</v>
      </c>
      <c r="M771">
        <f>sales[[#This Row],[sale_date]]-sales[[#This Row],[sighnup_date]]</f>
        <v>64</v>
      </c>
      <c r="N771" t="str">
        <f t="shared" si="12"/>
        <v>new customer</v>
      </c>
      <c r="O771" t="str">
        <f>_xlfn.XLOOKUP(A771,salesitems[sale_id],salesitems[category])</f>
        <v>Shoes</v>
      </c>
    </row>
    <row r="772" spans="1:15" x14ac:dyDescent="0.45">
      <c r="A772">
        <v>821</v>
      </c>
      <c r="B772" t="s">
        <v>15</v>
      </c>
      <c r="C772">
        <v>1</v>
      </c>
      <c r="D772">
        <v>262.23</v>
      </c>
      <c r="E772" s="1">
        <v>45791</v>
      </c>
      <c r="F772">
        <v>233</v>
      </c>
      <c r="G772" t="s">
        <v>28</v>
      </c>
      <c r="H772" t="str">
        <f>TEXT(sales[[#This Row],[sale_date]],"dddd")</f>
        <v>Wednesday</v>
      </c>
      <c r="I772">
        <f>_xlfn.XLOOKUP(A772,salesitems[sale_id],salesitems[revenue],0)</f>
        <v>53.78</v>
      </c>
      <c r="J772">
        <v>1</v>
      </c>
      <c r="K772" s="10" t="str">
        <f>_xlfn.XLOOKUP(F772,customers[customer_id],customers[age_range])</f>
        <v>26-35</v>
      </c>
      <c r="L772" s="1">
        <f>_xlfn.XLOOKUP(F772,customers[customer_id],customers[signup_date])</f>
        <v>45743</v>
      </c>
      <c r="M772">
        <f>sales[[#This Row],[sale_date]]-sales[[#This Row],[sighnup_date]]</f>
        <v>48</v>
      </c>
      <c r="N772" t="str">
        <f t="shared" si="12"/>
        <v>new customer</v>
      </c>
      <c r="O772" t="str">
        <f>_xlfn.XLOOKUP(A772,salesitems[sale_id],salesitems[category])</f>
        <v>Sleepwear</v>
      </c>
    </row>
    <row r="773" spans="1:15" x14ac:dyDescent="0.45">
      <c r="A773">
        <v>822</v>
      </c>
      <c r="B773" t="s">
        <v>15</v>
      </c>
      <c r="C773">
        <v>1</v>
      </c>
      <c r="D773">
        <v>202.69</v>
      </c>
      <c r="E773" s="1">
        <v>45795</v>
      </c>
      <c r="F773">
        <v>690</v>
      </c>
      <c r="G773" t="s">
        <v>34</v>
      </c>
      <c r="H773" t="str">
        <f>TEXT(sales[[#This Row],[sale_date]],"dddd")</f>
        <v>Sunday</v>
      </c>
      <c r="I773">
        <f>_xlfn.XLOOKUP(A773,salesitems[sale_id],salesitems[revenue],0)</f>
        <v>119.03999999999999</v>
      </c>
      <c r="J773">
        <v>1</v>
      </c>
      <c r="K773" s="10" t="str">
        <f>_xlfn.XLOOKUP(F773,customers[customer_id],customers[age_range])</f>
        <v>46-55</v>
      </c>
      <c r="L773" s="1">
        <f>_xlfn.XLOOKUP(F773,customers[customer_id],customers[signup_date])</f>
        <v>45777</v>
      </c>
      <c r="M773">
        <f>sales[[#This Row],[sale_date]]-sales[[#This Row],[sighnup_date]]</f>
        <v>18</v>
      </c>
      <c r="N773" t="str">
        <f t="shared" si="12"/>
        <v>new customer</v>
      </c>
      <c r="O773" t="str">
        <f>_xlfn.XLOOKUP(A773,salesitems[sale_id],salesitems[category])</f>
        <v>Shoes</v>
      </c>
    </row>
    <row r="774" spans="1:15" x14ac:dyDescent="0.45">
      <c r="A774">
        <v>823</v>
      </c>
      <c r="B774" t="s">
        <v>15</v>
      </c>
      <c r="C774">
        <v>0</v>
      </c>
      <c r="D774">
        <v>480.96</v>
      </c>
      <c r="E774" s="1">
        <v>45771</v>
      </c>
      <c r="F774">
        <v>323</v>
      </c>
      <c r="G774" t="s">
        <v>31</v>
      </c>
      <c r="H774" t="str">
        <f>TEXT(sales[[#This Row],[sale_date]],"dddd")</f>
        <v>Thursday</v>
      </c>
      <c r="I774">
        <f>_xlfn.XLOOKUP(A774,salesitems[sale_id],salesitems[revenue],0)</f>
        <v>179.31</v>
      </c>
      <c r="J774">
        <v>1</v>
      </c>
      <c r="K774" s="10" t="str">
        <f>_xlfn.XLOOKUP(F774,customers[customer_id],customers[age_range])</f>
        <v>26-35</v>
      </c>
      <c r="L774" s="1">
        <f>_xlfn.XLOOKUP(F774,customers[customer_id],customers[signup_date])</f>
        <v>45750</v>
      </c>
      <c r="M774">
        <f>sales[[#This Row],[sale_date]]-sales[[#This Row],[sighnup_date]]</f>
        <v>21</v>
      </c>
      <c r="N774" t="str">
        <f t="shared" si="12"/>
        <v>new customer</v>
      </c>
      <c r="O774" t="str">
        <f>_xlfn.XLOOKUP(A774,salesitems[sale_id],salesitems[category])</f>
        <v>Dresses</v>
      </c>
    </row>
    <row r="775" spans="1:15" x14ac:dyDescent="0.45">
      <c r="A775">
        <v>824</v>
      </c>
      <c r="B775" t="s">
        <v>21</v>
      </c>
      <c r="C775">
        <v>0</v>
      </c>
      <c r="D775">
        <v>223.28</v>
      </c>
      <c r="E775" s="1">
        <v>45782</v>
      </c>
      <c r="F775">
        <v>604</v>
      </c>
      <c r="G775" t="s">
        <v>33</v>
      </c>
      <c r="H775" t="str">
        <f>TEXT(sales[[#This Row],[sale_date]],"dddd")</f>
        <v>Monday</v>
      </c>
      <c r="I775">
        <f>_xlfn.XLOOKUP(A775,salesitems[sale_id],salesitems[revenue],0)</f>
        <v>104.56</v>
      </c>
      <c r="J775">
        <v>1</v>
      </c>
      <c r="K775" s="10" t="str">
        <f>_xlfn.XLOOKUP(F775,customers[customer_id],customers[age_range])</f>
        <v>46-55</v>
      </c>
      <c r="L775" s="1">
        <f>_xlfn.XLOOKUP(F775,customers[customer_id],customers[signup_date])</f>
        <v>45764</v>
      </c>
      <c r="M775">
        <f>sales[[#This Row],[sale_date]]-sales[[#This Row],[sighnup_date]]</f>
        <v>18</v>
      </c>
      <c r="N775" t="str">
        <f t="shared" si="12"/>
        <v>new customer</v>
      </c>
      <c r="O775" t="str">
        <f>_xlfn.XLOOKUP(A775,salesitems[sale_id],salesitems[category])</f>
        <v>Sleepwear</v>
      </c>
    </row>
    <row r="776" spans="1:15" x14ac:dyDescent="0.45">
      <c r="A776">
        <v>825</v>
      </c>
      <c r="B776" t="s">
        <v>15</v>
      </c>
      <c r="C776">
        <v>1</v>
      </c>
      <c r="D776">
        <v>295.16000000000003</v>
      </c>
      <c r="E776" s="1">
        <v>45790</v>
      </c>
      <c r="F776">
        <v>643</v>
      </c>
      <c r="G776" t="s">
        <v>38</v>
      </c>
      <c r="H776" t="str">
        <f>TEXT(sales[[#This Row],[sale_date]],"dddd")</f>
        <v>Tuesday</v>
      </c>
      <c r="I776">
        <f>_xlfn.XLOOKUP(A776,salesitems[sale_id],salesitems[revenue],0)</f>
        <v>87.92</v>
      </c>
      <c r="J776">
        <v>1</v>
      </c>
      <c r="K776" s="10" t="str">
        <f>_xlfn.XLOOKUP(F776,customers[customer_id],customers[age_range])</f>
        <v>16-25</v>
      </c>
      <c r="L776" s="1">
        <f>_xlfn.XLOOKUP(F776,customers[customer_id],customers[signup_date])</f>
        <v>45714</v>
      </c>
      <c r="M776">
        <f>sales[[#This Row],[sale_date]]-sales[[#This Row],[sighnup_date]]</f>
        <v>76</v>
      </c>
      <c r="N776" t="str">
        <f t="shared" si="12"/>
        <v>new customer</v>
      </c>
      <c r="O776" t="str">
        <f>_xlfn.XLOOKUP(A776,salesitems[sale_id],salesitems[category])</f>
        <v>T-Shirts</v>
      </c>
    </row>
    <row r="777" spans="1:15" x14ac:dyDescent="0.45">
      <c r="A777">
        <v>827</v>
      </c>
      <c r="B777" t="s">
        <v>21</v>
      </c>
      <c r="C777">
        <v>0</v>
      </c>
      <c r="D777">
        <v>251.9</v>
      </c>
      <c r="E777" s="1">
        <v>45822</v>
      </c>
      <c r="F777">
        <v>253</v>
      </c>
      <c r="G777" t="s">
        <v>28</v>
      </c>
      <c r="H777" t="str">
        <f>TEXT(sales[[#This Row],[sale_date]],"dddd")</f>
        <v>Saturday</v>
      </c>
      <c r="I777">
        <f>_xlfn.XLOOKUP(A777,salesitems[sale_id],salesitems[revenue],0)</f>
        <v>52.94</v>
      </c>
      <c r="J777">
        <v>1</v>
      </c>
      <c r="K777" s="10" t="str">
        <f>_xlfn.XLOOKUP(F777,customers[customer_id],customers[age_range])</f>
        <v>26-35</v>
      </c>
      <c r="L777" s="1">
        <f>_xlfn.XLOOKUP(F777,customers[customer_id],customers[signup_date])</f>
        <v>45748</v>
      </c>
      <c r="M777">
        <f>sales[[#This Row],[sale_date]]-sales[[#This Row],[sighnup_date]]</f>
        <v>74</v>
      </c>
      <c r="N777" t="str">
        <f t="shared" si="12"/>
        <v>new customer</v>
      </c>
      <c r="O777" t="str">
        <f>_xlfn.XLOOKUP(A777,salesitems[sale_id],salesitems[category])</f>
        <v>Sleepwear</v>
      </c>
    </row>
    <row r="778" spans="1:15" x14ac:dyDescent="0.45">
      <c r="A778">
        <v>830</v>
      </c>
      <c r="B778" t="s">
        <v>15</v>
      </c>
      <c r="C778">
        <v>0</v>
      </c>
      <c r="D778">
        <v>226.8</v>
      </c>
      <c r="E778" s="1">
        <v>45822</v>
      </c>
      <c r="F778">
        <v>659</v>
      </c>
      <c r="G778" t="s">
        <v>38</v>
      </c>
      <c r="H778" t="str">
        <f>TEXT(sales[[#This Row],[sale_date]],"dddd")</f>
        <v>Saturday</v>
      </c>
      <c r="I778">
        <f>_xlfn.XLOOKUP(A778,salesitems[sale_id],salesitems[revenue],0)</f>
        <v>116.43</v>
      </c>
      <c r="J778">
        <v>1</v>
      </c>
      <c r="K778" s="10" t="str">
        <f>_xlfn.XLOOKUP(F778,customers[customer_id],customers[age_range])</f>
        <v>46-55</v>
      </c>
      <c r="L778" s="1">
        <f>_xlfn.XLOOKUP(F778,customers[customer_id],customers[signup_date])</f>
        <v>45735</v>
      </c>
      <c r="M778">
        <f>sales[[#This Row],[sale_date]]-sales[[#This Row],[sighnup_date]]</f>
        <v>87</v>
      </c>
      <c r="N778" t="str">
        <f t="shared" si="12"/>
        <v>new customer</v>
      </c>
      <c r="O778" t="str">
        <f>_xlfn.XLOOKUP(A778,salesitems[sale_id],salesitems[category])</f>
        <v>Shoes</v>
      </c>
    </row>
    <row r="779" spans="1:15" x14ac:dyDescent="0.45">
      <c r="A779">
        <v>832</v>
      </c>
      <c r="B779" t="s">
        <v>21</v>
      </c>
      <c r="C779">
        <v>0</v>
      </c>
      <c r="D779">
        <v>266.58</v>
      </c>
      <c r="E779" s="1">
        <v>45770</v>
      </c>
      <c r="F779">
        <v>570</v>
      </c>
      <c r="G779" t="s">
        <v>34</v>
      </c>
      <c r="H779" t="str">
        <f>TEXT(sales[[#This Row],[sale_date]],"dddd")</f>
        <v>Wednesday</v>
      </c>
      <c r="I779">
        <f>_xlfn.XLOOKUP(A779,salesitems[sale_id],salesitems[revenue],0)</f>
        <v>69.48</v>
      </c>
      <c r="J779">
        <v>1</v>
      </c>
      <c r="K779" s="10" t="str">
        <f>_xlfn.XLOOKUP(F779,customers[customer_id],customers[age_range])</f>
        <v>16-25</v>
      </c>
      <c r="L779" s="1">
        <f>_xlfn.XLOOKUP(F779,customers[customer_id],customers[signup_date])</f>
        <v>45760</v>
      </c>
      <c r="M779">
        <f>sales[[#This Row],[sale_date]]-sales[[#This Row],[sighnup_date]]</f>
        <v>10</v>
      </c>
      <c r="N779" t="str">
        <f t="shared" si="12"/>
        <v>new customer</v>
      </c>
      <c r="O779" t="str">
        <f>_xlfn.XLOOKUP(A779,salesitems[sale_id],salesitems[category])</f>
        <v>T-Shirts</v>
      </c>
    </row>
    <row r="780" spans="1:15" x14ac:dyDescent="0.45">
      <c r="A780">
        <v>833</v>
      </c>
      <c r="B780" t="s">
        <v>21</v>
      </c>
      <c r="C780">
        <v>0</v>
      </c>
      <c r="D780">
        <v>217.91</v>
      </c>
      <c r="E780" s="1">
        <v>45776</v>
      </c>
      <c r="F780">
        <v>511</v>
      </c>
      <c r="G780" t="s">
        <v>28</v>
      </c>
      <c r="H780" t="str">
        <f>TEXT(sales[[#This Row],[sale_date]],"dddd")</f>
        <v>Tuesday</v>
      </c>
      <c r="I780">
        <f>_xlfn.XLOOKUP(A780,salesitems[sale_id],salesitems[revenue],0)</f>
        <v>58.34</v>
      </c>
      <c r="J780">
        <v>1</v>
      </c>
      <c r="K780" s="10" t="str">
        <f>_xlfn.XLOOKUP(F780,customers[customer_id],customers[age_range])</f>
        <v>16-25</v>
      </c>
      <c r="L780" s="1">
        <f>_xlfn.XLOOKUP(F780,customers[customer_id],customers[signup_date])</f>
        <v>45765</v>
      </c>
      <c r="M780">
        <f>sales[[#This Row],[sale_date]]-sales[[#This Row],[sighnup_date]]</f>
        <v>11</v>
      </c>
      <c r="N780" t="str">
        <f t="shared" si="12"/>
        <v>new customer</v>
      </c>
      <c r="O780" t="str">
        <f>_xlfn.XLOOKUP(A780,salesitems[sale_id],salesitems[category])</f>
        <v>Pants</v>
      </c>
    </row>
    <row r="781" spans="1:15" x14ac:dyDescent="0.45">
      <c r="A781">
        <v>834</v>
      </c>
      <c r="B781" t="s">
        <v>15</v>
      </c>
      <c r="C781">
        <v>0</v>
      </c>
      <c r="D781">
        <v>196.52</v>
      </c>
      <c r="E781" s="1">
        <v>45825</v>
      </c>
      <c r="F781">
        <v>626</v>
      </c>
      <c r="G781" t="s">
        <v>33</v>
      </c>
      <c r="H781" t="str">
        <f>TEXT(sales[[#This Row],[sale_date]],"dddd")</f>
        <v>Tuesday</v>
      </c>
      <c r="I781">
        <f>_xlfn.XLOOKUP(A781,salesitems[sale_id],salesitems[revenue],0)</f>
        <v>40.770000000000003</v>
      </c>
      <c r="J781">
        <v>1</v>
      </c>
      <c r="K781" s="10" t="str">
        <f>_xlfn.XLOOKUP(F781,customers[customer_id],customers[age_range])</f>
        <v>36-45</v>
      </c>
      <c r="L781" s="1">
        <f>_xlfn.XLOOKUP(F781,customers[customer_id],customers[signup_date])</f>
        <v>45707</v>
      </c>
      <c r="M781">
        <f>sales[[#This Row],[sale_date]]-sales[[#This Row],[sighnup_date]]</f>
        <v>118</v>
      </c>
      <c r="N781" t="str">
        <f t="shared" si="12"/>
        <v>existing customer</v>
      </c>
      <c r="O781" t="str">
        <f>_xlfn.XLOOKUP(A781,salesitems[sale_id],salesitems[category])</f>
        <v>Shoes</v>
      </c>
    </row>
    <row r="782" spans="1:15" x14ac:dyDescent="0.45">
      <c r="A782">
        <v>837</v>
      </c>
      <c r="B782" t="s">
        <v>21</v>
      </c>
      <c r="C782">
        <v>0</v>
      </c>
      <c r="D782">
        <v>570.97</v>
      </c>
      <c r="E782" s="1">
        <v>45782</v>
      </c>
      <c r="F782">
        <v>453</v>
      </c>
      <c r="G782" t="s">
        <v>28</v>
      </c>
      <c r="H782" t="str">
        <f>TEXT(sales[[#This Row],[sale_date]],"dddd")</f>
        <v>Monday</v>
      </c>
      <c r="I782">
        <f>_xlfn.XLOOKUP(A782,salesitems[sale_id],salesitems[revenue],0)</f>
        <v>256.32</v>
      </c>
      <c r="J782">
        <v>1</v>
      </c>
      <c r="K782" s="10" t="str">
        <f>_xlfn.XLOOKUP(F782,customers[customer_id],customers[age_range])</f>
        <v>16-25</v>
      </c>
      <c r="L782" s="1">
        <f>_xlfn.XLOOKUP(F782,customers[customer_id],customers[signup_date])</f>
        <v>45696</v>
      </c>
      <c r="M782">
        <f>sales[[#This Row],[sale_date]]-sales[[#This Row],[sighnup_date]]</f>
        <v>86</v>
      </c>
      <c r="N782" t="str">
        <f t="shared" si="12"/>
        <v>new customer</v>
      </c>
      <c r="O782" t="str">
        <f>_xlfn.XLOOKUP(A782,salesitems[sale_id],salesitems[category])</f>
        <v>Dresses</v>
      </c>
    </row>
    <row r="783" spans="1:15" x14ac:dyDescent="0.45">
      <c r="A783">
        <v>838</v>
      </c>
      <c r="B783" t="s">
        <v>21</v>
      </c>
      <c r="C783">
        <v>0</v>
      </c>
      <c r="D783">
        <v>348.02</v>
      </c>
      <c r="E783" s="1">
        <v>45804</v>
      </c>
      <c r="F783">
        <v>903</v>
      </c>
      <c r="G783" t="s">
        <v>34</v>
      </c>
      <c r="H783" t="str">
        <f>TEXT(sales[[#This Row],[sale_date]],"dddd")</f>
        <v>Tuesday</v>
      </c>
      <c r="I783">
        <f>_xlfn.XLOOKUP(A783,salesitems[sale_id],salesitems[revenue],0)</f>
        <v>105.3</v>
      </c>
      <c r="J783">
        <v>1</v>
      </c>
      <c r="K783" s="10" t="str">
        <f>_xlfn.XLOOKUP(F783,customers[customer_id],customers[age_range])</f>
        <v>16-25</v>
      </c>
      <c r="L783" s="1">
        <f>_xlfn.XLOOKUP(F783,customers[customer_id],customers[signup_date])</f>
        <v>45751</v>
      </c>
      <c r="M783">
        <f>sales[[#This Row],[sale_date]]-sales[[#This Row],[sighnup_date]]</f>
        <v>53</v>
      </c>
      <c r="N783" t="str">
        <f t="shared" si="12"/>
        <v>new customer</v>
      </c>
      <c r="O783" t="str">
        <f>_xlfn.XLOOKUP(A783,salesitems[sale_id],salesitems[category])</f>
        <v>Dresses</v>
      </c>
    </row>
    <row r="784" spans="1:15" x14ac:dyDescent="0.45">
      <c r="A784">
        <v>839</v>
      </c>
      <c r="B784" t="s">
        <v>15</v>
      </c>
      <c r="C784">
        <v>0</v>
      </c>
      <c r="D784">
        <v>182.98</v>
      </c>
      <c r="E784" s="1">
        <v>45808</v>
      </c>
      <c r="F784">
        <v>935</v>
      </c>
      <c r="G784" t="s">
        <v>33</v>
      </c>
      <c r="H784" t="str">
        <f>TEXT(sales[[#This Row],[sale_date]],"dddd")</f>
        <v>Saturday</v>
      </c>
      <c r="I784">
        <f>_xlfn.XLOOKUP(A784,salesitems[sale_id],salesitems[revenue],0)</f>
        <v>37.06</v>
      </c>
      <c r="J784">
        <v>1</v>
      </c>
      <c r="K784" s="10" t="str">
        <f>_xlfn.XLOOKUP(F784,customers[customer_id],customers[age_range])</f>
        <v>46-55</v>
      </c>
      <c r="L784" s="1">
        <f>_xlfn.XLOOKUP(F784,customers[customer_id],customers[signup_date])</f>
        <v>45671</v>
      </c>
      <c r="M784">
        <f>sales[[#This Row],[sale_date]]-sales[[#This Row],[sighnup_date]]</f>
        <v>137</v>
      </c>
      <c r="N784" t="str">
        <f t="shared" si="12"/>
        <v>existing customer</v>
      </c>
      <c r="O784" t="str">
        <f>_xlfn.XLOOKUP(A784,salesitems[sale_id],salesitems[category])</f>
        <v>Sleepwear</v>
      </c>
    </row>
    <row r="785" spans="1:15" x14ac:dyDescent="0.45">
      <c r="A785">
        <v>84</v>
      </c>
      <c r="B785" t="s">
        <v>21</v>
      </c>
      <c r="C785">
        <v>0</v>
      </c>
      <c r="D785">
        <v>519.80999999999995</v>
      </c>
      <c r="E785" s="1">
        <v>45794</v>
      </c>
      <c r="F785">
        <v>932</v>
      </c>
      <c r="G785" t="s">
        <v>28</v>
      </c>
      <c r="H785" t="str">
        <f>TEXT(sales[[#This Row],[sale_date]],"dddd")</f>
        <v>Saturday</v>
      </c>
      <c r="I785">
        <f>_xlfn.XLOOKUP(A785,salesitems[sale_id],salesitems[revenue],0)</f>
        <v>84.2</v>
      </c>
      <c r="J785">
        <v>1</v>
      </c>
      <c r="K785" s="10" t="str">
        <f>_xlfn.XLOOKUP(F785,customers[customer_id],customers[age_range])</f>
        <v>26-35</v>
      </c>
      <c r="L785" s="1">
        <f>_xlfn.XLOOKUP(F785,customers[customer_id],customers[signup_date])</f>
        <v>45728</v>
      </c>
      <c r="M785">
        <f>sales[[#This Row],[sale_date]]-sales[[#This Row],[sighnup_date]]</f>
        <v>66</v>
      </c>
      <c r="N785" t="str">
        <f t="shared" si="12"/>
        <v>new customer</v>
      </c>
      <c r="O785" t="str">
        <f>_xlfn.XLOOKUP(A785,salesitems[sale_id],salesitems[category])</f>
        <v>T-Shirts</v>
      </c>
    </row>
    <row r="786" spans="1:15" x14ac:dyDescent="0.45">
      <c r="A786">
        <v>842</v>
      </c>
      <c r="B786" t="s">
        <v>15</v>
      </c>
      <c r="C786">
        <v>0</v>
      </c>
      <c r="D786">
        <v>181.08</v>
      </c>
      <c r="E786" s="1">
        <v>45768</v>
      </c>
      <c r="F786">
        <v>636</v>
      </c>
      <c r="G786" t="s">
        <v>34</v>
      </c>
      <c r="H786" t="str">
        <f>TEXT(sales[[#This Row],[sale_date]],"dddd")</f>
        <v>Monday</v>
      </c>
      <c r="I786">
        <f>_xlfn.XLOOKUP(A786,salesitems[sale_id],salesitems[revenue],0)</f>
        <v>31.86</v>
      </c>
      <c r="J786">
        <v>1</v>
      </c>
      <c r="K786" s="10" t="str">
        <f>_xlfn.XLOOKUP(F786,customers[customer_id],customers[age_range])</f>
        <v>56-65</v>
      </c>
      <c r="L786" s="1">
        <f>_xlfn.XLOOKUP(F786,customers[customer_id],customers[signup_date])</f>
        <v>45734</v>
      </c>
      <c r="M786">
        <f>sales[[#This Row],[sale_date]]-sales[[#This Row],[sighnup_date]]</f>
        <v>34</v>
      </c>
      <c r="N786" t="str">
        <f t="shared" si="12"/>
        <v>new customer</v>
      </c>
      <c r="O786" t="str">
        <f>_xlfn.XLOOKUP(A786,salesitems[sale_id],salesitems[category])</f>
        <v>Dresses</v>
      </c>
    </row>
    <row r="787" spans="1:15" x14ac:dyDescent="0.45">
      <c r="A787">
        <v>843</v>
      </c>
      <c r="B787" t="s">
        <v>15</v>
      </c>
      <c r="C787">
        <v>0</v>
      </c>
      <c r="D787">
        <v>232.34</v>
      </c>
      <c r="E787" s="1">
        <v>45814</v>
      </c>
      <c r="F787">
        <v>551</v>
      </c>
      <c r="G787" t="s">
        <v>28</v>
      </c>
      <c r="H787" t="str">
        <f>TEXT(sales[[#This Row],[sale_date]],"dddd")</f>
        <v>Friday</v>
      </c>
      <c r="I787">
        <f>_xlfn.XLOOKUP(A787,salesitems[sale_id],salesitems[revenue],0)</f>
        <v>132.66</v>
      </c>
      <c r="J787">
        <v>1</v>
      </c>
      <c r="K787" s="10" t="str">
        <f>_xlfn.XLOOKUP(F787,customers[customer_id],customers[age_range])</f>
        <v>16-25</v>
      </c>
      <c r="L787" s="1">
        <f>_xlfn.XLOOKUP(F787,customers[customer_id],customers[signup_date])</f>
        <v>45727</v>
      </c>
      <c r="M787">
        <f>sales[[#This Row],[sale_date]]-sales[[#This Row],[sighnup_date]]</f>
        <v>87</v>
      </c>
      <c r="N787" t="str">
        <f t="shared" si="12"/>
        <v>new customer</v>
      </c>
      <c r="O787" t="str">
        <f>_xlfn.XLOOKUP(A787,salesitems[sale_id],salesitems[category])</f>
        <v>Dresses</v>
      </c>
    </row>
    <row r="788" spans="1:15" x14ac:dyDescent="0.45">
      <c r="A788">
        <v>844</v>
      </c>
      <c r="B788" t="s">
        <v>21</v>
      </c>
      <c r="C788">
        <v>0</v>
      </c>
      <c r="D788">
        <v>233.87</v>
      </c>
      <c r="E788" s="1">
        <v>45802</v>
      </c>
      <c r="F788">
        <v>802</v>
      </c>
      <c r="G788" t="s">
        <v>34</v>
      </c>
      <c r="H788" t="str">
        <f>TEXT(sales[[#This Row],[sale_date]],"dddd")</f>
        <v>Sunday</v>
      </c>
      <c r="I788">
        <f>_xlfn.XLOOKUP(A788,salesitems[sale_id],salesitems[revenue],0)</f>
        <v>130.52000000000001</v>
      </c>
      <c r="J788">
        <v>1</v>
      </c>
      <c r="K788" s="10" t="str">
        <f>_xlfn.XLOOKUP(F788,customers[customer_id],customers[age_range])</f>
        <v>36-45</v>
      </c>
      <c r="L788" s="1">
        <f>_xlfn.XLOOKUP(F788,customers[customer_id],customers[signup_date])</f>
        <v>45719</v>
      </c>
      <c r="M788">
        <f>sales[[#This Row],[sale_date]]-sales[[#This Row],[sighnup_date]]</f>
        <v>83</v>
      </c>
      <c r="N788" t="str">
        <f t="shared" si="12"/>
        <v>new customer</v>
      </c>
      <c r="O788" t="str">
        <f>_xlfn.XLOOKUP(A788,salesitems[sale_id],salesitems[category])</f>
        <v>Dresses</v>
      </c>
    </row>
    <row r="789" spans="1:15" x14ac:dyDescent="0.45">
      <c r="A789">
        <v>845</v>
      </c>
      <c r="B789" t="s">
        <v>21</v>
      </c>
      <c r="C789">
        <v>0</v>
      </c>
      <c r="D789">
        <v>310.35000000000002</v>
      </c>
      <c r="E789" s="1">
        <v>45803</v>
      </c>
      <c r="F789">
        <v>612</v>
      </c>
      <c r="G789" t="s">
        <v>33</v>
      </c>
      <c r="H789" t="str">
        <f>TEXT(sales[[#This Row],[sale_date]],"dddd")</f>
        <v>Monday</v>
      </c>
      <c r="I789">
        <f>_xlfn.XLOOKUP(A789,salesitems[sale_id],salesitems[revenue],0)</f>
        <v>45.8</v>
      </c>
      <c r="J789">
        <v>1</v>
      </c>
      <c r="K789" s="10" t="str">
        <f>_xlfn.XLOOKUP(F789,customers[customer_id],customers[age_range])</f>
        <v>36-45</v>
      </c>
      <c r="L789" s="1">
        <f>_xlfn.XLOOKUP(F789,customers[customer_id],customers[signup_date])</f>
        <v>45694</v>
      </c>
      <c r="M789">
        <f>sales[[#This Row],[sale_date]]-sales[[#This Row],[sighnup_date]]</f>
        <v>109</v>
      </c>
      <c r="N789" t="str">
        <f t="shared" si="12"/>
        <v>existing customer</v>
      </c>
      <c r="O789" t="str">
        <f>_xlfn.XLOOKUP(A789,salesitems[sale_id],salesitems[category])</f>
        <v>Shoes</v>
      </c>
    </row>
    <row r="790" spans="1:15" x14ac:dyDescent="0.45">
      <c r="A790">
        <v>846</v>
      </c>
      <c r="B790" t="s">
        <v>15</v>
      </c>
      <c r="C790">
        <v>0</v>
      </c>
      <c r="D790">
        <v>425.02</v>
      </c>
      <c r="E790" s="1">
        <v>45764</v>
      </c>
      <c r="F790">
        <v>541</v>
      </c>
      <c r="G790" t="s">
        <v>28</v>
      </c>
      <c r="H790" t="str">
        <f>TEXT(sales[[#This Row],[sale_date]],"dddd")</f>
        <v>Thursday</v>
      </c>
      <c r="I790">
        <f>_xlfn.XLOOKUP(A790,salesitems[sale_id],salesitems[revenue],0)</f>
        <v>162.12</v>
      </c>
      <c r="J790">
        <v>1</v>
      </c>
      <c r="K790" s="10" t="str">
        <f>_xlfn.XLOOKUP(F790,customers[customer_id],customers[age_range])</f>
        <v>56-65</v>
      </c>
      <c r="L790" s="1">
        <f>_xlfn.XLOOKUP(F790,customers[customer_id],customers[signup_date])</f>
        <v>45764</v>
      </c>
      <c r="M790">
        <f>sales[[#This Row],[sale_date]]-sales[[#This Row],[sighnup_date]]</f>
        <v>0</v>
      </c>
      <c r="N790" t="str">
        <f t="shared" si="12"/>
        <v>new customer</v>
      </c>
      <c r="O790" t="str">
        <f>_xlfn.XLOOKUP(A790,salesitems[sale_id],salesitems[category])</f>
        <v>Shoes</v>
      </c>
    </row>
    <row r="791" spans="1:15" x14ac:dyDescent="0.45">
      <c r="A791">
        <v>848</v>
      </c>
      <c r="B791" t="s">
        <v>15</v>
      </c>
      <c r="C791">
        <v>0</v>
      </c>
      <c r="D791">
        <v>181.08</v>
      </c>
      <c r="E791" s="1">
        <v>45814</v>
      </c>
      <c r="F791">
        <v>500</v>
      </c>
      <c r="G791" t="s">
        <v>36</v>
      </c>
      <c r="H791" t="str">
        <f>TEXT(sales[[#This Row],[sale_date]],"dddd")</f>
        <v>Friday</v>
      </c>
      <c r="I791">
        <f>_xlfn.XLOOKUP(A791,salesitems[sale_id],salesitems[revenue],0)</f>
        <v>125.84</v>
      </c>
      <c r="J791">
        <v>1</v>
      </c>
      <c r="K791" s="10" t="str">
        <f>_xlfn.XLOOKUP(F791,customers[customer_id],customers[age_range])</f>
        <v>56-65</v>
      </c>
      <c r="L791" s="1">
        <f>_xlfn.XLOOKUP(F791,customers[customer_id],customers[signup_date])</f>
        <v>45767</v>
      </c>
      <c r="M791">
        <f>sales[[#This Row],[sale_date]]-sales[[#This Row],[sighnup_date]]</f>
        <v>47</v>
      </c>
      <c r="N791" t="str">
        <f t="shared" si="12"/>
        <v>new customer</v>
      </c>
      <c r="O791" t="str">
        <f>_xlfn.XLOOKUP(A791,salesitems[sale_id],salesitems[category])</f>
        <v>Shoes</v>
      </c>
    </row>
    <row r="792" spans="1:15" x14ac:dyDescent="0.45">
      <c r="A792">
        <v>849</v>
      </c>
      <c r="B792" t="s">
        <v>21</v>
      </c>
      <c r="C792">
        <v>1</v>
      </c>
      <c r="D792">
        <v>167.31</v>
      </c>
      <c r="E792" s="1">
        <v>45814</v>
      </c>
      <c r="F792">
        <v>869</v>
      </c>
      <c r="G792" t="s">
        <v>31</v>
      </c>
      <c r="H792" t="str">
        <f>TEXT(sales[[#This Row],[sale_date]],"dddd")</f>
        <v>Friday</v>
      </c>
      <c r="I792">
        <f>_xlfn.XLOOKUP(A792,salesitems[sale_id],salesitems[revenue],0)</f>
        <v>81.34</v>
      </c>
      <c r="J792">
        <v>1</v>
      </c>
      <c r="K792" s="10" t="str">
        <f>_xlfn.XLOOKUP(F792,customers[customer_id],customers[age_range])</f>
        <v>56-65</v>
      </c>
      <c r="L792" s="1">
        <f>_xlfn.XLOOKUP(F792,customers[customer_id],customers[signup_date])</f>
        <v>45725</v>
      </c>
      <c r="M792">
        <f>sales[[#This Row],[sale_date]]-sales[[#This Row],[sighnup_date]]</f>
        <v>89</v>
      </c>
      <c r="N792" t="str">
        <f t="shared" si="12"/>
        <v>new customer</v>
      </c>
      <c r="O792" t="str">
        <f>_xlfn.XLOOKUP(A792,salesitems[sale_id],salesitems[category])</f>
        <v>Sleepwear</v>
      </c>
    </row>
    <row r="793" spans="1:15" x14ac:dyDescent="0.45">
      <c r="A793">
        <v>85</v>
      </c>
      <c r="B793" t="s">
        <v>21</v>
      </c>
      <c r="C793">
        <v>0</v>
      </c>
      <c r="D793">
        <v>410.73</v>
      </c>
      <c r="E793" s="1">
        <v>45792</v>
      </c>
      <c r="F793">
        <v>344</v>
      </c>
      <c r="G793" t="s">
        <v>31</v>
      </c>
      <c r="H793" t="str">
        <f>TEXT(sales[[#This Row],[sale_date]],"dddd")</f>
        <v>Thursday</v>
      </c>
      <c r="I793">
        <f>_xlfn.XLOOKUP(A793,salesitems[sale_id],salesitems[revenue],0)</f>
        <v>59.64</v>
      </c>
      <c r="J793">
        <v>1</v>
      </c>
      <c r="K793" s="10" t="str">
        <f>_xlfn.XLOOKUP(F793,customers[customer_id],customers[age_range])</f>
        <v>16-25</v>
      </c>
      <c r="L793" s="1">
        <f>_xlfn.XLOOKUP(F793,customers[customer_id],customers[signup_date])</f>
        <v>45750</v>
      </c>
      <c r="M793">
        <f>sales[[#This Row],[sale_date]]-sales[[#This Row],[sighnup_date]]</f>
        <v>42</v>
      </c>
      <c r="N793" t="str">
        <f t="shared" si="12"/>
        <v>new customer</v>
      </c>
      <c r="O793" t="str">
        <f>_xlfn.XLOOKUP(A793,salesitems[sale_id],salesitems[category])</f>
        <v>Pants</v>
      </c>
    </row>
    <row r="794" spans="1:15" x14ac:dyDescent="0.45">
      <c r="A794">
        <v>850</v>
      </c>
      <c r="B794" t="s">
        <v>21</v>
      </c>
      <c r="C794">
        <v>0</v>
      </c>
      <c r="D794">
        <v>472.29</v>
      </c>
      <c r="E794" s="1">
        <v>45766</v>
      </c>
      <c r="F794">
        <v>658</v>
      </c>
      <c r="G794" t="s">
        <v>33</v>
      </c>
      <c r="H794" t="str">
        <f>TEXT(sales[[#This Row],[sale_date]],"dddd")</f>
        <v>Saturday</v>
      </c>
      <c r="I794">
        <f>_xlfn.XLOOKUP(A794,salesitems[sale_id],salesitems[revenue],0)</f>
        <v>98.24</v>
      </c>
      <c r="J794">
        <v>1</v>
      </c>
      <c r="K794" s="10" t="str">
        <f>_xlfn.XLOOKUP(F794,customers[customer_id],customers[age_range])</f>
        <v>36-45</v>
      </c>
      <c r="L794" s="1">
        <f>_xlfn.XLOOKUP(F794,customers[customer_id],customers[signup_date])</f>
        <v>45724</v>
      </c>
      <c r="M794">
        <f>sales[[#This Row],[sale_date]]-sales[[#This Row],[sighnup_date]]</f>
        <v>42</v>
      </c>
      <c r="N794" t="str">
        <f t="shared" si="12"/>
        <v>new customer</v>
      </c>
      <c r="O794" t="str">
        <f>_xlfn.XLOOKUP(A794,salesitems[sale_id],salesitems[category])</f>
        <v>Sleepwear</v>
      </c>
    </row>
    <row r="795" spans="1:15" x14ac:dyDescent="0.45">
      <c r="A795">
        <v>852</v>
      </c>
      <c r="B795" t="s">
        <v>15</v>
      </c>
      <c r="C795">
        <v>0</v>
      </c>
      <c r="D795">
        <v>387.92</v>
      </c>
      <c r="E795" s="1">
        <v>45770</v>
      </c>
      <c r="F795">
        <v>745</v>
      </c>
      <c r="G795" t="s">
        <v>33</v>
      </c>
      <c r="H795" t="str">
        <f>TEXT(sales[[#This Row],[sale_date]],"dddd")</f>
        <v>Wednesday</v>
      </c>
      <c r="I795">
        <f>_xlfn.XLOOKUP(A795,salesitems[sale_id],salesitems[revenue],0)</f>
        <v>143.44</v>
      </c>
      <c r="J795">
        <v>1</v>
      </c>
      <c r="K795" s="10" t="str">
        <f>_xlfn.XLOOKUP(F795,customers[customer_id],customers[age_range])</f>
        <v>46-55</v>
      </c>
      <c r="L795" s="1">
        <f>_xlfn.XLOOKUP(F795,customers[customer_id],customers[signup_date])</f>
        <v>45757</v>
      </c>
      <c r="M795">
        <f>sales[[#This Row],[sale_date]]-sales[[#This Row],[sighnup_date]]</f>
        <v>13</v>
      </c>
      <c r="N795" t="str">
        <f t="shared" si="12"/>
        <v>new customer</v>
      </c>
      <c r="O795" t="str">
        <f>_xlfn.XLOOKUP(A795,salesitems[sale_id],salesitems[category])</f>
        <v>Sleepwear</v>
      </c>
    </row>
    <row r="796" spans="1:15" x14ac:dyDescent="0.45">
      <c r="A796">
        <v>853</v>
      </c>
      <c r="B796" t="s">
        <v>15</v>
      </c>
      <c r="C796">
        <v>0</v>
      </c>
      <c r="D796">
        <v>150.6</v>
      </c>
      <c r="E796" s="1">
        <v>45775</v>
      </c>
      <c r="F796">
        <v>883</v>
      </c>
      <c r="G796" t="s">
        <v>33</v>
      </c>
      <c r="H796" t="str">
        <f>TEXT(sales[[#This Row],[sale_date]],"dddd")</f>
        <v>Monday</v>
      </c>
      <c r="I796">
        <f>_xlfn.XLOOKUP(A796,salesitems[sale_id],salesitems[revenue],0)</f>
        <v>46.36</v>
      </c>
      <c r="J796">
        <v>1</v>
      </c>
      <c r="K796" s="10" t="str">
        <f>_xlfn.XLOOKUP(F796,customers[customer_id],customers[age_range])</f>
        <v>56-65</v>
      </c>
      <c r="L796" s="1">
        <f>_xlfn.XLOOKUP(F796,customers[customer_id],customers[signup_date])</f>
        <v>45745</v>
      </c>
      <c r="M796">
        <f>sales[[#This Row],[sale_date]]-sales[[#This Row],[sighnup_date]]</f>
        <v>30</v>
      </c>
      <c r="N796" t="str">
        <f t="shared" si="12"/>
        <v>new customer</v>
      </c>
      <c r="O796" t="str">
        <f>_xlfn.XLOOKUP(A796,salesitems[sale_id],salesitems[category])</f>
        <v>T-Shirts</v>
      </c>
    </row>
    <row r="797" spans="1:15" x14ac:dyDescent="0.45">
      <c r="A797">
        <v>854</v>
      </c>
      <c r="B797" t="s">
        <v>21</v>
      </c>
      <c r="C797">
        <v>0</v>
      </c>
      <c r="D797">
        <v>255.78</v>
      </c>
      <c r="E797" s="1">
        <v>45763</v>
      </c>
      <c r="F797">
        <v>254</v>
      </c>
      <c r="G797" t="s">
        <v>33</v>
      </c>
      <c r="H797" t="str">
        <f>TEXT(sales[[#This Row],[sale_date]],"dddd")</f>
        <v>Wednesday</v>
      </c>
      <c r="I797">
        <f>_xlfn.XLOOKUP(A797,salesitems[sale_id],salesitems[revenue],0)</f>
        <v>74.7</v>
      </c>
      <c r="J797">
        <v>1</v>
      </c>
      <c r="K797" s="10" t="str">
        <f>_xlfn.XLOOKUP(F797,customers[customer_id],customers[age_range])</f>
        <v>36-45</v>
      </c>
      <c r="L797" s="1">
        <f>_xlfn.XLOOKUP(F797,customers[customer_id],customers[signup_date])</f>
        <v>45768</v>
      </c>
      <c r="M797">
        <f>sales[[#This Row],[sale_date]]-sales[[#This Row],[sighnup_date]]</f>
        <v>-5</v>
      </c>
      <c r="N797" t="str">
        <f t="shared" si="12"/>
        <v>data issue</v>
      </c>
      <c r="O797" t="str">
        <f>_xlfn.XLOOKUP(A797,salesitems[sale_id],salesitems[category])</f>
        <v>Dresses</v>
      </c>
    </row>
    <row r="798" spans="1:15" x14ac:dyDescent="0.45">
      <c r="A798">
        <v>855</v>
      </c>
      <c r="B798" t="s">
        <v>15</v>
      </c>
      <c r="C798">
        <v>0</v>
      </c>
      <c r="D798">
        <v>390.32</v>
      </c>
      <c r="E798" s="1">
        <v>45798</v>
      </c>
      <c r="F798">
        <v>710</v>
      </c>
      <c r="G798" t="s">
        <v>28</v>
      </c>
      <c r="H798" t="str">
        <f>TEXT(sales[[#This Row],[sale_date]],"dddd")</f>
        <v>Wednesday</v>
      </c>
      <c r="I798">
        <f>_xlfn.XLOOKUP(A798,salesitems[sale_id],salesitems[revenue],0)</f>
        <v>137.39999999999998</v>
      </c>
      <c r="J798">
        <v>1</v>
      </c>
      <c r="K798" s="10" t="str">
        <f>_xlfn.XLOOKUP(F798,customers[customer_id],customers[age_range])</f>
        <v>36-45</v>
      </c>
      <c r="L798" s="1">
        <f>_xlfn.XLOOKUP(F798,customers[customer_id],customers[signup_date])</f>
        <v>45693</v>
      </c>
      <c r="M798">
        <f>sales[[#This Row],[sale_date]]-sales[[#This Row],[sighnup_date]]</f>
        <v>105</v>
      </c>
      <c r="N798" t="str">
        <f t="shared" si="12"/>
        <v>existing customer</v>
      </c>
      <c r="O798" t="str">
        <f>_xlfn.XLOOKUP(A798,salesitems[sale_id],salesitems[category])</f>
        <v>Shoes</v>
      </c>
    </row>
    <row r="799" spans="1:15" x14ac:dyDescent="0.45">
      <c r="A799">
        <v>856</v>
      </c>
      <c r="B799" t="s">
        <v>21</v>
      </c>
      <c r="C799">
        <v>0</v>
      </c>
      <c r="D799">
        <v>206.9</v>
      </c>
      <c r="E799" s="1">
        <v>45764</v>
      </c>
      <c r="F799">
        <v>648</v>
      </c>
      <c r="G799" t="s">
        <v>36</v>
      </c>
      <c r="H799" t="str">
        <f>TEXT(sales[[#This Row],[sale_date]],"dddd")</f>
        <v>Thursday</v>
      </c>
      <c r="I799">
        <f>_xlfn.XLOOKUP(A799,salesitems[sale_id],salesitems[revenue],0)</f>
        <v>58.34</v>
      </c>
      <c r="J799">
        <v>1</v>
      </c>
      <c r="K799" s="10" t="str">
        <f>_xlfn.XLOOKUP(F799,customers[customer_id],customers[age_range])</f>
        <v>36-45</v>
      </c>
      <c r="L799" s="1">
        <f>_xlfn.XLOOKUP(F799,customers[customer_id],customers[signup_date])</f>
        <v>45706</v>
      </c>
      <c r="M799">
        <f>sales[[#This Row],[sale_date]]-sales[[#This Row],[sighnup_date]]</f>
        <v>58</v>
      </c>
      <c r="N799" t="str">
        <f t="shared" si="12"/>
        <v>new customer</v>
      </c>
      <c r="O799" t="str">
        <f>_xlfn.XLOOKUP(A799,salesitems[sale_id],salesitems[category])</f>
        <v>Pants</v>
      </c>
    </row>
    <row r="800" spans="1:15" x14ac:dyDescent="0.45">
      <c r="A800">
        <v>857</v>
      </c>
      <c r="B800" t="s">
        <v>15</v>
      </c>
      <c r="C800">
        <v>0</v>
      </c>
      <c r="D800">
        <v>377.18</v>
      </c>
      <c r="E800" s="1">
        <v>45763</v>
      </c>
      <c r="F800">
        <v>133</v>
      </c>
      <c r="G800" t="s">
        <v>28</v>
      </c>
      <c r="H800" t="str">
        <f>TEXT(sales[[#This Row],[sale_date]],"dddd")</f>
        <v>Wednesday</v>
      </c>
      <c r="I800">
        <f>_xlfn.XLOOKUP(A800,salesitems[sale_id],salesitems[revenue],0)</f>
        <v>161.22</v>
      </c>
      <c r="J800">
        <v>1</v>
      </c>
      <c r="K800" s="10" t="str">
        <f>_xlfn.XLOOKUP(F800,customers[customer_id],customers[age_range])</f>
        <v>36-45</v>
      </c>
      <c r="L800" s="1">
        <f>_xlfn.XLOOKUP(F800,customers[customer_id],customers[signup_date])</f>
        <v>45664</v>
      </c>
      <c r="M800">
        <f>sales[[#This Row],[sale_date]]-sales[[#This Row],[sighnup_date]]</f>
        <v>99</v>
      </c>
      <c r="N800" t="str">
        <f t="shared" si="12"/>
        <v>existing customer</v>
      </c>
      <c r="O800" t="str">
        <f>_xlfn.XLOOKUP(A800,salesitems[sale_id],salesitems[category])</f>
        <v>Sleepwear</v>
      </c>
    </row>
    <row r="801" spans="1:15" x14ac:dyDescent="0.45">
      <c r="A801">
        <v>858</v>
      </c>
      <c r="B801" t="s">
        <v>21</v>
      </c>
      <c r="C801">
        <v>0</v>
      </c>
      <c r="D801">
        <v>142.03</v>
      </c>
      <c r="E801" s="1">
        <v>45791</v>
      </c>
      <c r="F801">
        <v>659</v>
      </c>
      <c r="G801" t="s">
        <v>38</v>
      </c>
      <c r="H801" t="str">
        <f>TEXT(sales[[#This Row],[sale_date]],"dddd")</f>
        <v>Wednesday</v>
      </c>
      <c r="I801">
        <f>_xlfn.XLOOKUP(A801,salesitems[sale_id],salesitems[revenue],0)</f>
        <v>39.340000000000003</v>
      </c>
      <c r="J801">
        <v>1</v>
      </c>
      <c r="K801" s="10" t="str">
        <f>_xlfn.XLOOKUP(F801,customers[customer_id],customers[age_range])</f>
        <v>46-55</v>
      </c>
      <c r="L801" s="1">
        <f>_xlfn.XLOOKUP(F801,customers[customer_id],customers[signup_date])</f>
        <v>45735</v>
      </c>
      <c r="M801">
        <f>sales[[#This Row],[sale_date]]-sales[[#This Row],[sighnup_date]]</f>
        <v>56</v>
      </c>
      <c r="N801" t="str">
        <f t="shared" si="12"/>
        <v>new customer</v>
      </c>
      <c r="O801" t="str">
        <f>_xlfn.XLOOKUP(A801,salesitems[sale_id],salesitems[category])</f>
        <v>Pants</v>
      </c>
    </row>
    <row r="802" spans="1:15" x14ac:dyDescent="0.45">
      <c r="A802">
        <v>859</v>
      </c>
      <c r="B802" t="s">
        <v>21</v>
      </c>
      <c r="C802">
        <v>0</v>
      </c>
      <c r="D802">
        <v>289.32</v>
      </c>
      <c r="E802" s="1">
        <v>45799</v>
      </c>
      <c r="F802">
        <v>39</v>
      </c>
      <c r="G802" t="s">
        <v>28</v>
      </c>
      <c r="H802" t="str">
        <f>TEXT(sales[[#This Row],[sale_date]],"dddd")</f>
        <v>Thursday</v>
      </c>
      <c r="I802">
        <f>_xlfn.XLOOKUP(A802,salesitems[sale_id],salesitems[revenue],0)</f>
        <v>174.32999999999998</v>
      </c>
      <c r="J802">
        <v>1</v>
      </c>
      <c r="K802" s="10" t="str">
        <f>_xlfn.XLOOKUP(F802,customers[customer_id],customers[age_range])</f>
        <v>36-45</v>
      </c>
      <c r="L802" s="1">
        <f>_xlfn.XLOOKUP(F802,customers[customer_id],customers[signup_date])</f>
        <v>45752</v>
      </c>
      <c r="M802">
        <f>sales[[#This Row],[sale_date]]-sales[[#This Row],[sighnup_date]]</f>
        <v>47</v>
      </c>
      <c r="N802" t="str">
        <f t="shared" si="12"/>
        <v>new customer</v>
      </c>
      <c r="O802" t="str">
        <f>_xlfn.XLOOKUP(A802,salesitems[sale_id],salesitems[category])</f>
        <v>Shoes</v>
      </c>
    </row>
    <row r="803" spans="1:15" x14ac:dyDescent="0.45">
      <c r="A803">
        <v>86</v>
      </c>
      <c r="B803" t="s">
        <v>15</v>
      </c>
      <c r="C803">
        <v>0</v>
      </c>
      <c r="D803">
        <v>709.19</v>
      </c>
      <c r="E803" s="1">
        <v>45823</v>
      </c>
      <c r="F803">
        <v>453</v>
      </c>
      <c r="G803" t="s">
        <v>28</v>
      </c>
      <c r="H803" t="str">
        <f>TEXT(sales[[#This Row],[sale_date]],"dddd")</f>
        <v>Sunday</v>
      </c>
      <c r="I803">
        <f>_xlfn.XLOOKUP(A803,salesitems[sale_id],salesitems[revenue],0)</f>
        <v>174.78</v>
      </c>
      <c r="J803">
        <v>1</v>
      </c>
      <c r="K803" s="10" t="str">
        <f>_xlfn.XLOOKUP(F803,customers[customer_id],customers[age_range])</f>
        <v>16-25</v>
      </c>
      <c r="L803" s="1">
        <f>_xlfn.XLOOKUP(F803,customers[customer_id],customers[signup_date])</f>
        <v>45696</v>
      </c>
      <c r="M803">
        <f>sales[[#This Row],[sale_date]]-sales[[#This Row],[sighnup_date]]</f>
        <v>127</v>
      </c>
      <c r="N803" t="str">
        <f t="shared" si="12"/>
        <v>existing customer</v>
      </c>
      <c r="O803" t="str">
        <f>_xlfn.XLOOKUP(A803,salesitems[sale_id],salesitems[category])</f>
        <v>T-Shirts</v>
      </c>
    </row>
    <row r="804" spans="1:15" x14ac:dyDescent="0.45">
      <c r="A804">
        <v>861</v>
      </c>
      <c r="B804" t="s">
        <v>21</v>
      </c>
      <c r="C804">
        <v>0</v>
      </c>
      <c r="D804">
        <v>406.56</v>
      </c>
      <c r="E804" s="1">
        <v>45768</v>
      </c>
      <c r="F804">
        <v>99</v>
      </c>
      <c r="G804" t="s">
        <v>34</v>
      </c>
      <c r="H804" t="str">
        <f>TEXT(sales[[#This Row],[sale_date]],"dddd")</f>
        <v>Monday</v>
      </c>
      <c r="I804">
        <f>_xlfn.XLOOKUP(A804,salesitems[sale_id],salesitems[revenue],0)</f>
        <v>105.88</v>
      </c>
      <c r="J804">
        <v>1</v>
      </c>
      <c r="K804" s="10" t="str">
        <f>_xlfn.XLOOKUP(F804,customers[customer_id],customers[age_range])</f>
        <v>36-45</v>
      </c>
      <c r="L804" s="1">
        <f>_xlfn.XLOOKUP(F804,customers[customer_id],customers[signup_date])</f>
        <v>45733</v>
      </c>
      <c r="M804">
        <f>sales[[#This Row],[sale_date]]-sales[[#This Row],[sighnup_date]]</f>
        <v>35</v>
      </c>
      <c r="N804" t="str">
        <f t="shared" si="12"/>
        <v>new customer</v>
      </c>
      <c r="O804" t="str">
        <f>_xlfn.XLOOKUP(A804,salesitems[sale_id],salesitems[category])</f>
        <v>Sleepwear</v>
      </c>
    </row>
    <row r="805" spans="1:15" x14ac:dyDescent="0.45">
      <c r="A805">
        <v>862</v>
      </c>
      <c r="B805" t="s">
        <v>15</v>
      </c>
      <c r="C805">
        <v>0</v>
      </c>
      <c r="D805">
        <v>233.9</v>
      </c>
      <c r="E805" s="1">
        <v>45814</v>
      </c>
      <c r="F805">
        <v>912</v>
      </c>
      <c r="G805" t="s">
        <v>36</v>
      </c>
      <c r="H805" t="str">
        <f>TEXT(sales[[#This Row],[sale_date]],"dddd")</f>
        <v>Friday</v>
      </c>
      <c r="I805">
        <f>_xlfn.XLOOKUP(A805,salesitems[sale_id],salesitems[revenue],0)</f>
        <v>63.22</v>
      </c>
      <c r="J805">
        <v>1</v>
      </c>
      <c r="K805" s="10" t="str">
        <f>_xlfn.XLOOKUP(F805,customers[customer_id],customers[age_range])</f>
        <v>56-65</v>
      </c>
      <c r="L805" s="1">
        <f>_xlfn.XLOOKUP(F805,customers[customer_id],customers[signup_date])</f>
        <v>45712</v>
      </c>
      <c r="M805">
        <f>sales[[#This Row],[sale_date]]-sales[[#This Row],[sighnup_date]]</f>
        <v>102</v>
      </c>
      <c r="N805" t="str">
        <f t="shared" si="12"/>
        <v>existing customer</v>
      </c>
      <c r="O805" t="str">
        <f>_xlfn.XLOOKUP(A805,salesitems[sale_id],salesitems[category])</f>
        <v>T-Shirts</v>
      </c>
    </row>
    <row r="806" spans="1:15" x14ac:dyDescent="0.45">
      <c r="A806">
        <v>863</v>
      </c>
      <c r="B806" t="s">
        <v>21</v>
      </c>
      <c r="C806">
        <v>0</v>
      </c>
      <c r="D806">
        <v>384.64</v>
      </c>
      <c r="E806" s="1">
        <v>45764</v>
      </c>
      <c r="F806">
        <v>39</v>
      </c>
      <c r="G806" t="s">
        <v>28</v>
      </c>
      <c r="H806" t="str">
        <f>TEXT(sales[[#This Row],[sale_date]],"dddd")</f>
        <v>Thursday</v>
      </c>
      <c r="I806">
        <f>_xlfn.XLOOKUP(A806,salesitems[sale_id],salesitems[revenue],0)</f>
        <v>74.28</v>
      </c>
      <c r="J806">
        <v>1</v>
      </c>
      <c r="K806" s="10" t="str">
        <f>_xlfn.XLOOKUP(F806,customers[customer_id],customers[age_range])</f>
        <v>36-45</v>
      </c>
      <c r="L806" s="1">
        <f>_xlfn.XLOOKUP(F806,customers[customer_id],customers[signup_date])</f>
        <v>45752</v>
      </c>
      <c r="M806">
        <f>sales[[#This Row],[sale_date]]-sales[[#This Row],[sighnup_date]]</f>
        <v>12</v>
      </c>
      <c r="N806" t="str">
        <f t="shared" si="12"/>
        <v>new customer</v>
      </c>
      <c r="O806" t="str">
        <f>_xlfn.XLOOKUP(A806,salesitems[sale_id],salesitems[category])</f>
        <v>Shoes</v>
      </c>
    </row>
    <row r="807" spans="1:15" x14ac:dyDescent="0.45">
      <c r="A807">
        <v>864</v>
      </c>
      <c r="B807" t="s">
        <v>21</v>
      </c>
      <c r="C807">
        <v>1</v>
      </c>
      <c r="D807">
        <v>282.2</v>
      </c>
      <c r="E807" s="1">
        <v>45753</v>
      </c>
      <c r="F807">
        <v>867</v>
      </c>
      <c r="G807" t="s">
        <v>28</v>
      </c>
      <c r="H807" t="str">
        <f>TEXT(sales[[#This Row],[sale_date]],"dddd")</f>
        <v>Sunday</v>
      </c>
      <c r="I807">
        <f>_xlfn.XLOOKUP(A807,salesitems[sale_id],salesitems[revenue],0)</f>
        <v>71.599999999999994</v>
      </c>
      <c r="J807">
        <v>1</v>
      </c>
      <c r="K807" s="10" t="str">
        <f>_xlfn.XLOOKUP(F807,customers[customer_id],customers[age_range])</f>
        <v>46-55</v>
      </c>
      <c r="L807" s="1">
        <f>_xlfn.XLOOKUP(F807,customers[customer_id],customers[signup_date])</f>
        <v>45743</v>
      </c>
      <c r="M807">
        <f>sales[[#This Row],[sale_date]]-sales[[#This Row],[sighnup_date]]</f>
        <v>10</v>
      </c>
      <c r="N807" t="str">
        <f t="shared" si="12"/>
        <v>new customer</v>
      </c>
      <c r="O807" t="str">
        <f>_xlfn.XLOOKUP(A807,salesitems[sale_id],salesitems[category])</f>
        <v>Shoes</v>
      </c>
    </row>
    <row r="808" spans="1:15" x14ac:dyDescent="0.45">
      <c r="A808">
        <v>865</v>
      </c>
      <c r="B808" t="s">
        <v>21</v>
      </c>
      <c r="C808">
        <v>0</v>
      </c>
      <c r="D808">
        <v>362.23</v>
      </c>
      <c r="E808" s="1">
        <v>45806</v>
      </c>
      <c r="F808">
        <v>117</v>
      </c>
      <c r="G808" t="s">
        <v>36</v>
      </c>
      <c r="H808" t="str">
        <f>TEXT(sales[[#This Row],[sale_date]],"dddd")</f>
        <v>Thursday</v>
      </c>
      <c r="I808">
        <f>_xlfn.XLOOKUP(A808,salesitems[sale_id],salesitems[revenue],0)</f>
        <v>177.28</v>
      </c>
      <c r="J808">
        <v>1</v>
      </c>
      <c r="K808" s="10" t="str">
        <f>_xlfn.XLOOKUP(F808,customers[customer_id],customers[age_range])</f>
        <v>56-65</v>
      </c>
      <c r="L808" s="1">
        <f>_xlfn.XLOOKUP(F808,customers[customer_id],customers[signup_date])</f>
        <v>45743</v>
      </c>
      <c r="M808">
        <f>sales[[#This Row],[sale_date]]-sales[[#This Row],[sighnup_date]]</f>
        <v>63</v>
      </c>
      <c r="N808" t="str">
        <f t="shared" si="12"/>
        <v>new customer</v>
      </c>
      <c r="O808" t="str">
        <f>_xlfn.XLOOKUP(A808,salesitems[sale_id],salesitems[category])</f>
        <v>T-Shirts</v>
      </c>
    </row>
    <row r="809" spans="1:15" x14ac:dyDescent="0.45">
      <c r="A809">
        <v>866</v>
      </c>
      <c r="B809" t="s">
        <v>15</v>
      </c>
      <c r="C809">
        <v>0</v>
      </c>
      <c r="D809">
        <v>411.3</v>
      </c>
      <c r="E809" s="1">
        <v>45770</v>
      </c>
      <c r="F809">
        <v>796</v>
      </c>
      <c r="G809" t="s">
        <v>31</v>
      </c>
      <c r="H809" t="str">
        <f>TEXT(sales[[#This Row],[sale_date]],"dddd")</f>
        <v>Wednesday</v>
      </c>
      <c r="I809">
        <f>_xlfn.XLOOKUP(A809,salesitems[sale_id],salesitems[revenue],0)</f>
        <v>215.3</v>
      </c>
      <c r="J809">
        <v>1</v>
      </c>
      <c r="K809" s="10" t="str">
        <f>_xlfn.XLOOKUP(F809,customers[customer_id],customers[age_range])</f>
        <v>16-25</v>
      </c>
      <c r="L809" s="1">
        <f>_xlfn.XLOOKUP(F809,customers[customer_id],customers[signup_date])</f>
        <v>45719</v>
      </c>
      <c r="M809">
        <f>sales[[#This Row],[sale_date]]-sales[[#This Row],[sighnup_date]]</f>
        <v>51</v>
      </c>
      <c r="N809" t="str">
        <f t="shared" si="12"/>
        <v>new customer</v>
      </c>
      <c r="O809" t="str">
        <f>_xlfn.XLOOKUP(A809,salesitems[sale_id],salesitems[category])</f>
        <v>T-Shirts</v>
      </c>
    </row>
    <row r="810" spans="1:15" x14ac:dyDescent="0.45">
      <c r="A810">
        <v>868</v>
      </c>
      <c r="B810" t="s">
        <v>15</v>
      </c>
      <c r="C810">
        <v>0</v>
      </c>
      <c r="D810">
        <v>66.930000000000007</v>
      </c>
      <c r="E810" s="1">
        <v>45801</v>
      </c>
      <c r="F810">
        <v>394</v>
      </c>
      <c r="G810" t="s">
        <v>34</v>
      </c>
      <c r="H810" t="str">
        <f>TEXT(sales[[#This Row],[sale_date]],"dddd")</f>
        <v>Saturday</v>
      </c>
      <c r="I810">
        <f>_xlfn.XLOOKUP(A810,salesitems[sale_id],salesitems[revenue],0)</f>
        <v>46.11</v>
      </c>
      <c r="J810">
        <v>1</v>
      </c>
      <c r="K810" s="10" t="str">
        <f>_xlfn.XLOOKUP(F810,customers[customer_id],customers[age_range])</f>
        <v>56-65</v>
      </c>
      <c r="L810" s="1">
        <f>_xlfn.XLOOKUP(F810,customers[customer_id],customers[signup_date])</f>
        <v>45719</v>
      </c>
      <c r="M810">
        <f>sales[[#This Row],[sale_date]]-sales[[#This Row],[sighnup_date]]</f>
        <v>82</v>
      </c>
      <c r="N810" t="str">
        <f t="shared" si="12"/>
        <v>new customer</v>
      </c>
      <c r="O810" t="str">
        <f>_xlfn.XLOOKUP(A810,salesitems[sale_id],salesitems[category])</f>
        <v>Pants</v>
      </c>
    </row>
    <row r="811" spans="1:15" x14ac:dyDescent="0.45">
      <c r="A811">
        <v>87</v>
      </c>
      <c r="B811" t="s">
        <v>21</v>
      </c>
      <c r="C811">
        <v>0</v>
      </c>
      <c r="D811">
        <v>350.92</v>
      </c>
      <c r="E811" s="1">
        <v>45761</v>
      </c>
      <c r="F811">
        <v>863</v>
      </c>
      <c r="G811" t="s">
        <v>36</v>
      </c>
      <c r="H811" t="str">
        <f>TEXT(sales[[#This Row],[sale_date]],"dddd")</f>
        <v>Monday</v>
      </c>
      <c r="I811">
        <f>_xlfn.XLOOKUP(A811,salesitems[sale_id],salesitems[revenue],0)</f>
        <v>38.74</v>
      </c>
      <c r="J811">
        <v>1</v>
      </c>
      <c r="K811" s="10" t="str">
        <f>_xlfn.XLOOKUP(F811,customers[customer_id],customers[age_range])</f>
        <v>16-25</v>
      </c>
      <c r="L811" s="1">
        <f>_xlfn.XLOOKUP(F811,customers[customer_id],customers[signup_date])</f>
        <v>45723</v>
      </c>
      <c r="M811">
        <f>sales[[#This Row],[sale_date]]-sales[[#This Row],[sighnup_date]]</f>
        <v>38</v>
      </c>
      <c r="N811" t="str">
        <f t="shared" si="12"/>
        <v>new customer</v>
      </c>
      <c r="O811" t="str">
        <f>_xlfn.XLOOKUP(A811,salesitems[sale_id],salesitems[category])</f>
        <v>Dresses</v>
      </c>
    </row>
    <row r="812" spans="1:15" x14ac:dyDescent="0.45">
      <c r="A812">
        <v>870</v>
      </c>
      <c r="B812" t="s">
        <v>15</v>
      </c>
      <c r="C812">
        <v>0</v>
      </c>
      <c r="D812">
        <v>363.72</v>
      </c>
      <c r="E812" s="1">
        <v>45805</v>
      </c>
      <c r="F812">
        <v>386</v>
      </c>
      <c r="G812" t="s">
        <v>28</v>
      </c>
      <c r="H812" t="str">
        <f>TEXT(sales[[#This Row],[sale_date]],"dddd")</f>
        <v>Wednesday</v>
      </c>
      <c r="I812">
        <f>_xlfn.XLOOKUP(A812,salesitems[sale_id],salesitems[revenue],0)</f>
        <v>172.07999999999998</v>
      </c>
      <c r="J812">
        <v>1</v>
      </c>
      <c r="K812" s="10" t="str">
        <f>_xlfn.XLOOKUP(F812,customers[customer_id],customers[age_range])</f>
        <v>36-45</v>
      </c>
      <c r="L812" s="1">
        <f>_xlfn.XLOOKUP(F812,customers[customer_id],customers[signup_date])</f>
        <v>45744</v>
      </c>
      <c r="M812">
        <f>sales[[#This Row],[sale_date]]-sales[[#This Row],[sighnup_date]]</f>
        <v>61</v>
      </c>
      <c r="N812" t="str">
        <f t="shared" si="12"/>
        <v>new customer</v>
      </c>
      <c r="O812" t="str">
        <f>_xlfn.XLOOKUP(A812,salesitems[sale_id],salesitems[category])</f>
        <v>Pants</v>
      </c>
    </row>
    <row r="813" spans="1:15" x14ac:dyDescent="0.45">
      <c r="A813">
        <v>871</v>
      </c>
      <c r="B813" t="s">
        <v>21</v>
      </c>
      <c r="C813">
        <v>0</v>
      </c>
      <c r="D813">
        <v>381.21</v>
      </c>
      <c r="E813" s="1">
        <v>45752</v>
      </c>
      <c r="F813">
        <v>996</v>
      </c>
      <c r="G813" t="s">
        <v>36</v>
      </c>
      <c r="H813" t="str">
        <f>TEXT(sales[[#This Row],[sale_date]],"dddd")</f>
        <v>Saturday</v>
      </c>
      <c r="I813">
        <f>_xlfn.XLOOKUP(A813,salesitems[sale_id],salesitems[revenue],0)</f>
        <v>148.77000000000001</v>
      </c>
      <c r="J813">
        <v>1</v>
      </c>
      <c r="K813" s="10" t="str">
        <f>_xlfn.XLOOKUP(F813,customers[customer_id],customers[age_range])</f>
        <v>16-25</v>
      </c>
      <c r="L813" s="1">
        <f>_xlfn.XLOOKUP(F813,customers[customer_id],customers[signup_date])</f>
        <v>45785</v>
      </c>
      <c r="M813">
        <f>sales[[#This Row],[sale_date]]-sales[[#This Row],[sighnup_date]]</f>
        <v>-33</v>
      </c>
      <c r="N813" t="str">
        <f t="shared" si="12"/>
        <v>data issue</v>
      </c>
      <c r="O813" t="str">
        <f>_xlfn.XLOOKUP(A813,salesitems[sale_id],salesitems[category])</f>
        <v>Sleepwear</v>
      </c>
    </row>
    <row r="814" spans="1:15" x14ac:dyDescent="0.45">
      <c r="A814">
        <v>872</v>
      </c>
      <c r="B814" t="s">
        <v>21</v>
      </c>
      <c r="C814">
        <v>1</v>
      </c>
      <c r="D814">
        <v>116.41</v>
      </c>
      <c r="E814" s="1">
        <v>45753</v>
      </c>
      <c r="F814">
        <v>471</v>
      </c>
      <c r="G814" t="s">
        <v>31</v>
      </c>
      <c r="H814" t="str">
        <f>TEXT(sales[[#This Row],[sale_date]],"dddd")</f>
        <v>Sunday</v>
      </c>
      <c r="I814">
        <f>_xlfn.XLOOKUP(A814,salesitems[sale_id],salesitems[revenue],0)</f>
        <v>48.37</v>
      </c>
      <c r="J814">
        <v>1</v>
      </c>
      <c r="K814" s="10" t="str">
        <f>_xlfn.XLOOKUP(F814,customers[customer_id],customers[age_range])</f>
        <v>56-65</v>
      </c>
      <c r="L814" s="1">
        <f>_xlfn.XLOOKUP(F814,customers[customer_id],customers[signup_date])</f>
        <v>45727</v>
      </c>
      <c r="M814">
        <f>sales[[#This Row],[sale_date]]-sales[[#This Row],[sighnup_date]]</f>
        <v>26</v>
      </c>
      <c r="N814" t="str">
        <f t="shared" si="12"/>
        <v>new customer</v>
      </c>
      <c r="O814" t="str">
        <f>_xlfn.XLOOKUP(A814,salesitems[sale_id],salesitems[category])</f>
        <v>Pants</v>
      </c>
    </row>
    <row r="815" spans="1:15" x14ac:dyDescent="0.45">
      <c r="A815">
        <v>873</v>
      </c>
      <c r="B815" t="s">
        <v>21</v>
      </c>
      <c r="C815">
        <v>0</v>
      </c>
      <c r="D815">
        <v>263.07</v>
      </c>
      <c r="E815" s="1">
        <v>45799</v>
      </c>
      <c r="F815">
        <v>872</v>
      </c>
      <c r="G815" t="s">
        <v>31</v>
      </c>
      <c r="H815" t="str">
        <f>TEXT(sales[[#This Row],[sale_date]],"dddd")</f>
        <v>Thursday</v>
      </c>
      <c r="I815">
        <f>_xlfn.XLOOKUP(A815,salesitems[sale_id],salesitems[revenue],0)</f>
        <v>42.67</v>
      </c>
      <c r="J815">
        <v>1</v>
      </c>
      <c r="K815" s="10" t="str">
        <f>_xlfn.XLOOKUP(F815,customers[customer_id],customers[age_range])</f>
        <v>26-35</v>
      </c>
      <c r="L815" s="1">
        <f>_xlfn.XLOOKUP(F815,customers[customer_id],customers[signup_date])</f>
        <v>45695</v>
      </c>
      <c r="M815">
        <f>sales[[#This Row],[sale_date]]-sales[[#This Row],[sighnup_date]]</f>
        <v>104</v>
      </c>
      <c r="N815" t="str">
        <f t="shared" si="12"/>
        <v>existing customer</v>
      </c>
      <c r="O815" t="str">
        <f>_xlfn.XLOOKUP(A815,salesitems[sale_id],salesitems[category])</f>
        <v>Shoes</v>
      </c>
    </row>
    <row r="816" spans="1:15" x14ac:dyDescent="0.45">
      <c r="A816">
        <v>874</v>
      </c>
      <c r="B816" t="s">
        <v>21</v>
      </c>
      <c r="C816">
        <v>0</v>
      </c>
      <c r="D816">
        <v>259.33</v>
      </c>
      <c r="E816" s="1">
        <v>45824</v>
      </c>
      <c r="F816">
        <v>531</v>
      </c>
      <c r="G816" t="s">
        <v>34</v>
      </c>
      <c r="H816" t="str">
        <f>TEXT(sales[[#This Row],[sale_date]],"dddd")</f>
        <v>Monday</v>
      </c>
      <c r="I816">
        <f>_xlfn.XLOOKUP(A816,salesitems[sale_id],salesitems[revenue],0)</f>
        <v>35.69</v>
      </c>
      <c r="J816">
        <v>1</v>
      </c>
      <c r="K816" s="10" t="str">
        <f>_xlfn.XLOOKUP(F816,customers[customer_id],customers[age_range])</f>
        <v>26-35</v>
      </c>
      <c r="L816" s="1">
        <f>_xlfn.XLOOKUP(F816,customers[customer_id],customers[signup_date])</f>
        <v>45748</v>
      </c>
      <c r="M816">
        <f>sales[[#This Row],[sale_date]]-sales[[#This Row],[sighnup_date]]</f>
        <v>76</v>
      </c>
      <c r="N816" t="str">
        <f t="shared" si="12"/>
        <v>new customer</v>
      </c>
      <c r="O816" t="str">
        <f>_xlfn.XLOOKUP(A816,salesitems[sale_id],salesitems[category])</f>
        <v>Sleepwear</v>
      </c>
    </row>
    <row r="817" spans="1:15" x14ac:dyDescent="0.45">
      <c r="A817">
        <v>875</v>
      </c>
      <c r="B817" t="s">
        <v>15</v>
      </c>
      <c r="C817">
        <v>1</v>
      </c>
      <c r="D817">
        <v>161.27000000000001</v>
      </c>
      <c r="E817" s="1">
        <v>45794</v>
      </c>
      <c r="F817">
        <v>54</v>
      </c>
      <c r="G817" t="s">
        <v>33</v>
      </c>
      <c r="H817" t="str">
        <f>TEXT(sales[[#This Row],[sale_date]],"dddd")</f>
        <v>Saturday</v>
      </c>
      <c r="I817">
        <f>_xlfn.XLOOKUP(A817,salesitems[sale_id],salesitems[revenue],0)</f>
        <v>39.79</v>
      </c>
      <c r="J817">
        <v>1</v>
      </c>
      <c r="K817" s="10" t="str">
        <f>_xlfn.XLOOKUP(F817,customers[customer_id],customers[age_range])</f>
        <v>26-35</v>
      </c>
      <c r="L817" s="1">
        <f>_xlfn.XLOOKUP(F817,customers[customer_id],customers[signup_date])</f>
        <v>45701</v>
      </c>
      <c r="M817">
        <f>sales[[#This Row],[sale_date]]-sales[[#This Row],[sighnup_date]]</f>
        <v>93</v>
      </c>
      <c r="N817" t="str">
        <f t="shared" si="12"/>
        <v>existing customer</v>
      </c>
      <c r="O817" t="str">
        <f>_xlfn.XLOOKUP(A817,salesitems[sale_id],salesitems[category])</f>
        <v>T-Shirts</v>
      </c>
    </row>
    <row r="818" spans="1:15" x14ac:dyDescent="0.45">
      <c r="A818">
        <v>876</v>
      </c>
      <c r="B818" t="s">
        <v>15</v>
      </c>
      <c r="C818">
        <v>0</v>
      </c>
      <c r="D818">
        <v>142.9</v>
      </c>
      <c r="E818" s="1">
        <v>45770</v>
      </c>
      <c r="F818">
        <v>513</v>
      </c>
      <c r="G818" t="s">
        <v>28</v>
      </c>
      <c r="H818" t="str">
        <f>TEXT(sales[[#This Row],[sale_date]],"dddd")</f>
        <v>Wednesday</v>
      </c>
      <c r="I818">
        <f>_xlfn.XLOOKUP(A818,salesitems[sale_id],salesitems[revenue],0)</f>
        <v>76.12</v>
      </c>
      <c r="J818">
        <v>1</v>
      </c>
      <c r="K818" s="10" t="str">
        <f>_xlfn.XLOOKUP(F818,customers[customer_id],customers[age_range])</f>
        <v>46-55</v>
      </c>
      <c r="L818" s="1">
        <f>_xlfn.XLOOKUP(F818,customers[customer_id],customers[signup_date])</f>
        <v>45820</v>
      </c>
      <c r="M818">
        <f>sales[[#This Row],[sale_date]]-sales[[#This Row],[sighnup_date]]</f>
        <v>-50</v>
      </c>
      <c r="N818" t="str">
        <f t="shared" si="12"/>
        <v>data issue</v>
      </c>
      <c r="O818" t="str">
        <f>_xlfn.XLOOKUP(A818,salesitems[sale_id],salesitems[category])</f>
        <v>Sleepwear</v>
      </c>
    </row>
    <row r="819" spans="1:15" x14ac:dyDescent="0.45">
      <c r="A819">
        <v>878</v>
      </c>
      <c r="B819" t="s">
        <v>21</v>
      </c>
      <c r="C819">
        <v>0</v>
      </c>
      <c r="D819">
        <v>309.83</v>
      </c>
      <c r="E819" s="1">
        <v>45763</v>
      </c>
      <c r="F819">
        <v>800</v>
      </c>
      <c r="G819" t="s">
        <v>31</v>
      </c>
      <c r="H819" t="str">
        <f>TEXT(sales[[#This Row],[sale_date]],"dddd")</f>
        <v>Wednesday</v>
      </c>
      <c r="I819">
        <f>_xlfn.XLOOKUP(A819,salesitems[sale_id],salesitems[revenue],0)</f>
        <v>130.52000000000001</v>
      </c>
      <c r="J819">
        <v>1</v>
      </c>
      <c r="K819" s="10" t="str">
        <f>_xlfn.XLOOKUP(F819,customers[customer_id],customers[age_range])</f>
        <v>36-45</v>
      </c>
      <c r="L819" s="1">
        <f>_xlfn.XLOOKUP(F819,customers[customer_id],customers[signup_date])</f>
        <v>45779</v>
      </c>
      <c r="M819">
        <f>sales[[#This Row],[sale_date]]-sales[[#This Row],[sighnup_date]]</f>
        <v>-16</v>
      </c>
      <c r="N819" t="str">
        <f t="shared" si="12"/>
        <v>data issue</v>
      </c>
      <c r="O819" t="str">
        <f>_xlfn.XLOOKUP(A819,salesitems[sale_id],salesitems[category])</f>
        <v>Dresses</v>
      </c>
    </row>
    <row r="820" spans="1:15" x14ac:dyDescent="0.45">
      <c r="A820">
        <v>879</v>
      </c>
      <c r="B820" t="s">
        <v>21</v>
      </c>
      <c r="C820">
        <v>0</v>
      </c>
      <c r="D820">
        <v>206.99</v>
      </c>
      <c r="E820" s="1">
        <v>45774</v>
      </c>
      <c r="F820">
        <v>387</v>
      </c>
      <c r="G820" t="s">
        <v>28</v>
      </c>
      <c r="H820" t="str">
        <f>TEXT(sales[[#This Row],[sale_date]],"dddd")</f>
        <v>Sunday</v>
      </c>
      <c r="I820">
        <f>_xlfn.XLOOKUP(A820,salesitems[sale_id],salesitems[revenue],0)</f>
        <v>72.680000000000007</v>
      </c>
      <c r="J820">
        <v>1</v>
      </c>
      <c r="K820" s="10" t="str">
        <f>_xlfn.XLOOKUP(F820,customers[customer_id],customers[age_range])</f>
        <v>46-55</v>
      </c>
      <c r="L820" s="1">
        <f>_xlfn.XLOOKUP(F820,customers[customer_id],customers[signup_date])</f>
        <v>45692</v>
      </c>
      <c r="M820">
        <f>sales[[#This Row],[sale_date]]-sales[[#This Row],[sighnup_date]]</f>
        <v>82</v>
      </c>
      <c r="N820" t="str">
        <f t="shared" si="12"/>
        <v>new customer</v>
      </c>
      <c r="O820" t="str">
        <f>_xlfn.XLOOKUP(A820,salesitems[sale_id],salesitems[category])</f>
        <v>Dresses</v>
      </c>
    </row>
    <row r="821" spans="1:15" x14ac:dyDescent="0.45">
      <c r="A821">
        <v>88</v>
      </c>
      <c r="B821" t="s">
        <v>15</v>
      </c>
      <c r="C821">
        <v>0</v>
      </c>
      <c r="D821">
        <v>577.9</v>
      </c>
      <c r="E821" s="1">
        <v>45760</v>
      </c>
      <c r="F821">
        <v>569</v>
      </c>
      <c r="G821" t="s">
        <v>28</v>
      </c>
      <c r="H821" t="str">
        <f>TEXT(sales[[#This Row],[sale_date]],"dddd")</f>
        <v>Sunday</v>
      </c>
      <c r="I821">
        <f>_xlfn.XLOOKUP(A821,salesitems[sale_id],salesitems[revenue],0)</f>
        <v>38.03</v>
      </c>
      <c r="J821">
        <v>1</v>
      </c>
      <c r="K821" s="10" t="str">
        <f>_xlfn.XLOOKUP(F821,customers[customer_id],customers[age_range])</f>
        <v>36-45</v>
      </c>
      <c r="L821" s="1">
        <f>_xlfn.XLOOKUP(F821,customers[customer_id],customers[signup_date])</f>
        <v>45734</v>
      </c>
      <c r="M821">
        <f>sales[[#This Row],[sale_date]]-sales[[#This Row],[sighnup_date]]</f>
        <v>26</v>
      </c>
      <c r="N821" t="str">
        <f t="shared" si="12"/>
        <v>new customer</v>
      </c>
      <c r="O821" t="str">
        <f>_xlfn.XLOOKUP(A821,salesitems[sale_id],salesitems[category])</f>
        <v>Dresses</v>
      </c>
    </row>
    <row r="822" spans="1:15" x14ac:dyDescent="0.45">
      <c r="A822">
        <v>880</v>
      </c>
      <c r="B822" t="s">
        <v>15</v>
      </c>
      <c r="C822">
        <v>0</v>
      </c>
      <c r="D822">
        <v>242.44</v>
      </c>
      <c r="E822" s="1">
        <v>45766</v>
      </c>
      <c r="F822">
        <v>380</v>
      </c>
      <c r="G822" t="s">
        <v>33</v>
      </c>
      <c r="H822" t="str">
        <f>TEXT(sales[[#This Row],[sale_date]],"dddd")</f>
        <v>Saturday</v>
      </c>
      <c r="I822">
        <f>_xlfn.XLOOKUP(A822,salesitems[sale_id],salesitems[revenue],0)</f>
        <v>121.36</v>
      </c>
      <c r="J822">
        <v>1</v>
      </c>
      <c r="K822" s="10" t="str">
        <f>_xlfn.XLOOKUP(F822,customers[customer_id],customers[age_range])</f>
        <v>46-55</v>
      </c>
      <c r="L822" s="1">
        <f>_xlfn.XLOOKUP(F822,customers[customer_id],customers[signup_date])</f>
        <v>45731</v>
      </c>
      <c r="M822">
        <f>sales[[#This Row],[sale_date]]-sales[[#This Row],[sighnup_date]]</f>
        <v>35</v>
      </c>
      <c r="N822" t="str">
        <f t="shared" si="12"/>
        <v>new customer</v>
      </c>
      <c r="O822" t="str">
        <f>_xlfn.XLOOKUP(A822,salesitems[sale_id],salesitems[category])</f>
        <v>Pants</v>
      </c>
    </row>
    <row r="823" spans="1:15" x14ac:dyDescent="0.45">
      <c r="A823">
        <v>882</v>
      </c>
      <c r="B823" t="s">
        <v>15</v>
      </c>
      <c r="C823">
        <v>0</v>
      </c>
      <c r="D823">
        <v>88.11</v>
      </c>
      <c r="E823" s="1">
        <v>45823</v>
      </c>
      <c r="F823">
        <v>634</v>
      </c>
      <c r="G823" t="s">
        <v>38</v>
      </c>
      <c r="H823" t="str">
        <f>TEXT(sales[[#This Row],[sale_date]],"dddd")</f>
        <v>Sunday</v>
      </c>
      <c r="I823">
        <f>_xlfn.XLOOKUP(A823,salesitems[sale_id],salesitems[revenue],0)</f>
        <v>56.44</v>
      </c>
      <c r="J823">
        <v>1</v>
      </c>
      <c r="K823" s="10" t="str">
        <f>_xlfn.XLOOKUP(F823,customers[customer_id],customers[age_range])</f>
        <v>46-55</v>
      </c>
      <c r="L823" s="1">
        <f>_xlfn.XLOOKUP(F823,customers[customer_id],customers[signup_date])</f>
        <v>45719</v>
      </c>
      <c r="M823">
        <f>sales[[#This Row],[sale_date]]-sales[[#This Row],[sighnup_date]]</f>
        <v>104</v>
      </c>
      <c r="N823" t="str">
        <f t="shared" si="12"/>
        <v>existing customer</v>
      </c>
      <c r="O823" t="str">
        <f>_xlfn.XLOOKUP(A823,salesitems[sale_id],salesitems[category])</f>
        <v>Dresses</v>
      </c>
    </row>
    <row r="824" spans="1:15" x14ac:dyDescent="0.45">
      <c r="A824">
        <v>883</v>
      </c>
      <c r="B824" t="s">
        <v>15</v>
      </c>
      <c r="C824">
        <v>0</v>
      </c>
      <c r="D824">
        <v>422.95</v>
      </c>
      <c r="E824" s="1">
        <v>45798</v>
      </c>
      <c r="F824">
        <v>659</v>
      </c>
      <c r="G824" t="s">
        <v>38</v>
      </c>
      <c r="H824" t="str">
        <f>TEXT(sales[[#This Row],[sale_date]],"dddd")</f>
        <v>Wednesday</v>
      </c>
      <c r="I824">
        <f>_xlfn.XLOOKUP(A824,salesitems[sale_id],salesitems[revenue],0)</f>
        <v>230.5</v>
      </c>
      <c r="J824">
        <v>1</v>
      </c>
      <c r="K824" s="10" t="str">
        <f>_xlfn.XLOOKUP(F824,customers[customer_id],customers[age_range])</f>
        <v>46-55</v>
      </c>
      <c r="L824" s="1">
        <f>_xlfn.XLOOKUP(F824,customers[customer_id],customers[signup_date])</f>
        <v>45735</v>
      </c>
      <c r="M824">
        <f>sales[[#This Row],[sale_date]]-sales[[#This Row],[sighnup_date]]</f>
        <v>63</v>
      </c>
      <c r="N824" t="str">
        <f t="shared" si="12"/>
        <v>new customer</v>
      </c>
      <c r="O824" t="str">
        <f>_xlfn.XLOOKUP(A824,salesitems[sale_id],salesitems[category])</f>
        <v>T-Shirts</v>
      </c>
    </row>
    <row r="825" spans="1:15" x14ac:dyDescent="0.45">
      <c r="A825">
        <v>884</v>
      </c>
      <c r="B825" t="s">
        <v>15</v>
      </c>
      <c r="C825">
        <v>0</v>
      </c>
      <c r="D825">
        <v>402.96</v>
      </c>
      <c r="E825" s="1">
        <v>45812</v>
      </c>
      <c r="F825">
        <v>609</v>
      </c>
      <c r="G825" t="s">
        <v>33</v>
      </c>
      <c r="H825" t="str">
        <f>TEXT(sales[[#This Row],[sale_date]],"dddd")</f>
        <v>Wednesday</v>
      </c>
      <c r="I825">
        <f>_xlfn.XLOOKUP(A825,salesitems[sale_id],salesitems[revenue],0)</f>
        <v>135.35999999999999</v>
      </c>
      <c r="J825">
        <v>1</v>
      </c>
      <c r="K825" s="10" t="str">
        <f>_xlfn.XLOOKUP(F825,customers[customer_id],customers[age_range])</f>
        <v>56-65</v>
      </c>
      <c r="L825" s="1">
        <f>_xlfn.XLOOKUP(F825,customers[customer_id],customers[signup_date])</f>
        <v>45701</v>
      </c>
      <c r="M825">
        <f>sales[[#This Row],[sale_date]]-sales[[#This Row],[sighnup_date]]</f>
        <v>111</v>
      </c>
      <c r="N825" t="str">
        <f t="shared" si="12"/>
        <v>existing customer</v>
      </c>
      <c r="O825" t="str">
        <f>_xlfn.XLOOKUP(A825,salesitems[sale_id],salesitems[category])</f>
        <v>Shoes</v>
      </c>
    </row>
    <row r="826" spans="1:15" x14ac:dyDescent="0.45">
      <c r="A826">
        <v>885</v>
      </c>
      <c r="B826" t="s">
        <v>15</v>
      </c>
      <c r="C826">
        <v>0</v>
      </c>
      <c r="D826">
        <v>273.51</v>
      </c>
      <c r="E826" s="1">
        <v>45769</v>
      </c>
      <c r="F826">
        <v>922</v>
      </c>
      <c r="G826" t="s">
        <v>34</v>
      </c>
      <c r="H826" t="str">
        <f>TEXT(sales[[#This Row],[sale_date]],"dddd")</f>
        <v>Tuesday</v>
      </c>
      <c r="I826">
        <f>_xlfn.XLOOKUP(A826,salesitems[sale_id],salesitems[revenue],0)</f>
        <v>102.36</v>
      </c>
      <c r="J826">
        <v>1</v>
      </c>
      <c r="K826" s="10" t="str">
        <f>_xlfn.XLOOKUP(F826,customers[customer_id],customers[age_range])</f>
        <v>16-25</v>
      </c>
      <c r="L826" s="1">
        <f>_xlfn.XLOOKUP(F826,customers[customer_id],customers[signup_date])</f>
        <v>45772</v>
      </c>
      <c r="M826">
        <f>sales[[#This Row],[sale_date]]-sales[[#This Row],[sighnup_date]]</f>
        <v>-3</v>
      </c>
      <c r="N826" t="str">
        <f t="shared" si="12"/>
        <v>data issue</v>
      </c>
      <c r="O826" t="str">
        <f>_xlfn.XLOOKUP(A826,salesitems[sale_id],salesitems[category])</f>
        <v>Shoes</v>
      </c>
    </row>
    <row r="827" spans="1:15" x14ac:dyDescent="0.45">
      <c r="A827">
        <v>886</v>
      </c>
      <c r="B827" t="s">
        <v>21</v>
      </c>
      <c r="C827">
        <v>0</v>
      </c>
      <c r="D827">
        <v>240.1</v>
      </c>
      <c r="E827" s="1">
        <v>45802</v>
      </c>
      <c r="F827">
        <v>53</v>
      </c>
      <c r="G827" t="s">
        <v>33</v>
      </c>
      <c r="H827" t="str">
        <f>TEXT(sales[[#This Row],[sale_date]],"dddd")</f>
        <v>Sunday</v>
      </c>
      <c r="I827">
        <f>_xlfn.XLOOKUP(A827,salesitems[sale_id],salesitems[revenue],0)</f>
        <v>70.400000000000006</v>
      </c>
      <c r="J827">
        <v>1</v>
      </c>
      <c r="K827" s="10" t="str">
        <f>_xlfn.XLOOKUP(F827,customers[customer_id],customers[age_range])</f>
        <v>46-55</v>
      </c>
      <c r="L827" s="1">
        <f>_xlfn.XLOOKUP(F827,customers[customer_id],customers[signup_date])</f>
        <v>45789</v>
      </c>
      <c r="M827">
        <f>sales[[#This Row],[sale_date]]-sales[[#This Row],[sighnup_date]]</f>
        <v>13</v>
      </c>
      <c r="N827" t="str">
        <f t="shared" si="12"/>
        <v>new customer</v>
      </c>
      <c r="O827" t="str">
        <f>_xlfn.XLOOKUP(A827,salesitems[sale_id],salesitems[category])</f>
        <v>Sleepwear</v>
      </c>
    </row>
    <row r="828" spans="1:15" x14ac:dyDescent="0.45">
      <c r="A828">
        <v>89</v>
      </c>
      <c r="B828" t="s">
        <v>21</v>
      </c>
      <c r="C828">
        <v>0</v>
      </c>
      <c r="D828">
        <v>312.2</v>
      </c>
      <c r="E828" s="1">
        <v>45772</v>
      </c>
      <c r="F828">
        <v>46</v>
      </c>
      <c r="G828" t="s">
        <v>36</v>
      </c>
      <c r="H828" t="str">
        <f>TEXT(sales[[#This Row],[sale_date]],"dddd")</f>
        <v>Friday</v>
      </c>
      <c r="I828">
        <f>_xlfn.XLOOKUP(A828,salesitems[sale_id],salesitems[revenue],0)</f>
        <v>59.58</v>
      </c>
      <c r="J828">
        <v>1</v>
      </c>
      <c r="K828" s="10" t="str">
        <f>_xlfn.XLOOKUP(F828,customers[customer_id],customers[age_range])</f>
        <v>56-65</v>
      </c>
      <c r="L828" s="1">
        <f>_xlfn.XLOOKUP(F828,customers[customer_id],customers[signup_date])</f>
        <v>45773</v>
      </c>
      <c r="M828">
        <f>sales[[#This Row],[sale_date]]-sales[[#This Row],[sighnup_date]]</f>
        <v>-1</v>
      </c>
      <c r="N828" t="str">
        <f t="shared" si="12"/>
        <v>data issue</v>
      </c>
      <c r="O828" t="str">
        <f>_xlfn.XLOOKUP(A828,salesitems[sale_id],salesitems[category])</f>
        <v>Shoes</v>
      </c>
    </row>
    <row r="829" spans="1:15" x14ac:dyDescent="0.45">
      <c r="A829">
        <v>890</v>
      </c>
      <c r="B829" t="s">
        <v>21</v>
      </c>
      <c r="C829">
        <v>0</v>
      </c>
      <c r="D829">
        <v>323.23</v>
      </c>
      <c r="E829" s="1">
        <v>45765</v>
      </c>
      <c r="F829">
        <v>625</v>
      </c>
      <c r="G829" t="s">
        <v>38</v>
      </c>
      <c r="H829" t="str">
        <f>TEXT(sales[[#This Row],[sale_date]],"dddd")</f>
        <v>Friday</v>
      </c>
      <c r="I829">
        <f>_xlfn.XLOOKUP(A829,salesitems[sale_id],salesitems[revenue],0)</f>
        <v>88.28</v>
      </c>
      <c r="J829">
        <v>1</v>
      </c>
      <c r="K829" s="10" t="str">
        <f>_xlfn.XLOOKUP(F829,customers[customer_id],customers[age_range])</f>
        <v>46-55</v>
      </c>
      <c r="L829" s="1">
        <f>_xlfn.XLOOKUP(F829,customers[customer_id],customers[signup_date])</f>
        <v>45685</v>
      </c>
      <c r="M829">
        <f>sales[[#This Row],[sale_date]]-sales[[#This Row],[sighnup_date]]</f>
        <v>80</v>
      </c>
      <c r="N829" t="str">
        <f t="shared" si="12"/>
        <v>new customer</v>
      </c>
      <c r="O829" t="str">
        <f>_xlfn.XLOOKUP(A829,salesitems[sale_id],salesitems[category])</f>
        <v>T-Shirts</v>
      </c>
    </row>
    <row r="830" spans="1:15" x14ac:dyDescent="0.45">
      <c r="A830">
        <v>895</v>
      </c>
      <c r="B830" t="s">
        <v>15</v>
      </c>
      <c r="C830">
        <v>0</v>
      </c>
      <c r="D830">
        <v>61.09</v>
      </c>
      <c r="E830" s="1">
        <v>45808</v>
      </c>
      <c r="F830">
        <v>711</v>
      </c>
      <c r="G830" t="s">
        <v>28</v>
      </c>
      <c r="H830" t="str">
        <f>TEXT(sales[[#This Row],[sale_date]],"dddd")</f>
        <v>Saturday</v>
      </c>
      <c r="I830">
        <f>_xlfn.XLOOKUP(A830,salesitems[sale_id],salesitems[revenue],0)</f>
        <v>33.590000000000003</v>
      </c>
      <c r="J830">
        <v>1</v>
      </c>
      <c r="K830" s="10" t="str">
        <f>_xlfn.XLOOKUP(F830,customers[customer_id],customers[age_range])</f>
        <v>16-25</v>
      </c>
      <c r="L830" s="1">
        <f>_xlfn.XLOOKUP(F830,customers[customer_id],customers[signup_date])</f>
        <v>45781</v>
      </c>
      <c r="M830">
        <f>sales[[#This Row],[sale_date]]-sales[[#This Row],[sighnup_date]]</f>
        <v>27</v>
      </c>
      <c r="N830" t="str">
        <f t="shared" si="12"/>
        <v>new customer</v>
      </c>
      <c r="O830" t="str">
        <f>_xlfn.XLOOKUP(A830,salesitems[sale_id],salesitems[category])</f>
        <v>T-Shirts</v>
      </c>
    </row>
    <row r="831" spans="1:15" x14ac:dyDescent="0.45">
      <c r="A831">
        <v>896</v>
      </c>
      <c r="B831" t="s">
        <v>15</v>
      </c>
      <c r="C831">
        <v>1</v>
      </c>
      <c r="D831">
        <v>182.89</v>
      </c>
      <c r="E831" s="1">
        <v>45793</v>
      </c>
      <c r="F831">
        <v>9</v>
      </c>
      <c r="G831" t="s">
        <v>34</v>
      </c>
      <c r="H831" t="str">
        <f>TEXT(sales[[#This Row],[sale_date]],"dddd")</f>
        <v>Friday</v>
      </c>
      <c r="I831">
        <f>_xlfn.XLOOKUP(A831,salesitems[sale_id],salesitems[revenue],0)</f>
        <v>69.64</v>
      </c>
      <c r="J831">
        <v>1</v>
      </c>
      <c r="K831" s="10" t="str">
        <f>_xlfn.XLOOKUP(F831,customers[customer_id],customers[age_range])</f>
        <v>46-55</v>
      </c>
      <c r="L831" s="1">
        <f>_xlfn.XLOOKUP(F831,customers[customer_id],customers[signup_date])</f>
        <v>45723</v>
      </c>
      <c r="M831">
        <f>sales[[#This Row],[sale_date]]-sales[[#This Row],[sighnup_date]]</f>
        <v>70</v>
      </c>
      <c r="N831" t="str">
        <f t="shared" si="12"/>
        <v>new customer</v>
      </c>
      <c r="O831" t="str">
        <f>_xlfn.XLOOKUP(A831,salesitems[sale_id],salesitems[category])</f>
        <v>Dresses</v>
      </c>
    </row>
    <row r="832" spans="1:15" x14ac:dyDescent="0.45">
      <c r="A832">
        <v>899</v>
      </c>
      <c r="B832" t="s">
        <v>15</v>
      </c>
      <c r="C832">
        <v>0</v>
      </c>
      <c r="D832">
        <v>291.04000000000002</v>
      </c>
      <c r="E832" s="1">
        <v>45801</v>
      </c>
      <c r="F832">
        <v>339</v>
      </c>
      <c r="G832" t="s">
        <v>28</v>
      </c>
      <c r="H832" t="str">
        <f>TEXT(sales[[#This Row],[sale_date]],"dddd")</f>
        <v>Saturday</v>
      </c>
      <c r="I832">
        <f>_xlfn.XLOOKUP(A832,salesitems[sale_id],salesitems[revenue],0)</f>
        <v>133.36000000000001</v>
      </c>
      <c r="J832">
        <v>1</v>
      </c>
      <c r="K832" s="10" t="str">
        <f>_xlfn.XLOOKUP(F832,customers[customer_id],customers[age_range])</f>
        <v>16-25</v>
      </c>
      <c r="L832" s="1">
        <f>_xlfn.XLOOKUP(F832,customers[customer_id],customers[signup_date])</f>
        <v>45763</v>
      </c>
      <c r="M832">
        <f>sales[[#This Row],[sale_date]]-sales[[#This Row],[sighnup_date]]</f>
        <v>38</v>
      </c>
      <c r="N832" t="str">
        <f t="shared" si="12"/>
        <v>new customer</v>
      </c>
      <c r="O832" t="str">
        <f>_xlfn.XLOOKUP(A832,salesitems[sale_id],salesitems[category])</f>
        <v>Shoes</v>
      </c>
    </row>
    <row r="833" spans="1:15" x14ac:dyDescent="0.45">
      <c r="A833">
        <v>90</v>
      </c>
      <c r="B833" t="s">
        <v>21</v>
      </c>
      <c r="C833">
        <v>0</v>
      </c>
      <c r="D833">
        <v>377.12</v>
      </c>
      <c r="E833" s="1">
        <v>45803</v>
      </c>
      <c r="F833">
        <v>2</v>
      </c>
      <c r="G833" t="s">
        <v>28</v>
      </c>
      <c r="H833" t="str">
        <f>TEXT(sales[[#This Row],[sale_date]],"dddd")</f>
        <v>Monday</v>
      </c>
      <c r="I833">
        <f>_xlfn.XLOOKUP(A833,salesitems[sale_id],salesitems[revenue],0)</f>
        <v>43.64</v>
      </c>
      <c r="J833">
        <v>1</v>
      </c>
      <c r="K833" s="10" t="str">
        <f>_xlfn.XLOOKUP(F833,customers[customer_id],customers[age_range])</f>
        <v>36-45</v>
      </c>
      <c r="L833" s="1">
        <f>_xlfn.XLOOKUP(F833,customers[customer_id],customers[signup_date])</f>
        <v>45712</v>
      </c>
      <c r="M833">
        <f>sales[[#This Row],[sale_date]]-sales[[#This Row],[sighnup_date]]</f>
        <v>91</v>
      </c>
      <c r="N833" t="str">
        <f t="shared" si="12"/>
        <v>existing customer</v>
      </c>
      <c r="O833" t="str">
        <f>_xlfn.XLOOKUP(A833,salesitems[sale_id],salesitems[category])</f>
        <v>Dresses</v>
      </c>
    </row>
    <row r="834" spans="1:15" x14ac:dyDescent="0.45">
      <c r="A834">
        <v>902</v>
      </c>
      <c r="B834" t="s">
        <v>15</v>
      </c>
      <c r="C834">
        <v>0</v>
      </c>
      <c r="D834">
        <v>305.5</v>
      </c>
      <c r="E834" s="1">
        <v>45806</v>
      </c>
      <c r="F834">
        <v>656</v>
      </c>
      <c r="G834" t="s">
        <v>36</v>
      </c>
      <c r="H834" t="str">
        <f>TEXT(sales[[#This Row],[sale_date]],"dddd")</f>
        <v>Thursday</v>
      </c>
      <c r="I834">
        <f>_xlfn.XLOOKUP(A834,salesitems[sale_id],salesitems[revenue],0)</f>
        <v>62.3</v>
      </c>
      <c r="J834">
        <v>1</v>
      </c>
      <c r="K834" s="10" t="str">
        <f>_xlfn.XLOOKUP(F834,customers[customer_id],customers[age_range])</f>
        <v>56-65</v>
      </c>
      <c r="L834" s="1">
        <f>_xlfn.XLOOKUP(F834,customers[customer_id],customers[signup_date])</f>
        <v>45740</v>
      </c>
      <c r="M834">
        <f>sales[[#This Row],[sale_date]]-sales[[#This Row],[sighnup_date]]</f>
        <v>66</v>
      </c>
      <c r="N834" t="str">
        <f t="shared" ref="N834:N897" si="13">IF(M834&lt;0,"data issue",IF(M834&lt;=90,"new customer","existing customer"))</f>
        <v>new customer</v>
      </c>
      <c r="O834" t="str">
        <f>_xlfn.XLOOKUP(A834,salesitems[sale_id],salesitems[category])</f>
        <v>Sleepwear</v>
      </c>
    </row>
    <row r="835" spans="1:15" x14ac:dyDescent="0.45">
      <c r="A835">
        <v>903</v>
      </c>
      <c r="B835" t="s">
        <v>15</v>
      </c>
      <c r="C835">
        <v>0</v>
      </c>
      <c r="D835">
        <v>446.43</v>
      </c>
      <c r="E835" s="1">
        <v>45766</v>
      </c>
      <c r="F835">
        <v>727</v>
      </c>
      <c r="G835" t="s">
        <v>38</v>
      </c>
      <c r="H835" t="str">
        <f>TEXT(sales[[#This Row],[sale_date]],"dddd")</f>
        <v>Saturday</v>
      </c>
      <c r="I835">
        <f>_xlfn.XLOOKUP(A835,salesitems[sale_id],salesitems[revenue],0)</f>
        <v>208.48</v>
      </c>
      <c r="J835">
        <v>1</v>
      </c>
      <c r="K835" s="10" t="str">
        <f>_xlfn.XLOOKUP(F835,customers[customer_id],customers[age_range])</f>
        <v>26-35</v>
      </c>
      <c r="L835" s="1">
        <f>_xlfn.XLOOKUP(F835,customers[customer_id],customers[signup_date])</f>
        <v>45725</v>
      </c>
      <c r="M835">
        <f>sales[[#This Row],[sale_date]]-sales[[#This Row],[sighnup_date]]</f>
        <v>41</v>
      </c>
      <c r="N835" t="str">
        <f t="shared" si="13"/>
        <v>new customer</v>
      </c>
      <c r="O835" t="str">
        <f>_xlfn.XLOOKUP(A835,salesitems[sale_id],salesitems[category])</f>
        <v>T-Shirts</v>
      </c>
    </row>
    <row r="836" spans="1:15" x14ac:dyDescent="0.45">
      <c r="A836">
        <v>904</v>
      </c>
      <c r="B836" t="s">
        <v>21</v>
      </c>
      <c r="C836">
        <v>0</v>
      </c>
      <c r="D836">
        <v>222.07</v>
      </c>
      <c r="E836" s="1">
        <v>45782</v>
      </c>
      <c r="F836">
        <v>699</v>
      </c>
      <c r="G836" t="s">
        <v>31</v>
      </c>
      <c r="H836" t="str">
        <f>TEXT(sales[[#This Row],[sale_date]],"dddd")</f>
        <v>Monday</v>
      </c>
      <c r="I836">
        <f>_xlfn.XLOOKUP(A836,salesitems[sale_id],salesitems[revenue],0)</f>
        <v>63.72</v>
      </c>
      <c r="J836">
        <v>1</v>
      </c>
      <c r="K836" s="10" t="str">
        <f>_xlfn.XLOOKUP(F836,customers[customer_id],customers[age_range])</f>
        <v>56-65</v>
      </c>
      <c r="L836" s="1">
        <f>_xlfn.XLOOKUP(F836,customers[customer_id],customers[signup_date])</f>
        <v>45713</v>
      </c>
      <c r="M836">
        <f>sales[[#This Row],[sale_date]]-sales[[#This Row],[sighnup_date]]</f>
        <v>69</v>
      </c>
      <c r="N836" t="str">
        <f t="shared" si="13"/>
        <v>new customer</v>
      </c>
      <c r="O836" t="str">
        <f>_xlfn.XLOOKUP(A836,salesitems[sale_id],salesitems[category])</f>
        <v>Dresses</v>
      </c>
    </row>
    <row r="837" spans="1:15" x14ac:dyDescent="0.45">
      <c r="A837">
        <v>905</v>
      </c>
      <c r="B837" t="s">
        <v>15</v>
      </c>
      <c r="C837">
        <v>0</v>
      </c>
      <c r="D837">
        <v>133.9</v>
      </c>
      <c r="E837" s="1">
        <v>45807</v>
      </c>
      <c r="F837">
        <v>422</v>
      </c>
      <c r="G837" t="s">
        <v>31</v>
      </c>
      <c r="H837" t="str">
        <f>TEXT(sales[[#This Row],[sale_date]],"dddd")</f>
        <v>Friday</v>
      </c>
      <c r="I837">
        <f>_xlfn.XLOOKUP(A837,salesitems[sale_id],salesitems[revenue],0)</f>
        <v>73.38</v>
      </c>
      <c r="J837">
        <v>1</v>
      </c>
      <c r="K837" s="10" t="str">
        <f>_xlfn.XLOOKUP(F837,customers[customer_id],customers[age_range])</f>
        <v>46-55</v>
      </c>
      <c r="L837" s="1">
        <f>_xlfn.XLOOKUP(F837,customers[customer_id],customers[signup_date])</f>
        <v>45713</v>
      </c>
      <c r="M837">
        <f>sales[[#This Row],[sale_date]]-sales[[#This Row],[sighnup_date]]</f>
        <v>94</v>
      </c>
      <c r="N837" t="str">
        <f t="shared" si="13"/>
        <v>existing customer</v>
      </c>
      <c r="O837" t="str">
        <f>_xlfn.XLOOKUP(A837,salesitems[sale_id],salesitems[category])</f>
        <v>T-Shirts</v>
      </c>
    </row>
    <row r="838" spans="1:15" x14ac:dyDescent="0.45">
      <c r="A838">
        <v>906</v>
      </c>
      <c r="B838" t="s">
        <v>21</v>
      </c>
      <c r="C838">
        <v>0</v>
      </c>
      <c r="D838">
        <v>297.44</v>
      </c>
      <c r="E838" s="1">
        <v>45775</v>
      </c>
      <c r="F838">
        <v>664</v>
      </c>
      <c r="G838" t="s">
        <v>28</v>
      </c>
      <c r="H838" t="str">
        <f>TEXT(sales[[#This Row],[sale_date]],"dddd")</f>
        <v>Monday</v>
      </c>
      <c r="I838">
        <f>_xlfn.XLOOKUP(A838,salesitems[sale_id],salesitems[revenue],0)</f>
        <v>97.28</v>
      </c>
      <c r="J838">
        <v>1</v>
      </c>
      <c r="K838" s="10" t="str">
        <f>_xlfn.XLOOKUP(F838,customers[customer_id],customers[age_range])</f>
        <v>56-65</v>
      </c>
      <c r="L838" s="1">
        <f>_xlfn.XLOOKUP(F838,customers[customer_id],customers[signup_date])</f>
        <v>45765</v>
      </c>
      <c r="M838">
        <f>sales[[#This Row],[sale_date]]-sales[[#This Row],[sighnup_date]]</f>
        <v>10</v>
      </c>
      <c r="N838" t="str">
        <f t="shared" si="13"/>
        <v>new customer</v>
      </c>
      <c r="O838" t="str">
        <f>_xlfn.XLOOKUP(A838,salesitems[sale_id],salesitems[category])</f>
        <v>T-Shirts</v>
      </c>
    </row>
    <row r="839" spans="1:15" x14ac:dyDescent="0.45">
      <c r="A839">
        <v>907</v>
      </c>
      <c r="B839" t="s">
        <v>21</v>
      </c>
      <c r="C839">
        <v>0</v>
      </c>
      <c r="D839">
        <v>247.13</v>
      </c>
      <c r="E839" s="1">
        <v>45765</v>
      </c>
      <c r="F839">
        <v>113</v>
      </c>
      <c r="G839" t="s">
        <v>36</v>
      </c>
      <c r="H839" t="str">
        <f>TEXT(sales[[#This Row],[sale_date]],"dddd")</f>
        <v>Friday</v>
      </c>
      <c r="I839">
        <f>_xlfn.XLOOKUP(A839,salesitems[sale_id],salesitems[revenue],0)</f>
        <v>30.83</v>
      </c>
      <c r="J839">
        <v>1</v>
      </c>
      <c r="K839" s="10" t="str">
        <f>_xlfn.XLOOKUP(F839,customers[customer_id],customers[age_range])</f>
        <v>26-35</v>
      </c>
      <c r="L839" s="1">
        <f>_xlfn.XLOOKUP(F839,customers[customer_id],customers[signup_date])</f>
        <v>45716</v>
      </c>
      <c r="M839">
        <f>sales[[#This Row],[sale_date]]-sales[[#This Row],[sighnup_date]]</f>
        <v>49</v>
      </c>
      <c r="N839" t="str">
        <f t="shared" si="13"/>
        <v>new customer</v>
      </c>
      <c r="O839" t="str">
        <f>_xlfn.XLOOKUP(A839,salesitems[sale_id],salesitems[category])</f>
        <v>Dresses</v>
      </c>
    </row>
    <row r="840" spans="1:15" x14ac:dyDescent="0.45">
      <c r="A840">
        <v>908</v>
      </c>
      <c r="B840" t="s">
        <v>15</v>
      </c>
      <c r="C840">
        <v>0</v>
      </c>
      <c r="D840">
        <v>224.36</v>
      </c>
      <c r="E840" s="1">
        <v>45773</v>
      </c>
      <c r="F840">
        <v>196</v>
      </c>
      <c r="G840" t="s">
        <v>33</v>
      </c>
      <c r="H840" t="str">
        <f>TEXT(sales[[#This Row],[sale_date]],"dddd")</f>
        <v>Saturday</v>
      </c>
      <c r="I840">
        <f>_xlfn.XLOOKUP(A840,salesitems[sale_id],salesitems[revenue],0)</f>
        <v>41.88</v>
      </c>
      <c r="J840">
        <v>1</v>
      </c>
      <c r="K840" s="10" t="str">
        <f>_xlfn.XLOOKUP(F840,customers[customer_id],customers[age_range])</f>
        <v>16-25</v>
      </c>
      <c r="L840" s="1">
        <f>_xlfn.XLOOKUP(F840,customers[customer_id],customers[signup_date])</f>
        <v>45793</v>
      </c>
      <c r="M840">
        <f>sales[[#This Row],[sale_date]]-sales[[#This Row],[sighnup_date]]</f>
        <v>-20</v>
      </c>
      <c r="N840" t="str">
        <f t="shared" si="13"/>
        <v>data issue</v>
      </c>
      <c r="O840" t="str">
        <f>_xlfn.XLOOKUP(A840,salesitems[sale_id],salesitems[category])</f>
        <v>T-Shirts</v>
      </c>
    </row>
    <row r="841" spans="1:15" x14ac:dyDescent="0.45">
      <c r="A841">
        <v>909</v>
      </c>
      <c r="B841" t="s">
        <v>15</v>
      </c>
      <c r="C841">
        <v>0</v>
      </c>
      <c r="D841">
        <v>461.34</v>
      </c>
      <c r="E841" s="1">
        <v>45769</v>
      </c>
      <c r="F841">
        <v>739</v>
      </c>
      <c r="G841" t="s">
        <v>38</v>
      </c>
      <c r="H841" t="str">
        <f>TEXT(sales[[#This Row],[sale_date]],"dddd")</f>
        <v>Tuesday</v>
      </c>
      <c r="I841">
        <f>_xlfn.XLOOKUP(A841,salesitems[sale_id],salesitems[revenue],0)</f>
        <v>146.19</v>
      </c>
      <c r="J841">
        <v>1</v>
      </c>
      <c r="K841" s="10" t="str">
        <f>_xlfn.XLOOKUP(F841,customers[customer_id],customers[age_range])</f>
        <v>26-35</v>
      </c>
      <c r="L841" s="1">
        <f>_xlfn.XLOOKUP(F841,customers[customer_id],customers[signup_date])</f>
        <v>45697</v>
      </c>
      <c r="M841">
        <f>sales[[#This Row],[sale_date]]-sales[[#This Row],[sighnup_date]]</f>
        <v>72</v>
      </c>
      <c r="N841" t="str">
        <f t="shared" si="13"/>
        <v>new customer</v>
      </c>
      <c r="O841" t="str">
        <f>_xlfn.XLOOKUP(A841,salesitems[sale_id],salesitems[category])</f>
        <v>Pants</v>
      </c>
    </row>
    <row r="842" spans="1:15" x14ac:dyDescent="0.45">
      <c r="A842">
        <v>912</v>
      </c>
      <c r="B842" t="s">
        <v>21</v>
      </c>
      <c r="C842">
        <v>1</v>
      </c>
      <c r="D842">
        <v>113.2</v>
      </c>
      <c r="E842" s="1">
        <v>45753</v>
      </c>
      <c r="F842">
        <v>39</v>
      </c>
      <c r="G842" t="s">
        <v>28</v>
      </c>
      <c r="H842" t="str">
        <f>TEXT(sales[[#This Row],[sale_date]],"dddd")</f>
        <v>Sunday</v>
      </c>
      <c r="I842">
        <f>_xlfn.XLOOKUP(A842,salesitems[sale_id],salesitems[revenue],0)</f>
        <v>22.46</v>
      </c>
      <c r="J842">
        <v>1</v>
      </c>
      <c r="K842" s="10" t="str">
        <f>_xlfn.XLOOKUP(F842,customers[customer_id],customers[age_range])</f>
        <v>36-45</v>
      </c>
      <c r="L842" s="1">
        <f>_xlfn.XLOOKUP(F842,customers[customer_id],customers[signup_date])</f>
        <v>45752</v>
      </c>
      <c r="M842">
        <f>sales[[#This Row],[sale_date]]-sales[[#This Row],[sighnup_date]]</f>
        <v>1</v>
      </c>
      <c r="N842" t="str">
        <f t="shared" si="13"/>
        <v>new customer</v>
      </c>
      <c r="O842" t="str">
        <f>_xlfn.XLOOKUP(A842,salesitems[sale_id],salesitems[category])</f>
        <v>Dresses</v>
      </c>
    </row>
    <row r="843" spans="1:15" x14ac:dyDescent="0.45">
      <c r="A843">
        <v>913</v>
      </c>
      <c r="B843" t="s">
        <v>15</v>
      </c>
      <c r="C843">
        <v>0</v>
      </c>
      <c r="D843">
        <v>303.24</v>
      </c>
      <c r="E843" s="1">
        <v>45804</v>
      </c>
      <c r="F843">
        <v>729</v>
      </c>
      <c r="G843" t="s">
        <v>38</v>
      </c>
      <c r="H843" t="str">
        <f>TEXT(sales[[#This Row],[sale_date]],"dddd")</f>
        <v>Tuesday</v>
      </c>
      <c r="I843">
        <f>_xlfn.XLOOKUP(A843,salesitems[sale_id],salesitems[revenue],0)</f>
        <v>144.04</v>
      </c>
      <c r="J843">
        <v>1</v>
      </c>
      <c r="K843" s="10" t="str">
        <f>_xlfn.XLOOKUP(F843,customers[customer_id],customers[age_range])</f>
        <v>36-45</v>
      </c>
      <c r="L843" s="1">
        <f>_xlfn.XLOOKUP(F843,customers[customer_id],customers[signup_date])</f>
        <v>45771</v>
      </c>
      <c r="M843">
        <f>sales[[#This Row],[sale_date]]-sales[[#This Row],[sighnup_date]]</f>
        <v>33</v>
      </c>
      <c r="N843" t="str">
        <f t="shared" si="13"/>
        <v>new customer</v>
      </c>
      <c r="O843" t="str">
        <f>_xlfn.XLOOKUP(A843,salesitems[sale_id],salesitems[category])</f>
        <v>Sleepwear</v>
      </c>
    </row>
    <row r="844" spans="1:15" x14ac:dyDescent="0.45">
      <c r="A844">
        <v>914</v>
      </c>
      <c r="B844" t="s">
        <v>15</v>
      </c>
      <c r="C844">
        <v>0</v>
      </c>
      <c r="D844">
        <v>461.95</v>
      </c>
      <c r="E844" s="1">
        <v>45802</v>
      </c>
      <c r="F844">
        <v>684</v>
      </c>
      <c r="G844" t="s">
        <v>31</v>
      </c>
      <c r="H844" t="str">
        <f>TEXT(sales[[#This Row],[sale_date]],"dddd")</f>
        <v>Sunday</v>
      </c>
      <c r="I844">
        <f>_xlfn.XLOOKUP(A844,salesitems[sale_id],salesitems[revenue],0)</f>
        <v>265.95</v>
      </c>
      <c r="J844">
        <v>1</v>
      </c>
      <c r="K844" s="10" t="str">
        <f>_xlfn.XLOOKUP(F844,customers[customer_id],customers[age_range])</f>
        <v>56-65</v>
      </c>
      <c r="L844" s="1">
        <f>_xlfn.XLOOKUP(F844,customers[customer_id],customers[signup_date])</f>
        <v>45753</v>
      </c>
      <c r="M844">
        <f>sales[[#This Row],[sale_date]]-sales[[#This Row],[sighnup_date]]</f>
        <v>49</v>
      </c>
      <c r="N844" t="str">
        <f t="shared" si="13"/>
        <v>new customer</v>
      </c>
      <c r="O844" t="str">
        <f>_xlfn.XLOOKUP(A844,salesitems[sale_id],salesitems[category])</f>
        <v>Pants</v>
      </c>
    </row>
    <row r="845" spans="1:15" x14ac:dyDescent="0.45">
      <c r="A845">
        <v>915</v>
      </c>
      <c r="B845" t="s">
        <v>21</v>
      </c>
      <c r="C845">
        <v>0</v>
      </c>
      <c r="D845">
        <v>241.74</v>
      </c>
      <c r="E845" s="1">
        <v>45767</v>
      </c>
      <c r="F845">
        <v>672</v>
      </c>
      <c r="G845" t="s">
        <v>36</v>
      </c>
      <c r="H845" t="str">
        <f>TEXT(sales[[#This Row],[sale_date]],"dddd")</f>
        <v>Sunday</v>
      </c>
      <c r="I845">
        <f>_xlfn.XLOOKUP(A845,salesitems[sale_id],salesitems[revenue],0)</f>
        <v>122.24</v>
      </c>
      <c r="J845">
        <v>1</v>
      </c>
      <c r="K845" s="10" t="str">
        <f>_xlfn.XLOOKUP(F845,customers[customer_id],customers[age_range])</f>
        <v>56-65</v>
      </c>
      <c r="L845" s="1">
        <f>_xlfn.XLOOKUP(F845,customers[customer_id],customers[signup_date])</f>
        <v>45680</v>
      </c>
      <c r="M845">
        <f>sales[[#This Row],[sale_date]]-sales[[#This Row],[sighnup_date]]</f>
        <v>87</v>
      </c>
      <c r="N845" t="str">
        <f t="shared" si="13"/>
        <v>new customer</v>
      </c>
      <c r="O845" t="str">
        <f>_xlfn.XLOOKUP(A845,salesitems[sale_id],salesitems[category])</f>
        <v>Sleepwear</v>
      </c>
    </row>
    <row r="846" spans="1:15" x14ac:dyDescent="0.45">
      <c r="A846">
        <v>916</v>
      </c>
      <c r="B846" t="s">
        <v>15</v>
      </c>
      <c r="C846">
        <v>1</v>
      </c>
      <c r="D846">
        <v>245.94</v>
      </c>
      <c r="E846" s="1">
        <v>45795</v>
      </c>
      <c r="F846">
        <v>342</v>
      </c>
      <c r="G846" t="s">
        <v>31</v>
      </c>
      <c r="H846" t="str">
        <f>TEXT(sales[[#This Row],[sale_date]],"dddd")</f>
        <v>Sunday</v>
      </c>
      <c r="I846">
        <f>_xlfn.XLOOKUP(A846,salesitems[sale_id],salesitems[revenue],0)</f>
        <v>38.07</v>
      </c>
      <c r="J846">
        <v>1</v>
      </c>
      <c r="K846" s="10" t="str">
        <f>_xlfn.XLOOKUP(F846,customers[customer_id],customers[age_range])</f>
        <v>36-45</v>
      </c>
      <c r="L846" s="1">
        <f>_xlfn.XLOOKUP(F846,customers[customer_id],customers[signup_date])</f>
        <v>45771</v>
      </c>
      <c r="M846">
        <f>sales[[#This Row],[sale_date]]-sales[[#This Row],[sighnup_date]]</f>
        <v>24</v>
      </c>
      <c r="N846" t="str">
        <f t="shared" si="13"/>
        <v>new customer</v>
      </c>
      <c r="O846" t="str">
        <f>_xlfn.XLOOKUP(A846,salesitems[sale_id],salesitems[category])</f>
        <v>Shoes</v>
      </c>
    </row>
    <row r="847" spans="1:15" x14ac:dyDescent="0.45">
      <c r="A847">
        <v>918</v>
      </c>
      <c r="B847" t="s">
        <v>21</v>
      </c>
      <c r="C847">
        <v>0</v>
      </c>
      <c r="D847">
        <v>256.76</v>
      </c>
      <c r="E847" s="1">
        <v>45762</v>
      </c>
      <c r="F847">
        <v>226</v>
      </c>
      <c r="G847" t="s">
        <v>31</v>
      </c>
      <c r="H847" t="str">
        <f>TEXT(sales[[#This Row],[sale_date]],"dddd")</f>
        <v>Tuesday</v>
      </c>
      <c r="I847">
        <f>_xlfn.XLOOKUP(A847,salesitems[sale_id],salesitems[revenue],0)</f>
        <v>102.8</v>
      </c>
      <c r="J847">
        <v>1</v>
      </c>
      <c r="K847" s="10" t="str">
        <f>_xlfn.XLOOKUP(F847,customers[customer_id],customers[age_range])</f>
        <v>16-25</v>
      </c>
      <c r="L847" s="1">
        <f>_xlfn.XLOOKUP(F847,customers[customer_id],customers[signup_date])</f>
        <v>45704</v>
      </c>
      <c r="M847">
        <f>sales[[#This Row],[sale_date]]-sales[[#This Row],[sighnup_date]]</f>
        <v>58</v>
      </c>
      <c r="N847" t="str">
        <f t="shared" si="13"/>
        <v>new customer</v>
      </c>
      <c r="O847" t="str">
        <f>_xlfn.XLOOKUP(A847,salesitems[sale_id],salesitems[category])</f>
        <v>Sleepwear</v>
      </c>
    </row>
    <row r="848" spans="1:15" x14ac:dyDescent="0.45">
      <c r="A848">
        <v>92</v>
      </c>
      <c r="B848" t="s">
        <v>15</v>
      </c>
      <c r="C848">
        <v>0</v>
      </c>
      <c r="D848">
        <v>611.46</v>
      </c>
      <c r="E848" s="1">
        <v>45807</v>
      </c>
      <c r="F848">
        <v>691</v>
      </c>
      <c r="G848" t="s">
        <v>33</v>
      </c>
      <c r="H848" t="str">
        <f>TEXT(sales[[#This Row],[sale_date]],"dddd")</f>
        <v>Friday</v>
      </c>
      <c r="I848">
        <f>_xlfn.XLOOKUP(A848,salesitems[sale_id],salesitems[revenue],0)</f>
        <v>134.58000000000001</v>
      </c>
      <c r="J848">
        <v>1</v>
      </c>
      <c r="K848" s="10" t="str">
        <f>_xlfn.XLOOKUP(F848,customers[customer_id],customers[age_range])</f>
        <v>46-55</v>
      </c>
      <c r="L848" s="1">
        <f>_xlfn.XLOOKUP(F848,customers[customer_id],customers[signup_date])</f>
        <v>45751</v>
      </c>
      <c r="M848">
        <f>sales[[#This Row],[sale_date]]-sales[[#This Row],[sighnup_date]]</f>
        <v>56</v>
      </c>
      <c r="N848" t="str">
        <f t="shared" si="13"/>
        <v>new customer</v>
      </c>
      <c r="O848" t="str">
        <f>_xlfn.XLOOKUP(A848,salesitems[sale_id],salesitems[category])</f>
        <v>Dresses</v>
      </c>
    </row>
    <row r="849" spans="1:15" x14ac:dyDescent="0.45">
      <c r="A849">
        <v>921</v>
      </c>
      <c r="B849" t="s">
        <v>15</v>
      </c>
      <c r="C849">
        <v>1</v>
      </c>
      <c r="D849">
        <v>117.84</v>
      </c>
      <c r="E849" s="1">
        <v>45796</v>
      </c>
      <c r="F849">
        <v>283</v>
      </c>
      <c r="G849" t="s">
        <v>28</v>
      </c>
      <c r="H849" t="str">
        <f>TEXT(sales[[#This Row],[sale_date]],"dddd")</f>
        <v>Monday</v>
      </c>
      <c r="I849">
        <f>_xlfn.XLOOKUP(A849,salesitems[sale_id],salesitems[revenue],0)</f>
        <v>69.42</v>
      </c>
      <c r="J849">
        <v>1</v>
      </c>
      <c r="K849" s="10" t="str">
        <f>_xlfn.XLOOKUP(F849,customers[customer_id],customers[age_range])</f>
        <v>56-65</v>
      </c>
      <c r="L849" s="1">
        <f>_xlfn.XLOOKUP(F849,customers[customer_id],customers[signup_date])</f>
        <v>45760</v>
      </c>
      <c r="M849">
        <f>sales[[#This Row],[sale_date]]-sales[[#This Row],[sighnup_date]]</f>
        <v>36</v>
      </c>
      <c r="N849" t="str">
        <f t="shared" si="13"/>
        <v>new customer</v>
      </c>
      <c r="O849" t="str">
        <f>_xlfn.XLOOKUP(A849,salesitems[sale_id],salesitems[category])</f>
        <v>Sleepwear</v>
      </c>
    </row>
    <row r="850" spans="1:15" x14ac:dyDescent="0.45">
      <c r="A850">
        <v>922</v>
      </c>
      <c r="B850" t="s">
        <v>21</v>
      </c>
      <c r="C850">
        <v>0</v>
      </c>
      <c r="D850">
        <v>342.07</v>
      </c>
      <c r="E850" s="1">
        <v>45800</v>
      </c>
      <c r="F850">
        <v>246</v>
      </c>
      <c r="G850" t="s">
        <v>34</v>
      </c>
      <c r="H850" t="str">
        <f>TEXT(sales[[#This Row],[sale_date]],"dddd")</f>
        <v>Friday</v>
      </c>
      <c r="I850">
        <f>_xlfn.XLOOKUP(A850,salesitems[sale_id],salesitems[revenue],0)</f>
        <v>148.02000000000001</v>
      </c>
      <c r="J850">
        <v>1</v>
      </c>
      <c r="K850" s="10" t="str">
        <f>_xlfn.XLOOKUP(F850,customers[customer_id],customers[age_range])</f>
        <v>26-35</v>
      </c>
      <c r="L850" s="1">
        <f>_xlfn.XLOOKUP(F850,customers[customer_id],customers[signup_date])</f>
        <v>45779</v>
      </c>
      <c r="M850">
        <f>sales[[#This Row],[sale_date]]-sales[[#This Row],[sighnup_date]]</f>
        <v>21</v>
      </c>
      <c r="N850" t="str">
        <f t="shared" si="13"/>
        <v>new customer</v>
      </c>
      <c r="O850" t="str">
        <f>_xlfn.XLOOKUP(A850,salesitems[sale_id],salesitems[category])</f>
        <v>Shoes</v>
      </c>
    </row>
    <row r="851" spans="1:15" x14ac:dyDescent="0.45">
      <c r="A851">
        <v>924</v>
      </c>
      <c r="B851" t="s">
        <v>21</v>
      </c>
      <c r="C851">
        <v>0</v>
      </c>
      <c r="D851">
        <v>430.55</v>
      </c>
      <c r="E851" s="1">
        <v>45781</v>
      </c>
      <c r="F851">
        <v>74</v>
      </c>
      <c r="G851" t="s">
        <v>28</v>
      </c>
      <c r="H851" t="str">
        <f>TEXT(sales[[#This Row],[sale_date]],"dddd")</f>
        <v>Sunday</v>
      </c>
      <c r="I851">
        <f>_xlfn.XLOOKUP(A851,salesitems[sale_id],salesitems[revenue],0)</f>
        <v>172.05</v>
      </c>
      <c r="J851">
        <v>1</v>
      </c>
      <c r="K851" s="10" t="str">
        <f>_xlfn.XLOOKUP(F851,customers[customer_id],customers[age_range])</f>
        <v>36-45</v>
      </c>
      <c r="L851" s="1">
        <f>_xlfn.XLOOKUP(F851,customers[customer_id],customers[signup_date])</f>
        <v>45814</v>
      </c>
      <c r="M851">
        <f>sales[[#This Row],[sale_date]]-sales[[#This Row],[sighnup_date]]</f>
        <v>-33</v>
      </c>
      <c r="N851" t="str">
        <f t="shared" si="13"/>
        <v>data issue</v>
      </c>
      <c r="O851" t="str">
        <f>_xlfn.XLOOKUP(A851,salesitems[sale_id],salesitems[category])</f>
        <v>T-Shirts</v>
      </c>
    </row>
    <row r="852" spans="1:15" x14ac:dyDescent="0.45">
      <c r="A852">
        <v>925</v>
      </c>
      <c r="B852" t="s">
        <v>21</v>
      </c>
      <c r="C852">
        <v>0</v>
      </c>
      <c r="D852">
        <v>343.79</v>
      </c>
      <c r="E852" s="1">
        <v>45771</v>
      </c>
      <c r="F852">
        <v>692</v>
      </c>
      <c r="G852" t="s">
        <v>28</v>
      </c>
      <c r="H852" t="str">
        <f>TEXT(sales[[#This Row],[sale_date]],"dddd")</f>
        <v>Thursday</v>
      </c>
      <c r="I852">
        <f>_xlfn.XLOOKUP(A852,salesitems[sale_id],salesitems[revenue],0)</f>
        <v>42.14</v>
      </c>
      <c r="J852">
        <v>1</v>
      </c>
      <c r="K852" s="10" t="str">
        <f>_xlfn.XLOOKUP(F852,customers[customer_id],customers[age_range])</f>
        <v>56-65</v>
      </c>
      <c r="L852" s="1">
        <f>_xlfn.XLOOKUP(F852,customers[customer_id],customers[signup_date])</f>
        <v>45782</v>
      </c>
      <c r="M852">
        <f>sales[[#This Row],[sale_date]]-sales[[#This Row],[sighnup_date]]</f>
        <v>-11</v>
      </c>
      <c r="N852" t="str">
        <f t="shared" si="13"/>
        <v>data issue</v>
      </c>
      <c r="O852" t="str">
        <f>_xlfn.XLOOKUP(A852,salesitems[sale_id],salesitems[category])</f>
        <v>Dresses</v>
      </c>
    </row>
    <row r="853" spans="1:15" x14ac:dyDescent="0.45">
      <c r="A853">
        <v>926</v>
      </c>
      <c r="B853" t="s">
        <v>21</v>
      </c>
      <c r="C853">
        <v>0</v>
      </c>
      <c r="D853">
        <v>110.78</v>
      </c>
      <c r="E853" s="1">
        <v>45806</v>
      </c>
      <c r="F853">
        <v>393</v>
      </c>
      <c r="G853" t="s">
        <v>28</v>
      </c>
      <c r="H853" t="str">
        <f>TEXT(sales[[#This Row],[sale_date]],"dddd")</f>
        <v>Thursday</v>
      </c>
      <c r="I853">
        <f>_xlfn.XLOOKUP(A853,salesitems[sale_id],salesitems[revenue],0)</f>
        <v>27.5</v>
      </c>
      <c r="J853">
        <v>1</v>
      </c>
      <c r="K853" s="10" t="str">
        <f>_xlfn.XLOOKUP(F853,customers[customer_id],customers[age_range])</f>
        <v>46-55</v>
      </c>
      <c r="L853" s="1">
        <f>_xlfn.XLOOKUP(F853,customers[customer_id],customers[signup_date])</f>
        <v>45756</v>
      </c>
      <c r="M853">
        <f>sales[[#This Row],[sale_date]]-sales[[#This Row],[sighnup_date]]</f>
        <v>50</v>
      </c>
      <c r="N853" t="str">
        <f t="shared" si="13"/>
        <v>new customer</v>
      </c>
      <c r="O853" t="str">
        <f>_xlfn.XLOOKUP(A853,salesitems[sale_id],salesitems[category])</f>
        <v>Dresses</v>
      </c>
    </row>
    <row r="854" spans="1:15" x14ac:dyDescent="0.45">
      <c r="A854">
        <v>927</v>
      </c>
      <c r="B854" t="s">
        <v>15</v>
      </c>
      <c r="C854">
        <v>0</v>
      </c>
      <c r="D854">
        <v>371.36</v>
      </c>
      <c r="E854" s="1">
        <v>45823</v>
      </c>
      <c r="F854">
        <v>233</v>
      </c>
      <c r="G854" t="s">
        <v>28</v>
      </c>
      <c r="H854" t="str">
        <f>TEXT(sales[[#This Row],[sale_date]],"dddd")</f>
        <v>Sunday</v>
      </c>
      <c r="I854">
        <f>_xlfn.XLOOKUP(A854,salesitems[sale_id],salesitems[revenue],0)</f>
        <v>145.16</v>
      </c>
      <c r="J854">
        <v>1</v>
      </c>
      <c r="K854" s="10" t="str">
        <f>_xlfn.XLOOKUP(F854,customers[customer_id],customers[age_range])</f>
        <v>26-35</v>
      </c>
      <c r="L854" s="1">
        <f>_xlfn.XLOOKUP(F854,customers[customer_id],customers[signup_date])</f>
        <v>45743</v>
      </c>
      <c r="M854">
        <f>sales[[#This Row],[sale_date]]-sales[[#This Row],[sighnup_date]]</f>
        <v>80</v>
      </c>
      <c r="N854" t="str">
        <f t="shared" si="13"/>
        <v>new customer</v>
      </c>
      <c r="O854" t="str">
        <f>_xlfn.XLOOKUP(A854,salesitems[sale_id],salesitems[category])</f>
        <v>Shoes</v>
      </c>
    </row>
    <row r="855" spans="1:15" x14ac:dyDescent="0.45">
      <c r="A855">
        <v>931</v>
      </c>
      <c r="B855" t="s">
        <v>21</v>
      </c>
      <c r="C855">
        <v>0</v>
      </c>
      <c r="D855">
        <v>270.18</v>
      </c>
      <c r="E855" s="1">
        <v>45825</v>
      </c>
      <c r="F855">
        <v>269</v>
      </c>
      <c r="G855" t="s">
        <v>34</v>
      </c>
      <c r="H855" t="str">
        <f>TEXT(sales[[#This Row],[sale_date]],"dddd")</f>
        <v>Tuesday</v>
      </c>
      <c r="I855">
        <f>_xlfn.XLOOKUP(A855,salesitems[sale_id],salesitems[revenue],0)</f>
        <v>31.86</v>
      </c>
      <c r="J855">
        <v>1</v>
      </c>
      <c r="K855" s="10" t="str">
        <f>_xlfn.XLOOKUP(F855,customers[customer_id],customers[age_range])</f>
        <v>36-45</v>
      </c>
      <c r="L855" s="1">
        <f>_xlfn.XLOOKUP(F855,customers[customer_id],customers[signup_date])</f>
        <v>45715</v>
      </c>
      <c r="M855">
        <f>sales[[#This Row],[sale_date]]-sales[[#This Row],[sighnup_date]]</f>
        <v>110</v>
      </c>
      <c r="N855" t="str">
        <f t="shared" si="13"/>
        <v>existing customer</v>
      </c>
      <c r="O855" t="str">
        <f>_xlfn.XLOOKUP(A855,salesitems[sale_id],salesitems[category])</f>
        <v>Dresses</v>
      </c>
    </row>
    <row r="856" spans="1:15" x14ac:dyDescent="0.45">
      <c r="A856">
        <v>932</v>
      </c>
      <c r="B856" t="s">
        <v>15</v>
      </c>
      <c r="C856">
        <v>0</v>
      </c>
      <c r="D856">
        <v>317.29000000000002</v>
      </c>
      <c r="E856" s="1">
        <v>45822</v>
      </c>
      <c r="F856">
        <v>323</v>
      </c>
      <c r="G856" t="s">
        <v>31</v>
      </c>
      <c r="H856" t="str">
        <f>TEXT(sales[[#This Row],[sale_date]],"dddd")</f>
        <v>Saturday</v>
      </c>
      <c r="I856">
        <f>_xlfn.XLOOKUP(A856,salesitems[sale_id],salesitems[revenue],0)</f>
        <v>96.24</v>
      </c>
      <c r="J856">
        <v>1</v>
      </c>
      <c r="K856" s="10" t="str">
        <f>_xlfn.XLOOKUP(F856,customers[customer_id],customers[age_range])</f>
        <v>26-35</v>
      </c>
      <c r="L856" s="1">
        <f>_xlfn.XLOOKUP(F856,customers[customer_id],customers[signup_date])</f>
        <v>45750</v>
      </c>
      <c r="M856">
        <f>sales[[#This Row],[sale_date]]-sales[[#This Row],[sighnup_date]]</f>
        <v>72</v>
      </c>
      <c r="N856" t="str">
        <f t="shared" si="13"/>
        <v>new customer</v>
      </c>
      <c r="O856" t="str">
        <f>_xlfn.XLOOKUP(A856,salesitems[sale_id],salesitems[category])</f>
        <v>Sleepwear</v>
      </c>
    </row>
    <row r="857" spans="1:15" x14ac:dyDescent="0.45">
      <c r="A857">
        <v>934</v>
      </c>
      <c r="B857" t="s">
        <v>21</v>
      </c>
      <c r="C857">
        <v>0</v>
      </c>
      <c r="D857">
        <v>146.03</v>
      </c>
      <c r="E857" s="1">
        <v>45793</v>
      </c>
      <c r="F857">
        <v>506</v>
      </c>
      <c r="G857" t="s">
        <v>28</v>
      </c>
      <c r="H857" t="str">
        <f>TEXT(sales[[#This Row],[sale_date]],"dddd")</f>
        <v>Friday</v>
      </c>
      <c r="I857">
        <f>_xlfn.XLOOKUP(A857,salesitems[sale_id],salesitems[revenue],0)</f>
        <v>36.01</v>
      </c>
      <c r="J857">
        <v>1</v>
      </c>
      <c r="K857" s="10" t="str">
        <f>_xlfn.XLOOKUP(F857,customers[customer_id],customers[age_range])</f>
        <v>26-35</v>
      </c>
      <c r="L857" s="1">
        <f>_xlfn.XLOOKUP(F857,customers[customer_id],customers[signup_date])</f>
        <v>45799</v>
      </c>
      <c r="M857">
        <f>sales[[#This Row],[sale_date]]-sales[[#This Row],[sighnup_date]]</f>
        <v>-6</v>
      </c>
      <c r="N857" t="str">
        <f t="shared" si="13"/>
        <v>data issue</v>
      </c>
      <c r="O857" t="str">
        <f>_xlfn.XLOOKUP(A857,salesitems[sale_id],salesitems[category])</f>
        <v>Sleepwear</v>
      </c>
    </row>
    <row r="858" spans="1:15" x14ac:dyDescent="0.45">
      <c r="A858">
        <v>937</v>
      </c>
      <c r="B858" t="s">
        <v>15</v>
      </c>
      <c r="C858">
        <v>0</v>
      </c>
      <c r="D858">
        <v>293.27999999999997</v>
      </c>
      <c r="E858" s="1">
        <v>45824</v>
      </c>
      <c r="F858">
        <v>649</v>
      </c>
      <c r="G858" t="s">
        <v>33</v>
      </c>
      <c r="H858" t="str">
        <f>TEXT(sales[[#This Row],[sale_date]],"dddd")</f>
        <v>Monday</v>
      </c>
      <c r="I858">
        <f>_xlfn.XLOOKUP(A858,salesitems[sale_id],salesitems[revenue],0)</f>
        <v>103.6</v>
      </c>
      <c r="J858">
        <v>1</v>
      </c>
      <c r="K858" s="10" t="str">
        <f>_xlfn.XLOOKUP(F858,customers[customer_id],customers[age_range])</f>
        <v>56-65</v>
      </c>
      <c r="L858" s="1">
        <f>_xlfn.XLOOKUP(F858,customers[customer_id],customers[signup_date])</f>
        <v>45711</v>
      </c>
      <c r="M858">
        <f>sales[[#This Row],[sale_date]]-sales[[#This Row],[sighnup_date]]</f>
        <v>113</v>
      </c>
      <c r="N858" t="str">
        <f t="shared" si="13"/>
        <v>existing customer</v>
      </c>
      <c r="O858" t="str">
        <f>_xlfn.XLOOKUP(A858,salesitems[sale_id],salesitems[category])</f>
        <v>Sleepwear</v>
      </c>
    </row>
    <row r="859" spans="1:15" x14ac:dyDescent="0.45">
      <c r="A859">
        <v>938</v>
      </c>
      <c r="B859" t="s">
        <v>21</v>
      </c>
      <c r="C859">
        <v>0</v>
      </c>
      <c r="D859">
        <v>360.58</v>
      </c>
      <c r="E859" s="1">
        <v>45796</v>
      </c>
      <c r="F859">
        <v>42</v>
      </c>
      <c r="G859" t="s">
        <v>34</v>
      </c>
      <c r="H859" t="str">
        <f>TEXT(sales[[#This Row],[sale_date]],"dddd")</f>
        <v>Monday</v>
      </c>
      <c r="I859">
        <f>_xlfn.XLOOKUP(A859,salesitems[sale_id],salesitems[revenue],0)</f>
        <v>63.68</v>
      </c>
      <c r="J859">
        <v>1</v>
      </c>
      <c r="K859" s="10" t="str">
        <f>_xlfn.XLOOKUP(F859,customers[customer_id],customers[age_range])</f>
        <v>46-55</v>
      </c>
      <c r="L859" s="1">
        <f>_xlfn.XLOOKUP(F859,customers[customer_id],customers[signup_date])</f>
        <v>45766</v>
      </c>
      <c r="M859">
        <f>sales[[#This Row],[sale_date]]-sales[[#This Row],[sighnup_date]]</f>
        <v>30</v>
      </c>
      <c r="N859" t="str">
        <f t="shared" si="13"/>
        <v>new customer</v>
      </c>
      <c r="O859" t="str">
        <f>_xlfn.XLOOKUP(A859,salesitems[sale_id],salesitems[category])</f>
        <v>Shoes</v>
      </c>
    </row>
    <row r="860" spans="1:15" x14ac:dyDescent="0.45">
      <c r="A860">
        <v>94</v>
      </c>
      <c r="B860" t="s">
        <v>21</v>
      </c>
      <c r="C860">
        <v>0</v>
      </c>
      <c r="D860">
        <v>396.88</v>
      </c>
      <c r="E860" s="1">
        <v>45760</v>
      </c>
      <c r="F860">
        <v>165</v>
      </c>
      <c r="G860" t="s">
        <v>28</v>
      </c>
      <c r="H860" t="str">
        <f>TEXT(sales[[#This Row],[sale_date]],"dddd")</f>
        <v>Sunday</v>
      </c>
      <c r="I860">
        <f>_xlfn.XLOOKUP(A860,salesitems[sale_id],salesitems[revenue],0)</f>
        <v>78.319999999999993</v>
      </c>
      <c r="J860">
        <v>1</v>
      </c>
      <c r="K860" s="10" t="str">
        <f>_xlfn.XLOOKUP(F860,customers[customer_id],customers[age_range])</f>
        <v>26-35</v>
      </c>
      <c r="L860" s="1">
        <f>_xlfn.XLOOKUP(F860,customers[customer_id],customers[signup_date])</f>
        <v>45728</v>
      </c>
      <c r="M860">
        <f>sales[[#This Row],[sale_date]]-sales[[#This Row],[sighnup_date]]</f>
        <v>32</v>
      </c>
      <c r="N860" t="str">
        <f t="shared" si="13"/>
        <v>new customer</v>
      </c>
      <c r="O860" t="str">
        <f>_xlfn.XLOOKUP(A860,salesitems[sale_id],salesitems[category])</f>
        <v>Dresses</v>
      </c>
    </row>
    <row r="861" spans="1:15" x14ac:dyDescent="0.45">
      <c r="A861">
        <v>940</v>
      </c>
      <c r="B861" t="s">
        <v>15</v>
      </c>
      <c r="C861">
        <v>0</v>
      </c>
      <c r="D861">
        <v>268.77</v>
      </c>
      <c r="E861" s="1">
        <v>45768</v>
      </c>
      <c r="F861">
        <v>988</v>
      </c>
      <c r="G861" t="s">
        <v>38</v>
      </c>
      <c r="H861" t="str">
        <f>TEXT(sales[[#This Row],[sale_date]],"dddd")</f>
        <v>Monday</v>
      </c>
      <c r="I861">
        <f>_xlfn.XLOOKUP(A861,salesitems[sale_id],salesitems[revenue],0)</f>
        <v>48.73</v>
      </c>
      <c r="J861">
        <v>1</v>
      </c>
      <c r="K861" s="10" t="str">
        <f>_xlfn.XLOOKUP(F861,customers[customer_id],customers[age_range])</f>
        <v>16-25</v>
      </c>
      <c r="L861" s="1">
        <f>_xlfn.XLOOKUP(F861,customers[customer_id],customers[signup_date])</f>
        <v>45711</v>
      </c>
      <c r="M861">
        <f>sales[[#This Row],[sale_date]]-sales[[#This Row],[sighnup_date]]</f>
        <v>57</v>
      </c>
      <c r="N861" t="str">
        <f t="shared" si="13"/>
        <v>new customer</v>
      </c>
      <c r="O861" t="str">
        <f>_xlfn.XLOOKUP(A861,salesitems[sale_id],salesitems[category])</f>
        <v>Pants</v>
      </c>
    </row>
    <row r="862" spans="1:15" x14ac:dyDescent="0.45">
      <c r="A862">
        <v>942</v>
      </c>
      <c r="B862" t="s">
        <v>21</v>
      </c>
      <c r="C862">
        <v>0</v>
      </c>
      <c r="D862">
        <v>376.17</v>
      </c>
      <c r="E862" s="1">
        <v>45776</v>
      </c>
      <c r="F862">
        <v>75</v>
      </c>
      <c r="G862" t="s">
        <v>33</v>
      </c>
      <c r="H862" t="str">
        <f>TEXT(sales[[#This Row],[sale_date]],"dddd")</f>
        <v>Tuesday</v>
      </c>
      <c r="I862">
        <f>_xlfn.XLOOKUP(A862,salesitems[sale_id],salesitems[revenue],0)</f>
        <v>204.66</v>
      </c>
      <c r="J862">
        <v>1</v>
      </c>
      <c r="K862" s="10" t="str">
        <f>_xlfn.XLOOKUP(F862,customers[customer_id],customers[age_range])</f>
        <v>46-55</v>
      </c>
      <c r="L862" s="1">
        <f>_xlfn.XLOOKUP(F862,customers[customer_id],customers[signup_date])</f>
        <v>45709</v>
      </c>
      <c r="M862">
        <f>sales[[#This Row],[sale_date]]-sales[[#This Row],[sighnup_date]]</f>
        <v>67</v>
      </c>
      <c r="N862" t="str">
        <f t="shared" si="13"/>
        <v>new customer</v>
      </c>
      <c r="O862" t="str">
        <f>_xlfn.XLOOKUP(A862,salesitems[sale_id],salesitems[category])</f>
        <v>Shoes</v>
      </c>
    </row>
    <row r="863" spans="1:15" x14ac:dyDescent="0.45">
      <c r="A863">
        <v>943</v>
      </c>
      <c r="B863" t="s">
        <v>15</v>
      </c>
      <c r="C863">
        <v>1</v>
      </c>
      <c r="D863">
        <v>210.59</v>
      </c>
      <c r="E863" s="1">
        <v>45793</v>
      </c>
      <c r="F863">
        <v>230</v>
      </c>
      <c r="G863" t="s">
        <v>28</v>
      </c>
      <c r="H863" t="str">
        <f>TEXT(sales[[#This Row],[sale_date]],"dddd")</f>
        <v>Friday</v>
      </c>
      <c r="I863">
        <f>_xlfn.XLOOKUP(A863,salesitems[sale_id],salesitems[revenue],0)</f>
        <v>108.99</v>
      </c>
      <c r="J863">
        <v>1</v>
      </c>
      <c r="K863" s="10" t="str">
        <f>_xlfn.XLOOKUP(F863,customers[customer_id],customers[age_range])</f>
        <v>56-65</v>
      </c>
      <c r="L863" s="1">
        <f>_xlfn.XLOOKUP(F863,customers[customer_id],customers[signup_date])</f>
        <v>45714</v>
      </c>
      <c r="M863">
        <f>sales[[#This Row],[sale_date]]-sales[[#This Row],[sighnup_date]]</f>
        <v>79</v>
      </c>
      <c r="N863" t="str">
        <f t="shared" si="13"/>
        <v>new customer</v>
      </c>
      <c r="O863" t="str">
        <f>_xlfn.XLOOKUP(A863,salesitems[sale_id],salesitems[category])</f>
        <v>Dresses</v>
      </c>
    </row>
    <row r="864" spans="1:15" x14ac:dyDescent="0.45">
      <c r="A864">
        <v>944</v>
      </c>
      <c r="B864" t="s">
        <v>21</v>
      </c>
      <c r="C864">
        <v>0</v>
      </c>
      <c r="D864">
        <v>246.83</v>
      </c>
      <c r="E864" s="1">
        <v>45822</v>
      </c>
      <c r="F864">
        <v>173</v>
      </c>
      <c r="G864" t="s">
        <v>36</v>
      </c>
      <c r="H864" t="str">
        <f>TEXT(sales[[#This Row],[sale_date]],"dddd")</f>
        <v>Saturday</v>
      </c>
      <c r="I864">
        <f>_xlfn.XLOOKUP(A864,salesitems[sale_id],salesitems[revenue],0)</f>
        <v>45.62</v>
      </c>
      <c r="J864">
        <v>1</v>
      </c>
      <c r="K864" s="10" t="str">
        <f>_xlfn.XLOOKUP(F864,customers[customer_id],customers[age_range])</f>
        <v>26-35</v>
      </c>
      <c r="L864" s="1">
        <f>_xlfn.XLOOKUP(F864,customers[customer_id],customers[signup_date])</f>
        <v>45692</v>
      </c>
      <c r="M864">
        <f>sales[[#This Row],[sale_date]]-sales[[#This Row],[sighnup_date]]</f>
        <v>130</v>
      </c>
      <c r="N864" t="str">
        <f t="shared" si="13"/>
        <v>existing customer</v>
      </c>
      <c r="O864" t="str">
        <f>_xlfn.XLOOKUP(A864,salesitems[sale_id],salesitems[category])</f>
        <v>T-Shirts</v>
      </c>
    </row>
    <row r="865" spans="1:15" x14ac:dyDescent="0.45">
      <c r="A865">
        <v>945</v>
      </c>
      <c r="B865" t="s">
        <v>21</v>
      </c>
      <c r="C865">
        <v>0</v>
      </c>
      <c r="D865">
        <v>295.02</v>
      </c>
      <c r="E865" s="1">
        <v>45764</v>
      </c>
      <c r="F865">
        <v>304</v>
      </c>
      <c r="G865" t="s">
        <v>28</v>
      </c>
      <c r="H865" t="str">
        <f>TEXT(sales[[#This Row],[sale_date]],"dddd")</f>
        <v>Thursday</v>
      </c>
      <c r="I865">
        <f>_xlfn.XLOOKUP(A865,salesitems[sale_id],salesitems[revenue],0)</f>
        <v>91.5</v>
      </c>
      <c r="J865">
        <v>1</v>
      </c>
      <c r="K865" s="10" t="str">
        <f>_xlfn.XLOOKUP(F865,customers[customer_id],customers[age_range])</f>
        <v>36-45</v>
      </c>
      <c r="L865" s="1">
        <f>_xlfn.XLOOKUP(F865,customers[customer_id],customers[signup_date])</f>
        <v>45729</v>
      </c>
      <c r="M865">
        <f>sales[[#This Row],[sale_date]]-sales[[#This Row],[sighnup_date]]</f>
        <v>35</v>
      </c>
      <c r="N865" t="str">
        <f t="shared" si="13"/>
        <v>new customer</v>
      </c>
      <c r="O865" t="str">
        <f>_xlfn.XLOOKUP(A865,salesitems[sale_id],salesitems[category])</f>
        <v>T-Shirts</v>
      </c>
    </row>
    <row r="866" spans="1:15" x14ac:dyDescent="0.45">
      <c r="A866">
        <v>946</v>
      </c>
      <c r="B866" t="s">
        <v>15</v>
      </c>
      <c r="C866">
        <v>0</v>
      </c>
      <c r="D866">
        <v>192.66</v>
      </c>
      <c r="E866" s="1">
        <v>45763</v>
      </c>
      <c r="F866">
        <v>289</v>
      </c>
      <c r="G866" t="s">
        <v>31</v>
      </c>
      <c r="H866" t="str">
        <f>TEXT(sales[[#This Row],[sale_date]],"dddd")</f>
        <v>Wednesday</v>
      </c>
      <c r="I866">
        <f>_xlfn.XLOOKUP(A866,salesitems[sale_id],salesitems[revenue],0)</f>
        <v>63.82</v>
      </c>
      <c r="J866">
        <v>1</v>
      </c>
      <c r="K866" s="10" t="str">
        <f>_xlfn.XLOOKUP(F866,customers[customer_id],customers[age_range])</f>
        <v>46-55</v>
      </c>
      <c r="L866" s="1">
        <f>_xlfn.XLOOKUP(F866,customers[customer_id],customers[signup_date])</f>
        <v>45777</v>
      </c>
      <c r="M866">
        <f>sales[[#This Row],[sale_date]]-sales[[#This Row],[sighnup_date]]</f>
        <v>-14</v>
      </c>
      <c r="N866" t="str">
        <f t="shared" si="13"/>
        <v>data issue</v>
      </c>
      <c r="O866" t="str">
        <f>_xlfn.XLOOKUP(A866,salesitems[sale_id],salesitems[category])</f>
        <v>T-Shirts</v>
      </c>
    </row>
    <row r="867" spans="1:15" x14ac:dyDescent="0.45">
      <c r="A867">
        <v>947</v>
      </c>
      <c r="B867" t="s">
        <v>21</v>
      </c>
      <c r="C867">
        <v>0</v>
      </c>
      <c r="D867">
        <v>97.73</v>
      </c>
      <c r="E867" s="1">
        <v>45824</v>
      </c>
      <c r="F867">
        <v>127</v>
      </c>
      <c r="G867" t="s">
        <v>31</v>
      </c>
      <c r="H867" t="str">
        <f>TEXT(sales[[#This Row],[sale_date]],"dddd")</f>
        <v>Monday</v>
      </c>
      <c r="I867">
        <f>_xlfn.XLOOKUP(A867,salesitems[sale_id],salesitems[revenue],0)</f>
        <v>58.11</v>
      </c>
      <c r="J867">
        <v>1</v>
      </c>
      <c r="K867" s="10" t="str">
        <f>_xlfn.XLOOKUP(F867,customers[customer_id],customers[age_range])</f>
        <v>56-65</v>
      </c>
      <c r="L867" s="1">
        <f>_xlfn.XLOOKUP(F867,customers[customer_id],customers[signup_date])</f>
        <v>45779</v>
      </c>
      <c r="M867">
        <f>sales[[#This Row],[sale_date]]-sales[[#This Row],[sighnup_date]]</f>
        <v>45</v>
      </c>
      <c r="N867" t="str">
        <f t="shared" si="13"/>
        <v>new customer</v>
      </c>
      <c r="O867" t="str">
        <f>_xlfn.XLOOKUP(A867,salesitems[sale_id],salesitems[category])</f>
        <v>T-Shirts</v>
      </c>
    </row>
    <row r="868" spans="1:15" x14ac:dyDescent="0.45">
      <c r="A868">
        <v>949</v>
      </c>
      <c r="B868" t="s">
        <v>21</v>
      </c>
      <c r="C868">
        <v>0</v>
      </c>
      <c r="D868">
        <v>87.45</v>
      </c>
      <c r="E868" s="1">
        <v>45807</v>
      </c>
      <c r="F868">
        <v>91</v>
      </c>
      <c r="G868" t="s">
        <v>31</v>
      </c>
      <c r="H868" t="str">
        <f>TEXT(sales[[#This Row],[sale_date]],"dddd")</f>
        <v>Friday</v>
      </c>
      <c r="I868">
        <f>_xlfn.XLOOKUP(A868,salesitems[sale_id],salesitems[revenue],0)</f>
        <v>32.21</v>
      </c>
      <c r="J868">
        <v>1</v>
      </c>
      <c r="K868" s="10" t="str">
        <f>_xlfn.XLOOKUP(F868,customers[customer_id],customers[age_range])</f>
        <v>16-25</v>
      </c>
      <c r="L868" s="1">
        <f>_xlfn.XLOOKUP(F868,customers[customer_id],customers[signup_date])</f>
        <v>45749</v>
      </c>
      <c r="M868">
        <f>sales[[#This Row],[sale_date]]-sales[[#This Row],[sighnup_date]]</f>
        <v>58</v>
      </c>
      <c r="N868" t="str">
        <f t="shared" si="13"/>
        <v>new customer</v>
      </c>
      <c r="O868" t="str">
        <f>_xlfn.XLOOKUP(A868,salesitems[sale_id],salesitems[category])</f>
        <v>Dresses</v>
      </c>
    </row>
    <row r="869" spans="1:15" x14ac:dyDescent="0.45">
      <c r="A869">
        <v>950</v>
      </c>
      <c r="B869" t="s">
        <v>21</v>
      </c>
      <c r="C869">
        <v>0</v>
      </c>
      <c r="D869">
        <v>524.09</v>
      </c>
      <c r="E869" s="1">
        <v>45804</v>
      </c>
      <c r="F869">
        <v>935</v>
      </c>
      <c r="G869" t="s">
        <v>33</v>
      </c>
      <c r="H869" t="str">
        <f>TEXT(sales[[#This Row],[sale_date]],"dddd")</f>
        <v>Tuesday</v>
      </c>
      <c r="I869">
        <f>_xlfn.XLOOKUP(A869,salesitems[sale_id],salesitems[revenue],0)</f>
        <v>238.24</v>
      </c>
      <c r="J869">
        <v>1</v>
      </c>
      <c r="K869" s="10" t="str">
        <f>_xlfn.XLOOKUP(F869,customers[customer_id],customers[age_range])</f>
        <v>46-55</v>
      </c>
      <c r="L869" s="1">
        <f>_xlfn.XLOOKUP(F869,customers[customer_id],customers[signup_date])</f>
        <v>45671</v>
      </c>
      <c r="M869">
        <f>sales[[#This Row],[sale_date]]-sales[[#This Row],[sighnup_date]]</f>
        <v>133</v>
      </c>
      <c r="N869" t="str">
        <f t="shared" si="13"/>
        <v>existing customer</v>
      </c>
      <c r="O869" t="str">
        <f>_xlfn.XLOOKUP(A869,salesitems[sale_id],salesitems[category])</f>
        <v>Shoes</v>
      </c>
    </row>
    <row r="870" spans="1:15" x14ac:dyDescent="0.45">
      <c r="A870">
        <v>952</v>
      </c>
      <c r="B870" t="s">
        <v>21</v>
      </c>
      <c r="C870">
        <v>0</v>
      </c>
      <c r="D870">
        <v>258.61</v>
      </c>
      <c r="E870" s="1">
        <v>45772</v>
      </c>
      <c r="F870">
        <v>252</v>
      </c>
      <c r="G870" t="s">
        <v>33</v>
      </c>
      <c r="H870" t="str">
        <f>TEXT(sales[[#This Row],[sale_date]],"dddd")</f>
        <v>Friday</v>
      </c>
      <c r="I870">
        <f>_xlfn.XLOOKUP(A870,salesitems[sale_id],salesitems[revenue],0)</f>
        <v>84.28</v>
      </c>
      <c r="J870">
        <v>1</v>
      </c>
      <c r="K870" s="10" t="str">
        <f>_xlfn.XLOOKUP(F870,customers[customer_id],customers[age_range])</f>
        <v>16-25</v>
      </c>
      <c r="L870" s="1">
        <f>_xlfn.XLOOKUP(F870,customers[customer_id],customers[signup_date])</f>
        <v>45718</v>
      </c>
      <c r="M870">
        <f>sales[[#This Row],[sale_date]]-sales[[#This Row],[sighnup_date]]</f>
        <v>54</v>
      </c>
      <c r="N870" t="str">
        <f t="shared" si="13"/>
        <v>new customer</v>
      </c>
      <c r="O870" t="str">
        <f>_xlfn.XLOOKUP(A870,salesitems[sale_id],salesitems[category])</f>
        <v>Dresses</v>
      </c>
    </row>
    <row r="871" spans="1:15" x14ac:dyDescent="0.45">
      <c r="A871">
        <v>953</v>
      </c>
      <c r="B871" t="s">
        <v>15</v>
      </c>
      <c r="C871">
        <v>0</v>
      </c>
      <c r="D871">
        <v>532.29999999999995</v>
      </c>
      <c r="E871" s="1">
        <v>45763</v>
      </c>
      <c r="F871">
        <v>400</v>
      </c>
      <c r="G871" t="s">
        <v>31</v>
      </c>
      <c r="H871" t="str">
        <f>TEXT(sales[[#This Row],[sale_date]],"dddd")</f>
        <v>Wednesday</v>
      </c>
      <c r="I871">
        <f>_xlfn.XLOOKUP(A871,salesitems[sale_id],salesitems[revenue],0)</f>
        <v>312.60000000000002</v>
      </c>
      <c r="J871">
        <v>1</v>
      </c>
      <c r="K871" s="10" t="str">
        <f>_xlfn.XLOOKUP(F871,customers[customer_id],customers[age_range])</f>
        <v>16-25</v>
      </c>
      <c r="L871" s="1">
        <f>_xlfn.XLOOKUP(F871,customers[customer_id],customers[signup_date])</f>
        <v>45704</v>
      </c>
      <c r="M871">
        <f>sales[[#This Row],[sale_date]]-sales[[#This Row],[sighnup_date]]</f>
        <v>59</v>
      </c>
      <c r="N871" t="str">
        <f t="shared" si="13"/>
        <v>new customer</v>
      </c>
      <c r="O871" t="str">
        <f>_xlfn.XLOOKUP(A871,salesitems[sale_id],salesitems[category])</f>
        <v>Dresses</v>
      </c>
    </row>
    <row r="872" spans="1:15" x14ac:dyDescent="0.45">
      <c r="A872">
        <v>955</v>
      </c>
      <c r="B872" t="s">
        <v>15</v>
      </c>
      <c r="C872">
        <v>0</v>
      </c>
      <c r="D872">
        <v>490.7</v>
      </c>
      <c r="E872" s="1">
        <v>45802</v>
      </c>
      <c r="F872">
        <v>936</v>
      </c>
      <c r="G872" t="s">
        <v>31</v>
      </c>
      <c r="H872" t="str">
        <f>TEXT(sales[[#This Row],[sale_date]],"dddd")</f>
        <v>Sunday</v>
      </c>
      <c r="I872">
        <f>_xlfn.XLOOKUP(A872,salesitems[sale_id],salesitems[revenue],0)</f>
        <v>256.25</v>
      </c>
      <c r="J872">
        <v>1</v>
      </c>
      <c r="K872" s="10" t="str">
        <f>_xlfn.XLOOKUP(F872,customers[customer_id],customers[age_range])</f>
        <v>26-35</v>
      </c>
      <c r="L872" s="1">
        <f>_xlfn.XLOOKUP(F872,customers[customer_id],customers[signup_date])</f>
        <v>45700</v>
      </c>
      <c r="M872">
        <f>sales[[#This Row],[sale_date]]-sales[[#This Row],[sighnup_date]]</f>
        <v>102</v>
      </c>
      <c r="N872" t="str">
        <f t="shared" si="13"/>
        <v>existing customer</v>
      </c>
      <c r="O872" t="str">
        <f>_xlfn.XLOOKUP(A872,salesitems[sale_id],salesitems[category])</f>
        <v>Shoes</v>
      </c>
    </row>
    <row r="873" spans="1:15" x14ac:dyDescent="0.45">
      <c r="A873">
        <v>956</v>
      </c>
      <c r="B873" t="s">
        <v>15</v>
      </c>
      <c r="C873">
        <v>0</v>
      </c>
      <c r="D873">
        <v>166.11</v>
      </c>
      <c r="E873" s="1">
        <v>45808</v>
      </c>
      <c r="F873">
        <v>456</v>
      </c>
      <c r="G873" t="s">
        <v>33</v>
      </c>
      <c r="H873" t="str">
        <f>TEXT(sales[[#This Row],[sale_date]],"dddd")</f>
        <v>Saturday</v>
      </c>
      <c r="I873">
        <f>_xlfn.XLOOKUP(A873,salesitems[sale_id],salesitems[revenue],0)</f>
        <v>49.59</v>
      </c>
      <c r="J873">
        <v>1</v>
      </c>
      <c r="K873" s="10" t="str">
        <f>_xlfn.XLOOKUP(F873,customers[customer_id],customers[age_range])</f>
        <v>26-35</v>
      </c>
      <c r="L873" s="1">
        <f>_xlfn.XLOOKUP(F873,customers[customer_id],customers[signup_date])</f>
        <v>45688</v>
      </c>
      <c r="M873">
        <f>sales[[#This Row],[sale_date]]-sales[[#This Row],[sighnup_date]]</f>
        <v>120</v>
      </c>
      <c r="N873" t="str">
        <f t="shared" si="13"/>
        <v>existing customer</v>
      </c>
      <c r="O873" t="str">
        <f>_xlfn.XLOOKUP(A873,salesitems[sale_id],salesitems[category])</f>
        <v>Sleepwear</v>
      </c>
    </row>
    <row r="874" spans="1:15" x14ac:dyDescent="0.45">
      <c r="A874">
        <v>957</v>
      </c>
      <c r="B874" t="s">
        <v>15</v>
      </c>
      <c r="C874">
        <v>1</v>
      </c>
      <c r="D874">
        <v>212.16</v>
      </c>
      <c r="E874" s="1">
        <v>45792</v>
      </c>
      <c r="F874">
        <v>181</v>
      </c>
      <c r="G874" t="s">
        <v>33</v>
      </c>
      <c r="H874" t="str">
        <f>TEXT(sales[[#This Row],[sale_date]],"dddd")</f>
        <v>Thursday</v>
      </c>
      <c r="I874">
        <f>_xlfn.XLOOKUP(A874,salesitems[sale_id],salesitems[revenue],0)</f>
        <v>108.42</v>
      </c>
      <c r="J874">
        <v>1</v>
      </c>
      <c r="K874" s="10" t="str">
        <f>_xlfn.XLOOKUP(F874,customers[customer_id],customers[age_range])</f>
        <v>36-45</v>
      </c>
      <c r="L874" s="1">
        <f>_xlfn.XLOOKUP(F874,customers[customer_id],customers[signup_date])</f>
        <v>45820</v>
      </c>
      <c r="M874">
        <f>sales[[#This Row],[sale_date]]-sales[[#This Row],[sighnup_date]]</f>
        <v>-28</v>
      </c>
      <c r="N874" t="str">
        <f t="shared" si="13"/>
        <v>data issue</v>
      </c>
      <c r="O874" t="str">
        <f>_xlfn.XLOOKUP(A874,salesitems[sale_id],salesitems[category])</f>
        <v>Dresses</v>
      </c>
    </row>
    <row r="875" spans="1:15" x14ac:dyDescent="0.45">
      <c r="A875">
        <v>958</v>
      </c>
      <c r="B875" t="s">
        <v>21</v>
      </c>
      <c r="C875">
        <v>0</v>
      </c>
      <c r="D875">
        <v>68.31</v>
      </c>
      <c r="E875" s="1">
        <v>45799</v>
      </c>
      <c r="F875">
        <v>958</v>
      </c>
      <c r="G875" t="s">
        <v>36</v>
      </c>
      <c r="H875" t="str">
        <f>TEXT(sales[[#This Row],[sale_date]],"dddd")</f>
        <v>Thursday</v>
      </c>
      <c r="I875">
        <f>_xlfn.XLOOKUP(A875,salesitems[sale_id],salesitems[revenue],0)</f>
        <v>38.68</v>
      </c>
      <c r="J875">
        <v>1</v>
      </c>
      <c r="K875" s="10" t="str">
        <f>_xlfn.XLOOKUP(F875,customers[customer_id],customers[age_range])</f>
        <v>56-65</v>
      </c>
      <c r="L875" s="1">
        <f>_xlfn.XLOOKUP(F875,customers[customer_id],customers[signup_date])</f>
        <v>45711</v>
      </c>
      <c r="M875">
        <f>sales[[#This Row],[sale_date]]-sales[[#This Row],[sighnup_date]]</f>
        <v>88</v>
      </c>
      <c r="N875" t="str">
        <f t="shared" si="13"/>
        <v>new customer</v>
      </c>
      <c r="O875" t="str">
        <f>_xlfn.XLOOKUP(A875,salesitems[sale_id],salesitems[category])</f>
        <v>Shoes</v>
      </c>
    </row>
    <row r="876" spans="1:15" x14ac:dyDescent="0.45">
      <c r="A876">
        <v>959</v>
      </c>
      <c r="B876" t="s">
        <v>21</v>
      </c>
      <c r="C876">
        <v>0</v>
      </c>
      <c r="D876">
        <v>167.82</v>
      </c>
      <c r="E876" s="1">
        <v>45781</v>
      </c>
      <c r="F876">
        <v>959</v>
      </c>
      <c r="G876" t="s">
        <v>34</v>
      </c>
      <c r="H876" t="str">
        <f>TEXT(sales[[#This Row],[sale_date]],"dddd")</f>
        <v>Sunday</v>
      </c>
      <c r="I876">
        <f>_xlfn.XLOOKUP(A876,salesitems[sale_id],salesitems[revenue],0)</f>
        <v>50.34</v>
      </c>
      <c r="J876">
        <v>1</v>
      </c>
      <c r="K876" s="10" t="str">
        <f>_xlfn.XLOOKUP(F876,customers[customer_id],customers[age_range])</f>
        <v>26-35</v>
      </c>
      <c r="L876" s="1">
        <f>_xlfn.XLOOKUP(F876,customers[customer_id],customers[signup_date])</f>
        <v>45749</v>
      </c>
      <c r="M876">
        <f>sales[[#This Row],[sale_date]]-sales[[#This Row],[sighnup_date]]</f>
        <v>32</v>
      </c>
      <c r="N876" t="str">
        <f t="shared" si="13"/>
        <v>new customer</v>
      </c>
      <c r="O876" t="str">
        <f>_xlfn.XLOOKUP(A876,salesitems[sale_id],salesitems[category])</f>
        <v>T-Shirts</v>
      </c>
    </row>
    <row r="877" spans="1:15" x14ac:dyDescent="0.45">
      <c r="A877">
        <v>96</v>
      </c>
      <c r="B877" t="s">
        <v>21</v>
      </c>
      <c r="C877">
        <v>0</v>
      </c>
      <c r="D877">
        <v>522.01</v>
      </c>
      <c r="E877" s="1">
        <v>45767</v>
      </c>
      <c r="F877">
        <v>135</v>
      </c>
      <c r="G877" t="s">
        <v>28</v>
      </c>
      <c r="H877" t="str">
        <f>TEXT(sales[[#This Row],[sale_date]],"dddd")</f>
        <v>Sunday</v>
      </c>
      <c r="I877">
        <f>_xlfn.XLOOKUP(A877,salesitems[sale_id],salesitems[revenue],0)</f>
        <v>43.14</v>
      </c>
      <c r="J877">
        <v>1</v>
      </c>
      <c r="K877" s="10" t="str">
        <f>_xlfn.XLOOKUP(F877,customers[customer_id],customers[age_range])</f>
        <v>36-45</v>
      </c>
      <c r="L877" s="1">
        <f>_xlfn.XLOOKUP(F877,customers[customer_id],customers[signup_date])</f>
        <v>45678</v>
      </c>
      <c r="M877">
        <f>sales[[#This Row],[sale_date]]-sales[[#This Row],[sighnup_date]]</f>
        <v>89</v>
      </c>
      <c r="N877" t="str">
        <f t="shared" si="13"/>
        <v>new customer</v>
      </c>
      <c r="O877" t="str">
        <f>_xlfn.XLOOKUP(A877,salesitems[sale_id],salesitems[category])</f>
        <v>T-Shirts</v>
      </c>
    </row>
    <row r="878" spans="1:15" x14ac:dyDescent="0.45">
      <c r="A878">
        <v>960</v>
      </c>
      <c r="B878" t="s">
        <v>21</v>
      </c>
      <c r="C878">
        <v>0</v>
      </c>
      <c r="D878">
        <v>223.28</v>
      </c>
      <c r="E878" s="1">
        <v>45805</v>
      </c>
      <c r="F878">
        <v>237</v>
      </c>
      <c r="G878" t="s">
        <v>36</v>
      </c>
      <c r="H878" t="str">
        <f>TEXT(sales[[#This Row],[sale_date]],"dddd")</f>
        <v>Wednesday</v>
      </c>
      <c r="I878">
        <f>_xlfn.XLOOKUP(A878,salesitems[sale_id],salesitems[revenue],0)</f>
        <v>49.92</v>
      </c>
      <c r="J878">
        <v>1</v>
      </c>
      <c r="K878" s="10" t="str">
        <f>_xlfn.XLOOKUP(F878,customers[customer_id],customers[age_range])</f>
        <v>46-55</v>
      </c>
      <c r="L878" s="1">
        <f>_xlfn.XLOOKUP(F878,customers[customer_id],customers[signup_date])</f>
        <v>45702</v>
      </c>
      <c r="M878">
        <f>sales[[#This Row],[sale_date]]-sales[[#This Row],[sighnup_date]]</f>
        <v>103</v>
      </c>
      <c r="N878" t="str">
        <f t="shared" si="13"/>
        <v>existing customer</v>
      </c>
      <c r="O878" t="str">
        <f>_xlfn.XLOOKUP(A878,salesitems[sale_id],salesitems[category])</f>
        <v>Dresses</v>
      </c>
    </row>
    <row r="879" spans="1:15" x14ac:dyDescent="0.45">
      <c r="A879">
        <v>961</v>
      </c>
      <c r="B879" t="s">
        <v>21</v>
      </c>
      <c r="C879">
        <v>0</v>
      </c>
      <c r="D879">
        <v>282.52999999999997</v>
      </c>
      <c r="E879" s="1">
        <v>45825</v>
      </c>
      <c r="F879">
        <v>613</v>
      </c>
      <c r="G879" t="s">
        <v>31</v>
      </c>
      <c r="H879" t="str">
        <f>TEXT(sales[[#This Row],[sale_date]],"dddd")</f>
        <v>Tuesday</v>
      </c>
      <c r="I879">
        <f>_xlfn.XLOOKUP(A879,salesitems[sale_id],salesitems[revenue],0)</f>
        <v>97.22999999999999</v>
      </c>
      <c r="J879">
        <v>1</v>
      </c>
      <c r="K879" s="10" t="str">
        <f>_xlfn.XLOOKUP(F879,customers[customer_id],customers[age_range])</f>
        <v>16-25</v>
      </c>
      <c r="L879" s="1">
        <f>_xlfn.XLOOKUP(F879,customers[customer_id],customers[signup_date])</f>
        <v>45789</v>
      </c>
      <c r="M879">
        <f>sales[[#This Row],[sale_date]]-sales[[#This Row],[sighnup_date]]</f>
        <v>36</v>
      </c>
      <c r="N879" t="str">
        <f t="shared" si="13"/>
        <v>new customer</v>
      </c>
      <c r="O879" t="str">
        <f>_xlfn.XLOOKUP(A879,salesitems[sale_id],salesitems[category])</f>
        <v>Shoes</v>
      </c>
    </row>
    <row r="880" spans="1:15" x14ac:dyDescent="0.45">
      <c r="A880">
        <v>963</v>
      </c>
      <c r="B880" t="s">
        <v>21</v>
      </c>
      <c r="C880">
        <v>0</v>
      </c>
      <c r="D880">
        <v>173.16</v>
      </c>
      <c r="E880" s="1">
        <v>45812</v>
      </c>
      <c r="F880">
        <v>342</v>
      </c>
      <c r="G880" t="s">
        <v>31</v>
      </c>
      <c r="H880" t="str">
        <f>TEXT(sales[[#This Row],[sale_date]],"dddd")</f>
        <v>Wednesday</v>
      </c>
      <c r="I880">
        <f>_xlfn.XLOOKUP(A880,salesitems[sale_id],salesitems[revenue],0)</f>
        <v>45.58</v>
      </c>
      <c r="J880">
        <v>1</v>
      </c>
      <c r="K880" s="10" t="str">
        <f>_xlfn.XLOOKUP(F880,customers[customer_id],customers[age_range])</f>
        <v>36-45</v>
      </c>
      <c r="L880" s="1">
        <f>_xlfn.XLOOKUP(F880,customers[customer_id],customers[signup_date])</f>
        <v>45771</v>
      </c>
      <c r="M880">
        <f>sales[[#This Row],[sale_date]]-sales[[#This Row],[sighnup_date]]</f>
        <v>41</v>
      </c>
      <c r="N880" t="str">
        <f t="shared" si="13"/>
        <v>new customer</v>
      </c>
      <c r="O880" t="str">
        <f>_xlfn.XLOOKUP(A880,salesitems[sale_id],salesitems[category])</f>
        <v>Shoes</v>
      </c>
    </row>
    <row r="881" spans="1:15" x14ac:dyDescent="0.45">
      <c r="A881">
        <v>965</v>
      </c>
      <c r="B881" t="s">
        <v>21</v>
      </c>
      <c r="C881">
        <v>0</v>
      </c>
      <c r="D881">
        <v>316.76</v>
      </c>
      <c r="E881" s="1">
        <v>45804</v>
      </c>
      <c r="F881">
        <v>988</v>
      </c>
      <c r="G881" t="s">
        <v>38</v>
      </c>
      <c r="H881" t="str">
        <f>TEXT(sales[[#This Row],[sale_date]],"dddd")</f>
        <v>Tuesday</v>
      </c>
      <c r="I881">
        <f>_xlfn.XLOOKUP(A881,salesitems[sale_id],salesitems[revenue],0)</f>
        <v>153</v>
      </c>
      <c r="J881">
        <v>1</v>
      </c>
      <c r="K881" s="10" t="str">
        <f>_xlfn.XLOOKUP(F881,customers[customer_id],customers[age_range])</f>
        <v>16-25</v>
      </c>
      <c r="L881" s="1">
        <f>_xlfn.XLOOKUP(F881,customers[customer_id],customers[signup_date])</f>
        <v>45711</v>
      </c>
      <c r="M881">
        <f>sales[[#This Row],[sale_date]]-sales[[#This Row],[sighnup_date]]</f>
        <v>93</v>
      </c>
      <c r="N881" t="str">
        <f t="shared" si="13"/>
        <v>existing customer</v>
      </c>
      <c r="O881" t="str">
        <f>_xlfn.XLOOKUP(A881,salesitems[sale_id],salesitems[category])</f>
        <v>Pants</v>
      </c>
    </row>
    <row r="882" spans="1:15" x14ac:dyDescent="0.45">
      <c r="A882">
        <v>966</v>
      </c>
      <c r="B882" t="s">
        <v>21</v>
      </c>
      <c r="C882">
        <v>0</v>
      </c>
      <c r="D882">
        <v>200.11</v>
      </c>
      <c r="E882" s="1">
        <v>45794</v>
      </c>
      <c r="F882">
        <v>326</v>
      </c>
      <c r="G882" t="s">
        <v>33</v>
      </c>
      <c r="H882" t="str">
        <f>TEXT(sales[[#This Row],[sale_date]],"dddd")</f>
        <v>Saturday</v>
      </c>
      <c r="I882">
        <f>_xlfn.XLOOKUP(A882,salesitems[sale_id],salesitems[revenue],0)</f>
        <v>40.99</v>
      </c>
      <c r="J882">
        <v>1</v>
      </c>
      <c r="K882" s="10" t="str">
        <f>_xlfn.XLOOKUP(F882,customers[customer_id],customers[age_range])</f>
        <v>26-35</v>
      </c>
      <c r="L882" s="1">
        <f>_xlfn.XLOOKUP(F882,customers[customer_id],customers[signup_date])</f>
        <v>45817</v>
      </c>
      <c r="M882">
        <f>sales[[#This Row],[sale_date]]-sales[[#This Row],[sighnup_date]]</f>
        <v>-23</v>
      </c>
      <c r="N882" t="str">
        <f t="shared" si="13"/>
        <v>data issue</v>
      </c>
      <c r="O882" t="str">
        <f>_xlfn.XLOOKUP(A882,salesitems[sale_id],salesitems[category])</f>
        <v>Shoes</v>
      </c>
    </row>
    <row r="883" spans="1:15" x14ac:dyDescent="0.45">
      <c r="A883">
        <v>967</v>
      </c>
      <c r="B883" t="s">
        <v>15</v>
      </c>
      <c r="C883">
        <v>0</v>
      </c>
      <c r="D883">
        <v>281.54000000000002</v>
      </c>
      <c r="E883" s="1">
        <v>45773</v>
      </c>
      <c r="F883">
        <v>496</v>
      </c>
      <c r="G883" t="s">
        <v>33</v>
      </c>
      <c r="H883" t="str">
        <f>TEXT(sales[[#This Row],[sale_date]],"dddd")</f>
        <v>Saturday</v>
      </c>
      <c r="I883">
        <f>_xlfn.XLOOKUP(A883,salesitems[sale_id],salesitems[revenue],0)</f>
        <v>114.74</v>
      </c>
      <c r="J883">
        <v>1</v>
      </c>
      <c r="K883" s="10" t="str">
        <f>_xlfn.XLOOKUP(F883,customers[customer_id],customers[age_range])</f>
        <v>16-25</v>
      </c>
      <c r="L883" s="1">
        <f>_xlfn.XLOOKUP(F883,customers[customer_id],customers[signup_date])</f>
        <v>45747</v>
      </c>
      <c r="M883">
        <f>sales[[#This Row],[sale_date]]-sales[[#This Row],[sighnup_date]]</f>
        <v>26</v>
      </c>
      <c r="N883" t="str">
        <f t="shared" si="13"/>
        <v>new customer</v>
      </c>
      <c r="O883" t="str">
        <f>_xlfn.XLOOKUP(A883,salesitems[sale_id],salesitems[category])</f>
        <v>Pants</v>
      </c>
    </row>
    <row r="884" spans="1:15" x14ac:dyDescent="0.45">
      <c r="A884">
        <v>968</v>
      </c>
      <c r="B884" t="s">
        <v>21</v>
      </c>
      <c r="C884">
        <v>0</v>
      </c>
      <c r="D884">
        <v>484.9</v>
      </c>
      <c r="E884" s="1">
        <v>45821</v>
      </c>
      <c r="F884">
        <v>350</v>
      </c>
      <c r="G884" t="s">
        <v>28</v>
      </c>
      <c r="H884" t="str">
        <f>TEXT(sales[[#This Row],[sale_date]],"dddd")</f>
        <v>Friday</v>
      </c>
      <c r="I884">
        <f>_xlfn.XLOOKUP(A884,salesitems[sale_id],salesitems[revenue],0)</f>
        <v>313.15000000000003</v>
      </c>
      <c r="J884">
        <v>1</v>
      </c>
      <c r="K884" s="10" t="str">
        <f>_xlfn.XLOOKUP(F884,customers[customer_id],customers[age_range])</f>
        <v>36-45</v>
      </c>
      <c r="L884" s="1">
        <f>_xlfn.XLOOKUP(F884,customers[customer_id],customers[signup_date])</f>
        <v>45715</v>
      </c>
      <c r="M884">
        <f>sales[[#This Row],[sale_date]]-sales[[#This Row],[sighnup_date]]</f>
        <v>106</v>
      </c>
      <c r="N884" t="str">
        <f t="shared" si="13"/>
        <v>existing customer</v>
      </c>
      <c r="O884" t="str">
        <f>_xlfn.XLOOKUP(A884,salesitems[sale_id],salesitems[category])</f>
        <v>Sleepwear</v>
      </c>
    </row>
    <row r="885" spans="1:15" x14ac:dyDescent="0.45">
      <c r="A885">
        <v>969</v>
      </c>
      <c r="B885" t="s">
        <v>21</v>
      </c>
      <c r="C885">
        <v>0</v>
      </c>
      <c r="D885">
        <v>216.4</v>
      </c>
      <c r="E885" s="1">
        <v>45799</v>
      </c>
      <c r="F885">
        <v>792</v>
      </c>
      <c r="G885" t="s">
        <v>33</v>
      </c>
      <c r="H885" t="str">
        <f>TEXT(sales[[#This Row],[sale_date]],"dddd")</f>
        <v>Thursday</v>
      </c>
      <c r="I885">
        <f>_xlfn.XLOOKUP(A885,salesitems[sale_id],salesitems[revenue],0)</f>
        <v>128.56</v>
      </c>
      <c r="J885">
        <v>1</v>
      </c>
      <c r="K885" s="10" t="str">
        <f>_xlfn.XLOOKUP(F885,customers[customer_id],customers[age_range])</f>
        <v>16-25</v>
      </c>
      <c r="L885" s="1">
        <f>_xlfn.XLOOKUP(F885,customers[customer_id],customers[signup_date])</f>
        <v>45722</v>
      </c>
      <c r="M885">
        <f>sales[[#This Row],[sale_date]]-sales[[#This Row],[sighnup_date]]</f>
        <v>77</v>
      </c>
      <c r="N885" t="str">
        <f t="shared" si="13"/>
        <v>new customer</v>
      </c>
      <c r="O885" t="str">
        <f>_xlfn.XLOOKUP(A885,salesitems[sale_id],salesitems[category])</f>
        <v>Dresses</v>
      </c>
    </row>
    <row r="886" spans="1:15" x14ac:dyDescent="0.45">
      <c r="A886">
        <v>971</v>
      </c>
      <c r="B886" t="s">
        <v>15</v>
      </c>
      <c r="C886">
        <v>0</v>
      </c>
      <c r="D886">
        <v>185.94</v>
      </c>
      <c r="E886" s="1">
        <v>45798</v>
      </c>
      <c r="F886">
        <v>58</v>
      </c>
      <c r="G886" t="s">
        <v>36</v>
      </c>
      <c r="H886" t="str">
        <f>TEXT(sales[[#This Row],[sale_date]],"dddd")</f>
        <v>Wednesday</v>
      </c>
      <c r="I886">
        <f>_xlfn.XLOOKUP(A886,salesitems[sale_id],salesitems[revenue],0)</f>
        <v>40.92</v>
      </c>
      <c r="J886">
        <v>1</v>
      </c>
      <c r="K886" s="10" t="str">
        <f>_xlfn.XLOOKUP(F886,customers[customer_id],customers[age_range])</f>
        <v>46-55</v>
      </c>
      <c r="L886" s="1">
        <f>_xlfn.XLOOKUP(F886,customers[customer_id],customers[signup_date])</f>
        <v>45758</v>
      </c>
      <c r="M886">
        <f>sales[[#This Row],[sale_date]]-sales[[#This Row],[sighnup_date]]</f>
        <v>40</v>
      </c>
      <c r="N886" t="str">
        <f t="shared" si="13"/>
        <v>new customer</v>
      </c>
      <c r="O886" t="str">
        <f>_xlfn.XLOOKUP(A886,salesitems[sale_id],salesitems[category])</f>
        <v>T-Shirts</v>
      </c>
    </row>
    <row r="887" spans="1:15" x14ac:dyDescent="0.45">
      <c r="A887">
        <v>973</v>
      </c>
      <c r="B887" t="s">
        <v>15</v>
      </c>
      <c r="C887">
        <v>0</v>
      </c>
      <c r="D887">
        <v>442.48</v>
      </c>
      <c r="E887" s="1">
        <v>45825</v>
      </c>
      <c r="F887">
        <v>953</v>
      </c>
      <c r="G887" t="s">
        <v>28</v>
      </c>
      <c r="H887" t="str">
        <f>TEXT(sales[[#This Row],[sale_date]],"dddd")</f>
        <v>Tuesday</v>
      </c>
      <c r="I887">
        <f>_xlfn.XLOOKUP(A887,salesitems[sale_id],salesitems[revenue],0)</f>
        <v>246.68</v>
      </c>
      <c r="J887">
        <v>1</v>
      </c>
      <c r="K887" s="10" t="str">
        <f>_xlfn.XLOOKUP(F887,customers[customer_id],customers[age_range])</f>
        <v>16-25</v>
      </c>
      <c r="L887" s="1">
        <f>_xlfn.XLOOKUP(F887,customers[customer_id],customers[signup_date])</f>
        <v>45718</v>
      </c>
      <c r="M887">
        <f>sales[[#This Row],[sale_date]]-sales[[#This Row],[sighnup_date]]</f>
        <v>107</v>
      </c>
      <c r="N887" t="str">
        <f t="shared" si="13"/>
        <v>existing customer</v>
      </c>
      <c r="O887" t="str">
        <f>_xlfn.XLOOKUP(A887,salesitems[sale_id],salesitems[category])</f>
        <v>Pants</v>
      </c>
    </row>
    <row r="888" spans="1:15" x14ac:dyDescent="0.45">
      <c r="A888">
        <v>975</v>
      </c>
      <c r="B888" t="s">
        <v>15</v>
      </c>
      <c r="C888">
        <v>0</v>
      </c>
      <c r="D888">
        <v>437.07</v>
      </c>
      <c r="E888" s="1">
        <v>45761</v>
      </c>
      <c r="F888">
        <v>560</v>
      </c>
      <c r="G888" t="s">
        <v>36</v>
      </c>
      <c r="H888" t="str">
        <f>TEXT(sales[[#This Row],[sale_date]],"dddd")</f>
        <v>Monday</v>
      </c>
      <c r="I888">
        <f>_xlfn.XLOOKUP(A888,salesitems[sale_id],salesitems[revenue],0)</f>
        <v>265.32</v>
      </c>
      <c r="J888">
        <v>1</v>
      </c>
      <c r="K888" s="10" t="str">
        <f>_xlfn.XLOOKUP(F888,customers[customer_id],customers[age_range])</f>
        <v>26-35</v>
      </c>
      <c r="L888" s="1">
        <f>_xlfn.XLOOKUP(F888,customers[customer_id],customers[signup_date])</f>
        <v>45757</v>
      </c>
      <c r="M888">
        <f>sales[[#This Row],[sale_date]]-sales[[#This Row],[sighnup_date]]</f>
        <v>4</v>
      </c>
      <c r="N888" t="str">
        <f t="shared" si="13"/>
        <v>new customer</v>
      </c>
      <c r="O888" t="str">
        <f>_xlfn.XLOOKUP(A888,salesitems[sale_id],salesitems[category])</f>
        <v>Dresses</v>
      </c>
    </row>
    <row r="889" spans="1:15" x14ac:dyDescent="0.45">
      <c r="A889">
        <v>976</v>
      </c>
      <c r="B889" t="s">
        <v>21</v>
      </c>
      <c r="C889">
        <v>1</v>
      </c>
      <c r="D889">
        <v>220.59</v>
      </c>
      <c r="E889" s="1">
        <v>45814</v>
      </c>
      <c r="F889">
        <v>682</v>
      </c>
      <c r="G889" t="s">
        <v>38</v>
      </c>
      <c r="H889" t="str">
        <f>TEXT(sales[[#This Row],[sale_date]],"dddd")</f>
        <v>Friday</v>
      </c>
      <c r="I889">
        <f>_xlfn.XLOOKUP(A889,salesitems[sale_id],salesitems[revenue],0)</f>
        <v>60.18</v>
      </c>
      <c r="J889">
        <v>1</v>
      </c>
      <c r="K889" s="10" t="str">
        <f>_xlfn.XLOOKUP(F889,customers[customer_id],customers[age_range])</f>
        <v>16-25</v>
      </c>
      <c r="L889" s="1">
        <f>_xlfn.XLOOKUP(F889,customers[customer_id],customers[signup_date])</f>
        <v>45726</v>
      </c>
      <c r="M889">
        <f>sales[[#This Row],[sale_date]]-sales[[#This Row],[sighnup_date]]</f>
        <v>88</v>
      </c>
      <c r="N889" t="str">
        <f t="shared" si="13"/>
        <v>new customer</v>
      </c>
      <c r="O889" t="str">
        <f>_xlfn.XLOOKUP(A889,salesitems[sale_id],salesitems[category])</f>
        <v>T-Shirts</v>
      </c>
    </row>
    <row r="890" spans="1:15" x14ac:dyDescent="0.45">
      <c r="A890">
        <v>977</v>
      </c>
      <c r="B890" t="s">
        <v>15</v>
      </c>
      <c r="C890">
        <v>0</v>
      </c>
      <c r="D890">
        <v>189.74</v>
      </c>
      <c r="E890" s="1">
        <v>45769</v>
      </c>
      <c r="F890">
        <v>415</v>
      </c>
      <c r="G890" t="s">
        <v>28</v>
      </c>
      <c r="H890" t="str">
        <f>TEXT(sales[[#This Row],[sale_date]],"dddd")</f>
        <v>Tuesday</v>
      </c>
      <c r="I890">
        <f>_xlfn.XLOOKUP(A890,salesitems[sale_id],salesitems[revenue],0)</f>
        <v>126.06</v>
      </c>
      <c r="J890">
        <v>1</v>
      </c>
      <c r="K890" s="10" t="str">
        <f>_xlfn.XLOOKUP(F890,customers[customer_id],customers[age_range])</f>
        <v>36-45</v>
      </c>
      <c r="L890" s="1">
        <f>_xlfn.XLOOKUP(F890,customers[customer_id],customers[signup_date])</f>
        <v>45724</v>
      </c>
      <c r="M890">
        <f>sales[[#This Row],[sale_date]]-sales[[#This Row],[sighnup_date]]</f>
        <v>45</v>
      </c>
      <c r="N890" t="str">
        <f t="shared" si="13"/>
        <v>new customer</v>
      </c>
      <c r="O890" t="str">
        <f>_xlfn.XLOOKUP(A890,salesitems[sale_id],salesitems[category])</f>
        <v>Pants</v>
      </c>
    </row>
    <row r="891" spans="1:15" x14ac:dyDescent="0.45">
      <c r="A891">
        <v>978</v>
      </c>
      <c r="B891" t="s">
        <v>21</v>
      </c>
      <c r="C891">
        <v>0</v>
      </c>
      <c r="D891">
        <v>355.24</v>
      </c>
      <c r="E891" s="1">
        <v>45767</v>
      </c>
      <c r="F891">
        <v>634</v>
      </c>
      <c r="G891" t="s">
        <v>38</v>
      </c>
      <c r="H891" t="str">
        <f>TEXT(sales[[#This Row],[sale_date]],"dddd")</f>
        <v>Sunday</v>
      </c>
      <c r="I891">
        <f>_xlfn.XLOOKUP(A891,salesitems[sale_id],salesitems[revenue],0)</f>
        <v>143.72</v>
      </c>
      <c r="J891">
        <v>1</v>
      </c>
      <c r="K891" s="10" t="str">
        <f>_xlfn.XLOOKUP(F891,customers[customer_id],customers[age_range])</f>
        <v>46-55</v>
      </c>
      <c r="L891" s="1">
        <f>_xlfn.XLOOKUP(F891,customers[customer_id],customers[signup_date])</f>
        <v>45719</v>
      </c>
      <c r="M891">
        <f>sales[[#This Row],[sale_date]]-sales[[#This Row],[sighnup_date]]</f>
        <v>48</v>
      </c>
      <c r="N891" t="str">
        <f t="shared" si="13"/>
        <v>new customer</v>
      </c>
      <c r="O891" t="str">
        <f>_xlfn.XLOOKUP(A891,salesitems[sale_id],salesitems[category])</f>
        <v>Sleepwear</v>
      </c>
    </row>
    <row r="892" spans="1:15" x14ac:dyDescent="0.45">
      <c r="A892">
        <v>979</v>
      </c>
      <c r="B892" t="s">
        <v>21</v>
      </c>
      <c r="C892">
        <v>0</v>
      </c>
      <c r="D892">
        <v>228.04</v>
      </c>
      <c r="E892" s="1">
        <v>45769</v>
      </c>
      <c r="F892">
        <v>638</v>
      </c>
      <c r="G892" t="s">
        <v>28</v>
      </c>
      <c r="H892" t="str">
        <f>TEXT(sales[[#This Row],[sale_date]],"dddd")</f>
        <v>Tuesday</v>
      </c>
      <c r="I892">
        <f>_xlfn.XLOOKUP(A892,salesitems[sale_id],salesitems[revenue],0)</f>
        <v>81.88</v>
      </c>
      <c r="J892">
        <v>1</v>
      </c>
      <c r="K892" s="10" t="str">
        <f>_xlfn.XLOOKUP(F892,customers[customer_id],customers[age_range])</f>
        <v>46-55</v>
      </c>
      <c r="L892" s="1">
        <f>_xlfn.XLOOKUP(F892,customers[customer_id],customers[signup_date])</f>
        <v>45758</v>
      </c>
      <c r="M892">
        <f>sales[[#This Row],[sale_date]]-sales[[#This Row],[sighnup_date]]</f>
        <v>11</v>
      </c>
      <c r="N892" t="str">
        <f t="shared" si="13"/>
        <v>new customer</v>
      </c>
      <c r="O892" t="str">
        <f>_xlfn.XLOOKUP(A892,salesitems[sale_id],salesitems[category])</f>
        <v>Sleepwear</v>
      </c>
    </row>
    <row r="893" spans="1:15" x14ac:dyDescent="0.45">
      <c r="A893">
        <v>98</v>
      </c>
      <c r="B893" t="s">
        <v>21</v>
      </c>
      <c r="C893">
        <v>0</v>
      </c>
      <c r="D893">
        <v>413.91</v>
      </c>
      <c r="E893" s="1">
        <v>45797</v>
      </c>
      <c r="F893">
        <v>879</v>
      </c>
      <c r="G893" t="s">
        <v>31</v>
      </c>
      <c r="H893" t="str">
        <f>TEXT(sales[[#This Row],[sale_date]],"dddd")</f>
        <v>Tuesday</v>
      </c>
      <c r="I893">
        <f>_xlfn.XLOOKUP(A893,salesitems[sale_id],salesitems[revenue],0)</f>
        <v>124.96</v>
      </c>
      <c r="J893">
        <v>1</v>
      </c>
      <c r="K893" s="10" t="str">
        <f>_xlfn.XLOOKUP(F893,customers[customer_id],customers[age_range])</f>
        <v>46-55</v>
      </c>
      <c r="L893" s="1">
        <f>_xlfn.XLOOKUP(F893,customers[customer_id],customers[signup_date])</f>
        <v>45798</v>
      </c>
      <c r="M893">
        <f>sales[[#This Row],[sale_date]]-sales[[#This Row],[sighnup_date]]</f>
        <v>-1</v>
      </c>
      <c r="N893" t="str">
        <f t="shared" si="13"/>
        <v>data issue</v>
      </c>
      <c r="O893" t="str">
        <f>_xlfn.XLOOKUP(A893,salesitems[sale_id],salesitems[category])</f>
        <v>Dresses</v>
      </c>
    </row>
    <row r="894" spans="1:15" x14ac:dyDescent="0.45">
      <c r="A894">
        <v>980</v>
      </c>
      <c r="B894" t="s">
        <v>15</v>
      </c>
      <c r="C894">
        <v>0</v>
      </c>
      <c r="D894">
        <v>448.26</v>
      </c>
      <c r="E894" s="1">
        <v>45804</v>
      </c>
      <c r="F894">
        <v>220</v>
      </c>
      <c r="G894" t="s">
        <v>36</v>
      </c>
      <c r="H894" t="str">
        <f>TEXT(sales[[#This Row],[sale_date]],"dddd")</f>
        <v>Tuesday</v>
      </c>
      <c r="I894">
        <f>_xlfn.XLOOKUP(A894,salesitems[sale_id],salesitems[revenue],0)</f>
        <v>198.36</v>
      </c>
      <c r="J894">
        <v>1</v>
      </c>
      <c r="K894" s="10" t="str">
        <f>_xlfn.XLOOKUP(F894,customers[customer_id],customers[age_range])</f>
        <v>26-35</v>
      </c>
      <c r="L894" s="1">
        <f>_xlfn.XLOOKUP(F894,customers[customer_id],customers[signup_date])</f>
        <v>45687</v>
      </c>
      <c r="M894">
        <f>sales[[#This Row],[sale_date]]-sales[[#This Row],[sighnup_date]]</f>
        <v>117</v>
      </c>
      <c r="N894" t="str">
        <f t="shared" si="13"/>
        <v>existing customer</v>
      </c>
      <c r="O894" t="str">
        <f>_xlfn.XLOOKUP(A894,salesitems[sale_id],salesitems[category])</f>
        <v>Sleepwear</v>
      </c>
    </row>
    <row r="895" spans="1:15" x14ac:dyDescent="0.45">
      <c r="A895">
        <v>981</v>
      </c>
      <c r="B895" t="s">
        <v>21</v>
      </c>
      <c r="C895">
        <v>0</v>
      </c>
      <c r="D895">
        <v>149.36000000000001</v>
      </c>
      <c r="E895" s="1">
        <v>45762</v>
      </c>
      <c r="F895">
        <v>733</v>
      </c>
      <c r="G895" t="s">
        <v>36</v>
      </c>
      <c r="H895" t="str">
        <f>TEXT(sales[[#This Row],[sale_date]],"dddd")</f>
        <v>Tuesday</v>
      </c>
      <c r="I895">
        <f>_xlfn.XLOOKUP(A895,salesitems[sale_id],salesitems[revenue],0)</f>
        <v>38.03</v>
      </c>
      <c r="J895">
        <v>1</v>
      </c>
      <c r="K895" s="10" t="str">
        <f>_xlfn.XLOOKUP(F895,customers[customer_id],customers[age_range])</f>
        <v>26-35</v>
      </c>
      <c r="L895" s="1">
        <f>_xlfn.XLOOKUP(F895,customers[customer_id],customers[signup_date])</f>
        <v>45749</v>
      </c>
      <c r="M895">
        <f>sales[[#This Row],[sale_date]]-sales[[#This Row],[sighnup_date]]</f>
        <v>13</v>
      </c>
      <c r="N895" t="str">
        <f t="shared" si="13"/>
        <v>new customer</v>
      </c>
      <c r="O895" t="str">
        <f>_xlfn.XLOOKUP(A895,salesitems[sale_id],salesitems[category])</f>
        <v>Dresses</v>
      </c>
    </row>
    <row r="896" spans="1:15" x14ac:dyDescent="0.45">
      <c r="A896">
        <v>982</v>
      </c>
      <c r="B896" t="s">
        <v>15</v>
      </c>
      <c r="C896">
        <v>1</v>
      </c>
      <c r="D896">
        <v>193.4</v>
      </c>
      <c r="E896" s="1">
        <v>45796</v>
      </c>
      <c r="F896">
        <v>70</v>
      </c>
      <c r="G896" t="s">
        <v>36</v>
      </c>
      <c r="H896" t="str">
        <f>TEXT(sales[[#This Row],[sale_date]],"dddd")</f>
        <v>Monday</v>
      </c>
      <c r="I896">
        <f>_xlfn.XLOOKUP(A896,salesitems[sale_id],salesitems[revenue],0)</f>
        <v>90.78</v>
      </c>
      <c r="J896">
        <v>1</v>
      </c>
      <c r="K896" s="10" t="str">
        <f>_xlfn.XLOOKUP(F896,customers[customer_id],customers[age_range])</f>
        <v>26-35</v>
      </c>
      <c r="L896" s="1">
        <f>_xlfn.XLOOKUP(F896,customers[customer_id],customers[signup_date])</f>
        <v>45727</v>
      </c>
      <c r="M896">
        <f>sales[[#This Row],[sale_date]]-sales[[#This Row],[sighnup_date]]</f>
        <v>69</v>
      </c>
      <c r="N896" t="str">
        <f t="shared" si="13"/>
        <v>new customer</v>
      </c>
      <c r="O896" t="str">
        <f>_xlfn.XLOOKUP(A896,salesitems[sale_id],salesitems[category])</f>
        <v>Pants</v>
      </c>
    </row>
    <row r="897" spans="1:15" x14ac:dyDescent="0.45">
      <c r="A897">
        <v>985</v>
      </c>
      <c r="B897" t="s">
        <v>21</v>
      </c>
      <c r="C897">
        <v>0</v>
      </c>
      <c r="D897">
        <v>239.39</v>
      </c>
      <c r="E897" s="1">
        <v>45752</v>
      </c>
      <c r="F897">
        <v>697</v>
      </c>
      <c r="G897" t="s">
        <v>36</v>
      </c>
      <c r="H897" t="str">
        <f>TEXT(sales[[#This Row],[sale_date]],"dddd")</f>
        <v>Saturday</v>
      </c>
      <c r="I897">
        <f>_xlfn.XLOOKUP(A897,salesitems[sale_id],salesitems[revenue],0)</f>
        <v>56.91</v>
      </c>
      <c r="J897">
        <v>1</v>
      </c>
      <c r="K897" s="10" t="str">
        <f>_xlfn.XLOOKUP(F897,customers[customer_id],customers[age_range])</f>
        <v>56-65</v>
      </c>
      <c r="L897" s="1">
        <f>_xlfn.XLOOKUP(F897,customers[customer_id],customers[signup_date])</f>
        <v>45747</v>
      </c>
      <c r="M897">
        <f>sales[[#This Row],[sale_date]]-sales[[#This Row],[sighnup_date]]</f>
        <v>5</v>
      </c>
      <c r="N897" t="str">
        <f t="shared" si="13"/>
        <v>new customer</v>
      </c>
      <c r="O897" t="str">
        <f>_xlfn.XLOOKUP(A897,salesitems[sale_id],salesitems[category])</f>
        <v>Sleepwear</v>
      </c>
    </row>
    <row r="898" spans="1:15" x14ac:dyDescent="0.45">
      <c r="A898">
        <v>986</v>
      </c>
      <c r="B898" t="s">
        <v>15</v>
      </c>
      <c r="C898">
        <v>0</v>
      </c>
      <c r="D898">
        <v>229.64</v>
      </c>
      <c r="E898" s="1">
        <v>45800</v>
      </c>
      <c r="F898">
        <v>735</v>
      </c>
      <c r="G898" t="s">
        <v>28</v>
      </c>
      <c r="H898" t="str">
        <f>TEXT(sales[[#This Row],[sale_date]],"dddd")</f>
        <v>Friday</v>
      </c>
      <c r="I898">
        <f>_xlfn.XLOOKUP(A898,salesitems[sale_id],salesitems[revenue],0)</f>
        <v>146.19</v>
      </c>
      <c r="J898">
        <v>1</v>
      </c>
      <c r="K898" s="10" t="str">
        <f>_xlfn.XLOOKUP(F898,customers[customer_id],customers[age_range])</f>
        <v>26-35</v>
      </c>
      <c r="L898" s="1">
        <f>_xlfn.XLOOKUP(F898,customers[customer_id],customers[signup_date])</f>
        <v>45749</v>
      </c>
      <c r="M898">
        <f>sales[[#This Row],[sale_date]]-sales[[#This Row],[sighnup_date]]</f>
        <v>51</v>
      </c>
      <c r="N898" t="str">
        <f t="shared" ref="N898:N906" si="14">IF(M898&lt;0,"data issue",IF(M898&lt;=90,"new customer","existing customer"))</f>
        <v>new customer</v>
      </c>
      <c r="O898" t="str">
        <f>_xlfn.XLOOKUP(A898,salesitems[sale_id],salesitems[category])</f>
        <v>Pants</v>
      </c>
    </row>
    <row r="899" spans="1:15" x14ac:dyDescent="0.45">
      <c r="A899">
        <v>989</v>
      </c>
      <c r="B899" t="s">
        <v>21</v>
      </c>
      <c r="C899">
        <v>0</v>
      </c>
      <c r="D899">
        <v>287.64</v>
      </c>
      <c r="E899" s="1">
        <v>45804</v>
      </c>
      <c r="F899">
        <v>22</v>
      </c>
      <c r="G899" t="s">
        <v>36</v>
      </c>
      <c r="H899" t="str">
        <f>TEXT(sales[[#This Row],[sale_date]],"dddd")</f>
        <v>Tuesday</v>
      </c>
      <c r="I899">
        <f>_xlfn.XLOOKUP(A899,salesitems[sale_id],salesitems[revenue],0)</f>
        <v>133.97999999999999</v>
      </c>
      <c r="J899">
        <v>1</v>
      </c>
      <c r="K899" s="10" t="str">
        <f>_xlfn.XLOOKUP(F899,customers[customer_id],customers[age_range])</f>
        <v>36-45</v>
      </c>
      <c r="L899" s="1">
        <f>_xlfn.XLOOKUP(F899,customers[customer_id],customers[signup_date])</f>
        <v>45719</v>
      </c>
      <c r="M899">
        <f>sales[[#This Row],[sale_date]]-sales[[#This Row],[sighnup_date]]</f>
        <v>85</v>
      </c>
      <c r="N899" t="str">
        <f t="shared" si="14"/>
        <v>new customer</v>
      </c>
      <c r="O899" t="str">
        <f>_xlfn.XLOOKUP(A899,salesitems[sale_id],salesitems[category])</f>
        <v>Pants</v>
      </c>
    </row>
    <row r="900" spans="1:15" x14ac:dyDescent="0.45">
      <c r="A900">
        <v>990</v>
      </c>
      <c r="B900" t="s">
        <v>15</v>
      </c>
      <c r="C900">
        <v>0</v>
      </c>
      <c r="D900">
        <v>458.36</v>
      </c>
      <c r="E900" s="1">
        <v>45764</v>
      </c>
      <c r="F900">
        <v>327</v>
      </c>
      <c r="G900" t="s">
        <v>28</v>
      </c>
      <c r="H900" t="str">
        <f>TEXT(sales[[#This Row],[sale_date]],"dddd")</f>
        <v>Thursday</v>
      </c>
      <c r="I900">
        <f>_xlfn.XLOOKUP(A900,salesitems[sale_id],salesitems[revenue],0)</f>
        <v>238.24</v>
      </c>
      <c r="J900">
        <v>1</v>
      </c>
      <c r="K900" s="10" t="str">
        <f>_xlfn.XLOOKUP(F900,customers[customer_id],customers[age_range])</f>
        <v>26-35</v>
      </c>
      <c r="L900" s="1">
        <f>_xlfn.XLOOKUP(F900,customers[customer_id],customers[signup_date])</f>
        <v>45688</v>
      </c>
      <c r="M900">
        <f>sales[[#This Row],[sale_date]]-sales[[#This Row],[sighnup_date]]</f>
        <v>76</v>
      </c>
      <c r="N900" t="str">
        <f t="shared" si="14"/>
        <v>new customer</v>
      </c>
      <c r="O900" t="str">
        <f>_xlfn.XLOOKUP(A900,salesitems[sale_id],salesitems[category])</f>
        <v>Shoes</v>
      </c>
    </row>
    <row r="901" spans="1:15" x14ac:dyDescent="0.45">
      <c r="A901">
        <v>991</v>
      </c>
      <c r="B901" t="s">
        <v>15</v>
      </c>
      <c r="C901">
        <v>0</v>
      </c>
      <c r="D901">
        <v>200.08</v>
      </c>
      <c r="E901" s="1">
        <v>45767</v>
      </c>
      <c r="F901">
        <v>734</v>
      </c>
      <c r="G901" t="s">
        <v>31</v>
      </c>
      <c r="H901" t="str">
        <f>TEXT(sales[[#This Row],[sale_date]],"dddd")</f>
        <v>Sunday</v>
      </c>
      <c r="I901">
        <f>_xlfn.XLOOKUP(A901,salesitems[sale_id],salesitems[revenue],0)</f>
        <v>75.400000000000006</v>
      </c>
      <c r="J901">
        <v>1</v>
      </c>
      <c r="K901" s="10" t="str">
        <f>_xlfn.XLOOKUP(F901,customers[customer_id],customers[age_range])</f>
        <v>46-55</v>
      </c>
      <c r="L901" s="1">
        <f>_xlfn.XLOOKUP(F901,customers[customer_id],customers[signup_date])</f>
        <v>45744</v>
      </c>
      <c r="M901">
        <f>sales[[#This Row],[sale_date]]-sales[[#This Row],[sighnup_date]]</f>
        <v>23</v>
      </c>
      <c r="N901" t="str">
        <f t="shared" si="14"/>
        <v>new customer</v>
      </c>
      <c r="O901" t="str">
        <f>_xlfn.XLOOKUP(A901,salesitems[sale_id],salesitems[category])</f>
        <v>Dresses</v>
      </c>
    </row>
    <row r="902" spans="1:15" x14ac:dyDescent="0.45">
      <c r="A902">
        <v>992</v>
      </c>
      <c r="B902" t="s">
        <v>15</v>
      </c>
      <c r="C902">
        <v>1</v>
      </c>
      <c r="D902">
        <v>214.08</v>
      </c>
      <c r="E902" s="1">
        <v>45790</v>
      </c>
      <c r="F902">
        <v>375</v>
      </c>
      <c r="G902" t="s">
        <v>36</v>
      </c>
      <c r="H902" t="str">
        <f>TEXT(sales[[#This Row],[sale_date]],"dddd")</f>
        <v>Tuesday</v>
      </c>
      <c r="I902">
        <f>_xlfn.XLOOKUP(A902,salesitems[sale_id],salesitems[revenue],0)</f>
        <v>46.64</v>
      </c>
      <c r="J902">
        <v>1</v>
      </c>
      <c r="K902" s="10" t="str">
        <f>_xlfn.XLOOKUP(F902,customers[customer_id],customers[age_range])</f>
        <v>36-45</v>
      </c>
      <c r="L902" s="1">
        <f>_xlfn.XLOOKUP(F902,customers[customer_id],customers[signup_date])</f>
        <v>45716</v>
      </c>
      <c r="M902">
        <f>sales[[#This Row],[sale_date]]-sales[[#This Row],[sighnup_date]]</f>
        <v>74</v>
      </c>
      <c r="N902" t="str">
        <f t="shared" si="14"/>
        <v>new customer</v>
      </c>
      <c r="O902" t="str">
        <f>_xlfn.XLOOKUP(A902,salesitems[sale_id],salesitems[category])</f>
        <v>Sleepwear</v>
      </c>
    </row>
    <row r="903" spans="1:15" x14ac:dyDescent="0.45">
      <c r="A903">
        <v>993</v>
      </c>
      <c r="B903" t="s">
        <v>21</v>
      </c>
      <c r="C903">
        <v>0</v>
      </c>
      <c r="D903">
        <v>311.37</v>
      </c>
      <c r="E903" s="1">
        <v>45768</v>
      </c>
      <c r="F903">
        <v>99</v>
      </c>
      <c r="G903" t="s">
        <v>34</v>
      </c>
      <c r="H903" t="str">
        <f>TEXT(sales[[#This Row],[sale_date]],"dddd")</f>
        <v>Monday</v>
      </c>
      <c r="I903">
        <f>_xlfn.XLOOKUP(A903,salesitems[sale_id],salesitems[revenue],0)</f>
        <v>103.17</v>
      </c>
      <c r="J903">
        <v>1</v>
      </c>
      <c r="K903" s="10" t="str">
        <f>_xlfn.XLOOKUP(F903,customers[customer_id],customers[age_range])</f>
        <v>36-45</v>
      </c>
      <c r="L903" s="1">
        <f>_xlfn.XLOOKUP(F903,customers[customer_id],customers[signup_date])</f>
        <v>45733</v>
      </c>
      <c r="M903">
        <f>sales[[#This Row],[sale_date]]-sales[[#This Row],[sighnup_date]]</f>
        <v>35</v>
      </c>
      <c r="N903" t="str">
        <f t="shared" si="14"/>
        <v>new customer</v>
      </c>
      <c r="O903" t="str">
        <f>_xlfn.XLOOKUP(A903,salesitems[sale_id],salesitems[category])</f>
        <v>T-Shirts</v>
      </c>
    </row>
    <row r="904" spans="1:15" x14ac:dyDescent="0.45">
      <c r="A904">
        <v>994</v>
      </c>
      <c r="B904" t="s">
        <v>15</v>
      </c>
      <c r="C904">
        <v>1</v>
      </c>
      <c r="D904">
        <v>477.09</v>
      </c>
      <c r="E904" s="1">
        <v>45792</v>
      </c>
      <c r="F904">
        <v>798</v>
      </c>
      <c r="G904" t="s">
        <v>38</v>
      </c>
      <c r="H904" t="str">
        <f>TEXT(sales[[#This Row],[sale_date]],"dddd")</f>
        <v>Thursday</v>
      </c>
      <c r="I904">
        <f>_xlfn.XLOOKUP(A904,salesitems[sale_id],salesitems[revenue],0)</f>
        <v>285.95</v>
      </c>
      <c r="J904">
        <v>1</v>
      </c>
      <c r="K904" s="10" t="str">
        <f>_xlfn.XLOOKUP(F904,customers[customer_id],customers[age_range])</f>
        <v>46-55</v>
      </c>
      <c r="L904" s="1">
        <f>_xlfn.XLOOKUP(F904,customers[customer_id],customers[signup_date])</f>
        <v>45730</v>
      </c>
      <c r="M904">
        <f>sales[[#This Row],[sale_date]]-sales[[#This Row],[sighnup_date]]</f>
        <v>62</v>
      </c>
      <c r="N904" t="str">
        <f t="shared" si="14"/>
        <v>new customer</v>
      </c>
      <c r="O904" t="str">
        <f>_xlfn.XLOOKUP(A904,salesitems[sale_id],salesitems[category])</f>
        <v>T-Shirts</v>
      </c>
    </row>
    <row r="905" spans="1:15" x14ac:dyDescent="0.45">
      <c r="A905">
        <v>995</v>
      </c>
      <c r="B905" t="s">
        <v>21</v>
      </c>
      <c r="C905">
        <v>0</v>
      </c>
      <c r="D905">
        <v>489.02</v>
      </c>
      <c r="E905" s="1">
        <v>45796</v>
      </c>
      <c r="F905">
        <v>565</v>
      </c>
      <c r="G905" t="s">
        <v>34</v>
      </c>
      <c r="H905" t="str">
        <f>TEXT(sales[[#This Row],[sale_date]],"dddd")</f>
        <v>Monday</v>
      </c>
      <c r="I905">
        <f>_xlfn.XLOOKUP(A905,salesitems[sale_id],salesitems[revenue],0)</f>
        <v>182.92</v>
      </c>
      <c r="J905">
        <v>1</v>
      </c>
      <c r="K905" s="10" t="str">
        <f>_xlfn.XLOOKUP(F905,customers[customer_id],customers[age_range])</f>
        <v>46-55</v>
      </c>
      <c r="L905" s="1">
        <f>_xlfn.XLOOKUP(F905,customers[customer_id],customers[signup_date])</f>
        <v>45785</v>
      </c>
      <c r="M905">
        <f>sales[[#This Row],[sale_date]]-sales[[#This Row],[sighnup_date]]</f>
        <v>11</v>
      </c>
      <c r="N905" t="str">
        <f t="shared" si="14"/>
        <v>new customer</v>
      </c>
      <c r="O905" t="str">
        <f>_xlfn.XLOOKUP(A905,salesitems[sale_id],salesitems[category])</f>
        <v>T-Shirts</v>
      </c>
    </row>
    <row r="906" spans="1:15" x14ac:dyDescent="0.45">
      <c r="A906">
        <v>999</v>
      </c>
      <c r="B906" t="s">
        <v>21</v>
      </c>
      <c r="C906">
        <v>0</v>
      </c>
      <c r="D906">
        <v>109.62</v>
      </c>
      <c r="E906" s="1">
        <v>45824</v>
      </c>
      <c r="F906">
        <v>416</v>
      </c>
      <c r="G906" t="s">
        <v>28</v>
      </c>
      <c r="H906" t="str">
        <f>TEXT(sales[[#This Row],[sale_date]],"dddd")</f>
        <v>Monday</v>
      </c>
      <c r="I906">
        <f>_xlfn.XLOOKUP(A906,salesitems[sale_id],salesitems[revenue],0)</f>
        <v>39.22</v>
      </c>
      <c r="J906">
        <v>1</v>
      </c>
      <c r="K906" s="10" t="str">
        <f>_xlfn.XLOOKUP(F906,customers[customer_id],customers[age_range])</f>
        <v>46-55</v>
      </c>
      <c r="L906" s="1">
        <f>_xlfn.XLOOKUP(F906,customers[customer_id],customers[signup_date])</f>
        <v>45748</v>
      </c>
      <c r="M906">
        <f>sales[[#This Row],[sale_date]]-sales[[#This Row],[sighnup_date]]</f>
        <v>76</v>
      </c>
      <c r="N906" t="str">
        <f t="shared" si="14"/>
        <v>new customer</v>
      </c>
      <c r="O906" t="str">
        <f>_xlfn.XLOOKUP(A906,salesitems[sale_id],salesitems[category])</f>
        <v>Pants</v>
      </c>
    </row>
  </sheetData>
  <conditionalFormatting sqref="M2:M906">
    <cfRule type="cellIs" dxfId="1" priority="1" operator="lessThan">
      <formula>0</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1325F-DFB8-4F72-AF26-ECD4FB27FF4F}">
  <dimension ref="A1:P2254"/>
  <sheetViews>
    <sheetView topLeftCell="E2233" workbookViewId="0">
      <selection activeCell="Q2" sqref="Q2:Q2254"/>
    </sheetView>
  </sheetViews>
  <sheetFormatPr defaultRowHeight="14.25" x14ac:dyDescent="0.45"/>
  <cols>
    <col min="3" max="3" width="11.06640625" customWidth="1"/>
    <col min="4" max="4" width="10.6640625" customWidth="1"/>
    <col min="5" max="5" width="13.3984375" customWidth="1"/>
    <col min="6" max="6" width="10.53125" customWidth="1"/>
    <col min="7" max="7" width="16.59765625" customWidth="1"/>
    <col min="8" max="8" width="16.46484375" customWidth="1"/>
    <col min="9" max="9" width="11.46484375" customWidth="1"/>
    <col min="10" max="10" width="10.6640625" customWidth="1"/>
    <col min="11" max="11" width="10.265625" style="1" customWidth="1"/>
    <col min="13" max="13" width="18.33203125" customWidth="1"/>
    <col min="15" max="15" width="22.796875" customWidth="1"/>
    <col min="16" max="16" width="11.19921875" customWidth="1"/>
    <col min="17" max="17" width="22.796875" customWidth="1"/>
  </cols>
  <sheetData>
    <row r="1" spans="1:16" x14ac:dyDescent="0.45">
      <c r="A1" t="s">
        <v>569</v>
      </c>
      <c r="B1" t="s">
        <v>565</v>
      </c>
      <c r="C1" t="s">
        <v>39</v>
      </c>
      <c r="D1" t="s">
        <v>570</v>
      </c>
      <c r="E1" t="s">
        <v>571</v>
      </c>
      <c r="F1" t="s">
        <v>572</v>
      </c>
      <c r="G1" t="s">
        <v>573</v>
      </c>
      <c r="H1" t="s">
        <v>574</v>
      </c>
      <c r="I1" t="s">
        <v>566</v>
      </c>
      <c r="J1" t="s">
        <v>575</v>
      </c>
      <c r="K1" s="1" t="s">
        <v>568</v>
      </c>
      <c r="L1" t="s">
        <v>4</v>
      </c>
      <c r="M1" t="s">
        <v>576</v>
      </c>
      <c r="N1" t="s">
        <v>579</v>
      </c>
      <c r="O1" t="s">
        <v>40</v>
      </c>
      <c r="P1" t="s">
        <v>41</v>
      </c>
    </row>
    <row r="2" spans="1:16" x14ac:dyDescent="0.45">
      <c r="A2">
        <v>2270</v>
      </c>
      <c r="B2">
        <v>658</v>
      </c>
      <c r="C2">
        <v>403</v>
      </c>
      <c r="D2">
        <v>1</v>
      </c>
      <c r="E2">
        <v>81.8</v>
      </c>
      <c r="F2">
        <v>81.8</v>
      </c>
      <c r="G2">
        <v>0</v>
      </c>
      <c r="H2" s="2">
        <v>0</v>
      </c>
      <c r="I2">
        <v>0</v>
      </c>
      <c r="J2">
        <v>81.8</v>
      </c>
      <c r="K2" s="1">
        <v>45824</v>
      </c>
      <c r="L2" t="s">
        <v>15</v>
      </c>
      <c r="M2" t="s">
        <v>15</v>
      </c>
      <c r="N2">
        <f>salesitems[[#This Row],[quantity]]*salesitems[[#This Row],[unit_price]]</f>
        <v>81.8</v>
      </c>
      <c r="O2" t="str">
        <f>_xlfn.XLOOKUP(salesitems[[#This Row],[product_id]],products[product_id],products[product_name])</f>
        <v>Elegant Satin Dress</v>
      </c>
      <c r="P2" t="str">
        <f>_xlfn.XLOOKUP(salesitems[[#This Row],[product_id]],fashion_store_products!A:A,fashion_store_products!C:C)</f>
        <v>Dresses</v>
      </c>
    </row>
    <row r="3" spans="1:16" x14ac:dyDescent="0.45">
      <c r="A3">
        <v>1170</v>
      </c>
      <c r="B3">
        <v>336</v>
      </c>
      <c r="C3">
        <v>284</v>
      </c>
      <c r="D3">
        <v>1</v>
      </c>
      <c r="E3">
        <v>81.790000000000006</v>
      </c>
      <c r="F3">
        <v>81.790000000000006</v>
      </c>
      <c r="G3">
        <v>0</v>
      </c>
      <c r="H3" s="2">
        <v>0</v>
      </c>
      <c r="I3">
        <v>0</v>
      </c>
      <c r="J3">
        <v>81.790000000000006</v>
      </c>
      <c r="K3" s="1">
        <v>45825</v>
      </c>
      <c r="L3" t="s">
        <v>21</v>
      </c>
      <c r="M3" t="s">
        <v>18</v>
      </c>
      <c r="N3">
        <f>salesitems[[#This Row],[quantity]]*salesitems[[#This Row],[unit_price]]</f>
        <v>81.790000000000006</v>
      </c>
      <c r="O3" t="str">
        <f>_xlfn.XLOOKUP(salesitems[[#This Row],[product_id]],products[product_id],products[product_name])</f>
        <v>Essential Cotton Shoes</v>
      </c>
      <c r="P3" t="str">
        <f>_xlfn.XLOOKUP(salesitems[[#This Row],[product_id]],fashion_store_products!A:A,fashion_store_products!C:C)</f>
        <v>Shoes</v>
      </c>
    </row>
    <row r="4" spans="1:16" x14ac:dyDescent="0.45">
      <c r="A4">
        <v>2496</v>
      </c>
      <c r="B4">
        <v>1255</v>
      </c>
      <c r="C4">
        <v>71</v>
      </c>
      <c r="D4">
        <v>1</v>
      </c>
      <c r="E4">
        <v>80.760000000000005</v>
      </c>
      <c r="F4">
        <v>80.760000000000005</v>
      </c>
      <c r="G4">
        <v>0</v>
      </c>
      <c r="H4" s="2">
        <v>0</v>
      </c>
      <c r="I4">
        <v>0</v>
      </c>
      <c r="J4">
        <v>80.760000000000005</v>
      </c>
      <c r="K4" s="1">
        <v>45763</v>
      </c>
      <c r="L4" t="s">
        <v>15</v>
      </c>
      <c r="M4" t="s">
        <v>15</v>
      </c>
      <c r="N4">
        <f>salesitems[[#This Row],[quantity]]*salesitems[[#This Row],[unit_price]]</f>
        <v>80.760000000000005</v>
      </c>
      <c r="O4" t="str">
        <f>_xlfn.XLOOKUP(salesitems[[#This Row],[product_id]],products[product_id],products[product_name])</f>
        <v>Modern Ribbed Trousers</v>
      </c>
      <c r="P4" t="str">
        <f>_xlfn.XLOOKUP(salesitems[[#This Row],[product_id]],fashion_store_products!A:A,fashion_store_products!C:C)</f>
        <v>Pants</v>
      </c>
    </row>
    <row r="5" spans="1:16" x14ac:dyDescent="0.45">
      <c r="A5">
        <v>1273</v>
      </c>
      <c r="B5">
        <v>331</v>
      </c>
      <c r="C5">
        <v>98</v>
      </c>
      <c r="D5">
        <v>1</v>
      </c>
      <c r="E5">
        <v>78.52</v>
      </c>
      <c r="F5">
        <v>78.52</v>
      </c>
      <c r="G5">
        <v>0</v>
      </c>
      <c r="H5" s="2">
        <v>0</v>
      </c>
      <c r="I5">
        <v>0</v>
      </c>
      <c r="J5">
        <v>78.52</v>
      </c>
      <c r="K5" s="1">
        <v>45783</v>
      </c>
      <c r="L5" t="s">
        <v>15</v>
      </c>
      <c r="M5" t="s">
        <v>15</v>
      </c>
      <c r="N5">
        <f>salesitems[[#This Row],[quantity]]*salesitems[[#This Row],[unit_price]]</f>
        <v>78.52</v>
      </c>
      <c r="O5" t="str">
        <f>_xlfn.XLOOKUP(salesitems[[#This Row],[product_id]],products[product_id],products[product_name])</f>
        <v>Modern Boxy Shoes</v>
      </c>
      <c r="P5" t="str">
        <f>_xlfn.XLOOKUP(salesitems[[#This Row],[product_id]],fashion_store_products!A:A,fashion_store_products!C:C)</f>
        <v>Shoes</v>
      </c>
    </row>
    <row r="6" spans="1:16" x14ac:dyDescent="0.45">
      <c r="A6">
        <v>1829</v>
      </c>
      <c r="B6">
        <v>1079</v>
      </c>
      <c r="C6">
        <v>98</v>
      </c>
      <c r="D6">
        <v>1</v>
      </c>
      <c r="E6">
        <v>78.52</v>
      </c>
      <c r="F6">
        <v>78.52</v>
      </c>
      <c r="G6">
        <v>0</v>
      </c>
      <c r="H6" s="2">
        <v>0</v>
      </c>
      <c r="I6">
        <v>0</v>
      </c>
      <c r="J6">
        <v>78.52</v>
      </c>
      <c r="K6" s="1">
        <v>45823</v>
      </c>
      <c r="L6" t="s">
        <v>15</v>
      </c>
      <c r="M6" t="s">
        <v>15</v>
      </c>
      <c r="N6">
        <f>salesitems[[#This Row],[quantity]]*salesitems[[#This Row],[unit_price]]</f>
        <v>78.52</v>
      </c>
      <c r="O6" t="str">
        <f>_xlfn.XLOOKUP(salesitems[[#This Row],[product_id]],products[product_id],products[product_name])</f>
        <v>Modern Boxy Shoes</v>
      </c>
      <c r="P6" t="str">
        <f>_xlfn.XLOOKUP(salesitems[[#This Row],[product_id]],fashion_store_products!A:A,fashion_store_products!C:C)</f>
        <v>Shoes</v>
      </c>
    </row>
    <row r="7" spans="1:16" x14ac:dyDescent="0.45">
      <c r="A7">
        <v>3221</v>
      </c>
      <c r="B7">
        <v>478</v>
      </c>
      <c r="C7">
        <v>98</v>
      </c>
      <c r="D7">
        <v>1</v>
      </c>
      <c r="E7">
        <v>78.52</v>
      </c>
      <c r="F7">
        <v>78.52</v>
      </c>
      <c r="G7">
        <v>0</v>
      </c>
      <c r="H7" s="2">
        <v>0</v>
      </c>
      <c r="I7">
        <v>0</v>
      </c>
      <c r="J7">
        <v>78.52</v>
      </c>
      <c r="K7" s="1">
        <v>45761</v>
      </c>
      <c r="L7" t="s">
        <v>15</v>
      </c>
      <c r="M7" t="s">
        <v>15</v>
      </c>
      <c r="N7">
        <f>salesitems[[#This Row],[quantity]]*salesitems[[#This Row],[unit_price]]</f>
        <v>78.52</v>
      </c>
      <c r="O7" t="str">
        <f>_xlfn.XLOOKUP(salesitems[[#This Row],[product_id]],products[product_id],products[product_name])</f>
        <v>Modern Boxy Shoes</v>
      </c>
      <c r="P7" t="str">
        <f>_xlfn.XLOOKUP(salesitems[[#This Row],[product_id]],fashion_store_products!A:A,fashion_store_products!C:C)</f>
        <v>Shoes</v>
      </c>
    </row>
    <row r="8" spans="1:16" x14ac:dyDescent="0.45">
      <c r="A8">
        <v>2442</v>
      </c>
      <c r="B8">
        <v>1082</v>
      </c>
      <c r="C8">
        <v>257</v>
      </c>
      <c r="D8">
        <v>1</v>
      </c>
      <c r="E8">
        <v>77.900000000000006</v>
      </c>
      <c r="F8">
        <v>77.900000000000006</v>
      </c>
      <c r="G8">
        <v>0</v>
      </c>
      <c r="H8" s="2">
        <v>0</v>
      </c>
      <c r="I8">
        <v>0</v>
      </c>
      <c r="J8">
        <v>77.900000000000006</v>
      </c>
      <c r="K8" s="1">
        <v>45753</v>
      </c>
      <c r="L8" t="s">
        <v>15</v>
      </c>
      <c r="M8" t="s">
        <v>15</v>
      </c>
      <c r="N8">
        <f>salesitems[[#This Row],[quantity]]*salesitems[[#This Row],[unit_price]]</f>
        <v>77.900000000000006</v>
      </c>
      <c r="O8" t="str">
        <f>_xlfn.XLOOKUP(salesitems[[#This Row],[product_id]],products[product_id],products[product_name])</f>
        <v>Relaxed Crew Shoes</v>
      </c>
      <c r="P8" t="str">
        <f>_xlfn.XLOOKUP(salesitems[[#This Row],[product_id]],fashion_store_products!A:A,fashion_store_products!C:C)</f>
        <v>Shoes</v>
      </c>
    </row>
    <row r="9" spans="1:16" x14ac:dyDescent="0.45">
      <c r="A9">
        <v>730</v>
      </c>
      <c r="B9">
        <v>747</v>
      </c>
      <c r="C9">
        <v>413</v>
      </c>
      <c r="D9">
        <v>1</v>
      </c>
      <c r="E9">
        <v>76.150000000000006</v>
      </c>
      <c r="F9">
        <v>76.150000000000006</v>
      </c>
      <c r="G9">
        <v>0</v>
      </c>
      <c r="H9" s="2">
        <v>0</v>
      </c>
      <c r="I9">
        <v>0</v>
      </c>
      <c r="J9">
        <v>76.150000000000006</v>
      </c>
      <c r="K9" s="1">
        <v>45768</v>
      </c>
      <c r="L9" t="s">
        <v>15</v>
      </c>
      <c r="M9" t="s">
        <v>15</v>
      </c>
      <c r="N9">
        <f>salesitems[[#This Row],[quantity]]*salesitems[[#This Row],[unit_price]]</f>
        <v>76.150000000000006</v>
      </c>
      <c r="O9" t="str">
        <f>_xlfn.XLOOKUP(salesitems[[#This Row],[product_id]],products[product_id],products[product_name])</f>
        <v>Elegant Satin Shoes</v>
      </c>
      <c r="P9" t="str">
        <f>_xlfn.XLOOKUP(salesitems[[#This Row],[product_id]],fashion_store_products!A:A,fashion_store_products!C:C)</f>
        <v>Shoes</v>
      </c>
    </row>
    <row r="10" spans="1:16" x14ac:dyDescent="0.45">
      <c r="A10">
        <v>2917</v>
      </c>
      <c r="B10">
        <v>258</v>
      </c>
      <c r="C10">
        <v>392</v>
      </c>
      <c r="D10">
        <v>1</v>
      </c>
      <c r="E10">
        <v>75.47</v>
      </c>
      <c r="F10">
        <v>75.47</v>
      </c>
      <c r="G10">
        <v>0</v>
      </c>
      <c r="H10" s="2">
        <v>0</v>
      </c>
      <c r="I10">
        <v>0</v>
      </c>
      <c r="J10">
        <v>75.47</v>
      </c>
      <c r="K10" s="1">
        <v>45806</v>
      </c>
      <c r="L10" t="s">
        <v>21</v>
      </c>
      <c r="M10" t="s">
        <v>18</v>
      </c>
      <c r="N10">
        <f>salesitems[[#This Row],[quantity]]*salesitems[[#This Row],[unit_price]]</f>
        <v>75.47</v>
      </c>
      <c r="O10" t="str">
        <f>_xlfn.XLOOKUP(salesitems[[#This Row],[product_id]],products[product_id],products[product_name])</f>
        <v>Elegant Wrap Shoes</v>
      </c>
      <c r="P10" t="str">
        <f>_xlfn.XLOOKUP(salesitems[[#This Row],[product_id]],fashion_store_products!A:A,fashion_store_products!C:C)</f>
        <v>Shoes</v>
      </c>
    </row>
    <row r="11" spans="1:16" x14ac:dyDescent="0.45">
      <c r="A11">
        <v>3142</v>
      </c>
      <c r="B11">
        <v>1144</v>
      </c>
      <c r="C11">
        <v>392</v>
      </c>
      <c r="D11">
        <v>1</v>
      </c>
      <c r="E11">
        <v>75.47</v>
      </c>
      <c r="F11">
        <v>75.47</v>
      </c>
      <c r="G11">
        <v>0</v>
      </c>
      <c r="H11" s="2">
        <v>0</v>
      </c>
      <c r="I11">
        <v>0</v>
      </c>
      <c r="J11">
        <v>75.47</v>
      </c>
      <c r="K11" s="1">
        <v>45797</v>
      </c>
      <c r="L11" t="s">
        <v>21</v>
      </c>
      <c r="M11" t="s">
        <v>18</v>
      </c>
      <c r="N11">
        <f>salesitems[[#This Row],[quantity]]*salesitems[[#This Row],[unit_price]]</f>
        <v>75.47</v>
      </c>
      <c r="O11" t="str">
        <f>_xlfn.XLOOKUP(salesitems[[#This Row],[product_id]],products[product_id],products[product_name])</f>
        <v>Elegant Wrap Shoes</v>
      </c>
      <c r="P11" t="str">
        <f>_xlfn.XLOOKUP(salesitems[[#This Row],[product_id]],fashion_store_products!A:A,fashion_store_products!C:C)</f>
        <v>Shoes</v>
      </c>
    </row>
    <row r="12" spans="1:16" x14ac:dyDescent="0.45">
      <c r="A12">
        <v>209</v>
      </c>
      <c r="B12">
        <v>644</v>
      </c>
      <c r="C12">
        <v>224</v>
      </c>
      <c r="D12">
        <v>1</v>
      </c>
      <c r="E12">
        <v>75.400000000000006</v>
      </c>
      <c r="F12">
        <v>75.400000000000006</v>
      </c>
      <c r="G12">
        <v>0</v>
      </c>
      <c r="H12" s="2">
        <v>0</v>
      </c>
      <c r="I12">
        <v>0</v>
      </c>
      <c r="J12">
        <v>75.400000000000006</v>
      </c>
      <c r="K12" s="1">
        <v>45751</v>
      </c>
      <c r="L12" t="s">
        <v>21</v>
      </c>
      <c r="M12" t="s">
        <v>18</v>
      </c>
      <c r="N12">
        <f>salesitems[[#This Row],[quantity]]*salesitems[[#This Row],[unit_price]]</f>
        <v>75.400000000000006</v>
      </c>
      <c r="O12" t="str">
        <f>_xlfn.XLOOKUP(salesitems[[#This Row],[product_id]],products[product_id],products[product_name])</f>
        <v>Relaxed Linen Dress</v>
      </c>
      <c r="P12" t="str">
        <f>_xlfn.XLOOKUP(salesitems[[#This Row],[product_id]],fashion_store_products!A:A,fashion_store_products!C:C)</f>
        <v>Dresses</v>
      </c>
    </row>
    <row r="13" spans="1:16" x14ac:dyDescent="0.45">
      <c r="A13">
        <v>1138</v>
      </c>
      <c r="B13">
        <v>991</v>
      </c>
      <c r="C13">
        <v>224</v>
      </c>
      <c r="D13">
        <v>1</v>
      </c>
      <c r="E13">
        <v>75.400000000000006</v>
      </c>
      <c r="F13">
        <v>75.400000000000006</v>
      </c>
      <c r="G13">
        <v>0</v>
      </c>
      <c r="H13" s="2">
        <v>0</v>
      </c>
      <c r="I13">
        <v>0</v>
      </c>
      <c r="J13">
        <v>75.400000000000006</v>
      </c>
      <c r="K13" s="1">
        <v>45767</v>
      </c>
      <c r="L13" t="s">
        <v>15</v>
      </c>
      <c r="M13" t="s">
        <v>15</v>
      </c>
      <c r="N13">
        <f>salesitems[[#This Row],[quantity]]*salesitems[[#This Row],[unit_price]]</f>
        <v>75.400000000000006</v>
      </c>
      <c r="O13" t="str">
        <f>_xlfn.XLOOKUP(salesitems[[#This Row],[product_id]],products[product_id],products[product_name])</f>
        <v>Relaxed Linen Dress</v>
      </c>
      <c r="P13" t="str">
        <f>_xlfn.XLOOKUP(salesitems[[#This Row],[product_id]],fashion_store_products!A:A,fashion_store_products!C:C)</f>
        <v>Dresses</v>
      </c>
    </row>
    <row r="14" spans="1:16" x14ac:dyDescent="0.45">
      <c r="A14">
        <v>1968</v>
      </c>
      <c r="B14">
        <v>338</v>
      </c>
      <c r="C14">
        <v>459</v>
      </c>
      <c r="D14">
        <v>1</v>
      </c>
      <c r="E14">
        <v>75.17</v>
      </c>
      <c r="F14">
        <v>75.17</v>
      </c>
      <c r="G14">
        <v>0</v>
      </c>
      <c r="H14" s="2">
        <v>0</v>
      </c>
      <c r="I14">
        <v>0</v>
      </c>
      <c r="J14">
        <v>75.17</v>
      </c>
      <c r="K14" s="1">
        <v>45768</v>
      </c>
      <c r="L14" t="s">
        <v>21</v>
      </c>
      <c r="M14" t="s">
        <v>18</v>
      </c>
      <c r="N14">
        <f>salesitems[[#This Row],[quantity]]*salesitems[[#This Row],[unit_price]]</f>
        <v>75.17</v>
      </c>
      <c r="O14" t="str">
        <f>_xlfn.XLOOKUP(salesitems[[#This Row],[product_id]],products[product_id],products[product_name])</f>
        <v>Bold High-Waist Dress</v>
      </c>
      <c r="P14" t="str">
        <f>_xlfn.XLOOKUP(salesitems[[#This Row],[product_id]],fashion_store_products!A:A,fashion_store_products!C:C)</f>
        <v>Dresses</v>
      </c>
    </row>
    <row r="15" spans="1:16" x14ac:dyDescent="0.45">
      <c r="A15">
        <v>2063</v>
      </c>
      <c r="B15">
        <v>617</v>
      </c>
      <c r="C15">
        <v>459</v>
      </c>
      <c r="D15">
        <v>1</v>
      </c>
      <c r="E15">
        <v>75.17</v>
      </c>
      <c r="F15">
        <v>75.17</v>
      </c>
      <c r="G15">
        <v>0</v>
      </c>
      <c r="H15" s="2">
        <v>0</v>
      </c>
      <c r="I15">
        <v>0</v>
      </c>
      <c r="J15">
        <v>75.17</v>
      </c>
      <c r="K15" s="1">
        <v>45795</v>
      </c>
      <c r="L15" t="s">
        <v>21</v>
      </c>
      <c r="M15" t="s">
        <v>18</v>
      </c>
      <c r="N15">
        <f>salesitems[[#This Row],[quantity]]*salesitems[[#This Row],[unit_price]]</f>
        <v>75.17</v>
      </c>
      <c r="O15" t="str">
        <f>_xlfn.XLOOKUP(salesitems[[#This Row],[product_id]],products[product_id],products[product_name])</f>
        <v>Bold High-Waist Dress</v>
      </c>
      <c r="P15" t="str">
        <f>_xlfn.XLOOKUP(salesitems[[#This Row],[product_id]],fashion_store_products!A:A,fashion_store_products!C:C)</f>
        <v>Dresses</v>
      </c>
    </row>
    <row r="16" spans="1:16" x14ac:dyDescent="0.45">
      <c r="A16">
        <v>2211</v>
      </c>
      <c r="B16">
        <v>660</v>
      </c>
      <c r="C16">
        <v>116</v>
      </c>
      <c r="D16">
        <v>1</v>
      </c>
      <c r="E16">
        <v>74.81</v>
      </c>
      <c r="F16">
        <v>74.81</v>
      </c>
      <c r="G16">
        <v>0</v>
      </c>
      <c r="H16" s="2">
        <v>0</v>
      </c>
      <c r="I16">
        <v>0</v>
      </c>
      <c r="J16">
        <v>74.81</v>
      </c>
      <c r="K16" s="1">
        <v>45822</v>
      </c>
      <c r="L16" t="s">
        <v>15</v>
      </c>
      <c r="M16" t="s">
        <v>15</v>
      </c>
      <c r="N16">
        <f>salesitems[[#This Row],[quantity]]*salesitems[[#This Row],[unit_price]]</f>
        <v>74.81</v>
      </c>
      <c r="O16" t="str">
        <f>_xlfn.XLOOKUP(salesitems[[#This Row],[product_id]],products[product_id],products[product_name])</f>
        <v>Modern High-Waist Trousers</v>
      </c>
      <c r="P16" t="str">
        <f>_xlfn.XLOOKUP(salesitems[[#This Row],[product_id]],fashion_store_products!A:A,fashion_store_products!C:C)</f>
        <v>Pants</v>
      </c>
    </row>
    <row r="17" spans="1:16" x14ac:dyDescent="0.45">
      <c r="A17">
        <v>3058</v>
      </c>
      <c r="B17">
        <v>863</v>
      </c>
      <c r="C17">
        <v>359</v>
      </c>
      <c r="D17">
        <v>1</v>
      </c>
      <c r="E17">
        <v>74.28</v>
      </c>
      <c r="F17">
        <v>74.28</v>
      </c>
      <c r="G17">
        <v>0</v>
      </c>
      <c r="H17" s="2">
        <v>0</v>
      </c>
      <c r="I17">
        <v>0</v>
      </c>
      <c r="J17">
        <v>74.28</v>
      </c>
      <c r="K17" s="1">
        <v>45764</v>
      </c>
      <c r="L17" t="s">
        <v>21</v>
      </c>
      <c r="M17" t="s">
        <v>18</v>
      </c>
      <c r="N17">
        <f>salesitems[[#This Row],[quantity]]*salesitems[[#This Row],[unit_price]]</f>
        <v>74.28</v>
      </c>
      <c r="O17" t="str">
        <f>_xlfn.XLOOKUP(salesitems[[#This Row],[product_id]],products[product_id],products[product_name])</f>
        <v>Tailored Silk Shoes</v>
      </c>
      <c r="P17" t="str">
        <f>_xlfn.XLOOKUP(salesitems[[#This Row],[product_id]],fashion_store_products!A:A,fashion_store_products!C:C)</f>
        <v>Shoes</v>
      </c>
    </row>
    <row r="18" spans="1:16" x14ac:dyDescent="0.45">
      <c r="A18">
        <v>1707</v>
      </c>
      <c r="B18">
        <v>420</v>
      </c>
      <c r="C18">
        <v>320</v>
      </c>
      <c r="D18">
        <v>1</v>
      </c>
      <c r="E18">
        <v>74.260000000000005</v>
      </c>
      <c r="F18">
        <v>74.260000000000005</v>
      </c>
      <c r="G18">
        <v>0</v>
      </c>
      <c r="H18" s="2">
        <v>0</v>
      </c>
      <c r="I18">
        <v>0</v>
      </c>
      <c r="J18">
        <v>74.260000000000005</v>
      </c>
      <c r="K18" s="1">
        <v>45824</v>
      </c>
      <c r="L18" t="s">
        <v>15</v>
      </c>
      <c r="M18" t="s">
        <v>15</v>
      </c>
      <c r="N18">
        <f>salesitems[[#This Row],[quantity]]*salesitems[[#This Row],[unit_price]]</f>
        <v>74.260000000000005</v>
      </c>
      <c r="O18" t="str">
        <f>_xlfn.XLOOKUP(salesitems[[#This Row],[product_id]],products[product_id],products[product_name])</f>
        <v>Essential Crew Dress</v>
      </c>
      <c r="P18" t="str">
        <f>_xlfn.XLOOKUP(salesitems[[#This Row],[product_id]],fashion_store_products!A:A,fashion_store_products!C:C)</f>
        <v>Dresses</v>
      </c>
    </row>
    <row r="19" spans="1:16" x14ac:dyDescent="0.45">
      <c r="A19">
        <v>1831</v>
      </c>
      <c r="B19">
        <v>191</v>
      </c>
      <c r="C19">
        <v>320</v>
      </c>
      <c r="D19">
        <v>1</v>
      </c>
      <c r="E19">
        <v>74.260000000000005</v>
      </c>
      <c r="F19">
        <v>74.260000000000005</v>
      </c>
      <c r="G19">
        <v>0</v>
      </c>
      <c r="H19" s="2">
        <v>0</v>
      </c>
      <c r="I19">
        <v>0</v>
      </c>
      <c r="J19">
        <v>74.260000000000005</v>
      </c>
      <c r="K19" s="1">
        <v>45800</v>
      </c>
      <c r="L19" t="s">
        <v>15</v>
      </c>
      <c r="M19" t="s">
        <v>15</v>
      </c>
      <c r="N19">
        <f>salesitems[[#This Row],[quantity]]*salesitems[[#This Row],[unit_price]]</f>
        <v>74.260000000000005</v>
      </c>
      <c r="O19" t="str">
        <f>_xlfn.XLOOKUP(salesitems[[#This Row],[product_id]],products[product_id],products[product_name])</f>
        <v>Essential Crew Dress</v>
      </c>
      <c r="P19" t="str">
        <f>_xlfn.XLOOKUP(salesitems[[#This Row],[product_id]],fashion_store_products!A:A,fashion_store_products!C:C)</f>
        <v>Dresses</v>
      </c>
    </row>
    <row r="20" spans="1:16" x14ac:dyDescent="0.45">
      <c r="A20">
        <v>2454</v>
      </c>
      <c r="B20">
        <v>1013</v>
      </c>
      <c r="C20">
        <v>420</v>
      </c>
      <c r="D20">
        <v>1</v>
      </c>
      <c r="E20">
        <v>72.58</v>
      </c>
      <c r="F20">
        <v>72.58</v>
      </c>
      <c r="G20">
        <v>0</v>
      </c>
      <c r="H20" s="2">
        <v>0</v>
      </c>
      <c r="I20">
        <v>0</v>
      </c>
      <c r="J20">
        <v>72.58</v>
      </c>
      <c r="K20" s="1">
        <v>45777</v>
      </c>
      <c r="L20" t="s">
        <v>15</v>
      </c>
      <c r="M20" t="s">
        <v>15</v>
      </c>
      <c r="N20">
        <f>salesitems[[#This Row],[quantity]]*salesitems[[#This Row],[unit_price]]</f>
        <v>72.58</v>
      </c>
      <c r="O20" t="str">
        <f>_xlfn.XLOOKUP(salesitems[[#This Row],[product_id]],products[product_id],products[product_name])</f>
        <v>Elegant Sleeveless Shoes</v>
      </c>
      <c r="P20" t="str">
        <f>_xlfn.XLOOKUP(salesitems[[#This Row],[product_id]],fashion_store_products!A:A,fashion_store_products!C:C)</f>
        <v>Shoes</v>
      </c>
    </row>
    <row r="21" spans="1:16" x14ac:dyDescent="0.45">
      <c r="A21">
        <v>732</v>
      </c>
      <c r="B21">
        <v>276</v>
      </c>
      <c r="C21">
        <v>358</v>
      </c>
      <c r="D21">
        <v>1</v>
      </c>
      <c r="E21">
        <v>71.86</v>
      </c>
      <c r="F21">
        <v>71.86</v>
      </c>
      <c r="G21">
        <v>0</v>
      </c>
      <c r="H21" s="2">
        <v>0</v>
      </c>
      <c r="I21">
        <v>0</v>
      </c>
      <c r="J21">
        <v>71.86</v>
      </c>
      <c r="K21" s="1">
        <v>45753</v>
      </c>
      <c r="L21" t="s">
        <v>15</v>
      </c>
      <c r="M21" t="s">
        <v>15</v>
      </c>
      <c r="N21">
        <f>salesitems[[#This Row],[quantity]]*salesitems[[#This Row],[unit_price]]</f>
        <v>71.86</v>
      </c>
      <c r="O21" t="str">
        <f>_xlfn.XLOOKUP(salesitems[[#This Row],[product_id]],products[product_id],products[product_name])</f>
        <v>Tailored Wrap Set</v>
      </c>
      <c r="P21" t="str">
        <f>_xlfn.XLOOKUP(salesitems[[#This Row],[product_id]],fashion_store_products!A:A,fashion_store_products!C:C)</f>
        <v>Sleepwear</v>
      </c>
    </row>
    <row r="22" spans="1:16" x14ac:dyDescent="0.45">
      <c r="A22">
        <v>202</v>
      </c>
      <c r="B22">
        <v>473</v>
      </c>
      <c r="C22">
        <v>398</v>
      </c>
      <c r="D22">
        <v>1</v>
      </c>
      <c r="E22">
        <v>71.150000000000006</v>
      </c>
      <c r="F22">
        <v>71.150000000000006</v>
      </c>
      <c r="G22">
        <v>0</v>
      </c>
      <c r="H22" s="2">
        <v>0</v>
      </c>
      <c r="I22">
        <v>0</v>
      </c>
      <c r="J22">
        <v>71.150000000000006</v>
      </c>
      <c r="K22" s="1">
        <v>45777</v>
      </c>
      <c r="L22" t="s">
        <v>21</v>
      </c>
      <c r="M22" t="s">
        <v>18</v>
      </c>
      <c r="N22">
        <f>salesitems[[#This Row],[quantity]]*salesitems[[#This Row],[unit_price]]</f>
        <v>71.150000000000006</v>
      </c>
      <c r="O22" t="str">
        <f>_xlfn.XLOOKUP(salesitems[[#This Row],[product_id]],products[product_id],products[product_name])</f>
        <v>Elegant Linen Set</v>
      </c>
      <c r="P22" t="str">
        <f>_xlfn.XLOOKUP(salesitems[[#This Row],[product_id]],fashion_store_products!A:A,fashion_store_products!C:C)</f>
        <v>Sleepwear</v>
      </c>
    </row>
    <row r="23" spans="1:16" x14ac:dyDescent="0.45">
      <c r="A23">
        <v>3189</v>
      </c>
      <c r="B23">
        <v>179</v>
      </c>
      <c r="C23">
        <v>379</v>
      </c>
      <c r="D23">
        <v>1</v>
      </c>
      <c r="E23">
        <v>70.819999999999993</v>
      </c>
      <c r="F23">
        <v>70.819999999999993</v>
      </c>
      <c r="G23">
        <v>0</v>
      </c>
      <c r="H23" s="2">
        <v>0</v>
      </c>
      <c r="I23">
        <v>0</v>
      </c>
      <c r="J23">
        <v>70.819999999999993</v>
      </c>
      <c r="K23" s="1">
        <v>45806</v>
      </c>
      <c r="L23" t="s">
        <v>15</v>
      </c>
      <c r="M23" t="s">
        <v>15</v>
      </c>
      <c r="N23">
        <f>salesitems[[#This Row],[quantity]]*salesitems[[#This Row],[unit_price]]</f>
        <v>70.819999999999993</v>
      </c>
      <c r="O23" t="str">
        <f>_xlfn.XLOOKUP(salesitems[[#This Row],[product_id]],products[product_id],products[product_name])</f>
        <v>Essential Cotton Trousers</v>
      </c>
      <c r="P23" t="str">
        <f>_xlfn.XLOOKUP(salesitems[[#This Row],[product_id]],fashion_store_products!A:A,fashion_store_products!C:C)</f>
        <v>Pants</v>
      </c>
    </row>
    <row r="24" spans="1:16" x14ac:dyDescent="0.45">
      <c r="A24">
        <v>3113</v>
      </c>
      <c r="B24">
        <v>482</v>
      </c>
      <c r="C24">
        <v>463</v>
      </c>
      <c r="D24">
        <v>1</v>
      </c>
      <c r="E24">
        <v>70.56</v>
      </c>
      <c r="F24">
        <v>70.56</v>
      </c>
      <c r="G24">
        <v>0</v>
      </c>
      <c r="H24" s="2">
        <v>0</v>
      </c>
      <c r="I24">
        <v>0</v>
      </c>
      <c r="J24">
        <v>70.56</v>
      </c>
      <c r="K24" s="1">
        <v>45801</v>
      </c>
      <c r="L24" t="s">
        <v>15</v>
      </c>
      <c r="M24" t="s">
        <v>15</v>
      </c>
      <c r="N24">
        <f>salesitems[[#This Row],[quantity]]*salesitems[[#This Row],[unit_price]]</f>
        <v>70.56</v>
      </c>
      <c r="O24" t="str">
        <f>_xlfn.XLOOKUP(salesitems[[#This Row],[product_id]],products[product_id],products[product_name])</f>
        <v>Bold Boxy Dress</v>
      </c>
      <c r="P24" t="str">
        <f>_xlfn.XLOOKUP(salesitems[[#This Row],[product_id]],fashion_store_products!A:A,fashion_store_products!C:C)</f>
        <v>Dresses</v>
      </c>
    </row>
    <row r="25" spans="1:16" x14ac:dyDescent="0.45">
      <c r="A25">
        <v>41</v>
      </c>
      <c r="B25">
        <v>581</v>
      </c>
      <c r="C25">
        <v>31</v>
      </c>
      <c r="D25">
        <v>1</v>
      </c>
      <c r="E25">
        <v>69.819999999999993</v>
      </c>
      <c r="F25">
        <v>69.819999999999993</v>
      </c>
      <c r="G25">
        <v>0</v>
      </c>
      <c r="H25" s="2">
        <v>0</v>
      </c>
      <c r="I25">
        <v>0</v>
      </c>
      <c r="J25">
        <v>69.819999999999993</v>
      </c>
      <c r="K25" s="1">
        <v>45808</v>
      </c>
      <c r="L25" t="s">
        <v>21</v>
      </c>
      <c r="M25" t="s">
        <v>18</v>
      </c>
      <c r="N25">
        <f>salesitems[[#This Row],[quantity]]*salesitems[[#This Row],[unit_price]]</f>
        <v>69.819999999999993</v>
      </c>
      <c r="O25" t="str">
        <f>_xlfn.XLOOKUP(salesitems[[#This Row],[product_id]],products[product_id],products[product_name])</f>
        <v>Soft Silk Trousers</v>
      </c>
      <c r="P25" t="str">
        <f>_xlfn.XLOOKUP(salesitems[[#This Row],[product_id]],fashion_store_products!A:A,fashion_store_products!C:C)</f>
        <v>Pants</v>
      </c>
    </row>
    <row r="26" spans="1:16" x14ac:dyDescent="0.45">
      <c r="A26">
        <v>1406</v>
      </c>
      <c r="B26">
        <v>31</v>
      </c>
      <c r="C26">
        <v>31</v>
      </c>
      <c r="D26">
        <v>1</v>
      </c>
      <c r="E26">
        <v>69.819999999999993</v>
      </c>
      <c r="F26">
        <v>69.819999999999993</v>
      </c>
      <c r="G26">
        <v>0</v>
      </c>
      <c r="H26" s="2">
        <v>0</v>
      </c>
      <c r="I26">
        <v>0</v>
      </c>
      <c r="J26">
        <v>69.819999999999993</v>
      </c>
      <c r="K26" s="1">
        <v>45797</v>
      </c>
      <c r="L26" t="s">
        <v>15</v>
      </c>
      <c r="M26" t="s">
        <v>15</v>
      </c>
      <c r="N26">
        <f>salesitems[[#This Row],[quantity]]*salesitems[[#This Row],[unit_price]]</f>
        <v>69.819999999999993</v>
      </c>
      <c r="O26" t="str">
        <f>_xlfn.XLOOKUP(salesitems[[#This Row],[product_id]],products[product_id],products[product_name])</f>
        <v>Soft Silk Trousers</v>
      </c>
      <c r="P26" t="str">
        <f>_xlfn.XLOOKUP(salesitems[[#This Row],[product_id]],fashion_store_products!A:A,fashion_store_products!C:C)</f>
        <v>Pants</v>
      </c>
    </row>
    <row r="27" spans="1:16" x14ac:dyDescent="0.45">
      <c r="A27">
        <v>2490</v>
      </c>
      <c r="B27">
        <v>424</v>
      </c>
      <c r="C27">
        <v>31</v>
      </c>
      <c r="D27">
        <v>1</v>
      </c>
      <c r="E27">
        <v>69.819999999999993</v>
      </c>
      <c r="F27">
        <v>69.819999999999993</v>
      </c>
      <c r="G27">
        <v>0</v>
      </c>
      <c r="H27" s="2">
        <v>0</v>
      </c>
      <c r="I27">
        <v>0</v>
      </c>
      <c r="J27">
        <v>69.819999999999993</v>
      </c>
      <c r="K27" s="1">
        <v>45799</v>
      </c>
      <c r="L27" t="s">
        <v>15</v>
      </c>
      <c r="M27" t="s">
        <v>15</v>
      </c>
      <c r="N27">
        <f>salesitems[[#This Row],[quantity]]*salesitems[[#This Row],[unit_price]]</f>
        <v>69.819999999999993</v>
      </c>
      <c r="O27" t="str">
        <f>_xlfn.XLOOKUP(salesitems[[#This Row],[product_id]],products[product_id],products[product_name])</f>
        <v>Soft Silk Trousers</v>
      </c>
      <c r="P27" t="str">
        <f>_xlfn.XLOOKUP(salesitems[[#This Row],[product_id]],fashion_store_products!A:A,fashion_store_products!C:C)</f>
        <v>Pants</v>
      </c>
    </row>
    <row r="28" spans="1:16" x14ac:dyDescent="0.45">
      <c r="A28">
        <v>929</v>
      </c>
      <c r="B28">
        <v>33</v>
      </c>
      <c r="C28">
        <v>353</v>
      </c>
      <c r="D28">
        <v>1</v>
      </c>
      <c r="E28">
        <v>69.540000000000006</v>
      </c>
      <c r="F28">
        <v>69.540000000000006</v>
      </c>
      <c r="G28">
        <v>0</v>
      </c>
      <c r="H28" s="2">
        <v>0</v>
      </c>
      <c r="I28">
        <v>0</v>
      </c>
      <c r="J28">
        <v>69.540000000000006</v>
      </c>
      <c r="K28" s="1">
        <v>45770</v>
      </c>
      <c r="L28" t="s">
        <v>21</v>
      </c>
      <c r="M28" t="s">
        <v>18</v>
      </c>
      <c r="N28">
        <f>salesitems[[#This Row],[quantity]]*salesitems[[#This Row],[unit_price]]</f>
        <v>69.540000000000006</v>
      </c>
      <c r="O28" t="str">
        <f>_xlfn.XLOOKUP(salesitems[[#This Row],[product_id]],products[product_id],products[product_name])</f>
        <v>Relaxed High-Waist Trousers</v>
      </c>
      <c r="P28" t="str">
        <f>_xlfn.XLOOKUP(salesitems[[#This Row],[product_id]],fashion_store_products!A:A,fashion_store_products!C:C)</f>
        <v>Pants</v>
      </c>
    </row>
    <row r="29" spans="1:16" x14ac:dyDescent="0.45">
      <c r="A29">
        <v>22</v>
      </c>
      <c r="B29">
        <v>832</v>
      </c>
      <c r="C29">
        <v>360</v>
      </c>
      <c r="D29">
        <v>1</v>
      </c>
      <c r="E29">
        <v>69.48</v>
      </c>
      <c r="F29">
        <v>69.48</v>
      </c>
      <c r="G29">
        <v>0</v>
      </c>
      <c r="H29" s="2">
        <v>0</v>
      </c>
      <c r="I29">
        <v>0</v>
      </c>
      <c r="J29">
        <v>69.48</v>
      </c>
      <c r="K29" s="1">
        <v>45770</v>
      </c>
      <c r="L29" t="s">
        <v>21</v>
      </c>
      <c r="M29" t="s">
        <v>18</v>
      </c>
      <c r="N29">
        <f>salesitems[[#This Row],[quantity]]*salesitems[[#This Row],[unit_price]]</f>
        <v>69.48</v>
      </c>
      <c r="O29" t="str">
        <f>_xlfn.XLOOKUP(salesitems[[#This Row],[product_id]],products[product_id],products[product_name])</f>
        <v>Tailored Boxy Tee</v>
      </c>
      <c r="P29" t="str">
        <f>_xlfn.XLOOKUP(salesitems[[#This Row],[product_id]],fashion_store_products!A:A,fashion_store_products!C:C)</f>
        <v>T-Shirts</v>
      </c>
    </row>
    <row r="30" spans="1:16" x14ac:dyDescent="0.45">
      <c r="A30">
        <v>1785</v>
      </c>
      <c r="B30">
        <v>670</v>
      </c>
      <c r="C30">
        <v>360</v>
      </c>
      <c r="D30">
        <v>1</v>
      </c>
      <c r="E30">
        <v>69.48</v>
      </c>
      <c r="F30">
        <v>69.48</v>
      </c>
      <c r="G30">
        <v>0</v>
      </c>
      <c r="H30" s="2">
        <v>0</v>
      </c>
      <c r="I30">
        <v>0</v>
      </c>
      <c r="J30">
        <v>69.48</v>
      </c>
      <c r="K30" s="1">
        <v>45804</v>
      </c>
      <c r="L30" t="s">
        <v>15</v>
      </c>
      <c r="M30" t="s">
        <v>15</v>
      </c>
      <c r="N30">
        <f>salesitems[[#This Row],[quantity]]*salesitems[[#This Row],[unit_price]]</f>
        <v>69.48</v>
      </c>
      <c r="O30" t="str">
        <f>_xlfn.XLOOKUP(salesitems[[#This Row],[product_id]],products[product_id],products[product_name])</f>
        <v>Tailored Boxy Tee</v>
      </c>
      <c r="P30" t="str">
        <f>_xlfn.XLOOKUP(salesitems[[#This Row],[product_id]],fashion_store_products!A:A,fashion_store_products!C:C)</f>
        <v>T-Shirts</v>
      </c>
    </row>
    <row r="31" spans="1:16" x14ac:dyDescent="0.45">
      <c r="A31">
        <v>684</v>
      </c>
      <c r="B31">
        <v>209</v>
      </c>
      <c r="C31">
        <v>474</v>
      </c>
      <c r="D31">
        <v>1</v>
      </c>
      <c r="E31">
        <v>68.47</v>
      </c>
      <c r="F31">
        <v>68.47</v>
      </c>
      <c r="G31">
        <v>0</v>
      </c>
      <c r="H31" s="2">
        <v>0</v>
      </c>
      <c r="I31">
        <v>0</v>
      </c>
      <c r="J31">
        <v>68.47</v>
      </c>
      <c r="K31" s="1">
        <v>45808</v>
      </c>
      <c r="L31" t="s">
        <v>15</v>
      </c>
      <c r="M31" t="s">
        <v>15</v>
      </c>
      <c r="N31">
        <f>salesitems[[#This Row],[quantity]]*salesitems[[#This Row],[unit_price]]</f>
        <v>68.47</v>
      </c>
      <c r="O31" t="str">
        <f>_xlfn.XLOOKUP(salesitems[[#This Row],[product_id]],products[product_id],products[product_name])</f>
        <v>Bold Cotton Shoes</v>
      </c>
      <c r="P31" t="str">
        <f>_xlfn.XLOOKUP(salesitems[[#This Row],[product_id]],fashion_store_products!A:A,fashion_store_products!C:C)</f>
        <v>Shoes</v>
      </c>
    </row>
    <row r="32" spans="1:16" x14ac:dyDescent="0.45">
      <c r="A32">
        <v>1253</v>
      </c>
      <c r="B32">
        <v>1014</v>
      </c>
      <c r="C32">
        <v>474</v>
      </c>
      <c r="D32">
        <v>1</v>
      </c>
      <c r="E32">
        <v>68.47</v>
      </c>
      <c r="F32">
        <v>68.47</v>
      </c>
      <c r="G32">
        <v>0</v>
      </c>
      <c r="H32" s="2">
        <v>0</v>
      </c>
      <c r="I32">
        <v>0</v>
      </c>
      <c r="J32">
        <v>68.47</v>
      </c>
      <c r="K32" s="1">
        <v>45793</v>
      </c>
      <c r="L32" t="s">
        <v>21</v>
      </c>
      <c r="M32" t="s">
        <v>18</v>
      </c>
      <c r="N32">
        <f>salesitems[[#This Row],[quantity]]*salesitems[[#This Row],[unit_price]]</f>
        <v>68.47</v>
      </c>
      <c r="O32" t="str">
        <f>_xlfn.XLOOKUP(salesitems[[#This Row],[product_id]],products[product_id],products[product_name])</f>
        <v>Bold Cotton Shoes</v>
      </c>
      <c r="P32" t="str">
        <f>_xlfn.XLOOKUP(salesitems[[#This Row],[product_id]],fashion_store_products!A:A,fashion_store_products!C:C)</f>
        <v>Shoes</v>
      </c>
    </row>
    <row r="33" spans="1:16" x14ac:dyDescent="0.45">
      <c r="A33">
        <v>3167</v>
      </c>
      <c r="B33">
        <v>306</v>
      </c>
      <c r="C33">
        <v>486</v>
      </c>
      <c r="D33">
        <v>1</v>
      </c>
      <c r="E33">
        <v>68.03</v>
      </c>
      <c r="F33">
        <v>68.03</v>
      </c>
      <c r="G33">
        <v>0</v>
      </c>
      <c r="H33" s="2">
        <v>0</v>
      </c>
      <c r="I33">
        <v>0</v>
      </c>
      <c r="J33">
        <v>68.03</v>
      </c>
      <c r="K33" s="1">
        <v>45773</v>
      </c>
      <c r="L33" t="s">
        <v>21</v>
      </c>
      <c r="M33" t="s">
        <v>18</v>
      </c>
      <c r="N33">
        <f>salesitems[[#This Row],[quantity]]*salesitems[[#This Row],[unit_price]]</f>
        <v>68.03</v>
      </c>
      <c r="O33" t="str">
        <f>_xlfn.XLOOKUP(salesitems[[#This Row],[product_id]],products[product_id],products[product_name])</f>
        <v>T-Shirts Drop 4</v>
      </c>
      <c r="P33" t="str">
        <f>_xlfn.XLOOKUP(salesitems[[#This Row],[product_id]],fashion_store_products!A:A,fashion_store_products!C:C)</f>
        <v>T-Shirts</v>
      </c>
    </row>
    <row r="34" spans="1:16" x14ac:dyDescent="0.45">
      <c r="A34">
        <v>3055</v>
      </c>
      <c r="B34">
        <v>42</v>
      </c>
      <c r="C34">
        <v>470</v>
      </c>
      <c r="D34">
        <v>1</v>
      </c>
      <c r="E34">
        <v>67.73</v>
      </c>
      <c r="F34">
        <v>67.73</v>
      </c>
      <c r="G34">
        <v>0</v>
      </c>
      <c r="H34" s="2">
        <v>0</v>
      </c>
      <c r="I34">
        <v>0</v>
      </c>
      <c r="J34">
        <v>67.73</v>
      </c>
      <c r="K34" s="1">
        <v>45808</v>
      </c>
      <c r="L34" t="s">
        <v>15</v>
      </c>
      <c r="M34" t="s">
        <v>15</v>
      </c>
      <c r="N34">
        <f>salesitems[[#This Row],[quantity]]*salesitems[[#This Row],[unit_price]]</f>
        <v>67.73</v>
      </c>
      <c r="O34" t="str">
        <f>_xlfn.XLOOKUP(salesitems[[#This Row],[product_id]],products[product_id],products[product_name])</f>
        <v>Sleepwear Drop 2</v>
      </c>
      <c r="P34" t="str">
        <f>_xlfn.XLOOKUP(salesitems[[#This Row],[product_id]],fashion_store_products!A:A,fashion_store_products!C:C)</f>
        <v>Sleepwear</v>
      </c>
    </row>
    <row r="35" spans="1:16" x14ac:dyDescent="0.45">
      <c r="A35">
        <v>1724</v>
      </c>
      <c r="B35">
        <v>1213</v>
      </c>
      <c r="C35">
        <v>67</v>
      </c>
      <c r="D35">
        <v>1</v>
      </c>
      <c r="E35">
        <v>67.37</v>
      </c>
      <c r="F35">
        <v>67.37</v>
      </c>
      <c r="G35">
        <v>0</v>
      </c>
      <c r="H35" s="2">
        <v>0</v>
      </c>
      <c r="I35">
        <v>0</v>
      </c>
      <c r="J35">
        <v>67.37</v>
      </c>
      <c r="K35" s="1">
        <v>45793</v>
      </c>
      <c r="L35" t="s">
        <v>21</v>
      </c>
      <c r="M35" t="s">
        <v>18</v>
      </c>
      <c r="N35">
        <f>salesitems[[#This Row],[quantity]]*salesitems[[#This Row],[unit_price]]</f>
        <v>67.37</v>
      </c>
      <c r="O35" t="str">
        <f>_xlfn.XLOOKUP(salesitems[[#This Row],[product_id]],products[product_id],products[product_name])</f>
        <v>Modern Crew Tee</v>
      </c>
      <c r="P35" t="str">
        <f>_xlfn.XLOOKUP(salesitems[[#This Row],[product_id]],fashion_store_products!A:A,fashion_store_products!C:C)</f>
        <v>T-Shirts</v>
      </c>
    </row>
    <row r="36" spans="1:16" x14ac:dyDescent="0.45">
      <c r="A36">
        <v>1762</v>
      </c>
      <c r="B36">
        <v>1178</v>
      </c>
      <c r="C36">
        <v>239</v>
      </c>
      <c r="D36">
        <v>1</v>
      </c>
      <c r="E36">
        <v>66.989999999999995</v>
      </c>
      <c r="F36">
        <v>66.989999999999995</v>
      </c>
      <c r="G36">
        <v>0</v>
      </c>
      <c r="H36" s="2">
        <v>0</v>
      </c>
      <c r="I36">
        <v>0</v>
      </c>
      <c r="J36">
        <v>66.989999999999995</v>
      </c>
      <c r="K36" s="1">
        <v>45762</v>
      </c>
      <c r="L36" t="s">
        <v>15</v>
      </c>
      <c r="M36" t="s">
        <v>15</v>
      </c>
      <c r="N36">
        <f>salesitems[[#This Row],[quantity]]*salesitems[[#This Row],[unit_price]]</f>
        <v>66.989999999999995</v>
      </c>
      <c r="O36" t="str">
        <f>_xlfn.XLOOKUP(salesitems[[#This Row],[product_id]],products[product_id],products[product_name])</f>
        <v>Polished Wrap Trousers</v>
      </c>
      <c r="P36" t="str">
        <f>_xlfn.XLOOKUP(salesitems[[#This Row],[product_id]],fashion_store_products!A:A,fashion_store_products!C:C)</f>
        <v>Pants</v>
      </c>
    </row>
    <row r="37" spans="1:16" x14ac:dyDescent="0.45">
      <c r="A37">
        <v>1356</v>
      </c>
      <c r="B37">
        <v>1128</v>
      </c>
      <c r="C37">
        <v>307</v>
      </c>
      <c r="D37">
        <v>1</v>
      </c>
      <c r="E37">
        <v>66.87</v>
      </c>
      <c r="F37">
        <v>66.87</v>
      </c>
      <c r="G37">
        <v>0</v>
      </c>
      <c r="H37" s="2">
        <v>0</v>
      </c>
      <c r="I37">
        <v>0</v>
      </c>
      <c r="J37">
        <v>66.87</v>
      </c>
      <c r="K37" s="1">
        <v>45808</v>
      </c>
      <c r="L37" t="s">
        <v>15</v>
      </c>
      <c r="M37" t="s">
        <v>15</v>
      </c>
      <c r="N37">
        <f>salesitems[[#This Row],[quantity]]*salesitems[[#This Row],[unit_price]]</f>
        <v>66.87</v>
      </c>
      <c r="O37" t="str">
        <f>_xlfn.XLOOKUP(salesitems[[#This Row],[product_id]],products[product_id],products[product_name])</f>
        <v>Essential Crew Tee</v>
      </c>
      <c r="P37" t="str">
        <f>_xlfn.XLOOKUP(salesitems[[#This Row],[product_id]],fashion_store_products!A:A,fashion_store_products!C:C)</f>
        <v>T-Shirts</v>
      </c>
    </row>
    <row r="38" spans="1:16" x14ac:dyDescent="0.45">
      <c r="A38">
        <v>1050</v>
      </c>
      <c r="B38">
        <v>180</v>
      </c>
      <c r="C38">
        <v>197</v>
      </c>
      <c r="D38">
        <v>1</v>
      </c>
      <c r="E38">
        <v>66.680000000000007</v>
      </c>
      <c r="F38">
        <v>66.680000000000007</v>
      </c>
      <c r="G38">
        <v>0</v>
      </c>
      <c r="H38" s="2">
        <v>0</v>
      </c>
      <c r="I38">
        <v>0</v>
      </c>
      <c r="J38">
        <v>66.680000000000007</v>
      </c>
      <c r="K38" s="1">
        <v>45821</v>
      </c>
      <c r="L38" t="s">
        <v>15</v>
      </c>
      <c r="M38" t="s">
        <v>15</v>
      </c>
      <c r="N38">
        <f>salesitems[[#This Row],[quantity]]*salesitems[[#This Row],[unit_price]]</f>
        <v>66.680000000000007</v>
      </c>
      <c r="O38" t="str">
        <f>_xlfn.XLOOKUP(salesitems[[#This Row],[product_id]],products[product_id],products[product_name])</f>
        <v>Polished Linen Shoes</v>
      </c>
      <c r="P38" t="str">
        <f>_xlfn.XLOOKUP(salesitems[[#This Row],[product_id]],fashion_store_products!A:A,fashion_store_products!C:C)</f>
        <v>Shoes</v>
      </c>
    </row>
    <row r="39" spans="1:16" x14ac:dyDescent="0.45">
      <c r="A39">
        <v>2153</v>
      </c>
      <c r="B39">
        <v>1272</v>
      </c>
      <c r="C39">
        <v>197</v>
      </c>
      <c r="D39">
        <v>1</v>
      </c>
      <c r="E39">
        <v>66.680000000000007</v>
      </c>
      <c r="F39">
        <v>66.680000000000007</v>
      </c>
      <c r="G39">
        <v>0</v>
      </c>
      <c r="H39" s="2">
        <v>0</v>
      </c>
      <c r="I39">
        <v>0</v>
      </c>
      <c r="J39">
        <v>66.680000000000007</v>
      </c>
      <c r="K39" s="1">
        <v>45762</v>
      </c>
      <c r="L39" t="s">
        <v>15</v>
      </c>
      <c r="M39" t="s">
        <v>15</v>
      </c>
      <c r="N39">
        <f>salesitems[[#This Row],[quantity]]*salesitems[[#This Row],[unit_price]]</f>
        <v>66.680000000000007</v>
      </c>
      <c r="O39" t="str">
        <f>_xlfn.XLOOKUP(salesitems[[#This Row],[product_id]],products[product_id],products[product_name])</f>
        <v>Polished Linen Shoes</v>
      </c>
      <c r="P39" t="str">
        <f>_xlfn.XLOOKUP(salesitems[[#This Row],[product_id]],fashion_store_products!A:A,fashion_store_products!C:C)</f>
        <v>Shoes</v>
      </c>
    </row>
    <row r="40" spans="1:16" x14ac:dyDescent="0.45">
      <c r="A40">
        <v>2909</v>
      </c>
      <c r="B40">
        <v>370</v>
      </c>
      <c r="C40">
        <v>131</v>
      </c>
      <c r="D40">
        <v>1</v>
      </c>
      <c r="E40">
        <v>66.63</v>
      </c>
      <c r="F40">
        <v>66.63</v>
      </c>
      <c r="G40">
        <v>0</v>
      </c>
      <c r="H40" s="2">
        <v>0</v>
      </c>
      <c r="I40">
        <v>0</v>
      </c>
      <c r="J40">
        <v>66.63</v>
      </c>
      <c r="K40" s="1">
        <v>45768</v>
      </c>
      <c r="L40" t="s">
        <v>15</v>
      </c>
      <c r="M40" t="s">
        <v>15</v>
      </c>
      <c r="N40">
        <f>salesitems[[#This Row],[quantity]]*salesitems[[#This Row],[unit_price]]</f>
        <v>66.63</v>
      </c>
      <c r="O40" t="str">
        <f>_xlfn.XLOOKUP(salesitems[[#This Row],[product_id]],products[product_id],products[product_name])</f>
        <v>Classic Cotton Set</v>
      </c>
      <c r="P40" t="str">
        <f>_xlfn.XLOOKUP(salesitems[[#This Row],[product_id]],fashion_store_products!A:A,fashion_store_products!C:C)</f>
        <v>Sleepwear</v>
      </c>
    </row>
    <row r="41" spans="1:16" x14ac:dyDescent="0.45">
      <c r="A41">
        <v>719</v>
      </c>
      <c r="B41">
        <v>450</v>
      </c>
      <c r="C41">
        <v>478</v>
      </c>
      <c r="D41">
        <v>1</v>
      </c>
      <c r="E41">
        <v>66.52</v>
      </c>
      <c r="F41">
        <v>66.52</v>
      </c>
      <c r="G41">
        <v>0</v>
      </c>
      <c r="H41" s="2">
        <v>0</v>
      </c>
      <c r="I41">
        <v>0</v>
      </c>
      <c r="J41">
        <v>66.52</v>
      </c>
      <c r="K41" s="1">
        <v>45777</v>
      </c>
      <c r="L41" t="s">
        <v>15</v>
      </c>
      <c r="M41" t="s">
        <v>15</v>
      </c>
      <c r="N41">
        <f>salesitems[[#This Row],[quantity]]*salesitems[[#This Row],[unit_price]]</f>
        <v>66.52</v>
      </c>
      <c r="O41" t="str">
        <f>_xlfn.XLOOKUP(salesitems[[#This Row],[product_id]],products[product_id],products[product_name])</f>
        <v>T-Shirts Drop 2</v>
      </c>
      <c r="P41" t="str">
        <f>_xlfn.XLOOKUP(salesitems[[#This Row],[product_id]],fashion_store_products!A:A,fashion_store_products!C:C)</f>
        <v>T-Shirts</v>
      </c>
    </row>
    <row r="42" spans="1:16" x14ac:dyDescent="0.45">
      <c r="A42">
        <v>2134</v>
      </c>
      <c r="B42">
        <v>1144</v>
      </c>
      <c r="C42">
        <v>478</v>
      </c>
      <c r="D42">
        <v>1</v>
      </c>
      <c r="E42">
        <v>66.52</v>
      </c>
      <c r="F42">
        <v>66.52</v>
      </c>
      <c r="G42">
        <v>0</v>
      </c>
      <c r="H42" s="2">
        <v>0</v>
      </c>
      <c r="I42">
        <v>0</v>
      </c>
      <c r="J42">
        <v>66.52</v>
      </c>
      <c r="K42" s="1">
        <v>45797</v>
      </c>
      <c r="L42" t="s">
        <v>21</v>
      </c>
      <c r="M42" t="s">
        <v>18</v>
      </c>
      <c r="N42">
        <f>salesitems[[#This Row],[quantity]]*salesitems[[#This Row],[unit_price]]</f>
        <v>66.52</v>
      </c>
      <c r="O42" t="str">
        <f>_xlfn.XLOOKUP(salesitems[[#This Row],[product_id]],products[product_id],products[product_name])</f>
        <v>T-Shirts Drop 2</v>
      </c>
      <c r="P42" t="str">
        <f>_xlfn.XLOOKUP(salesitems[[#This Row],[product_id]],fashion_store_products!A:A,fashion_store_products!C:C)</f>
        <v>T-Shirts</v>
      </c>
    </row>
    <row r="43" spans="1:16" x14ac:dyDescent="0.45">
      <c r="A43">
        <v>1640</v>
      </c>
      <c r="B43">
        <v>183</v>
      </c>
      <c r="C43">
        <v>70</v>
      </c>
      <c r="D43">
        <v>1</v>
      </c>
      <c r="E43">
        <v>66.33</v>
      </c>
      <c r="F43">
        <v>66.33</v>
      </c>
      <c r="G43">
        <v>0</v>
      </c>
      <c r="H43" s="2">
        <v>0</v>
      </c>
      <c r="I43">
        <v>0</v>
      </c>
      <c r="J43">
        <v>66.33</v>
      </c>
      <c r="K43" s="1">
        <v>45793</v>
      </c>
      <c r="L43" t="s">
        <v>21</v>
      </c>
      <c r="M43" t="s">
        <v>18</v>
      </c>
      <c r="N43">
        <f>salesitems[[#This Row],[quantity]]*salesitems[[#This Row],[unit_price]]</f>
        <v>66.33</v>
      </c>
      <c r="O43" t="str">
        <f>_xlfn.XLOOKUP(salesitems[[#This Row],[product_id]],products[product_id],products[product_name])</f>
        <v>Modern Boxy Dress</v>
      </c>
      <c r="P43" t="str">
        <f>_xlfn.XLOOKUP(salesitems[[#This Row],[product_id]],fashion_store_products!A:A,fashion_store_products!C:C)</f>
        <v>Dresses</v>
      </c>
    </row>
    <row r="44" spans="1:16" x14ac:dyDescent="0.45">
      <c r="A44">
        <v>185</v>
      </c>
      <c r="B44">
        <v>1136</v>
      </c>
      <c r="C44">
        <v>435</v>
      </c>
      <c r="D44">
        <v>1</v>
      </c>
      <c r="E44">
        <v>64.5</v>
      </c>
      <c r="F44">
        <v>64.5</v>
      </c>
      <c r="G44">
        <v>0</v>
      </c>
      <c r="H44" s="2">
        <v>0</v>
      </c>
      <c r="I44">
        <v>0</v>
      </c>
      <c r="J44">
        <v>64.5</v>
      </c>
      <c r="K44" s="1">
        <v>45822</v>
      </c>
      <c r="L44" t="s">
        <v>15</v>
      </c>
      <c r="M44" t="s">
        <v>15</v>
      </c>
      <c r="N44">
        <f>salesitems[[#This Row],[quantity]]*salesitems[[#This Row],[unit_price]]</f>
        <v>64.5</v>
      </c>
      <c r="O44" t="str">
        <f>_xlfn.XLOOKUP(salesitems[[#This Row],[product_id]],products[product_id],products[product_name])</f>
        <v>Tailored Wrap Trousers</v>
      </c>
      <c r="P44" t="str">
        <f>_xlfn.XLOOKUP(salesitems[[#This Row],[product_id]],fashion_store_products!A:A,fashion_store_products!C:C)</f>
        <v>Pants</v>
      </c>
    </row>
    <row r="45" spans="1:16" x14ac:dyDescent="0.45">
      <c r="A45">
        <v>1624</v>
      </c>
      <c r="B45">
        <v>54</v>
      </c>
      <c r="C45">
        <v>435</v>
      </c>
      <c r="D45">
        <v>1</v>
      </c>
      <c r="E45">
        <v>64.5</v>
      </c>
      <c r="F45">
        <v>64.5</v>
      </c>
      <c r="G45">
        <v>0</v>
      </c>
      <c r="H45" s="2">
        <v>0</v>
      </c>
      <c r="I45">
        <v>0</v>
      </c>
      <c r="J45">
        <v>64.5</v>
      </c>
      <c r="K45" s="1">
        <v>45805</v>
      </c>
      <c r="L45" t="s">
        <v>15</v>
      </c>
      <c r="M45" t="s">
        <v>15</v>
      </c>
      <c r="N45">
        <f>salesitems[[#This Row],[quantity]]*salesitems[[#This Row],[unit_price]]</f>
        <v>64.5</v>
      </c>
      <c r="O45" t="str">
        <f>_xlfn.XLOOKUP(salesitems[[#This Row],[product_id]],products[product_id],products[product_name])</f>
        <v>Tailored Wrap Trousers</v>
      </c>
      <c r="P45" t="str">
        <f>_xlfn.XLOOKUP(salesitems[[#This Row],[product_id]],fashion_store_products!A:A,fashion_store_products!C:C)</f>
        <v>Pants</v>
      </c>
    </row>
    <row r="46" spans="1:16" x14ac:dyDescent="0.45">
      <c r="A46">
        <v>1894</v>
      </c>
      <c r="B46">
        <v>204</v>
      </c>
      <c r="C46">
        <v>276</v>
      </c>
      <c r="D46">
        <v>1</v>
      </c>
      <c r="E46">
        <v>64.44</v>
      </c>
      <c r="F46">
        <v>64.44</v>
      </c>
      <c r="G46">
        <v>0</v>
      </c>
      <c r="H46" s="2">
        <v>0</v>
      </c>
      <c r="I46">
        <v>0</v>
      </c>
      <c r="J46">
        <v>64.44</v>
      </c>
      <c r="K46" s="1">
        <v>45783</v>
      </c>
      <c r="L46" t="s">
        <v>21</v>
      </c>
      <c r="M46" t="s">
        <v>18</v>
      </c>
      <c r="N46">
        <f>salesitems[[#This Row],[quantity]]*salesitems[[#This Row],[unit_price]]</f>
        <v>64.44</v>
      </c>
      <c r="O46" t="str">
        <f>_xlfn.XLOOKUP(salesitems[[#This Row],[product_id]],products[product_id],products[product_name])</f>
        <v>Relaxed High-Waist Tee</v>
      </c>
      <c r="P46" t="str">
        <f>_xlfn.XLOOKUP(salesitems[[#This Row],[product_id]],fashion_store_products!A:A,fashion_store_products!C:C)</f>
        <v>T-Shirts</v>
      </c>
    </row>
    <row r="47" spans="1:16" x14ac:dyDescent="0.45">
      <c r="A47">
        <v>2601</v>
      </c>
      <c r="B47">
        <v>1344</v>
      </c>
      <c r="C47">
        <v>276</v>
      </c>
      <c r="D47">
        <v>1</v>
      </c>
      <c r="E47">
        <v>64.44</v>
      </c>
      <c r="F47">
        <v>64.44</v>
      </c>
      <c r="G47">
        <v>0</v>
      </c>
      <c r="H47" s="2">
        <v>0</v>
      </c>
      <c r="I47">
        <v>0</v>
      </c>
      <c r="J47">
        <v>64.44</v>
      </c>
      <c r="K47" s="1">
        <v>45768</v>
      </c>
      <c r="L47" t="s">
        <v>15</v>
      </c>
      <c r="M47" t="s">
        <v>15</v>
      </c>
      <c r="N47">
        <f>salesitems[[#This Row],[quantity]]*salesitems[[#This Row],[unit_price]]</f>
        <v>64.44</v>
      </c>
      <c r="O47" t="str">
        <f>_xlfn.XLOOKUP(salesitems[[#This Row],[product_id]],products[product_id],products[product_name])</f>
        <v>Relaxed High-Waist Tee</v>
      </c>
      <c r="P47" t="str">
        <f>_xlfn.XLOOKUP(salesitems[[#This Row],[product_id]],fashion_store_products!A:A,fashion_store_products!C:C)</f>
        <v>T-Shirts</v>
      </c>
    </row>
    <row r="48" spans="1:16" x14ac:dyDescent="0.45">
      <c r="A48">
        <v>2521</v>
      </c>
      <c r="B48">
        <v>466</v>
      </c>
      <c r="C48">
        <v>194</v>
      </c>
      <c r="D48">
        <v>1</v>
      </c>
      <c r="E48">
        <v>64.11</v>
      </c>
      <c r="F48">
        <v>64.11</v>
      </c>
      <c r="G48">
        <v>0</v>
      </c>
      <c r="H48" s="2">
        <v>0</v>
      </c>
      <c r="I48">
        <v>0</v>
      </c>
      <c r="J48">
        <v>64.11</v>
      </c>
      <c r="K48" s="1">
        <v>45764</v>
      </c>
      <c r="L48" t="s">
        <v>21</v>
      </c>
      <c r="M48" t="s">
        <v>18</v>
      </c>
      <c r="N48">
        <f>salesitems[[#This Row],[quantity]]*salesitems[[#This Row],[unit_price]]</f>
        <v>64.11</v>
      </c>
      <c r="O48" t="str">
        <f>_xlfn.XLOOKUP(salesitems[[#This Row],[product_id]],products[product_id],products[product_name])</f>
        <v>Vintage Sleeveless Set</v>
      </c>
      <c r="P48" t="str">
        <f>_xlfn.XLOOKUP(salesitems[[#This Row],[product_id]],fashion_store_products!A:A,fashion_store_products!C:C)</f>
        <v>Sleepwear</v>
      </c>
    </row>
    <row r="49" spans="1:16" x14ac:dyDescent="0.45">
      <c r="A49">
        <v>674</v>
      </c>
      <c r="B49">
        <v>946</v>
      </c>
      <c r="C49">
        <v>371</v>
      </c>
      <c r="D49">
        <v>1</v>
      </c>
      <c r="E49">
        <v>63.82</v>
      </c>
      <c r="F49">
        <v>63.82</v>
      </c>
      <c r="G49">
        <v>0</v>
      </c>
      <c r="H49" s="2">
        <v>0</v>
      </c>
      <c r="I49">
        <v>0</v>
      </c>
      <c r="J49">
        <v>63.82</v>
      </c>
      <c r="K49" s="1">
        <v>45763</v>
      </c>
      <c r="L49" t="s">
        <v>15</v>
      </c>
      <c r="M49" t="s">
        <v>15</v>
      </c>
      <c r="N49">
        <f>salesitems[[#This Row],[quantity]]*salesitems[[#This Row],[unit_price]]</f>
        <v>63.82</v>
      </c>
      <c r="O49" t="str">
        <f>_xlfn.XLOOKUP(salesitems[[#This Row],[product_id]],products[product_id],products[product_name])</f>
        <v>Elegant Cotton Tee</v>
      </c>
      <c r="P49" t="str">
        <f>_xlfn.XLOOKUP(salesitems[[#This Row],[product_id]],fashion_store_products!A:A,fashion_store_products!C:C)</f>
        <v>T-Shirts</v>
      </c>
    </row>
    <row r="50" spans="1:16" x14ac:dyDescent="0.45">
      <c r="A50">
        <v>2257</v>
      </c>
      <c r="B50">
        <v>1117</v>
      </c>
      <c r="C50">
        <v>372</v>
      </c>
      <c r="D50">
        <v>1</v>
      </c>
      <c r="E50">
        <v>63.79</v>
      </c>
      <c r="F50">
        <v>63.79</v>
      </c>
      <c r="G50">
        <v>0</v>
      </c>
      <c r="H50" s="2">
        <v>0</v>
      </c>
      <c r="I50">
        <v>0</v>
      </c>
      <c r="J50">
        <v>63.79</v>
      </c>
      <c r="K50" s="1">
        <v>45823</v>
      </c>
      <c r="L50" t="s">
        <v>21</v>
      </c>
      <c r="M50" t="s">
        <v>18</v>
      </c>
      <c r="N50">
        <f>salesitems[[#This Row],[quantity]]*salesitems[[#This Row],[unit_price]]</f>
        <v>63.79</v>
      </c>
      <c r="O50" t="str">
        <f>_xlfn.XLOOKUP(salesitems[[#This Row],[product_id]],products[product_id],products[product_name])</f>
        <v>Essential Linen Trousers</v>
      </c>
      <c r="P50" t="str">
        <f>_xlfn.XLOOKUP(salesitems[[#This Row],[product_id]],fashion_store_products!A:A,fashion_store_products!C:C)</f>
        <v>Pants</v>
      </c>
    </row>
    <row r="51" spans="1:16" x14ac:dyDescent="0.45">
      <c r="A51">
        <v>174</v>
      </c>
      <c r="B51">
        <v>394</v>
      </c>
      <c r="C51">
        <v>79</v>
      </c>
      <c r="D51">
        <v>1</v>
      </c>
      <c r="E51">
        <v>63.22</v>
      </c>
      <c r="F51">
        <v>63.22</v>
      </c>
      <c r="G51">
        <v>0</v>
      </c>
      <c r="H51" s="2">
        <v>0</v>
      </c>
      <c r="I51">
        <v>0</v>
      </c>
      <c r="J51">
        <v>63.22</v>
      </c>
      <c r="K51" s="1">
        <v>45823</v>
      </c>
      <c r="L51" t="s">
        <v>21</v>
      </c>
      <c r="M51" t="s">
        <v>18</v>
      </c>
      <c r="N51">
        <f>salesitems[[#This Row],[quantity]]*salesitems[[#This Row],[unit_price]]</f>
        <v>63.22</v>
      </c>
      <c r="O51" t="str">
        <f>_xlfn.XLOOKUP(salesitems[[#This Row],[product_id]],products[product_id],products[product_name])</f>
        <v>Modern Satin Trousers</v>
      </c>
      <c r="P51" t="str">
        <f>_xlfn.XLOOKUP(salesitems[[#This Row],[product_id]],fashion_store_products!A:A,fashion_store_products!C:C)</f>
        <v>Pants</v>
      </c>
    </row>
    <row r="52" spans="1:16" x14ac:dyDescent="0.45">
      <c r="A52">
        <v>115</v>
      </c>
      <c r="B52">
        <v>230</v>
      </c>
      <c r="C52">
        <v>206</v>
      </c>
      <c r="D52">
        <v>1</v>
      </c>
      <c r="E52">
        <v>63.03</v>
      </c>
      <c r="F52">
        <v>63.03</v>
      </c>
      <c r="G52">
        <v>0</v>
      </c>
      <c r="H52" s="2">
        <v>0</v>
      </c>
      <c r="I52">
        <v>0</v>
      </c>
      <c r="J52">
        <v>63.03</v>
      </c>
      <c r="K52" s="1">
        <v>45768</v>
      </c>
      <c r="L52" t="s">
        <v>15</v>
      </c>
      <c r="M52" t="s">
        <v>15</v>
      </c>
      <c r="N52">
        <f>salesitems[[#This Row],[quantity]]*salesitems[[#This Row],[unit_price]]</f>
        <v>63.03</v>
      </c>
      <c r="O52" t="str">
        <f>_xlfn.XLOOKUP(salesitems[[#This Row],[product_id]],products[product_id],products[product_name])</f>
        <v>Vintage Silk Trousers</v>
      </c>
      <c r="P52" t="str">
        <f>_xlfn.XLOOKUP(salesitems[[#This Row],[product_id]],fashion_store_products!A:A,fashion_store_products!C:C)</f>
        <v>Pants</v>
      </c>
    </row>
    <row r="53" spans="1:16" x14ac:dyDescent="0.45">
      <c r="A53">
        <v>1404</v>
      </c>
      <c r="B53">
        <v>207</v>
      </c>
      <c r="C53">
        <v>56</v>
      </c>
      <c r="D53">
        <v>1</v>
      </c>
      <c r="E53">
        <v>62.92</v>
      </c>
      <c r="F53">
        <v>62.92</v>
      </c>
      <c r="G53">
        <v>0</v>
      </c>
      <c r="H53" s="2">
        <v>0</v>
      </c>
      <c r="I53">
        <v>0</v>
      </c>
      <c r="J53">
        <v>62.92</v>
      </c>
      <c r="K53" s="1">
        <v>45792</v>
      </c>
      <c r="L53" t="s">
        <v>21</v>
      </c>
      <c r="M53" t="s">
        <v>18</v>
      </c>
      <c r="N53">
        <f>salesitems[[#This Row],[quantity]]*salesitems[[#This Row],[unit_price]]</f>
        <v>62.92</v>
      </c>
      <c r="O53" t="str">
        <f>_xlfn.XLOOKUP(salesitems[[#This Row],[product_id]],products[product_id],products[product_name])</f>
        <v>Modern Wrap Shoes</v>
      </c>
      <c r="P53" t="str">
        <f>_xlfn.XLOOKUP(salesitems[[#This Row],[product_id]],fashion_store_products!A:A,fashion_store_products!C:C)</f>
        <v>Shoes</v>
      </c>
    </row>
    <row r="54" spans="1:16" x14ac:dyDescent="0.45">
      <c r="A54">
        <v>2400</v>
      </c>
      <c r="B54">
        <v>436</v>
      </c>
      <c r="C54">
        <v>38</v>
      </c>
      <c r="D54">
        <v>1</v>
      </c>
      <c r="E54">
        <v>62.8</v>
      </c>
      <c r="F54">
        <v>62.8</v>
      </c>
      <c r="G54">
        <v>0</v>
      </c>
      <c r="H54" s="2">
        <v>0</v>
      </c>
      <c r="I54">
        <v>0</v>
      </c>
      <c r="J54">
        <v>62.8</v>
      </c>
      <c r="K54" s="1">
        <v>45775</v>
      </c>
      <c r="L54" t="s">
        <v>15</v>
      </c>
      <c r="M54" t="s">
        <v>15</v>
      </c>
      <c r="N54">
        <f>salesitems[[#This Row],[quantity]]*salesitems[[#This Row],[unit_price]]</f>
        <v>62.8</v>
      </c>
      <c r="O54" t="str">
        <f>_xlfn.XLOOKUP(salesitems[[#This Row],[product_id]],products[product_id],products[product_name])</f>
        <v>Soft Crew Tee</v>
      </c>
      <c r="P54" t="str">
        <f>_xlfn.XLOOKUP(salesitems[[#This Row],[product_id]],fashion_store_products!A:A,fashion_store_products!C:C)</f>
        <v>T-Shirts</v>
      </c>
    </row>
    <row r="55" spans="1:16" x14ac:dyDescent="0.45">
      <c r="A55">
        <v>718</v>
      </c>
      <c r="B55">
        <v>436</v>
      </c>
      <c r="C55">
        <v>317</v>
      </c>
      <c r="D55">
        <v>1</v>
      </c>
      <c r="E55">
        <v>62.63</v>
      </c>
      <c r="F55">
        <v>62.63</v>
      </c>
      <c r="G55">
        <v>0</v>
      </c>
      <c r="H55" s="2">
        <v>0</v>
      </c>
      <c r="I55">
        <v>0</v>
      </c>
      <c r="J55">
        <v>62.63</v>
      </c>
      <c r="K55" s="1">
        <v>45775</v>
      </c>
      <c r="L55" t="s">
        <v>15</v>
      </c>
      <c r="M55" t="s">
        <v>15</v>
      </c>
      <c r="N55">
        <f>salesitems[[#This Row],[quantity]]*salesitems[[#This Row],[unit_price]]</f>
        <v>62.63</v>
      </c>
      <c r="O55" t="str">
        <f>_xlfn.XLOOKUP(salesitems[[#This Row],[product_id]],products[product_id],products[product_name])</f>
        <v>Relaxed High-Waist Set</v>
      </c>
      <c r="P55" t="str">
        <f>_xlfn.XLOOKUP(salesitems[[#This Row],[product_id]],fashion_store_products!A:A,fashion_store_products!C:C)</f>
        <v>Sleepwear</v>
      </c>
    </row>
    <row r="56" spans="1:16" x14ac:dyDescent="0.45">
      <c r="A56">
        <v>1997</v>
      </c>
      <c r="B56">
        <v>1245</v>
      </c>
      <c r="C56">
        <v>115</v>
      </c>
      <c r="D56">
        <v>1</v>
      </c>
      <c r="E56">
        <v>62.27</v>
      </c>
      <c r="F56">
        <v>62.27</v>
      </c>
      <c r="G56">
        <v>0</v>
      </c>
      <c r="H56" s="2">
        <v>0</v>
      </c>
      <c r="I56">
        <v>0</v>
      </c>
      <c r="J56">
        <v>62.27</v>
      </c>
      <c r="K56" s="1">
        <v>45794</v>
      </c>
      <c r="L56" t="s">
        <v>21</v>
      </c>
      <c r="M56" t="s">
        <v>18</v>
      </c>
      <c r="N56">
        <f>salesitems[[#This Row],[quantity]]*salesitems[[#This Row],[unit_price]]</f>
        <v>62.27</v>
      </c>
      <c r="O56" t="str">
        <f>_xlfn.XLOOKUP(salesitems[[#This Row],[product_id]],products[product_id],products[product_name])</f>
        <v>Modern High-Waist Set</v>
      </c>
      <c r="P56" t="str">
        <f>_xlfn.XLOOKUP(salesitems[[#This Row],[product_id]],fashion_store_products!A:A,fashion_store_products!C:C)</f>
        <v>Sleepwear</v>
      </c>
    </row>
    <row r="57" spans="1:16" x14ac:dyDescent="0.45">
      <c r="A57">
        <v>1481</v>
      </c>
      <c r="B57">
        <v>1135</v>
      </c>
      <c r="C57">
        <v>437</v>
      </c>
      <c r="D57">
        <v>1</v>
      </c>
      <c r="E57">
        <v>62.17</v>
      </c>
      <c r="F57">
        <v>62.17</v>
      </c>
      <c r="G57">
        <v>0</v>
      </c>
      <c r="H57" s="2">
        <v>0</v>
      </c>
      <c r="I57">
        <v>0</v>
      </c>
      <c r="J57">
        <v>62.17</v>
      </c>
      <c r="K57" s="1">
        <v>45797</v>
      </c>
      <c r="L57" t="s">
        <v>15</v>
      </c>
      <c r="M57" t="s">
        <v>15</v>
      </c>
      <c r="N57">
        <f>salesitems[[#This Row],[quantity]]*salesitems[[#This Row],[unit_price]]</f>
        <v>62.17</v>
      </c>
      <c r="O57" t="str">
        <f>_xlfn.XLOOKUP(salesitems[[#This Row],[product_id]],products[product_id],products[product_name])</f>
        <v>Elegant Boxy Dress</v>
      </c>
      <c r="P57" t="str">
        <f>_xlfn.XLOOKUP(salesitems[[#This Row],[product_id]],fashion_store_products!A:A,fashion_store_products!C:C)</f>
        <v>Dresses</v>
      </c>
    </row>
    <row r="58" spans="1:16" x14ac:dyDescent="0.45">
      <c r="A58">
        <v>1538</v>
      </c>
      <c r="B58">
        <v>418</v>
      </c>
      <c r="C58">
        <v>437</v>
      </c>
      <c r="D58">
        <v>1</v>
      </c>
      <c r="E58">
        <v>62.17</v>
      </c>
      <c r="F58">
        <v>62.17</v>
      </c>
      <c r="G58">
        <v>0</v>
      </c>
      <c r="H58" s="2">
        <v>0</v>
      </c>
      <c r="I58">
        <v>0</v>
      </c>
      <c r="J58">
        <v>62.17</v>
      </c>
      <c r="K58" s="1">
        <v>45813</v>
      </c>
      <c r="L58" t="s">
        <v>15</v>
      </c>
      <c r="M58" t="s">
        <v>15</v>
      </c>
      <c r="N58">
        <f>salesitems[[#This Row],[quantity]]*salesitems[[#This Row],[unit_price]]</f>
        <v>62.17</v>
      </c>
      <c r="O58" t="str">
        <f>_xlfn.XLOOKUP(salesitems[[#This Row],[product_id]],products[product_id],products[product_name])</f>
        <v>Elegant Boxy Dress</v>
      </c>
      <c r="P58" t="str">
        <f>_xlfn.XLOOKUP(salesitems[[#This Row],[product_id]],fashion_store_products!A:A,fashion_store_products!C:C)</f>
        <v>Dresses</v>
      </c>
    </row>
    <row r="59" spans="1:16" x14ac:dyDescent="0.45">
      <c r="A59">
        <v>1044</v>
      </c>
      <c r="B59">
        <v>626</v>
      </c>
      <c r="C59">
        <v>50</v>
      </c>
      <c r="D59">
        <v>1</v>
      </c>
      <c r="E59">
        <v>61.95</v>
      </c>
      <c r="F59">
        <v>61.95</v>
      </c>
      <c r="G59">
        <v>0</v>
      </c>
      <c r="H59" s="2">
        <v>0</v>
      </c>
      <c r="I59">
        <v>0</v>
      </c>
      <c r="J59">
        <v>61.95</v>
      </c>
      <c r="K59" s="1">
        <v>45771</v>
      </c>
      <c r="L59" t="s">
        <v>15</v>
      </c>
      <c r="M59" t="s">
        <v>15</v>
      </c>
      <c r="N59">
        <f>salesitems[[#This Row],[quantity]]*salesitems[[#This Row],[unit_price]]</f>
        <v>61.95</v>
      </c>
      <c r="O59" t="str">
        <f>_xlfn.XLOOKUP(salesitems[[#This Row],[product_id]],products[product_id],products[product_name])</f>
        <v>Modern Wrap Tee</v>
      </c>
      <c r="P59" t="str">
        <f>_xlfn.XLOOKUP(salesitems[[#This Row],[product_id]],fashion_store_products!A:A,fashion_store_products!C:C)</f>
        <v>T-Shirts</v>
      </c>
    </row>
    <row r="60" spans="1:16" x14ac:dyDescent="0.45">
      <c r="A60">
        <v>2354</v>
      </c>
      <c r="B60">
        <v>779</v>
      </c>
      <c r="C60">
        <v>266</v>
      </c>
      <c r="D60">
        <v>1</v>
      </c>
      <c r="E60">
        <v>61.67</v>
      </c>
      <c r="F60">
        <v>61.67</v>
      </c>
      <c r="G60">
        <v>0</v>
      </c>
      <c r="H60" s="2">
        <v>0</v>
      </c>
      <c r="I60">
        <v>0</v>
      </c>
      <c r="J60">
        <v>61.67</v>
      </c>
      <c r="K60" s="1">
        <v>45764</v>
      </c>
      <c r="L60" t="s">
        <v>15</v>
      </c>
      <c r="M60" t="s">
        <v>15</v>
      </c>
      <c r="N60">
        <f>salesitems[[#This Row],[quantity]]*salesitems[[#This Row],[unit_price]]</f>
        <v>61.67</v>
      </c>
      <c r="O60" t="str">
        <f>_xlfn.XLOOKUP(salesitems[[#This Row],[product_id]],products[product_id],products[product_name])</f>
        <v>Polished Crew Trousers</v>
      </c>
      <c r="P60" t="str">
        <f>_xlfn.XLOOKUP(salesitems[[#This Row],[product_id]],fashion_store_products!A:A,fashion_store_products!C:C)</f>
        <v>Pants</v>
      </c>
    </row>
    <row r="61" spans="1:16" x14ac:dyDescent="0.45">
      <c r="A61">
        <v>1311</v>
      </c>
      <c r="B61">
        <v>168</v>
      </c>
      <c r="C61">
        <v>35</v>
      </c>
      <c r="D61">
        <v>1</v>
      </c>
      <c r="E61">
        <v>61.61</v>
      </c>
      <c r="F61">
        <v>61.61</v>
      </c>
      <c r="G61">
        <v>0</v>
      </c>
      <c r="H61" s="2">
        <v>0</v>
      </c>
      <c r="I61">
        <v>0</v>
      </c>
      <c r="J61">
        <v>61.61</v>
      </c>
      <c r="K61" s="1">
        <v>45751</v>
      </c>
      <c r="L61" t="s">
        <v>15</v>
      </c>
      <c r="M61" t="s">
        <v>15</v>
      </c>
      <c r="N61">
        <f>salesitems[[#This Row],[quantity]]*salesitems[[#This Row],[unit_price]]</f>
        <v>61.61</v>
      </c>
      <c r="O61" t="str">
        <f>_xlfn.XLOOKUP(salesitems[[#This Row],[product_id]],products[product_id],products[product_name])</f>
        <v>Modern Ribbed Dress</v>
      </c>
      <c r="P61" t="str">
        <f>_xlfn.XLOOKUP(salesitems[[#This Row],[product_id]],fashion_store_products!A:A,fashion_store_products!C:C)</f>
        <v>Dresses</v>
      </c>
    </row>
    <row r="62" spans="1:16" x14ac:dyDescent="0.45">
      <c r="A62">
        <v>2658</v>
      </c>
      <c r="B62">
        <v>1103</v>
      </c>
      <c r="C62">
        <v>35</v>
      </c>
      <c r="D62">
        <v>1</v>
      </c>
      <c r="E62">
        <v>61.61</v>
      </c>
      <c r="F62">
        <v>61.61</v>
      </c>
      <c r="G62">
        <v>0</v>
      </c>
      <c r="H62" s="2">
        <v>0</v>
      </c>
      <c r="I62">
        <v>0</v>
      </c>
      <c r="J62">
        <v>61.61</v>
      </c>
      <c r="K62" s="1">
        <v>45808</v>
      </c>
      <c r="L62" t="s">
        <v>21</v>
      </c>
      <c r="M62" t="s">
        <v>18</v>
      </c>
      <c r="N62">
        <f>salesitems[[#This Row],[quantity]]*salesitems[[#This Row],[unit_price]]</f>
        <v>61.61</v>
      </c>
      <c r="O62" t="str">
        <f>_xlfn.XLOOKUP(salesitems[[#This Row],[product_id]],products[product_id],products[product_name])</f>
        <v>Modern Ribbed Dress</v>
      </c>
      <c r="P62" t="str">
        <f>_xlfn.XLOOKUP(salesitems[[#This Row],[product_id]],fashion_store_products!A:A,fashion_store_products!C:C)</f>
        <v>Dresses</v>
      </c>
    </row>
    <row r="63" spans="1:16" x14ac:dyDescent="0.45">
      <c r="A63">
        <v>131</v>
      </c>
      <c r="B63">
        <v>1281</v>
      </c>
      <c r="C63">
        <v>399</v>
      </c>
      <c r="D63">
        <v>1</v>
      </c>
      <c r="E63">
        <v>61.6</v>
      </c>
      <c r="F63">
        <v>61.6</v>
      </c>
      <c r="G63">
        <v>0</v>
      </c>
      <c r="H63" s="2">
        <v>0</v>
      </c>
      <c r="I63">
        <v>0</v>
      </c>
      <c r="J63">
        <v>61.6</v>
      </c>
      <c r="K63" s="1">
        <v>45812</v>
      </c>
      <c r="L63" t="s">
        <v>15</v>
      </c>
      <c r="M63" t="s">
        <v>15</v>
      </c>
      <c r="N63">
        <f>salesitems[[#This Row],[quantity]]*salesitems[[#This Row],[unit_price]]</f>
        <v>61.6</v>
      </c>
      <c r="O63" t="str">
        <f>_xlfn.XLOOKUP(salesitems[[#This Row],[product_id]],products[product_id],products[product_name])</f>
        <v>Elegant Linen Shoes</v>
      </c>
      <c r="P63" t="str">
        <f>_xlfn.XLOOKUP(salesitems[[#This Row],[product_id]],fashion_store_products!A:A,fashion_store_products!C:C)</f>
        <v>Shoes</v>
      </c>
    </row>
    <row r="64" spans="1:16" x14ac:dyDescent="0.45">
      <c r="A64">
        <v>589</v>
      </c>
      <c r="B64">
        <v>43</v>
      </c>
      <c r="C64">
        <v>399</v>
      </c>
      <c r="D64">
        <v>1</v>
      </c>
      <c r="E64">
        <v>61.6</v>
      </c>
      <c r="F64">
        <v>61.6</v>
      </c>
      <c r="G64">
        <v>0</v>
      </c>
      <c r="H64" s="2">
        <v>0</v>
      </c>
      <c r="I64">
        <v>0</v>
      </c>
      <c r="J64">
        <v>61.6</v>
      </c>
      <c r="K64" s="1">
        <v>45762</v>
      </c>
      <c r="L64" t="s">
        <v>15</v>
      </c>
      <c r="M64" t="s">
        <v>15</v>
      </c>
      <c r="N64">
        <f>salesitems[[#This Row],[quantity]]*salesitems[[#This Row],[unit_price]]</f>
        <v>61.6</v>
      </c>
      <c r="O64" t="str">
        <f>_xlfn.XLOOKUP(salesitems[[#This Row],[product_id]],products[product_id],products[product_name])</f>
        <v>Elegant Linen Shoes</v>
      </c>
      <c r="P64" t="str">
        <f>_xlfn.XLOOKUP(salesitems[[#This Row],[product_id]],fashion_store_products!A:A,fashion_store_products!C:C)</f>
        <v>Shoes</v>
      </c>
    </row>
    <row r="65" spans="1:16" x14ac:dyDescent="0.45">
      <c r="A65">
        <v>60</v>
      </c>
      <c r="B65">
        <v>226</v>
      </c>
      <c r="C65">
        <v>428</v>
      </c>
      <c r="D65">
        <v>1</v>
      </c>
      <c r="E65">
        <v>61.22</v>
      </c>
      <c r="F65">
        <v>61.22</v>
      </c>
      <c r="G65">
        <v>0</v>
      </c>
      <c r="H65" s="2">
        <v>0</v>
      </c>
      <c r="I65">
        <v>0</v>
      </c>
      <c r="J65">
        <v>61.22</v>
      </c>
      <c r="K65" s="1">
        <v>45770</v>
      </c>
      <c r="L65" t="s">
        <v>15</v>
      </c>
      <c r="M65" t="s">
        <v>15</v>
      </c>
      <c r="N65">
        <f>salesitems[[#This Row],[quantity]]*salesitems[[#This Row],[unit_price]]</f>
        <v>61.22</v>
      </c>
      <c r="O65" t="str">
        <f>_xlfn.XLOOKUP(salesitems[[#This Row],[product_id]],products[product_id],products[product_name])</f>
        <v>Elegant High-Waist Shoes</v>
      </c>
      <c r="P65" t="str">
        <f>_xlfn.XLOOKUP(salesitems[[#This Row],[product_id]],fashion_store_products!A:A,fashion_store_products!C:C)</f>
        <v>Shoes</v>
      </c>
    </row>
    <row r="66" spans="1:16" x14ac:dyDescent="0.45">
      <c r="A66">
        <v>539</v>
      </c>
      <c r="B66">
        <v>509</v>
      </c>
      <c r="C66">
        <v>483</v>
      </c>
      <c r="D66">
        <v>1</v>
      </c>
      <c r="E66">
        <v>60.89</v>
      </c>
      <c r="F66">
        <v>60.89</v>
      </c>
      <c r="G66">
        <v>0</v>
      </c>
      <c r="H66" s="2">
        <v>0</v>
      </c>
      <c r="I66">
        <v>0</v>
      </c>
      <c r="J66">
        <v>60.89</v>
      </c>
      <c r="K66" s="1">
        <v>45792</v>
      </c>
      <c r="L66" t="s">
        <v>21</v>
      </c>
      <c r="M66" t="s">
        <v>18</v>
      </c>
      <c r="N66">
        <f>salesitems[[#This Row],[quantity]]*salesitems[[#This Row],[unit_price]]</f>
        <v>60.89</v>
      </c>
      <c r="O66" t="str">
        <f>_xlfn.XLOOKUP(salesitems[[#This Row],[product_id]],products[product_id],products[product_name])</f>
        <v>T-Shirts Drop 3</v>
      </c>
      <c r="P66" t="str">
        <f>_xlfn.XLOOKUP(salesitems[[#This Row],[product_id]],fashion_store_products!A:A,fashion_store_products!C:C)</f>
        <v>T-Shirts</v>
      </c>
    </row>
    <row r="67" spans="1:16" x14ac:dyDescent="0.45">
      <c r="A67">
        <v>2091</v>
      </c>
      <c r="B67">
        <v>370</v>
      </c>
      <c r="C67">
        <v>483</v>
      </c>
      <c r="D67">
        <v>1</v>
      </c>
      <c r="E67">
        <v>60.89</v>
      </c>
      <c r="F67">
        <v>60.89</v>
      </c>
      <c r="G67">
        <v>0</v>
      </c>
      <c r="H67" s="2">
        <v>0</v>
      </c>
      <c r="I67">
        <v>0</v>
      </c>
      <c r="J67">
        <v>60.89</v>
      </c>
      <c r="K67" s="1">
        <v>45768</v>
      </c>
      <c r="L67" t="s">
        <v>15</v>
      </c>
      <c r="M67" t="s">
        <v>15</v>
      </c>
      <c r="N67">
        <f>salesitems[[#This Row],[quantity]]*salesitems[[#This Row],[unit_price]]</f>
        <v>60.89</v>
      </c>
      <c r="O67" t="str">
        <f>_xlfn.XLOOKUP(salesitems[[#This Row],[product_id]],products[product_id],products[product_name])</f>
        <v>T-Shirts Drop 3</v>
      </c>
      <c r="P67" t="str">
        <f>_xlfn.XLOOKUP(salesitems[[#This Row],[product_id]],fashion_store_products!A:A,fashion_store_products!C:C)</f>
        <v>T-Shirts</v>
      </c>
    </row>
    <row r="68" spans="1:16" x14ac:dyDescent="0.45">
      <c r="A68">
        <v>2727</v>
      </c>
      <c r="B68">
        <v>486</v>
      </c>
      <c r="C68">
        <v>483</v>
      </c>
      <c r="D68">
        <v>1</v>
      </c>
      <c r="E68">
        <v>60.89</v>
      </c>
      <c r="F68">
        <v>60.89</v>
      </c>
      <c r="G68">
        <v>0</v>
      </c>
      <c r="H68" s="2">
        <v>0</v>
      </c>
      <c r="I68">
        <v>0</v>
      </c>
      <c r="J68">
        <v>60.89</v>
      </c>
      <c r="K68" s="1">
        <v>45766</v>
      </c>
      <c r="L68" t="s">
        <v>15</v>
      </c>
      <c r="M68" t="s">
        <v>15</v>
      </c>
      <c r="N68">
        <f>salesitems[[#This Row],[quantity]]*salesitems[[#This Row],[unit_price]]</f>
        <v>60.89</v>
      </c>
      <c r="O68" t="str">
        <f>_xlfn.XLOOKUP(salesitems[[#This Row],[product_id]],products[product_id],products[product_name])</f>
        <v>T-Shirts Drop 3</v>
      </c>
      <c r="P68" t="str">
        <f>_xlfn.XLOOKUP(salesitems[[#This Row],[product_id]],fashion_store_products!A:A,fashion_store_products!C:C)</f>
        <v>T-Shirts</v>
      </c>
    </row>
    <row r="69" spans="1:16" x14ac:dyDescent="0.45">
      <c r="A69">
        <v>2291</v>
      </c>
      <c r="B69">
        <v>510</v>
      </c>
      <c r="C69">
        <v>340</v>
      </c>
      <c r="D69">
        <v>1</v>
      </c>
      <c r="E69">
        <v>60.83</v>
      </c>
      <c r="F69">
        <v>60.83</v>
      </c>
      <c r="G69">
        <v>0</v>
      </c>
      <c r="H69" s="2">
        <v>0</v>
      </c>
      <c r="I69">
        <v>0</v>
      </c>
      <c r="J69">
        <v>60.83</v>
      </c>
      <c r="K69" s="1">
        <v>45777</v>
      </c>
      <c r="L69" t="s">
        <v>21</v>
      </c>
      <c r="M69" t="s">
        <v>18</v>
      </c>
      <c r="N69">
        <f>salesitems[[#This Row],[quantity]]*salesitems[[#This Row],[unit_price]]</f>
        <v>60.83</v>
      </c>
      <c r="O69" t="str">
        <f>_xlfn.XLOOKUP(salesitems[[#This Row],[product_id]],products[product_id],products[product_name])</f>
        <v>Tailored Cotton Shoes</v>
      </c>
      <c r="P69" t="str">
        <f>_xlfn.XLOOKUP(salesitems[[#This Row],[product_id]],fashion_store_products!A:A,fashion_store_products!C:C)</f>
        <v>Shoes</v>
      </c>
    </row>
    <row r="70" spans="1:16" x14ac:dyDescent="0.45">
      <c r="A70">
        <v>1551</v>
      </c>
      <c r="B70">
        <v>1339</v>
      </c>
      <c r="C70">
        <v>129</v>
      </c>
      <c r="D70">
        <v>1</v>
      </c>
      <c r="E70">
        <v>60.68</v>
      </c>
      <c r="F70">
        <v>60.68</v>
      </c>
      <c r="G70">
        <v>0</v>
      </c>
      <c r="H70" s="2">
        <v>0</v>
      </c>
      <c r="I70">
        <v>0</v>
      </c>
      <c r="J70">
        <v>60.68</v>
      </c>
      <c r="K70" s="1">
        <v>45770</v>
      </c>
      <c r="L70" t="s">
        <v>15</v>
      </c>
      <c r="M70" t="s">
        <v>15</v>
      </c>
      <c r="N70">
        <f>salesitems[[#This Row],[quantity]]*salesitems[[#This Row],[unit_price]]</f>
        <v>60.68</v>
      </c>
      <c r="O70" t="str">
        <f>_xlfn.XLOOKUP(salesitems[[#This Row],[product_id]],products[product_id],products[product_name])</f>
        <v>Classic Linen Trousers</v>
      </c>
      <c r="P70" t="str">
        <f>_xlfn.XLOOKUP(salesitems[[#This Row],[product_id]],fashion_store_products!A:A,fashion_store_products!C:C)</f>
        <v>Pants</v>
      </c>
    </row>
    <row r="71" spans="1:16" x14ac:dyDescent="0.45">
      <c r="A71">
        <v>2342</v>
      </c>
      <c r="B71">
        <v>52</v>
      </c>
      <c r="C71">
        <v>129</v>
      </c>
      <c r="D71">
        <v>1</v>
      </c>
      <c r="E71">
        <v>60.68</v>
      </c>
      <c r="F71">
        <v>60.68</v>
      </c>
      <c r="G71">
        <v>0</v>
      </c>
      <c r="H71" s="2">
        <v>0</v>
      </c>
      <c r="I71">
        <v>0</v>
      </c>
      <c r="J71">
        <v>60.68</v>
      </c>
      <c r="K71" s="1">
        <v>45798</v>
      </c>
      <c r="L71" t="s">
        <v>21</v>
      </c>
      <c r="M71" t="s">
        <v>18</v>
      </c>
      <c r="N71">
        <f>salesitems[[#This Row],[quantity]]*salesitems[[#This Row],[unit_price]]</f>
        <v>60.68</v>
      </c>
      <c r="O71" t="str">
        <f>_xlfn.XLOOKUP(salesitems[[#This Row],[product_id]],products[product_id],products[product_name])</f>
        <v>Classic Linen Trousers</v>
      </c>
      <c r="P71" t="str">
        <f>_xlfn.XLOOKUP(salesitems[[#This Row],[product_id]],fashion_store_products!A:A,fashion_store_products!C:C)</f>
        <v>Pants</v>
      </c>
    </row>
    <row r="72" spans="1:16" x14ac:dyDescent="0.45">
      <c r="A72">
        <v>67</v>
      </c>
      <c r="B72">
        <v>1329</v>
      </c>
      <c r="C72">
        <v>287</v>
      </c>
      <c r="D72">
        <v>1</v>
      </c>
      <c r="E72">
        <v>60.34</v>
      </c>
      <c r="F72">
        <v>60.34</v>
      </c>
      <c r="G72">
        <v>0</v>
      </c>
      <c r="H72" s="2">
        <v>0</v>
      </c>
      <c r="I72">
        <v>0</v>
      </c>
      <c r="J72">
        <v>60.34</v>
      </c>
      <c r="K72" s="1">
        <v>45774</v>
      </c>
      <c r="L72" t="s">
        <v>15</v>
      </c>
      <c r="M72" t="s">
        <v>15</v>
      </c>
      <c r="N72">
        <f>salesitems[[#This Row],[quantity]]*salesitems[[#This Row],[unit_price]]</f>
        <v>60.34</v>
      </c>
      <c r="O72" t="str">
        <f>_xlfn.XLOOKUP(salesitems[[#This Row],[product_id]],products[product_id],products[product_name])</f>
        <v>Relaxed Ribbed Set</v>
      </c>
      <c r="P72" t="str">
        <f>_xlfn.XLOOKUP(salesitems[[#This Row],[product_id]],fashion_store_products!A:A,fashion_store_products!C:C)</f>
        <v>Sleepwear</v>
      </c>
    </row>
    <row r="73" spans="1:16" x14ac:dyDescent="0.45">
      <c r="A73">
        <v>271</v>
      </c>
      <c r="B73">
        <v>247</v>
      </c>
      <c r="C73">
        <v>287</v>
      </c>
      <c r="D73">
        <v>1</v>
      </c>
      <c r="E73">
        <v>60.34</v>
      </c>
      <c r="F73">
        <v>60.34</v>
      </c>
      <c r="G73">
        <v>0</v>
      </c>
      <c r="H73" s="2">
        <v>0</v>
      </c>
      <c r="I73">
        <v>0</v>
      </c>
      <c r="J73">
        <v>60.34</v>
      </c>
      <c r="K73" s="1">
        <v>45751</v>
      </c>
      <c r="L73" t="s">
        <v>15</v>
      </c>
      <c r="M73" t="s">
        <v>15</v>
      </c>
      <c r="N73">
        <f>salesitems[[#This Row],[quantity]]*salesitems[[#This Row],[unit_price]]</f>
        <v>60.34</v>
      </c>
      <c r="O73" t="str">
        <f>_xlfn.XLOOKUP(salesitems[[#This Row],[product_id]],products[product_id],products[product_name])</f>
        <v>Relaxed Ribbed Set</v>
      </c>
      <c r="P73" t="str">
        <f>_xlfn.XLOOKUP(salesitems[[#This Row],[product_id]],fashion_store_products!A:A,fashion_store_products!C:C)</f>
        <v>Sleepwear</v>
      </c>
    </row>
    <row r="74" spans="1:16" x14ac:dyDescent="0.45">
      <c r="A74">
        <v>2913</v>
      </c>
      <c r="B74">
        <v>1166</v>
      </c>
      <c r="C74">
        <v>287</v>
      </c>
      <c r="D74">
        <v>1</v>
      </c>
      <c r="E74">
        <v>60.34</v>
      </c>
      <c r="F74">
        <v>60.34</v>
      </c>
      <c r="G74">
        <v>0</v>
      </c>
      <c r="H74" s="2">
        <v>0</v>
      </c>
      <c r="I74">
        <v>0</v>
      </c>
      <c r="J74">
        <v>60.34</v>
      </c>
      <c r="K74" s="1">
        <v>45794</v>
      </c>
      <c r="L74" t="s">
        <v>21</v>
      </c>
      <c r="M74" t="s">
        <v>18</v>
      </c>
      <c r="N74">
        <f>salesitems[[#This Row],[quantity]]*salesitems[[#This Row],[unit_price]]</f>
        <v>60.34</v>
      </c>
      <c r="O74" t="str">
        <f>_xlfn.XLOOKUP(salesitems[[#This Row],[product_id]],products[product_id],products[product_name])</f>
        <v>Relaxed Ribbed Set</v>
      </c>
      <c r="P74" t="str">
        <f>_xlfn.XLOOKUP(salesitems[[#This Row],[product_id]],fashion_store_products!A:A,fashion_store_products!C:C)</f>
        <v>Sleepwear</v>
      </c>
    </row>
    <row r="75" spans="1:16" x14ac:dyDescent="0.45">
      <c r="A75">
        <v>2981</v>
      </c>
      <c r="B75">
        <v>1339</v>
      </c>
      <c r="C75">
        <v>54</v>
      </c>
      <c r="D75">
        <v>1</v>
      </c>
      <c r="E75">
        <v>60.33</v>
      </c>
      <c r="F75">
        <v>60.33</v>
      </c>
      <c r="G75">
        <v>0</v>
      </c>
      <c r="H75" s="2">
        <v>0</v>
      </c>
      <c r="I75">
        <v>0</v>
      </c>
      <c r="J75">
        <v>60.33</v>
      </c>
      <c r="K75" s="1">
        <v>45770</v>
      </c>
      <c r="L75" t="s">
        <v>15</v>
      </c>
      <c r="M75" t="s">
        <v>15</v>
      </c>
      <c r="N75">
        <f>salesitems[[#This Row],[quantity]]*salesitems[[#This Row],[unit_price]]</f>
        <v>60.33</v>
      </c>
      <c r="O75" t="str">
        <f>_xlfn.XLOOKUP(salesitems[[#This Row],[product_id]],products[product_id],products[product_name])</f>
        <v>Modern Silk Dress</v>
      </c>
      <c r="P75" t="str">
        <f>_xlfn.XLOOKUP(salesitems[[#This Row],[product_id]],fashion_store_products!A:A,fashion_store_products!C:C)</f>
        <v>Dresses</v>
      </c>
    </row>
    <row r="76" spans="1:16" x14ac:dyDescent="0.45">
      <c r="A76">
        <v>507</v>
      </c>
      <c r="B76">
        <v>404</v>
      </c>
      <c r="C76">
        <v>324</v>
      </c>
      <c r="D76">
        <v>1</v>
      </c>
      <c r="E76">
        <v>60.31</v>
      </c>
      <c r="F76">
        <v>60.31</v>
      </c>
      <c r="G76">
        <v>0</v>
      </c>
      <c r="H76" s="2">
        <v>0</v>
      </c>
      <c r="I76">
        <v>0</v>
      </c>
      <c r="J76">
        <v>60.31</v>
      </c>
      <c r="K76" s="1">
        <v>45803</v>
      </c>
      <c r="L76" t="s">
        <v>21</v>
      </c>
      <c r="M76" t="s">
        <v>18</v>
      </c>
      <c r="N76">
        <f>salesitems[[#This Row],[quantity]]*salesitems[[#This Row],[unit_price]]</f>
        <v>60.31</v>
      </c>
      <c r="O76" t="str">
        <f>_xlfn.XLOOKUP(salesitems[[#This Row],[product_id]],products[product_id],products[product_name])</f>
        <v>Tailored Linen Tee</v>
      </c>
      <c r="P76" t="str">
        <f>_xlfn.XLOOKUP(salesitems[[#This Row],[product_id]],fashion_store_products!A:A,fashion_store_products!C:C)</f>
        <v>T-Shirts</v>
      </c>
    </row>
    <row r="77" spans="1:16" x14ac:dyDescent="0.45">
      <c r="A77">
        <v>471</v>
      </c>
      <c r="B77">
        <v>976</v>
      </c>
      <c r="C77">
        <v>307</v>
      </c>
      <c r="D77">
        <v>1</v>
      </c>
      <c r="E77">
        <v>66.87</v>
      </c>
      <c r="F77">
        <v>60.18</v>
      </c>
      <c r="G77">
        <v>6.69</v>
      </c>
      <c r="H77" s="2">
        <v>0.1</v>
      </c>
      <c r="I77">
        <v>1</v>
      </c>
      <c r="J77">
        <v>60.18</v>
      </c>
      <c r="K77" s="1">
        <v>45814</v>
      </c>
      <c r="L77" t="s">
        <v>21</v>
      </c>
      <c r="M77" t="s">
        <v>18</v>
      </c>
      <c r="N77">
        <f>salesitems[[#This Row],[quantity]]*salesitems[[#This Row],[unit_price]]</f>
        <v>60.18</v>
      </c>
      <c r="O77" t="str">
        <f>_xlfn.XLOOKUP(salesitems[[#This Row],[product_id]],products[product_id],products[product_name])</f>
        <v>Essential Crew Tee</v>
      </c>
      <c r="P77" t="str">
        <f>_xlfn.XLOOKUP(salesitems[[#This Row],[product_id]],fashion_store_products!A:A,fashion_store_products!C:C)</f>
        <v>T-Shirts</v>
      </c>
    </row>
    <row r="78" spans="1:16" x14ac:dyDescent="0.45">
      <c r="A78">
        <v>1786</v>
      </c>
      <c r="B78">
        <v>607</v>
      </c>
      <c r="C78">
        <v>433</v>
      </c>
      <c r="D78">
        <v>1</v>
      </c>
      <c r="E78">
        <v>60.12</v>
      </c>
      <c r="F78">
        <v>60.12</v>
      </c>
      <c r="G78">
        <v>0</v>
      </c>
      <c r="H78" s="2">
        <v>0</v>
      </c>
      <c r="I78">
        <v>0</v>
      </c>
      <c r="J78">
        <v>60.12</v>
      </c>
      <c r="K78" s="1">
        <v>45777</v>
      </c>
      <c r="L78" t="s">
        <v>15</v>
      </c>
      <c r="M78" t="s">
        <v>15</v>
      </c>
      <c r="N78">
        <f>salesitems[[#This Row],[quantity]]*salesitems[[#This Row],[unit_price]]</f>
        <v>60.12</v>
      </c>
      <c r="O78" t="str">
        <f>_xlfn.XLOOKUP(salesitems[[#This Row],[product_id]],products[product_id],products[product_name])</f>
        <v>Essential Boxy Trousers</v>
      </c>
      <c r="P78" t="str">
        <f>_xlfn.XLOOKUP(salesitems[[#This Row],[product_id]],fashion_store_products!A:A,fashion_store_products!C:C)</f>
        <v>Pants</v>
      </c>
    </row>
    <row r="79" spans="1:16" x14ac:dyDescent="0.45">
      <c r="A79">
        <v>2423</v>
      </c>
      <c r="B79">
        <v>10</v>
      </c>
      <c r="C79">
        <v>347</v>
      </c>
      <c r="D79">
        <v>1</v>
      </c>
      <c r="E79">
        <v>59.92</v>
      </c>
      <c r="F79">
        <v>59.92</v>
      </c>
      <c r="G79">
        <v>0</v>
      </c>
      <c r="H79" s="2">
        <v>0</v>
      </c>
      <c r="I79">
        <v>0</v>
      </c>
      <c r="J79">
        <v>59.92</v>
      </c>
      <c r="K79" s="1">
        <v>45798</v>
      </c>
      <c r="L79" t="s">
        <v>21</v>
      </c>
      <c r="M79" t="s">
        <v>18</v>
      </c>
      <c r="N79">
        <f>salesitems[[#This Row],[quantity]]*salesitems[[#This Row],[unit_price]]</f>
        <v>59.92</v>
      </c>
      <c r="O79" t="str">
        <f>_xlfn.XLOOKUP(salesitems[[#This Row],[product_id]],products[product_id],products[product_name])</f>
        <v>Tailored Sleeveless Tee</v>
      </c>
      <c r="P79" t="str">
        <f>_xlfn.XLOOKUP(salesitems[[#This Row],[product_id]],fashion_store_products!A:A,fashion_store_products!C:C)</f>
        <v>T-Shirts</v>
      </c>
    </row>
    <row r="80" spans="1:16" x14ac:dyDescent="0.45">
      <c r="A80">
        <v>143</v>
      </c>
      <c r="B80">
        <v>557</v>
      </c>
      <c r="C80">
        <v>99</v>
      </c>
      <c r="D80">
        <v>1</v>
      </c>
      <c r="E80">
        <v>59.78</v>
      </c>
      <c r="F80">
        <v>59.78</v>
      </c>
      <c r="G80">
        <v>0</v>
      </c>
      <c r="H80" s="2">
        <v>0</v>
      </c>
      <c r="I80">
        <v>0</v>
      </c>
      <c r="J80">
        <v>59.78</v>
      </c>
      <c r="K80" s="1">
        <v>45772</v>
      </c>
      <c r="L80" t="s">
        <v>15</v>
      </c>
      <c r="M80" t="s">
        <v>15</v>
      </c>
      <c r="N80">
        <f>salesitems[[#This Row],[quantity]]*salesitems[[#This Row],[unit_price]]</f>
        <v>59.78</v>
      </c>
      <c r="O80" t="str">
        <f>_xlfn.XLOOKUP(salesitems[[#This Row],[product_id]],products[product_id],products[product_name])</f>
        <v>Modern Boxy Tee</v>
      </c>
      <c r="P80" t="str">
        <f>_xlfn.XLOOKUP(salesitems[[#This Row],[product_id]],fashion_store_products!A:A,fashion_store_products!C:C)</f>
        <v>T-Shirts</v>
      </c>
    </row>
    <row r="81" spans="1:16" x14ac:dyDescent="0.45">
      <c r="A81">
        <v>3191</v>
      </c>
      <c r="B81">
        <v>761</v>
      </c>
      <c r="C81">
        <v>391</v>
      </c>
      <c r="D81">
        <v>1</v>
      </c>
      <c r="E81">
        <v>59.77</v>
      </c>
      <c r="F81">
        <v>59.77</v>
      </c>
      <c r="G81">
        <v>0</v>
      </c>
      <c r="H81" s="2">
        <v>0</v>
      </c>
      <c r="I81">
        <v>0</v>
      </c>
      <c r="J81">
        <v>59.77</v>
      </c>
      <c r="K81" s="1">
        <v>45808</v>
      </c>
      <c r="L81" t="s">
        <v>21</v>
      </c>
      <c r="M81" t="s">
        <v>18</v>
      </c>
      <c r="N81">
        <f>salesitems[[#This Row],[quantity]]*salesitems[[#This Row],[unit_price]]</f>
        <v>59.77</v>
      </c>
      <c r="O81" t="str">
        <f>_xlfn.XLOOKUP(salesitems[[#This Row],[product_id]],products[product_id],products[product_name])</f>
        <v>Elegant Wrap Dress</v>
      </c>
      <c r="P81" t="str">
        <f>_xlfn.XLOOKUP(salesitems[[#This Row],[product_id]],fashion_store_products!A:A,fashion_store_products!C:C)</f>
        <v>Dresses</v>
      </c>
    </row>
    <row r="82" spans="1:16" x14ac:dyDescent="0.45">
      <c r="A82">
        <v>1991</v>
      </c>
      <c r="B82">
        <v>89</v>
      </c>
      <c r="C82">
        <v>464</v>
      </c>
      <c r="D82">
        <v>1</v>
      </c>
      <c r="E82">
        <v>59.58</v>
      </c>
      <c r="F82">
        <v>59.58</v>
      </c>
      <c r="G82">
        <v>0</v>
      </c>
      <c r="H82" s="2">
        <v>0</v>
      </c>
      <c r="I82">
        <v>0</v>
      </c>
      <c r="J82">
        <v>59.58</v>
      </c>
      <c r="K82" s="1">
        <v>45772</v>
      </c>
      <c r="L82" t="s">
        <v>21</v>
      </c>
      <c r="M82" t="s">
        <v>18</v>
      </c>
      <c r="N82">
        <f>salesitems[[#This Row],[quantity]]*salesitems[[#This Row],[unit_price]]</f>
        <v>59.58</v>
      </c>
      <c r="O82" t="str">
        <f>_xlfn.XLOOKUP(salesitems[[#This Row],[product_id]],products[product_id],products[product_name])</f>
        <v>Bold Ribbed Shoes</v>
      </c>
      <c r="P82" t="str">
        <f>_xlfn.XLOOKUP(salesitems[[#This Row],[product_id]],fashion_store_products!A:A,fashion_store_products!C:C)</f>
        <v>Shoes</v>
      </c>
    </row>
    <row r="83" spans="1:16" x14ac:dyDescent="0.45">
      <c r="A83">
        <v>2437</v>
      </c>
      <c r="B83">
        <v>277</v>
      </c>
      <c r="C83">
        <v>291</v>
      </c>
      <c r="D83">
        <v>1</v>
      </c>
      <c r="E83">
        <v>59.56</v>
      </c>
      <c r="F83">
        <v>59.56</v>
      </c>
      <c r="G83">
        <v>0</v>
      </c>
      <c r="H83" s="2">
        <v>0</v>
      </c>
      <c r="I83">
        <v>0</v>
      </c>
      <c r="J83">
        <v>59.56</v>
      </c>
      <c r="K83" s="1">
        <v>45803</v>
      </c>
      <c r="L83" t="s">
        <v>21</v>
      </c>
      <c r="M83" t="s">
        <v>18</v>
      </c>
      <c r="N83">
        <f>salesitems[[#This Row],[quantity]]*salesitems[[#This Row],[unit_price]]</f>
        <v>59.56</v>
      </c>
      <c r="O83" t="str">
        <f>_xlfn.XLOOKUP(salesitems[[#This Row],[product_id]],products[product_id],products[product_name])</f>
        <v>Essential Silk Shoes</v>
      </c>
      <c r="P83" t="str">
        <f>_xlfn.XLOOKUP(salesitems[[#This Row],[product_id]],fashion_store_products!A:A,fashion_store_products!C:C)</f>
        <v>Shoes</v>
      </c>
    </row>
    <row r="84" spans="1:16" x14ac:dyDescent="0.45">
      <c r="A84">
        <v>676</v>
      </c>
      <c r="B84">
        <v>190</v>
      </c>
      <c r="C84">
        <v>160</v>
      </c>
      <c r="D84">
        <v>1</v>
      </c>
      <c r="E84">
        <v>59.38</v>
      </c>
      <c r="F84">
        <v>59.38</v>
      </c>
      <c r="G84">
        <v>0</v>
      </c>
      <c r="H84" s="2">
        <v>0</v>
      </c>
      <c r="I84">
        <v>0</v>
      </c>
      <c r="J84">
        <v>59.38</v>
      </c>
      <c r="K84" s="1">
        <v>45825</v>
      </c>
      <c r="L84" t="s">
        <v>15</v>
      </c>
      <c r="M84" t="s">
        <v>15</v>
      </c>
      <c r="N84">
        <f>salesitems[[#This Row],[quantity]]*salesitems[[#This Row],[unit_price]]</f>
        <v>59.38</v>
      </c>
      <c r="O84" t="str">
        <f>_xlfn.XLOOKUP(salesitems[[#This Row],[product_id]],products[product_id],products[product_name])</f>
        <v>Classic High-Waist Set</v>
      </c>
      <c r="P84" t="str">
        <f>_xlfn.XLOOKUP(salesitems[[#This Row],[product_id]],fashion_store_products!A:A,fashion_store_products!C:C)</f>
        <v>Sleepwear</v>
      </c>
    </row>
    <row r="85" spans="1:16" x14ac:dyDescent="0.45">
      <c r="A85">
        <v>3071</v>
      </c>
      <c r="B85">
        <v>255</v>
      </c>
      <c r="C85">
        <v>160</v>
      </c>
      <c r="D85">
        <v>1</v>
      </c>
      <c r="E85">
        <v>59.38</v>
      </c>
      <c r="F85">
        <v>59.38</v>
      </c>
      <c r="G85">
        <v>0</v>
      </c>
      <c r="H85" s="2">
        <v>0</v>
      </c>
      <c r="I85">
        <v>0</v>
      </c>
      <c r="J85">
        <v>59.38</v>
      </c>
      <c r="K85" s="1">
        <v>45777</v>
      </c>
      <c r="L85" t="s">
        <v>21</v>
      </c>
      <c r="M85" t="s">
        <v>18</v>
      </c>
      <c r="N85">
        <f>salesitems[[#This Row],[quantity]]*salesitems[[#This Row],[unit_price]]</f>
        <v>59.38</v>
      </c>
      <c r="O85" t="str">
        <f>_xlfn.XLOOKUP(salesitems[[#This Row],[product_id]],products[product_id],products[product_name])</f>
        <v>Classic High-Waist Set</v>
      </c>
      <c r="P85" t="str">
        <f>_xlfn.XLOOKUP(salesitems[[#This Row],[product_id]],fashion_store_products!A:A,fashion_store_products!C:C)</f>
        <v>Sleepwear</v>
      </c>
    </row>
    <row r="86" spans="1:16" x14ac:dyDescent="0.45">
      <c r="A86">
        <v>3078</v>
      </c>
      <c r="B86">
        <v>435</v>
      </c>
      <c r="C86">
        <v>244</v>
      </c>
      <c r="D86">
        <v>1</v>
      </c>
      <c r="E86">
        <v>59.32</v>
      </c>
      <c r="F86">
        <v>59.32</v>
      </c>
      <c r="G86">
        <v>0</v>
      </c>
      <c r="H86" s="2">
        <v>0</v>
      </c>
      <c r="I86">
        <v>0</v>
      </c>
      <c r="J86">
        <v>59.32</v>
      </c>
      <c r="K86" s="1">
        <v>45774</v>
      </c>
      <c r="L86" t="s">
        <v>15</v>
      </c>
      <c r="M86" t="s">
        <v>15</v>
      </c>
      <c r="N86">
        <f>salesitems[[#This Row],[quantity]]*salesitems[[#This Row],[unit_price]]</f>
        <v>59.32</v>
      </c>
      <c r="O86" t="str">
        <f>_xlfn.XLOOKUP(salesitems[[#This Row],[product_id]],products[product_id],products[product_name])</f>
        <v>Relaxed Cotton Shoes</v>
      </c>
      <c r="P86" t="str">
        <f>_xlfn.XLOOKUP(salesitems[[#This Row],[product_id]],fashion_store_products!A:A,fashion_store_products!C:C)</f>
        <v>Shoes</v>
      </c>
    </row>
    <row r="87" spans="1:16" x14ac:dyDescent="0.45">
      <c r="A87">
        <v>110</v>
      </c>
      <c r="B87">
        <v>1034</v>
      </c>
      <c r="C87">
        <v>214</v>
      </c>
      <c r="D87">
        <v>1</v>
      </c>
      <c r="E87">
        <v>59.07</v>
      </c>
      <c r="F87">
        <v>59.07</v>
      </c>
      <c r="G87">
        <v>0</v>
      </c>
      <c r="H87" s="2">
        <v>0</v>
      </c>
      <c r="I87">
        <v>0</v>
      </c>
      <c r="J87">
        <v>59.07</v>
      </c>
      <c r="K87" s="1">
        <v>45808</v>
      </c>
      <c r="L87" t="s">
        <v>15</v>
      </c>
      <c r="M87" t="s">
        <v>15</v>
      </c>
      <c r="N87">
        <f>salesitems[[#This Row],[quantity]]*salesitems[[#This Row],[unit_price]]</f>
        <v>59.07</v>
      </c>
      <c r="O87" t="str">
        <f>_xlfn.XLOOKUP(salesitems[[#This Row],[product_id]],products[product_id],products[product_name])</f>
        <v>Vintage Crew Trousers</v>
      </c>
      <c r="P87" t="str">
        <f>_xlfn.XLOOKUP(salesitems[[#This Row],[product_id]],fashion_store_products!A:A,fashion_store_products!C:C)</f>
        <v>Pants</v>
      </c>
    </row>
    <row r="88" spans="1:16" x14ac:dyDescent="0.45">
      <c r="A88">
        <v>889</v>
      </c>
      <c r="B88">
        <v>1304</v>
      </c>
      <c r="C88">
        <v>214</v>
      </c>
      <c r="D88">
        <v>1</v>
      </c>
      <c r="E88">
        <v>59.07</v>
      </c>
      <c r="F88">
        <v>59.07</v>
      </c>
      <c r="G88">
        <v>0</v>
      </c>
      <c r="H88" s="2">
        <v>0</v>
      </c>
      <c r="I88">
        <v>0</v>
      </c>
      <c r="J88">
        <v>59.07</v>
      </c>
      <c r="K88" s="1">
        <v>45761</v>
      </c>
      <c r="L88" t="s">
        <v>15</v>
      </c>
      <c r="M88" t="s">
        <v>15</v>
      </c>
      <c r="N88">
        <f>salesitems[[#This Row],[quantity]]*salesitems[[#This Row],[unit_price]]</f>
        <v>59.07</v>
      </c>
      <c r="O88" t="str">
        <f>_xlfn.XLOOKUP(salesitems[[#This Row],[product_id]],products[product_id],products[product_name])</f>
        <v>Vintage Crew Trousers</v>
      </c>
      <c r="P88" t="str">
        <f>_xlfn.XLOOKUP(salesitems[[#This Row],[product_id]],fashion_store_products!A:A,fashion_store_products!C:C)</f>
        <v>Pants</v>
      </c>
    </row>
    <row r="89" spans="1:16" x14ac:dyDescent="0.45">
      <c r="A89">
        <v>1597</v>
      </c>
      <c r="B89">
        <v>383</v>
      </c>
      <c r="C89">
        <v>214</v>
      </c>
      <c r="D89">
        <v>1</v>
      </c>
      <c r="E89">
        <v>59.07</v>
      </c>
      <c r="F89">
        <v>59.07</v>
      </c>
      <c r="G89">
        <v>0</v>
      </c>
      <c r="H89" s="2">
        <v>0</v>
      </c>
      <c r="I89">
        <v>0</v>
      </c>
      <c r="J89">
        <v>59.07</v>
      </c>
      <c r="K89" s="1">
        <v>45762</v>
      </c>
      <c r="L89" t="s">
        <v>15</v>
      </c>
      <c r="M89" t="s">
        <v>15</v>
      </c>
      <c r="N89">
        <f>salesitems[[#This Row],[quantity]]*salesitems[[#This Row],[unit_price]]</f>
        <v>59.07</v>
      </c>
      <c r="O89" t="str">
        <f>_xlfn.XLOOKUP(salesitems[[#This Row],[product_id]],products[product_id],products[product_name])</f>
        <v>Vintage Crew Trousers</v>
      </c>
      <c r="P89" t="str">
        <f>_xlfn.XLOOKUP(salesitems[[#This Row],[product_id]],fashion_store_products!A:A,fashion_store_products!C:C)</f>
        <v>Pants</v>
      </c>
    </row>
    <row r="90" spans="1:16" x14ac:dyDescent="0.45">
      <c r="A90">
        <v>1836</v>
      </c>
      <c r="B90">
        <v>65</v>
      </c>
      <c r="C90">
        <v>384</v>
      </c>
      <c r="D90">
        <v>1</v>
      </c>
      <c r="E90">
        <v>58.94</v>
      </c>
      <c r="F90">
        <v>58.94</v>
      </c>
      <c r="G90">
        <v>0</v>
      </c>
      <c r="H90" s="2">
        <v>0</v>
      </c>
      <c r="I90">
        <v>0</v>
      </c>
      <c r="J90">
        <v>58.94</v>
      </c>
      <c r="K90" s="1">
        <v>45783</v>
      </c>
      <c r="L90" t="s">
        <v>21</v>
      </c>
      <c r="M90" t="s">
        <v>18</v>
      </c>
      <c r="N90">
        <f>salesitems[[#This Row],[quantity]]*salesitems[[#This Row],[unit_price]]</f>
        <v>58.94</v>
      </c>
      <c r="O90" t="str">
        <f>_xlfn.XLOOKUP(salesitems[[#This Row],[product_id]],products[product_id],products[product_name])</f>
        <v>Tailored Sleeveless Set</v>
      </c>
      <c r="P90" t="str">
        <f>_xlfn.XLOOKUP(salesitems[[#This Row],[product_id]],fashion_store_products!A:A,fashion_store_products!C:C)</f>
        <v>Sleepwear</v>
      </c>
    </row>
    <row r="91" spans="1:16" x14ac:dyDescent="0.45">
      <c r="A91">
        <v>759</v>
      </c>
      <c r="B91">
        <v>127</v>
      </c>
      <c r="C91">
        <v>63</v>
      </c>
      <c r="D91">
        <v>1</v>
      </c>
      <c r="E91">
        <v>58.67</v>
      </c>
      <c r="F91">
        <v>58.67</v>
      </c>
      <c r="G91">
        <v>0</v>
      </c>
      <c r="H91" s="2">
        <v>0</v>
      </c>
      <c r="I91">
        <v>0</v>
      </c>
      <c r="J91">
        <v>58.67</v>
      </c>
      <c r="K91" s="1">
        <v>45760</v>
      </c>
      <c r="L91" t="s">
        <v>15</v>
      </c>
      <c r="M91" t="s">
        <v>15</v>
      </c>
      <c r="N91">
        <f>salesitems[[#This Row],[quantity]]*salesitems[[#This Row],[unit_price]]</f>
        <v>58.67</v>
      </c>
      <c r="O91" t="str">
        <f>_xlfn.XLOOKUP(salesitems[[#This Row],[product_id]],products[product_id],products[product_name])</f>
        <v>Soft Crew Set</v>
      </c>
      <c r="P91" t="str">
        <f>_xlfn.XLOOKUP(salesitems[[#This Row],[product_id]],fashion_store_products!A:A,fashion_store_products!C:C)</f>
        <v>Sleepwear</v>
      </c>
    </row>
    <row r="92" spans="1:16" x14ac:dyDescent="0.45">
      <c r="A92">
        <v>705</v>
      </c>
      <c r="B92">
        <v>833</v>
      </c>
      <c r="C92">
        <v>366</v>
      </c>
      <c r="D92">
        <v>1</v>
      </c>
      <c r="E92">
        <v>58.34</v>
      </c>
      <c r="F92">
        <v>58.34</v>
      </c>
      <c r="G92">
        <v>0</v>
      </c>
      <c r="H92" s="2">
        <v>0</v>
      </c>
      <c r="I92">
        <v>0</v>
      </c>
      <c r="J92">
        <v>58.34</v>
      </c>
      <c r="K92" s="1">
        <v>45776</v>
      </c>
      <c r="L92" t="s">
        <v>21</v>
      </c>
      <c r="M92" t="s">
        <v>18</v>
      </c>
      <c r="N92">
        <f>salesitems[[#This Row],[quantity]]*salesitems[[#This Row],[unit_price]]</f>
        <v>58.34</v>
      </c>
      <c r="O92" t="str">
        <f>_xlfn.XLOOKUP(salesitems[[#This Row],[product_id]],products[product_id],products[product_name])</f>
        <v>Essential Wrap Trousers</v>
      </c>
      <c r="P92" t="str">
        <f>_xlfn.XLOOKUP(salesitems[[#This Row],[product_id]],fashion_store_products!A:A,fashion_store_products!C:C)</f>
        <v>Pants</v>
      </c>
    </row>
    <row r="93" spans="1:16" x14ac:dyDescent="0.45">
      <c r="A93">
        <v>1370</v>
      </c>
      <c r="B93">
        <v>856</v>
      </c>
      <c r="C93">
        <v>366</v>
      </c>
      <c r="D93">
        <v>1</v>
      </c>
      <c r="E93">
        <v>58.34</v>
      </c>
      <c r="F93">
        <v>58.34</v>
      </c>
      <c r="G93">
        <v>0</v>
      </c>
      <c r="H93" s="2">
        <v>0</v>
      </c>
      <c r="I93">
        <v>0</v>
      </c>
      <c r="J93">
        <v>58.34</v>
      </c>
      <c r="K93" s="1">
        <v>45764</v>
      </c>
      <c r="L93" t="s">
        <v>21</v>
      </c>
      <c r="M93" t="s">
        <v>18</v>
      </c>
      <c r="N93">
        <f>salesitems[[#This Row],[quantity]]*salesitems[[#This Row],[unit_price]]</f>
        <v>58.34</v>
      </c>
      <c r="O93" t="str">
        <f>_xlfn.XLOOKUP(salesitems[[#This Row],[product_id]],products[product_id],products[product_name])</f>
        <v>Essential Wrap Trousers</v>
      </c>
      <c r="P93" t="str">
        <f>_xlfn.XLOOKUP(salesitems[[#This Row],[product_id]],fashion_store_products!A:A,fashion_store_products!C:C)</f>
        <v>Pants</v>
      </c>
    </row>
    <row r="94" spans="1:16" x14ac:dyDescent="0.45">
      <c r="A94">
        <v>2021</v>
      </c>
      <c r="B94">
        <v>1179</v>
      </c>
      <c r="C94">
        <v>366</v>
      </c>
      <c r="D94">
        <v>1</v>
      </c>
      <c r="E94">
        <v>58.34</v>
      </c>
      <c r="F94">
        <v>58.34</v>
      </c>
      <c r="G94">
        <v>0</v>
      </c>
      <c r="H94" s="2">
        <v>0</v>
      </c>
      <c r="I94">
        <v>0</v>
      </c>
      <c r="J94">
        <v>58.34</v>
      </c>
      <c r="K94" s="1">
        <v>45776</v>
      </c>
      <c r="L94" t="s">
        <v>21</v>
      </c>
      <c r="M94" t="s">
        <v>18</v>
      </c>
      <c r="N94">
        <f>salesitems[[#This Row],[quantity]]*salesitems[[#This Row],[unit_price]]</f>
        <v>58.34</v>
      </c>
      <c r="O94" t="str">
        <f>_xlfn.XLOOKUP(salesitems[[#This Row],[product_id]],products[product_id],products[product_name])</f>
        <v>Essential Wrap Trousers</v>
      </c>
      <c r="P94" t="str">
        <f>_xlfn.XLOOKUP(salesitems[[#This Row],[product_id]],fashion_store_products!A:A,fashion_store_products!C:C)</f>
        <v>Pants</v>
      </c>
    </row>
    <row r="95" spans="1:16" x14ac:dyDescent="0.45">
      <c r="A95">
        <v>71</v>
      </c>
      <c r="B95">
        <v>647</v>
      </c>
      <c r="C95">
        <v>22</v>
      </c>
      <c r="D95">
        <v>1</v>
      </c>
      <c r="E95">
        <v>58.26</v>
      </c>
      <c r="F95">
        <v>58.26</v>
      </c>
      <c r="G95">
        <v>0</v>
      </c>
      <c r="H95" s="2">
        <v>0</v>
      </c>
      <c r="I95">
        <v>0</v>
      </c>
      <c r="J95">
        <v>58.26</v>
      </c>
      <c r="K95" s="1">
        <v>45777</v>
      </c>
      <c r="L95" t="s">
        <v>21</v>
      </c>
      <c r="M95" t="s">
        <v>18</v>
      </c>
      <c r="N95">
        <f>salesitems[[#This Row],[quantity]]*salesitems[[#This Row],[unit_price]]</f>
        <v>58.26</v>
      </c>
      <c r="O95" t="str">
        <f>_xlfn.XLOOKUP(salesitems[[#This Row],[product_id]],products[product_id],products[product_name])</f>
        <v>Soft Satin Tee</v>
      </c>
      <c r="P95" t="str">
        <f>_xlfn.XLOOKUP(salesitems[[#This Row],[product_id]],fashion_store_products!A:A,fashion_store_products!C:C)</f>
        <v>T-Shirts</v>
      </c>
    </row>
    <row r="96" spans="1:16" x14ac:dyDescent="0.45">
      <c r="A96">
        <v>1315</v>
      </c>
      <c r="B96">
        <v>323</v>
      </c>
      <c r="C96">
        <v>22</v>
      </c>
      <c r="D96">
        <v>1</v>
      </c>
      <c r="E96">
        <v>58.26</v>
      </c>
      <c r="F96">
        <v>58.26</v>
      </c>
      <c r="G96">
        <v>0</v>
      </c>
      <c r="H96" s="2">
        <v>0</v>
      </c>
      <c r="I96">
        <v>0</v>
      </c>
      <c r="J96">
        <v>58.26</v>
      </c>
      <c r="K96" s="1">
        <v>45783</v>
      </c>
      <c r="L96" t="s">
        <v>21</v>
      </c>
      <c r="M96" t="s">
        <v>18</v>
      </c>
      <c r="N96">
        <f>salesitems[[#This Row],[quantity]]*salesitems[[#This Row],[unit_price]]</f>
        <v>58.26</v>
      </c>
      <c r="O96" t="str">
        <f>_xlfn.XLOOKUP(salesitems[[#This Row],[product_id]],products[product_id],products[product_name])</f>
        <v>Soft Satin Tee</v>
      </c>
      <c r="P96" t="str">
        <f>_xlfn.XLOOKUP(salesitems[[#This Row],[product_id]],fashion_store_products!A:A,fashion_store_products!C:C)</f>
        <v>T-Shirts</v>
      </c>
    </row>
    <row r="97" spans="1:16" x14ac:dyDescent="0.45">
      <c r="A97">
        <v>2065</v>
      </c>
      <c r="B97">
        <v>231</v>
      </c>
      <c r="C97">
        <v>145</v>
      </c>
      <c r="D97">
        <v>1</v>
      </c>
      <c r="E97">
        <v>58.25</v>
      </c>
      <c r="F97">
        <v>58.25</v>
      </c>
      <c r="G97">
        <v>0</v>
      </c>
      <c r="H97" s="2">
        <v>0</v>
      </c>
      <c r="I97">
        <v>0</v>
      </c>
      <c r="J97">
        <v>58.25</v>
      </c>
      <c r="K97" s="1">
        <v>45771</v>
      </c>
      <c r="L97" t="s">
        <v>21</v>
      </c>
      <c r="M97" t="s">
        <v>18</v>
      </c>
      <c r="N97">
        <f>salesitems[[#This Row],[quantity]]*salesitems[[#This Row],[unit_price]]</f>
        <v>58.25</v>
      </c>
      <c r="O97" t="str">
        <f>_xlfn.XLOOKUP(salesitems[[#This Row],[product_id]],products[product_id],products[product_name])</f>
        <v>Classic Boxy Shoes</v>
      </c>
      <c r="P97" t="str">
        <f>_xlfn.XLOOKUP(salesitems[[#This Row],[product_id]],fashion_store_products!A:A,fashion_store_products!C:C)</f>
        <v>Shoes</v>
      </c>
    </row>
    <row r="98" spans="1:16" x14ac:dyDescent="0.45">
      <c r="A98">
        <v>2140</v>
      </c>
      <c r="B98">
        <v>947</v>
      </c>
      <c r="C98">
        <v>101</v>
      </c>
      <c r="D98">
        <v>1</v>
      </c>
      <c r="E98">
        <v>58.11</v>
      </c>
      <c r="F98">
        <v>58.11</v>
      </c>
      <c r="G98">
        <v>0</v>
      </c>
      <c r="H98" s="2">
        <v>0</v>
      </c>
      <c r="I98">
        <v>0</v>
      </c>
      <c r="J98">
        <v>58.11</v>
      </c>
      <c r="K98" s="1">
        <v>45824</v>
      </c>
      <c r="L98" t="s">
        <v>21</v>
      </c>
      <c r="M98" t="s">
        <v>18</v>
      </c>
      <c r="N98">
        <f>salesitems[[#This Row],[quantity]]*salesitems[[#This Row],[unit_price]]</f>
        <v>58.11</v>
      </c>
      <c r="O98" t="str">
        <f>_xlfn.XLOOKUP(salesitems[[#This Row],[product_id]],products[product_id],products[product_name])</f>
        <v>Classic Wrap Tee</v>
      </c>
      <c r="P98" t="str">
        <f>_xlfn.XLOOKUP(salesitems[[#This Row],[product_id]],fashion_store_products!A:A,fashion_store_products!C:C)</f>
        <v>T-Shirts</v>
      </c>
    </row>
    <row r="99" spans="1:16" x14ac:dyDescent="0.45">
      <c r="A99">
        <v>2175</v>
      </c>
      <c r="B99">
        <v>594</v>
      </c>
      <c r="C99">
        <v>101</v>
      </c>
      <c r="D99">
        <v>1</v>
      </c>
      <c r="E99">
        <v>58.11</v>
      </c>
      <c r="F99">
        <v>58.11</v>
      </c>
      <c r="G99">
        <v>0</v>
      </c>
      <c r="H99" s="2">
        <v>0</v>
      </c>
      <c r="I99">
        <v>0</v>
      </c>
      <c r="J99">
        <v>58.11</v>
      </c>
      <c r="K99" s="1">
        <v>45807</v>
      </c>
      <c r="L99" t="s">
        <v>15</v>
      </c>
      <c r="M99" t="s">
        <v>15</v>
      </c>
      <c r="N99">
        <f>salesitems[[#This Row],[quantity]]*salesitems[[#This Row],[unit_price]]</f>
        <v>58.11</v>
      </c>
      <c r="O99" t="str">
        <f>_xlfn.XLOOKUP(salesitems[[#This Row],[product_id]],products[product_id],products[product_name])</f>
        <v>Classic Wrap Tee</v>
      </c>
      <c r="P99" t="str">
        <f>_xlfn.XLOOKUP(salesitems[[#This Row],[product_id]],fashion_store_products!A:A,fashion_store_products!C:C)</f>
        <v>T-Shirts</v>
      </c>
    </row>
    <row r="100" spans="1:16" x14ac:dyDescent="0.45">
      <c r="A100">
        <v>2696</v>
      </c>
      <c r="B100">
        <v>402</v>
      </c>
      <c r="C100">
        <v>225</v>
      </c>
      <c r="D100">
        <v>1</v>
      </c>
      <c r="E100">
        <v>58.11</v>
      </c>
      <c r="F100">
        <v>58.11</v>
      </c>
      <c r="G100">
        <v>0</v>
      </c>
      <c r="H100" s="2">
        <v>0</v>
      </c>
      <c r="I100">
        <v>0</v>
      </c>
      <c r="J100">
        <v>58.11</v>
      </c>
      <c r="K100" s="1">
        <v>45790</v>
      </c>
      <c r="L100" t="s">
        <v>21</v>
      </c>
      <c r="M100" t="s">
        <v>18</v>
      </c>
      <c r="N100">
        <f>salesitems[[#This Row],[quantity]]*salesitems[[#This Row],[unit_price]]</f>
        <v>58.11</v>
      </c>
      <c r="O100" t="str">
        <f>_xlfn.XLOOKUP(salesitems[[#This Row],[product_id]],products[product_id],products[product_name])</f>
        <v>Polished Crew Shoes</v>
      </c>
      <c r="P100" t="str">
        <f>_xlfn.XLOOKUP(salesitems[[#This Row],[product_id]],fashion_store_products!A:A,fashion_store_products!C:C)</f>
        <v>Shoes</v>
      </c>
    </row>
    <row r="101" spans="1:16" x14ac:dyDescent="0.45">
      <c r="A101">
        <v>1745</v>
      </c>
      <c r="B101">
        <v>264</v>
      </c>
      <c r="C101">
        <v>321</v>
      </c>
      <c r="D101">
        <v>1</v>
      </c>
      <c r="E101">
        <v>58.09</v>
      </c>
      <c r="F101">
        <v>58.09</v>
      </c>
      <c r="G101">
        <v>0</v>
      </c>
      <c r="H101" s="2">
        <v>0</v>
      </c>
      <c r="I101">
        <v>0</v>
      </c>
      <c r="J101">
        <v>58.09</v>
      </c>
      <c r="K101" s="1">
        <v>45808</v>
      </c>
      <c r="L101" t="s">
        <v>15</v>
      </c>
      <c r="M101" t="s">
        <v>15</v>
      </c>
      <c r="N101">
        <f>salesitems[[#This Row],[quantity]]*salesitems[[#This Row],[unit_price]]</f>
        <v>58.09</v>
      </c>
      <c r="O101" t="str">
        <f>_xlfn.XLOOKUP(salesitems[[#This Row],[product_id]],products[product_id],products[product_name])</f>
        <v>Relaxed Cotton Trousers</v>
      </c>
      <c r="P101" t="str">
        <f>_xlfn.XLOOKUP(salesitems[[#This Row],[product_id]],fashion_store_products!A:A,fashion_store_products!C:C)</f>
        <v>Pants</v>
      </c>
    </row>
    <row r="102" spans="1:16" x14ac:dyDescent="0.45">
      <c r="A102">
        <v>2846</v>
      </c>
      <c r="B102">
        <v>601</v>
      </c>
      <c r="C102">
        <v>83</v>
      </c>
      <c r="D102">
        <v>1</v>
      </c>
      <c r="E102">
        <v>57.8</v>
      </c>
      <c r="F102">
        <v>57.8</v>
      </c>
      <c r="G102">
        <v>0</v>
      </c>
      <c r="H102" s="2">
        <v>0</v>
      </c>
      <c r="I102">
        <v>0</v>
      </c>
      <c r="J102">
        <v>57.8</v>
      </c>
      <c r="K102" s="1">
        <v>45808</v>
      </c>
      <c r="L102" t="s">
        <v>21</v>
      </c>
      <c r="M102" t="s">
        <v>18</v>
      </c>
      <c r="N102">
        <f>salesitems[[#This Row],[quantity]]*salesitems[[#This Row],[unit_price]]</f>
        <v>57.8</v>
      </c>
      <c r="O102" t="str">
        <f>_xlfn.XLOOKUP(salesitems[[#This Row],[product_id]],products[product_id],products[product_name])</f>
        <v>Modern Sleeveless Tee</v>
      </c>
      <c r="P102" t="str">
        <f>_xlfn.XLOOKUP(salesitems[[#This Row],[product_id]],fashion_store_products!A:A,fashion_store_products!C:C)</f>
        <v>T-Shirts</v>
      </c>
    </row>
    <row r="103" spans="1:16" x14ac:dyDescent="0.45">
      <c r="A103">
        <v>974</v>
      </c>
      <c r="B103">
        <v>294</v>
      </c>
      <c r="C103">
        <v>227</v>
      </c>
      <c r="D103">
        <v>1</v>
      </c>
      <c r="E103">
        <v>57.51</v>
      </c>
      <c r="F103">
        <v>57.51</v>
      </c>
      <c r="G103">
        <v>0</v>
      </c>
      <c r="H103" s="2">
        <v>0</v>
      </c>
      <c r="I103">
        <v>0</v>
      </c>
      <c r="J103">
        <v>57.51</v>
      </c>
      <c r="K103" s="1">
        <v>45825</v>
      </c>
      <c r="L103" t="s">
        <v>21</v>
      </c>
      <c r="M103" t="s">
        <v>18</v>
      </c>
      <c r="N103">
        <f>salesitems[[#This Row],[quantity]]*salesitems[[#This Row],[unit_price]]</f>
        <v>57.51</v>
      </c>
      <c r="O103" t="str">
        <f>_xlfn.XLOOKUP(salesitems[[#This Row],[product_id]],products[product_id],products[product_name])</f>
        <v>Polished Crew Tee</v>
      </c>
      <c r="P103" t="str">
        <f>_xlfn.XLOOKUP(salesitems[[#This Row],[product_id]],fashion_store_products!A:A,fashion_store_products!C:C)</f>
        <v>T-Shirts</v>
      </c>
    </row>
    <row r="104" spans="1:16" x14ac:dyDescent="0.45">
      <c r="A104">
        <v>1632</v>
      </c>
      <c r="B104">
        <v>1207</v>
      </c>
      <c r="C104">
        <v>26</v>
      </c>
      <c r="D104">
        <v>1</v>
      </c>
      <c r="E104">
        <v>57.48</v>
      </c>
      <c r="F104">
        <v>57.48</v>
      </c>
      <c r="G104">
        <v>0</v>
      </c>
      <c r="H104" s="2">
        <v>0</v>
      </c>
      <c r="I104">
        <v>0</v>
      </c>
      <c r="J104">
        <v>57.48</v>
      </c>
      <c r="K104" s="1">
        <v>45781</v>
      </c>
      <c r="L104" t="s">
        <v>15</v>
      </c>
      <c r="M104" t="s">
        <v>15</v>
      </c>
      <c r="N104">
        <f>salesitems[[#This Row],[quantity]]*salesitems[[#This Row],[unit_price]]</f>
        <v>57.48</v>
      </c>
      <c r="O104" t="str">
        <f>_xlfn.XLOOKUP(salesitems[[#This Row],[product_id]],products[product_id],products[product_name])</f>
        <v>Soft Crew Shoes</v>
      </c>
      <c r="P104" t="str">
        <f>_xlfn.XLOOKUP(salesitems[[#This Row],[product_id]],fashion_store_products!A:A,fashion_store_products!C:C)</f>
        <v>Shoes</v>
      </c>
    </row>
    <row r="105" spans="1:16" x14ac:dyDescent="0.45">
      <c r="A105">
        <v>1413</v>
      </c>
      <c r="B105">
        <v>247</v>
      </c>
      <c r="C105">
        <v>27</v>
      </c>
      <c r="D105">
        <v>1</v>
      </c>
      <c r="E105">
        <v>57.35</v>
      </c>
      <c r="F105">
        <v>57.35</v>
      </c>
      <c r="G105">
        <v>0</v>
      </c>
      <c r="H105" s="2">
        <v>0</v>
      </c>
      <c r="I105">
        <v>0</v>
      </c>
      <c r="J105">
        <v>57.35</v>
      </c>
      <c r="K105" s="1">
        <v>45751</v>
      </c>
      <c r="L105" t="s">
        <v>15</v>
      </c>
      <c r="M105" t="s">
        <v>15</v>
      </c>
      <c r="N105">
        <f>salesitems[[#This Row],[quantity]]*salesitems[[#This Row],[unit_price]]</f>
        <v>57.35</v>
      </c>
      <c r="O105" t="str">
        <f>_xlfn.XLOOKUP(salesitems[[#This Row],[product_id]],products[product_id],products[product_name])</f>
        <v>Soft Boxy Dress</v>
      </c>
      <c r="P105" t="str">
        <f>_xlfn.XLOOKUP(salesitems[[#This Row],[product_id]],fashion_store_products!A:A,fashion_store_products!C:C)</f>
        <v>Dresses</v>
      </c>
    </row>
    <row r="106" spans="1:16" x14ac:dyDescent="0.45">
      <c r="A106">
        <v>2368</v>
      </c>
      <c r="B106">
        <v>629</v>
      </c>
      <c r="C106">
        <v>49</v>
      </c>
      <c r="D106">
        <v>1</v>
      </c>
      <c r="E106">
        <v>57.35</v>
      </c>
      <c r="F106">
        <v>57.35</v>
      </c>
      <c r="G106">
        <v>0</v>
      </c>
      <c r="H106" s="2">
        <v>0</v>
      </c>
      <c r="I106">
        <v>0</v>
      </c>
      <c r="J106">
        <v>57.35</v>
      </c>
      <c r="K106" s="1">
        <v>45803</v>
      </c>
      <c r="L106" t="s">
        <v>15</v>
      </c>
      <c r="M106" t="s">
        <v>15</v>
      </c>
      <c r="N106">
        <f>salesitems[[#This Row],[quantity]]*salesitems[[#This Row],[unit_price]]</f>
        <v>57.35</v>
      </c>
      <c r="O106" t="str">
        <f>_xlfn.XLOOKUP(salesitems[[#This Row],[product_id]],products[product_id],products[product_name])</f>
        <v>Soft Boxy Tee</v>
      </c>
      <c r="P106" t="str">
        <f>_xlfn.XLOOKUP(salesitems[[#This Row],[product_id]],fashion_store_products!A:A,fashion_store_products!C:C)</f>
        <v>T-Shirts</v>
      </c>
    </row>
    <row r="107" spans="1:16" x14ac:dyDescent="0.45">
      <c r="A107">
        <v>357</v>
      </c>
      <c r="B107">
        <v>331</v>
      </c>
      <c r="C107">
        <v>222</v>
      </c>
      <c r="D107">
        <v>1</v>
      </c>
      <c r="E107">
        <v>57.19</v>
      </c>
      <c r="F107">
        <v>57.19</v>
      </c>
      <c r="G107">
        <v>0</v>
      </c>
      <c r="H107" s="2">
        <v>0</v>
      </c>
      <c r="I107">
        <v>0</v>
      </c>
      <c r="J107">
        <v>57.19</v>
      </c>
      <c r="K107" s="1">
        <v>45783</v>
      </c>
      <c r="L107" t="s">
        <v>15</v>
      </c>
      <c r="M107" t="s">
        <v>15</v>
      </c>
      <c r="N107">
        <f>salesitems[[#This Row],[quantity]]*salesitems[[#This Row],[unit_price]]</f>
        <v>57.19</v>
      </c>
      <c r="O107" t="str">
        <f>_xlfn.XLOOKUP(salesitems[[#This Row],[product_id]],products[product_id],products[product_name])</f>
        <v>Relaxed Wrap Dress</v>
      </c>
      <c r="P107" t="str">
        <f>_xlfn.XLOOKUP(salesitems[[#This Row],[product_id]],fashion_store_products!A:A,fashion_store_products!C:C)</f>
        <v>Dresses</v>
      </c>
    </row>
    <row r="108" spans="1:16" x14ac:dyDescent="0.45">
      <c r="A108">
        <v>3316</v>
      </c>
      <c r="B108">
        <v>1036</v>
      </c>
      <c r="C108">
        <v>222</v>
      </c>
      <c r="D108">
        <v>1</v>
      </c>
      <c r="E108">
        <v>57.19</v>
      </c>
      <c r="F108">
        <v>57.19</v>
      </c>
      <c r="G108">
        <v>0</v>
      </c>
      <c r="H108" s="2">
        <v>0</v>
      </c>
      <c r="I108">
        <v>0</v>
      </c>
      <c r="J108">
        <v>57.19</v>
      </c>
      <c r="K108" s="1">
        <v>45821</v>
      </c>
      <c r="L108" t="s">
        <v>21</v>
      </c>
      <c r="M108" t="s">
        <v>18</v>
      </c>
      <c r="N108">
        <f>salesitems[[#This Row],[quantity]]*salesitems[[#This Row],[unit_price]]</f>
        <v>57.19</v>
      </c>
      <c r="O108" t="str">
        <f>_xlfn.XLOOKUP(salesitems[[#This Row],[product_id]],products[product_id],products[product_name])</f>
        <v>Relaxed Wrap Dress</v>
      </c>
      <c r="P108" t="str">
        <f>_xlfn.XLOOKUP(salesitems[[#This Row],[product_id]],fashion_store_products!A:A,fashion_store_products!C:C)</f>
        <v>Dresses</v>
      </c>
    </row>
    <row r="109" spans="1:16" x14ac:dyDescent="0.45">
      <c r="A109">
        <v>602</v>
      </c>
      <c r="B109">
        <v>78</v>
      </c>
      <c r="C109">
        <v>53</v>
      </c>
      <c r="D109">
        <v>1</v>
      </c>
      <c r="E109">
        <v>57.17</v>
      </c>
      <c r="F109">
        <v>57.17</v>
      </c>
      <c r="G109">
        <v>0</v>
      </c>
      <c r="H109" s="2">
        <v>0</v>
      </c>
      <c r="I109">
        <v>0</v>
      </c>
      <c r="J109">
        <v>57.17</v>
      </c>
      <c r="K109" s="1">
        <v>45795</v>
      </c>
      <c r="L109" t="s">
        <v>21</v>
      </c>
      <c r="M109" t="s">
        <v>18</v>
      </c>
      <c r="N109">
        <f>salesitems[[#This Row],[quantity]]*salesitems[[#This Row],[unit_price]]</f>
        <v>57.17</v>
      </c>
      <c r="O109" t="str">
        <f>_xlfn.XLOOKUP(salesitems[[#This Row],[product_id]],products[product_id],products[product_name])</f>
        <v>Soft Boxy Shoes</v>
      </c>
      <c r="P109" t="str">
        <f>_xlfn.XLOOKUP(salesitems[[#This Row],[product_id]],fashion_store_products!A:A,fashion_store_products!C:C)</f>
        <v>Shoes</v>
      </c>
    </row>
    <row r="110" spans="1:16" x14ac:dyDescent="0.45">
      <c r="A110">
        <v>116</v>
      </c>
      <c r="B110">
        <v>11</v>
      </c>
      <c r="C110">
        <v>288</v>
      </c>
      <c r="D110">
        <v>1</v>
      </c>
      <c r="E110">
        <v>57.11</v>
      </c>
      <c r="F110">
        <v>57.11</v>
      </c>
      <c r="G110">
        <v>0</v>
      </c>
      <c r="H110" s="2">
        <v>0</v>
      </c>
      <c r="I110">
        <v>0</v>
      </c>
      <c r="J110">
        <v>57.11</v>
      </c>
      <c r="K110" s="1">
        <v>45797</v>
      </c>
      <c r="L110" t="s">
        <v>15</v>
      </c>
      <c r="M110" t="s">
        <v>15</v>
      </c>
      <c r="N110">
        <f>salesitems[[#This Row],[quantity]]*salesitems[[#This Row],[unit_price]]</f>
        <v>57.11</v>
      </c>
      <c r="O110" t="str">
        <f>_xlfn.XLOOKUP(salesitems[[#This Row],[product_id]],products[product_id],products[product_name])</f>
        <v>Essential Ribbed Tee</v>
      </c>
      <c r="P110" t="str">
        <f>_xlfn.XLOOKUP(salesitems[[#This Row],[product_id]],fashion_store_products!A:A,fashion_store_products!C:C)</f>
        <v>T-Shirts</v>
      </c>
    </row>
    <row r="111" spans="1:16" x14ac:dyDescent="0.45">
      <c r="A111">
        <v>200</v>
      </c>
      <c r="B111">
        <v>564</v>
      </c>
      <c r="C111">
        <v>288</v>
      </c>
      <c r="D111">
        <v>1</v>
      </c>
      <c r="E111">
        <v>57.11</v>
      </c>
      <c r="F111">
        <v>57.11</v>
      </c>
      <c r="G111">
        <v>0</v>
      </c>
      <c r="H111" s="2">
        <v>0</v>
      </c>
      <c r="I111">
        <v>0</v>
      </c>
      <c r="J111">
        <v>57.11</v>
      </c>
      <c r="K111" s="1">
        <v>45805</v>
      </c>
      <c r="L111" t="s">
        <v>21</v>
      </c>
      <c r="M111" t="s">
        <v>18</v>
      </c>
      <c r="N111">
        <f>salesitems[[#This Row],[quantity]]*salesitems[[#This Row],[unit_price]]</f>
        <v>57.11</v>
      </c>
      <c r="O111" t="str">
        <f>_xlfn.XLOOKUP(salesitems[[#This Row],[product_id]],products[product_id],products[product_name])</f>
        <v>Essential Ribbed Tee</v>
      </c>
      <c r="P111" t="str">
        <f>_xlfn.XLOOKUP(salesitems[[#This Row],[product_id]],fashion_store_products!A:A,fashion_store_products!C:C)</f>
        <v>T-Shirts</v>
      </c>
    </row>
    <row r="112" spans="1:16" x14ac:dyDescent="0.45">
      <c r="A112">
        <v>2830</v>
      </c>
      <c r="B112">
        <v>1169</v>
      </c>
      <c r="C112">
        <v>288</v>
      </c>
      <c r="D112">
        <v>1</v>
      </c>
      <c r="E112">
        <v>57.11</v>
      </c>
      <c r="F112">
        <v>57.11</v>
      </c>
      <c r="G112">
        <v>0</v>
      </c>
      <c r="H112" s="2">
        <v>0</v>
      </c>
      <c r="I112">
        <v>0</v>
      </c>
      <c r="J112">
        <v>57.11</v>
      </c>
      <c r="K112" s="1">
        <v>45793</v>
      </c>
      <c r="L112" t="s">
        <v>21</v>
      </c>
      <c r="M112" t="s">
        <v>18</v>
      </c>
      <c r="N112">
        <f>salesitems[[#This Row],[quantity]]*salesitems[[#This Row],[unit_price]]</f>
        <v>57.11</v>
      </c>
      <c r="O112" t="str">
        <f>_xlfn.XLOOKUP(salesitems[[#This Row],[product_id]],products[product_id],products[product_name])</f>
        <v>Essential Ribbed Tee</v>
      </c>
      <c r="P112" t="str">
        <f>_xlfn.XLOOKUP(salesitems[[#This Row],[product_id]],fashion_store_products!A:A,fashion_store_products!C:C)</f>
        <v>T-Shirts</v>
      </c>
    </row>
    <row r="113" spans="1:16" x14ac:dyDescent="0.45">
      <c r="A113">
        <v>2946</v>
      </c>
      <c r="B113">
        <v>273</v>
      </c>
      <c r="C113">
        <v>103</v>
      </c>
      <c r="D113">
        <v>1</v>
      </c>
      <c r="E113">
        <v>57</v>
      </c>
      <c r="F113">
        <v>57</v>
      </c>
      <c r="G113">
        <v>0</v>
      </c>
      <c r="H113" s="2">
        <v>0</v>
      </c>
      <c r="I113">
        <v>0</v>
      </c>
      <c r="J113">
        <v>57</v>
      </c>
      <c r="K113" s="1">
        <v>45824</v>
      </c>
      <c r="L113" t="s">
        <v>15</v>
      </c>
      <c r="M113" t="s">
        <v>15</v>
      </c>
      <c r="N113">
        <f>salesitems[[#This Row],[quantity]]*salesitems[[#This Row],[unit_price]]</f>
        <v>57</v>
      </c>
      <c r="O113" t="str">
        <f>_xlfn.XLOOKUP(salesitems[[#This Row],[product_id]],products[product_id],products[product_name])</f>
        <v>Classic Ribbed Tee</v>
      </c>
      <c r="P113" t="str">
        <f>_xlfn.XLOOKUP(salesitems[[#This Row],[product_id]],fashion_store_products!A:A,fashion_store_products!C:C)</f>
        <v>T-Shirts</v>
      </c>
    </row>
    <row r="114" spans="1:16" x14ac:dyDescent="0.45">
      <c r="A114">
        <v>2276</v>
      </c>
      <c r="B114">
        <v>985</v>
      </c>
      <c r="C114">
        <v>357</v>
      </c>
      <c r="D114">
        <v>1</v>
      </c>
      <c r="E114">
        <v>56.91</v>
      </c>
      <c r="F114">
        <v>56.91</v>
      </c>
      <c r="G114">
        <v>0</v>
      </c>
      <c r="H114" s="2">
        <v>0</v>
      </c>
      <c r="I114">
        <v>0</v>
      </c>
      <c r="J114">
        <v>56.91</v>
      </c>
      <c r="K114" s="1">
        <v>45781</v>
      </c>
      <c r="L114" t="s">
        <v>21</v>
      </c>
      <c r="M114" t="s">
        <v>18</v>
      </c>
      <c r="N114">
        <f>salesitems[[#This Row],[quantity]]*salesitems[[#This Row],[unit_price]]</f>
        <v>56.91</v>
      </c>
      <c r="O114" t="str">
        <f>_xlfn.XLOOKUP(salesitems[[#This Row],[product_id]],products[product_id],products[product_name])</f>
        <v>Essential Boxy Set</v>
      </c>
      <c r="P114" t="str">
        <f>_xlfn.XLOOKUP(salesitems[[#This Row],[product_id]],fashion_store_products!A:A,fashion_store_products!C:C)</f>
        <v>Sleepwear</v>
      </c>
    </row>
    <row r="115" spans="1:16" x14ac:dyDescent="0.45">
      <c r="A115">
        <v>2750</v>
      </c>
      <c r="B115">
        <v>635</v>
      </c>
      <c r="C115">
        <v>357</v>
      </c>
      <c r="D115">
        <v>1</v>
      </c>
      <c r="E115">
        <v>56.91</v>
      </c>
      <c r="F115">
        <v>56.91</v>
      </c>
      <c r="G115">
        <v>0</v>
      </c>
      <c r="H115" s="2">
        <v>0</v>
      </c>
      <c r="I115">
        <v>0</v>
      </c>
      <c r="J115">
        <v>56.91</v>
      </c>
      <c r="K115" s="1">
        <v>45763</v>
      </c>
      <c r="L115" t="s">
        <v>15</v>
      </c>
      <c r="M115" t="s">
        <v>15</v>
      </c>
      <c r="N115">
        <f>salesitems[[#This Row],[quantity]]*salesitems[[#This Row],[unit_price]]</f>
        <v>56.91</v>
      </c>
      <c r="O115" t="str">
        <f>_xlfn.XLOOKUP(salesitems[[#This Row],[product_id]],products[product_id],products[product_name])</f>
        <v>Essential Boxy Set</v>
      </c>
      <c r="P115" t="str">
        <f>_xlfn.XLOOKUP(salesitems[[#This Row],[product_id]],fashion_store_products!A:A,fashion_store_products!C:C)</f>
        <v>Sleepwear</v>
      </c>
    </row>
    <row r="116" spans="1:16" x14ac:dyDescent="0.45">
      <c r="A116">
        <v>1325</v>
      </c>
      <c r="B116">
        <v>620</v>
      </c>
      <c r="C116">
        <v>326</v>
      </c>
      <c r="D116">
        <v>1</v>
      </c>
      <c r="E116">
        <v>56.7</v>
      </c>
      <c r="F116">
        <v>56.7</v>
      </c>
      <c r="G116">
        <v>0</v>
      </c>
      <c r="H116" s="2">
        <v>0</v>
      </c>
      <c r="I116">
        <v>0</v>
      </c>
      <c r="J116">
        <v>56.7</v>
      </c>
      <c r="K116" s="1">
        <v>45797</v>
      </c>
      <c r="L116" t="s">
        <v>21</v>
      </c>
      <c r="M116" t="s">
        <v>18</v>
      </c>
      <c r="N116">
        <f>salesitems[[#This Row],[quantity]]*salesitems[[#This Row],[unit_price]]</f>
        <v>56.7</v>
      </c>
      <c r="O116" t="str">
        <f>_xlfn.XLOOKUP(salesitems[[#This Row],[product_id]],products[product_id],products[product_name])</f>
        <v>Essential High-Waist Dress</v>
      </c>
      <c r="P116" t="str">
        <f>_xlfn.XLOOKUP(salesitems[[#This Row],[product_id]],fashion_store_products!A:A,fashion_store_products!C:C)</f>
        <v>Dresses</v>
      </c>
    </row>
    <row r="117" spans="1:16" x14ac:dyDescent="0.45">
      <c r="A117">
        <v>1574</v>
      </c>
      <c r="B117">
        <v>504</v>
      </c>
      <c r="C117">
        <v>326</v>
      </c>
      <c r="D117">
        <v>1</v>
      </c>
      <c r="E117">
        <v>56.7</v>
      </c>
      <c r="F117">
        <v>56.7</v>
      </c>
      <c r="G117">
        <v>0</v>
      </c>
      <c r="H117" s="2">
        <v>0</v>
      </c>
      <c r="I117">
        <v>0</v>
      </c>
      <c r="J117">
        <v>56.7</v>
      </c>
      <c r="K117" s="1">
        <v>45753</v>
      </c>
      <c r="L117" t="s">
        <v>15</v>
      </c>
      <c r="M117" t="s">
        <v>15</v>
      </c>
      <c r="N117">
        <f>salesitems[[#This Row],[quantity]]*salesitems[[#This Row],[unit_price]]</f>
        <v>56.7</v>
      </c>
      <c r="O117" t="str">
        <f>_xlfn.XLOOKUP(salesitems[[#This Row],[product_id]],products[product_id],products[product_name])</f>
        <v>Essential High-Waist Dress</v>
      </c>
      <c r="P117" t="str">
        <f>_xlfn.XLOOKUP(salesitems[[#This Row],[product_id]],fashion_store_products!A:A,fashion_store_products!C:C)</f>
        <v>Dresses</v>
      </c>
    </row>
    <row r="118" spans="1:16" x14ac:dyDescent="0.45">
      <c r="A118">
        <v>513</v>
      </c>
      <c r="B118">
        <v>1093</v>
      </c>
      <c r="C118">
        <v>294</v>
      </c>
      <c r="D118">
        <v>1</v>
      </c>
      <c r="E118">
        <v>56.69</v>
      </c>
      <c r="F118">
        <v>56.69</v>
      </c>
      <c r="G118">
        <v>0</v>
      </c>
      <c r="H118" s="2">
        <v>0</v>
      </c>
      <c r="I118">
        <v>0</v>
      </c>
      <c r="J118">
        <v>56.69</v>
      </c>
      <c r="K118" s="1">
        <v>45802</v>
      </c>
      <c r="L118" t="s">
        <v>15</v>
      </c>
      <c r="M118" t="s">
        <v>15</v>
      </c>
      <c r="N118">
        <f>salesitems[[#This Row],[quantity]]*salesitems[[#This Row],[unit_price]]</f>
        <v>56.69</v>
      </c>
      <c r="O118" t="str">
        <f>_xlfn.XLOOKUP(salesitems[[#This Row],[product_id]],products[product_id],products[product_name])</f>
        <v>Essential Sleeveless Shoes</v>
      </c>
      <c r="P118" t="str">
        <f>_xlfn.XLOOKUP(salesitems[[#This Row],[product_id]],fashion_store_products!A:A,fashion_store_products!C:C)</f>
        <v>Shoes</v>
      </c>
    </row>
    <row r="119" spans="1:16" x14ac:dyDescent="0.45">
      <c r="A119">
        <v>731</v>
      </c>
      <c r="B119">
        <v>539</v>
      </c>
      <c r="C119">
        <v>303</v>
      </c>
      <c r="D119">
        <v>1</v>
      </c>
      <c r="E119">
        <v>56.58</v>
      </c>
      <c r="F119">
        <v>56.58</v>
      </c>
      <c r="G119">
        <v>0</v>
      </c>
      <c r="H119" s="2">
        <v>0</v>
      </c>
      <c r="I119">
        <v>0</v>
      </c>
      <c r="J119">
        <v>56.58</v>
      </c>
      <c r="K119" s="1">
        <v>45773</v>
      </c>
      <c r="L119" t="s">
        <v>21</v>
      </c>
      <c r="M119" t="s">
        <v>18</v>
      </c>
      <c r="N119">
        <f>salesitems[[#This Row],[quantity]]*salesitems[[#This Row],[unit_price]]</f>
        <v>56.58</v>
      </c>
      <c r="O119" t="str">
        <f>_xlfn.XLOOKUP(salesitems[[#This Row],[product_id]],products[product_id],products[product_name])</f>
        <v>Relaxed Satin Set</v>
      </c>
      <c r="P119" t="str">
        <f>_xlfn.XLOOKUP(salesitems[[#This Row],[product_id]],fashion_store_products!A:A,fashion_store_products!C:C)</f>
        <v>Sleepwear</v>
      </c>
    </row>
    <row r="120" spans="1:16" x14ac:dyDescent="0.45">
      <c r="A120">
        <v>3347</v>
      </c>
      <c r="B120">
        <v>882</v>
      </c>
      <c r="C120">
        <v>100</v>
      </c>
      <c r="D120">
        <v>1</v>
      </c>
      <c r="E120">
        <v>56.44</v>
      </c>
      <c r="F120">
        <v>56.44</v>
      </c>
      <c r="G120">
        <v>0</v>
      </c>
      <c r="H120" s="2">
        <v>0</v>
      </c>
      <c r="I120">
        <v>0</v>
      </c>
      <c r="J120">
        <v>56.44</v>
      </c>
      <c r="K120" s="1">
        <v>45823</v>
      </c>
      <c r="L120" t="s">
        <v>15</v>
      </c>
      <c r="M120" t="s">
        <v>15</v>
      </c>
      <c r="N120">
        <f>salesitems[[#This Row],[quantity]]*salesitems[[#This Row],[unit_price]]</f>
        <v>56.44</v>
      </c>
      <c r="O120" t="str">
        <f>_xlfn.XLOOKUP(salesitems[[#This Row],[product_id]],products[product_id],products[product_name])</f>
        <v>Classic Crew Dress</v>
      </c>
      <c r="P120" t="str">
        <f>_xlfn.XLOOKUP(salesitems[[#This Row],[product_id]],fashion_store_products!A:A,fashion_store_products!C:C)</f>
        <v>Dresses</v>
      </c>
    </row>
    <row r="121" spans="1:16" x14ac:dyDescent="0.45">
      <c r="A121">
        <v>312</v>
      </c>
      <c r="B121">
        <v>183</v>
      </c>
      <c r="C121">
        <v>314</v>
      </c>
      <c r="D121">
        <v>1</v>
      </c>
      <c r="E121">
        <v>56.29</v>
      </c>
      <c r="F121">
        <v>56.29</v>
      </c>
      <c r="G121">
        <v>0</v>
      </c>
      <c r="H121" s="2">
        <v>0</v>
      </c>
      <c r="I121">
        <v>0</v>
      </c>
      <c r="J121">
        <v>56.29</v>
      </c>
      <c r="K121" s="1">
        <v>45793</v>
      </c>
      <c r="L121" t="s">
        <v>21</v>
      </c>
      <c r="M121" t="s">
        <v>18</v>
      </c>
      <c r="N121">
        <f>salesitems[[#This Row],[quantity]]*salesitems[[#This Row],[unit_price]]</f>
        <v>56.29</v>
      </c>
      <c r="O121" t="str">
        <f>_xlfn.XLOOKUP(salesitems[[#This Row],[product_id]],products[product_id],products[product_name])</f>
        <v>Relaxed Sleeveless Set</v>
      </c>
      <c r="P121" t="str">
        <f>_xlfn.XLOOKUP(salesitems[[#This Row],[product_id]],fashion_store_products!A:A,fashion_store_products!C:C)</f>
        <v>Sleepwear</v>
      </c>
    </row>
    <row r="122" spans="1:16" x14ac:dyDescent="0.45">
      <c r="A122">
        <v>1124</v>
      </c>
      <c r="B122">
        <v>646</v>
      </c>
      <c r="C122">
        <v>485</v>
      </c>
      <c r="D122">
        <v>1</v>
      </c>
      <c r="E122">
        <v>56.2</v>
      </c>
      <c r="F122">
        <v>56.2</v>
      </c>
      <c r="G122">
        <v>0</v>
      </c>
      <c r="H122" s="2">
        <v>0</v>
      </c>
      <c r="I122">
        <v>0</v>
      </c>
      <c r="J122">
        <v>56.2</v>
      </c>
      <c r="K122" s="1">
        <v>45791</v>
      </c>
      <c r="L122" t="s">
        <v>21</v>
      </c>
      <c r="M122" t="s">
        <v>18</v>
      </c>
      <c r="N122">
        <f>salesitems[[#This Row],[quantity]]*salesitems[[#This Row],[unit_price]]</f>
        <v>56.2</v>
      </c>
      <c r="O122" t="str">
        <f>_xlfn.XLOOKUP(salesitems[[#This Row],[product_id]],products[product_id],products[product_name])</f>
        <v>Bold Sleeveless Shoes</v>
      </c>
      <c r="P122" t="str">
        <f>_xlfn.XLOOKUP(salesitems[[#This Row],[product_id]],fashion_store_products!A:A,fashion_store_products!C:C)</f>
        <v>Shoes</v>
      </c>
    </row>
    <row r="123" spans="1:16" x14ac:dyDescent="0.45">
      <c r="A123">
        <v>2954</v>
      </c>
      <c r="B123">
        <v>430</v>
      </c>
      <c r="C123">
        <v>422</v>
      </c>
      <c r="D123">
        <v>1</v>
      </c>
      <c r="E123">
        <v>55.91</v>
      </c>
      <c r="F123">
        <v>55.91</v>
      </c>
      <c r="G123">
        <v>0</v>
      </c>
      <c r="H123" s="2">
        <v>0</v>
      </c>
      <c r="I123">
        <v>0</v>
      </c>
      <c r="J123">
        <v>55.91</v>
      </c>
      <c r="K123" s="1">
        <v>45765</v>
      </c>
      <c r="L123" t="s">
        <v>21</v>
      </c>
      <c r="M123" t="s">
        <v>18</v>
      </c>
      <c r="N123">
        <f>salesitems[[#This Row],[quantity]]*salesitems[[#This Row],[unit_price]]</f>
        <v>55.91</v>
      </c>
      <c r="O123" t="str">
        <f>_xlfn.XLOOKUP(salesitems[[#This Row],[product_id]],products[product_id],products[product_name])</f>
        <v>Elegant High-Waist Set</v>
      </c>
      <c r="P123" t="str">
        <f>_xlfn.XLOOKUP(salesitems[[#This Row],[product_id]],fashion_store_products!A:A,fashion_store_products!C:C)</f>
        <v>Sleepwear</v>
      </c>
    </row>
    <row r="124" spans="1:16" x14ac:dyDescent="0.45">
      <c r="A124">
        <v>2362</v>
      </c>
      <c r="B124">
        <v>265</v>
      </c>
      <c r="C124">
        <v>424</v>
      </c>
      <c r="D124">
        <v>1</v>
      </c>
      <c r="E124">
        <v>55.39</v>
      </c>
      <c r="F124">
        <v>55.39</v>
      </c>
      <c r="G124">
        <v>0</v>
      </c>
      <c r="H124" s="2">
        <v>0</v>
      </c>
      <c r="I124">
        <v>0</v>
      </c>
      <c r="J124">
        <v>55.39</v>
      </c>
      <c r="K124" s="1">
        <v>45803</v>
      </c>
      <c r="L124" t="s">
        <v>15</v>
      </c>
      <c r="M124" t="s">
        <v>15</v>
      </c>
      <c r="N124">
        <f>salesitems[[#This Row],[quantity]]*salesitems[[#This Row],[unit_price]]</f>
        <v>55.39</v>
      </c>
      <c r="O124" t="str">
        <f>_xlfn.XLOOKUP(salesitems[[#This Row],[product_id]],products[product_id],products[product_name])</f>
        <v>Elegant Sleeveless Dress</v>
      </c>
      <c r="P124" t="str">
        <f>_xlfn.XLOOKUP(salesitems[[#This Row],[product_id]],fashion_store_products!A:A,fashion_store_products!C:C)</f>
        <v>Dresses</v>
      </c>
    </row>
    <row r="125" spans="1:16" x14ac:dyDescent="0.45">
      <c r="A125">
        <v>2538</v>
      </c>
      <c r="B125">
        <v>531</v>
      </c>
      <c r="C125">
        <v>97</v>
      </c>
      <c r="D125">
        <v>1</v>
      </c>
      <c r="E125">
        <v>55.27</v>
      </c>
      <c r="F125">
        <v>55.27</v>
      </c>
      <c r="G125">
        <v>0</v>
      </c>
      <c r="H125" s="2">
        <v>0</v>
      </c>
      <c r="I125">
        <v>0</v>
      </c>
      <c r="J125">
        <v>55.27</v>
      </c>
      <c r="K125" s="1">
        <v>45807</v>
      </c>
      <c r="L125" t="s">
        <v>15</v>
      </c>
      <c r="M125" t="s">
        <v>15</v>
      </c>
      <c r="N125">
        <f>salesitems[[#This Row],[quantity]]*salesitems[[#This Row],[unit_price]]</f>
        <v>55.27</v>
      </c>
      <c r="O125" t="str">
        <f>_xlfn.XLOOKUP(salesitems[[#This Row],[product_id]],products[product_id],products[product_name])</f>
        <v>Modern High-Waist Shoes</v>
      </c>
      <c r="P125" t="str">
        <f>_xlfn.XLOOKUP(salesitems[[#This Row],[product_id]],fashion_store_products!A:A,fashion_store_products!C:C)</f>
        <v>Shoes</v>
      </c>
    </row>
    <row r="126" spans="1:16" x14ac:dyDescent="0.45">
      <c r="A126">
        <v>921</v>
      </c>
      <c r="B126">
        <v>577</v>
      </c>
      <c r="C126">
        <v>265</v>
      </c>
      <c r="D126">
        <v>1</v>
      </c>
      <c r="E126">
        <v>55.25</v>
      </c>
      <c r="F126">
        <v>55.25</v>
      </c>
      <c r="G126">
        <v>0</v>
      </c>
      <c r="H126" s="2">
        <v>0</v>
      </c>
      <c r="I126">
        <v>0</v>
      </c>
      <c r="J126">
        <v>55.25</v>
      </c>
      <c r="K126" s="1">
        <v>45804</v>
      </c>
      <c r="L126" t="s">
        <v>21</v>
      </c>
      <c r="M126" t="s">
        <v>18</v>
      </c>
      <c r="N126">
        <f>salesitems[[#This Row],[quantity]]*salesitems[[#This Row],[unit_price]]</f>
        <v>55.25</v>
      </c>
      <c r="O126" t="str">
        <f>_xlfn.XLOOKUP(salesitems[[#This Row],[product_id]],products[product_id],products[product_name])</f>
        <v>Relaxed Boxy Shoes</v>
      </c>
      <c r="P126" t="str">
        <f>_xlfn.XLOOKUP(salesitems[[#This Row],[product_id]],fashion_store_products!A:A,fashion_store_products!C:C)</f>
        <v>Shoes</v>
      </c>
    </row>
    <row r="127" spans="1:16" x14ac:dyDescent="0.45">
      <c r="A127">
        <v>424</v>
      </c>
      <c r="B127">
        <v>592</v>
      </c>
      <c r="C127">
        <v>107</v>
      </c>
      <c r="D127">
        <v>1</v>
      </c>
      <c r="E127">
        <v>55.06</v>
      </c>
      <c r="F127">
        <v>55.06</v>
      </c>
      <c r="G127">
        <v>0</v>
      </c>
      <c r="H127" s="2">
        <v>0</v>
      </c>
      <c r="I127">
        <v>0</v>
      </c>
      <c r="J127">
        <v>55.06</v>
      </c>
      <c r="K127" s="1">
        <v>45794</v>
      </c>
      <c r="L127" t="s">
        <v>21</v>
      </c>
      <c r="M127" t="s">
        <v>18</v>
      </c>
      <c r="N127">
        <f>salesitems[[#This Row],[quantity]]*salesitems[[#This Row],[unit_price]]</f>
        <v>55.06</v>
      </c>
      <c r="O127" t="str">
        <f>_xlfn.XLOOKUP(salesitems[[#This Row],[product_id]],products[product_id],products[product_name])</f>
        <v>Classic Linen Shoes</v>
      </c>
      <c r="P127" t="str">
        <f>_xlfn.XLOOKUP(salesitems[[#This Row],[product_id]],fashion_store_products!A:A,fashion_store_products!C:C)</f>
        <v>Shoes</v>
      </c>
    </row>
    <row r="128" spans="1:16" x14ac:dyDescent="0.45">
      <c r="A128">
        <v>3198</v>
      </c>
      <c r="B128">
        <v>578</v>
      </c>
      <c r="C128">
        <v>107</v>
      </c>
      <c r="D128">
        <v>1</v>
      </c>
      <c r="E128">
        <v>55.06</v>
      </c>
      <c r="F128">
        <v>55.06</v>
      </c>
      <c r="G128">
        <v>0</v>
      </c>
      <c r="H128" s="2">
        <v>0</v>
      </c>
      <c r="I128">
        <v>0</v>
      </c>
      <c r="J128">
        <v>55.06</v>
      </c>
      <c r="K128" s="1">
        <v>45772</v>
      </c>
      <c r="L128" t="s">
        <v>15</v>
      </c>
      <c r="M128" t="s">
        <v>15</v>
      </c>
      <c r="N128">
        <f>salesitems[[#This Row],[quantity]]*salesitems[[#This Row],[unit_price]]</f>
        <v>55.06</v>
      </c>
      <c r="O128" t="str">
        <f>_xlfn.XLOOKUP(salesitems[[#This Row],[product_id]],products[product_id],products[product_name])</f>
        <v>Classic Linen Shoes</v>
      </c>
      <c r="P128" t="str">
        <f>_xlfn.XLOOKUP(salesitems[[#This Row],[product_id]],fashion_store_products!A:A,fashion_store_products!C:C)</f>
        <v>Shoes</v>
      </c>
    </row>
    <row r="129" spans="1:16" x14ac:dyDescent="0.45">
      <c r="A129">
        <v>2384</v>
      </c>
      <c r="B129">
        <v>220</v>
      </c>
      <c r="C129">
        <v>124</v>
      </c>
      <c r="D129">
        <v>1</v>
      </c>
      <c r="E129">
        <v>55.04</v>
      </c>
      <c r="F129">
        <v>55.04</v>
      </c>
      <c r="G129">
        <v>0</v>
      </c>
      <c r="H129" s="2">
        <v>0</v>
      </c>
      <c r="I129">
        <v>0</v>
      </c>
      <c r="J129">
        <v>55.04</v>
      </c>
      <c r="K129" s="1">
        <v>45765</v>
      </c>
      <c r="L129" t="s">
        <v>21</v>
      </c>
      <c r="M129" t="s">
        <v>18</v>
      </c>
      <c r="N129">
        <f>salesitems[[#This Row],[quantity]]*salesitems[[#This Row],[unit_price]]</f>
        <v>55.04</v>
      </c>
      <c r="O129" t="str">
        <f>_xlfn.XLOOKUP(salesitems[[#This Row],[product_id]],products[product_id],products[product_name])</f>
        <v>Classic Linen Set</v>
      </c>
      <c r="P129" t="str">
        <f>_xlfn.XLOOKUP(salesitems[[#This Row],[product_id]],fashion_store_products!A:A,fashion_store_products!C:C)</f>
        <v>Sleepwear</v>
      </c>
    </row>
    <row r="130" spans="1:16" x14ac:dyDescent="0.45">
      <c r="A130">
        <v>1598</v>
      </c>
      <c r="B130">
        <v>1230</v>
      </c>
      <c r="C130">
        <v>126</v>
      </c>
      <c r="D130">
        <v>1</v>
      </c>
      <c r="E130">
        <v>55.03</v>
      </c>
      <c r="F130">
        <v>55.03</v>
      </c>
      <c r="G130">
        <v>0</v>
      </c>
      <c r="H130" s="2">
        <v>0</v>
      </c>
      <c r="I130">
        <v>0</v>
      </c>
      <c r="J130">
        <v>55.03</v>
      </c>
      <c r="K130" s="1">
        <v>45796</v>
      </c>
      <c r="L130" t="s">
        <v>21</v>
      </c>
      <c r="M130" t="s">
        <v>18</v>
      </c>
      <c r="N130">
        <f>salesitems[[#This Row],[quantity]]*salesitems[[#This Row],[unit_price]]</f>
        <v>55.03</v>
      </c>
      <c r="O130" t="str">
        <f>_xlfn.XLOOKUP(salesitems[[#This Row],[product_id]],products[product_id],products[product_name])</f>
        <v>Classic Silk Shoes</v>
      </c>
      <c r="P130" t="str">
        <f>_xlfn.XLOOKUP(salesitems[[#This Row],[product_id]],fashion_store_products!A:A,fashion_store_products!C:C)</f>
        <v>Shoes</v>
      </c>
    </row>
    <row r="131" spans="1:16" x14ac:dyDescent="0.45">
      <c r="A131">
        <v>1027</v>
      </c>
      <c r="B131">
        <v>815</v>
      </c>
      <c r="C131">
        <v>264</v>
      </c>
      <c r="D131">
        <v>1</v>
      </c>
      <c r="E131">
        <v>55.01</v>
      </c>
      <c r="F131">
        <v>55.01</v>
      </c>
      <c r="G131">
        <v>0</v>
      </c>
      <c r="H131" s="2">
        <v>0</v>
      </c>
      <c r="I131">
        <v>0</v>
      </c>
      <c r="J131">
        <v>55.01</v>
      </c>
      <c r="K131" s="1">
        <v>45774</v>
      </c>
      <c r="L131" t="s">
        <v>15</v>
      </c>
      <c r="M131" t="s">
        <v>15</v>
      </c>
      <c r="N131">
        <f>salesitems[[#This Row],[quantity]]*salesitems[[#This Row],[unit_price]]</f>
        <v>55.01</v>
      </c>
      <c r="O131" t="str">
        <f>_xlfn.XLOOKUP(salesitems[[#This Row],[product_id]],products[product_id],products[product_name])</f>
        <v>Relaxed Satin Tee</v>
      </c>
      <c r="P131" t="str">
        <f>_xlfn.XLOOKUP(salesitems[[#This Row],[product_id]],fashion_store_products!A:A,fashion_store_products!C:C)</f>
        <v>T-Shirts</v>
      </c>
    </row>
    <row r="132" spans="1:16" x14ac:dyDescent="0.45">
      <c r="A132">
        <v>2453</v>
      </c>
      <c r="B132">
        <v>707</v>
      </c>
      <c r="C132">
        <v>188</v>
      </c>
      <c r="D132">
        <v>1</v>
      </c>
      <c r="E132">
        <v>55.01</v>
      </c>
      <c r="F132">
        <v>55.01</v>
      </c>
      <c r="G132">
        <v>0</v>
      </c>
      <c r="H132" s="2">
        <v>0</v>
      </c>
      <c r="I132">
        <v>0</v>
      </c>
      <c r="J132">
        <v>55.01</v>
      </c>
      <c r="K132" s="1">
        <v>45800</v>
      </c>
      <c r="L132" t="s">
        <v>21</v>
      </c>
      <c r="M132" t="s">
        <v>18</v>
      </c>
      <c r="N132">
        <f>salesitems[[#This Row],[quantity]]*salesitems[[#This Row],[unit_price]]</f>
        <v>55.01</v>
      </c>
      <c r="O132" t="str">
        <f>_xlfn.XLOOKUP(salesitems[[#This Row],[product_id]],products[product_id],products[product_name])</f>
        <v>Polished Wrap Shoes</v>
      </c>
      <c r="P132" t="str">
        <f>_xlfn.XLOOKUP(salesitems[[#This Row],[product_id]],fashion_store_products!A:A,fashion_store_products!C:C)</f>
        <v>Shoes</v>
      </c>
    </row>
    <row r="133" spans="1:16" x14ac:dyDescent="0.45">
      <c r="A133">
        <v>29</v>
      </c>
      <c r="B133">
        <v>653</v>
      </c>
      <c r="C133">
        <v>461</v>
      </c>
      <c r="D133">
        <v>1</v>
      </c>
      <c r="E133">
        <v>54.91</v>
      </c>
      <c r="F133">
        <v>54.91</v>
      </c>
      <c r="G133">
        <v>0</v>
      </c>
      <c r="H133" s="2">
        <v>0</v>
      </c>
      <c r="I133">
        <v>0</v>
      </c>
      <c r="J133">
        <v>54.91</v>
      </c>
      <c r="K133" s="1">
        <v>45798</v>
      </c>
      <c r="L133" t="s">
        <v>21</v>
      </c>
      <c r="M133" t="s">
        <v>18</v>
      </c>
      <c r="N133">
        <f>salesitems[[#This Row],[quantity]]*salesitems[[#This Row],[unit_price]]</f>
        <v>54.91</v>
      </c>
      <c r="O133" t="str">
        <f>_xlfn.XLOOKUP(salesitems[[#This Row],[product_id]],products[product_id],products[product_name])</f>
        <v>Bold High-Waist Tee</v>
      </c>
      <c r="P133" t="str">
        <f>_xlfn.XLOOKUP(salesitems[[#This Row],[product_id]],fashion_store_products!A:A,fashion_store_products!C:C)</f>
        <v>T-Shirts</v>
      </c>
    </row>
    <row r="134" spans="1:16" x14ac:dyDescent="0.45">
      <c r="A134">
        <v>2440</v>
      </c>
      <c r="B134">
        <v>708</v>
      </c>
      <c r="C134">
        <v>461</v>
      </c>
      <c r="D134">
        <v>1</v>
      </c>
      <c r="E134">
        <v>54.91</v>
      </c>
      <c r="F134">
        <v>54.91</v>
      </c>
      <c r="G134">
        <v>0</v>
      </c>
      <c r="H134" s="2">
        <v>0</v>
      </c>
      <c r="I134">
        <v>0</v>
      </c>
      <c r="J134">
        <v>54.91</v>
      </c>
      <c r="K134" s="1">
        <v>45763</v>
      </c>
      <c r="L134" t="s">
        <v>15</v>
      </c>
      <c r="M134" t="s">
        <v>15</v>
      </c>
      <c r="N134">
        <f>salesitems[[#This Row],[quantity]]*salesitems[[#This Row],[unit_price]]</f>
        <v>54.91</v>
      </c>
      <c r="O134" t="str">
        <f>_xlfn.XLOOKUP(salesitems[[#This Row],[product_id]],products[product_id],products[product_name])</f>
        <v>Bold High-Waist Tee</v>
      </c>
      <c r="P134" t="str">
        <f>_xlfn.XLOOKUP(salesitems[[#This Row],[product_id]],fashion_store_products!A:A,fashion_store_products!C:C)</f>
        <v>T-Shirts</v>
      </c>
    </row>
    <row r="135" spans="1:16" x14ac:dyDescent="0.45">
      <c r="A135">
        <v>2524</v>
      </c>
      <c r="B135">
        <v>527</v>
      </c>
      <c r="C135">
        <v>481</v>
      </c>
      <c r="D135">
        <v>1</v>
      </c>
      <c r="E135">
        <v>54.87</v>
      </c>
      <c r="F135">
        <v>54.87</v>
      </c>
      <c r="G135">
        <v>0</v>
      </c>
      <c r="H135" s="2">
        <v>0</v>
      </c>
      <c r="I135">
        <v>0</v>
      </c>
      <c r="J135">
        <v>54.87</v>
      </c>
      <c r="K135" s="1">
        <v>45805</v>
      </c>
      <c r="L135" t="s">
        <v>21</v>
      </c>
      <c r="M135" t="s">
        <v>18</v>
      </c>
      <c r="N135">
        <f>salesitems[[#This Row],[quantity]]*salesitems[[#This Row],[unit_price]]</f>
        <v>54.87</v>
      </c>
      <c r="O135" t="str">
        <f>_xlfn.XLOOKUP(salesitems[[#This Row],[product_id]],products[product_id],products[product_name])</f>
        <v>Bold Crew Shoes</v>
      </c>
      <c r="P135" t="str">
        <f>_xlfn.XLOOKUP(salesitems[[#This Row],[product_id]],fashion_store_products!A:A,fashion_store_products!C:C)</f>
        <v>Shoes</v>
      </c>
    </row>
    <row r="136" spans="1:16" x14ac:dyDescent="0.45">
      <c r="A136">
        <v>79</v>
      </c>
      <c r="B136">
        <v>1336</v>
      </c>
      <c r="C136">
        <v>32</v>
      </c>
      <c r="D136">
        <v>1</v>
      </c>
      <c r="E136">
        <v>54.83</v>
      </c>
      <c r="F136">
        <v>54.83</v>
      </c>
      <c r="G136">
        <v>0</v>
      </c>
      <c r="H136" s="2">
        <v>0</v>
      </c>
      <c r="I136">
        <v>0</v>
      </c>
      <c r="J136">
        <v>54.83</v>
      </c>
      <c r="K136" s="1">
        <v>45751</v>
      </c>
      <c r="L136" t="s">
        <v>21</v>
      </c>
      <c r="M136" t="s">
        <v>18</v>
      </c>
      <c r="N136">
        <f>salesitems[[#This Row],[quantity]]*salesitems[[#This Row],[unit_price]]</f>
        <v>54.83</v>
      </c>
      <c r="O136" t="str">
        <f>_xlfn.XLOOKUP(salesitems[[#This Row],[product_id]],products[product_id],products[product_name])</f>
        <v>Soft Silk Tee</v>
      </c>
      <c r="P136" t="str">
        <f>_xlfn.XLOOKUP(salesitems[[#This Row],[product_id]],fashion_store_products!A:A,fashion_store_products!C:C)</f>
        <v>T-Shirts</v>
      </c>
    </row>
    <row r="137" spans="1:16" x14ac:dyDescent="0.45">
      <c r="A137">
        <v>1554</v>
      </c>
      <c r="B137">
        <v>41</v>
      </c>
      <c r="C137">
        <v>32</v>
      </c>
      <c r="D137">
        <v>1</v>
      </c>
      <c r="E137">
        <v>54.83</v>
      </c>
      <c r="F137">
        <v>54.83</v>
      </c>
      <c r="G137">
        <v>0</v>
      </c>
      <c r="H137" s="2">
        <v>0</v>
      </c>
      <c r="I137">
        <v>0</v>
      </c>
      <c r="J137">
        <v>54.83</v>
      </c>
      <c r="K137" s="1">
        <v>45761</v>
      </c>
      <c r="L137" t="s">
        <v>21</v>
      </c>
      <c r="M137" t="s">
        <v>18</v>
      </c>
      <c r="N137">
        <f>salesitems[[#This Row],[quantity]]*salesitems[[#This Row],[unit_price]]</f>
        <v>54.83</v>
      </c>
      <c r="O137" t="str">
        <f>_xlfn.XLOOKUP(salesitems[[#This Row],[product_id]],products[product_id],products[product_name])</f>
        <v>Soft Silk Tee</v>
      </c>
      <c r="P137" t="str">
        <f>_xlfn.XLOOKUP(salesitems[[#This Row],[product_id]],fashion_store_products!A:A,fashion_store_products!C:C)</f>
        <v>T-Shirts</v>
      </c>
    </row>
    <row r="138" spans="1:16" x14ac:dyDescent="0.45">
      <c r="A138">
        <v>2801</v>
      </c>
      <c r="B138">
        <v>116</v>
      </c>
      <c r="C138">
        <v>32</v>
      </c>
      <c r="D138">
        <v>1</v>
      </c>
      <c r="E138">
        <v>54.83</v>
      </c>
      <c r="F138">
        <v>54.83</v>
      </c>
      <c r="G138">
        <v>0</v>
      </c>
      <c r="H138" s="2">
        <v>0</v>
      </c>
      <c r="I138">
        <v>0</v>
      </c>
      <c r="J138">
        <v>54.83</v>
      </c>
      <c r="K138" s="1">
        <v>45781</v>
      </c>
      <c r="L138" t="s">
        <v>15</v>
      </c>
      <c r="M138" t="s">
        <v>15</v>
      </c>
      <c r="N138">
        <f>salesitems[[#This Row],[quantity]]*salesitems[[#This Row],[unit_price]]</f>
        <v>54.83</v>
      </c>
      <c r="O138" t="str">
        <f>_xlfn.XLOOKUP(salesitems[[#This Row],[product_id]],products[product_id],products[product_name])</f>
        <v>Soft Silk Tee</v>
      </c>
      <c r="P138" t="str">
        <f>_xlfn.XLOOKUP(salesitems[[#This Row],[product_id]],fashion_store_products!A:A,fashion_store_products!C:C)</f>
        <v>T-Shirts</v>
      </c>
    </row>
    <row r="139" spans="1:16" x14ac:dyDescent="0.45">
      <c r="A139">
        <v>1536</v>
      </c>
      <c r="B139">
        <v>193</v>
      </c>
      <c r="C139">
        <v>271</v>
      </c>
      <c r="D139">
        <v>1</v>
      </c>
      <c r="E139">
        <v>54.28</v>
      </c>
      <c r="F139">
        <v>54.28</v>
      </c>
      <c r="G139">
        <v>0</v>
      </c>
      <c r="H139" s="2">
        <v>0</v>
      </c>
      <c r="I139">
        <v>0</v>
      </c>
      <c r="J139">
        <v>54.28</v>
      </c>
      <c r="K139" s="1">
        <v>45795</v>
      </c>
      <c r="L139" t="s">
        <v>21</v>
      </c>
      <c r="M139" t="s">
        <v>18</v>
      </c>
      <c r="N139">
        <f>salesitems[[#This Row],[quantity]]*salesitems[[#This Row],[unit_price]]</f>
        <v>54.28</v>
      </c>
      <c r="O139" t="str">
        <f>_xlfn.XLOOKUP(salesitems[[#This Row],[product_id]],products[product_id],products[product_name])</f>
        <v>Essential Wrap Shoes</v>
      </c>
      <c r="P139" t="str">
        <f>_xlfn.XLOOKUP(salesitems[[#This Row],[product_id]],fashion_store_products!A:A,fashion_store_products!C:C)</f>
        <v>Shoes</v>
      </c>
    </row>
    <row r="140" spans="1:16" x14ac:dyDescent="0.45">
      <c r="A140">
        <v>2426</v>
      </c>
      <c r="B140">
        <v>144</v>
      </c>
      <c r="C140">
        <v>42</v>
      </c>
      <c r="D140">
        <v>1</v>
      </c>
      <c r="E140">
        <v>54.2</v>
      </c>
      <c r="F140">
        <v>54.2</v>
      </c>
      <c r="G140">
        <v>0</v>
      </c>
      <c r="H140" s="2">
        <v>0</v>
      </c>
      <c r="I140">
        <v>0</v>
      </c>
      <c r="J140">
        <v>54.2</v>
      </c>
      <c r="K140" s="1">
        <v>45767</v>
      </c>
      <c r="L140" t="s">
        <v>15</v>
      </c>
      <c r="M140" t="s">
        <v>15</v>
      </c>
      <c r="N140">
        <f>salesitems[[#This Row],[quantity]]*salesitems[[#This Row],[unit_price]]</f>
        <v>54.2</v>
      </c>
      <c r="O140" t="str">
        <f>_xlfn.XLOOKUP(salesitems[[#This Row],[product_id]],products[product_id],products[product_name])</f>
        <v>Soft Ribbed Set</v>
      </c>
      <c r="P140" t="str">
        <f>_xlfn.XLOOKUP(salesitems[[#This Row],[product_id]],fashion_store_products!A:A,fashion_store_products!C:C)</f>
        <v>Sleepwear</v>
      </c>
    </row>
    <row r="141" spans="1:16" x14ac:dyDescent="0.45">
      <c r="A141">
        <v>2952</v>
      </c>
      <c r="B141">
        <v>204</v>
      </c>
      <c r="C141">
        <v>42</v>
      </c>
      <c r="D141">
        <v>1</v>
      </c>
      <c r="E141">
        <v>54.2</v>
      </c>
      <c r="F141">
        <v>54.2</v>
      </c>
      <c r="G141">
        <v>0</v>
      </c>
      <c r="H141" s="2">
        <v>0</v>
      </c>
      <c r="I141">
        <v>0</v>
      </c>
      <c r="J141">
        <v>54.2</v>
      </c>
      <c r="K141" s="1">
        <v>45783</v>
      </c>
      <c r="L141" t="s">
        <v>21</v>
      </c>
      <c r="M141" t="s">
        <v>18</v>
      </c>
      <c r="N141">
        <f>salesitems[[#This Row],[quantity]]*salesitems[[#This Row],[unit_price]]</f>
        <v>54.2</v>
      </c>
      <c r="O141" t="str">
        <f>_xlfn.XLOOKUP(salesitems[[#This Row],[product_id]],products[product_id],products[product_name])</f>
        <v>Soft Ribbed Set</v>
      </c>
      <c r="P141" t="str">
        <f>_xlfn.XLOOKUP(salesitems[[#This Row],[product_id]],fashion_store_products!A:A,fashion_store_products!C:C)</f>
        <v>Sleepwear</v>
      </c>
    </row>
    <row r="142" spans="1:16" x14ac:dyDescent="0.45">
      <c r="A142">
        <v>2713</v>
      </c>
      <c r="B142">
        <v>212</v>
      </c>
      <c r="C142">
        <v>439</v>
      </c>
      <c r="D142">
        <v>1</v>
      </c>
      <c r="E142">
        <v>53.93</v>
      </c>
      <c r="F142">
        <v>53.93</v>
      </c>
      <c r="G142">
        <v>0</v>
      </c>
      <c r="H142" s="2">
        <v>0</v>
      </c>
      <c r="I142">
        <v>0</v>
      </c>
      <c r="J142">
        <v>53.93</v>
      </c>
      <c r="K142" s="1">
        <v>45782</v>
      </c>
      <c r="L142" t="s">
        <v>15</v>
      </c>
      <c r="M142" t="s">
        <v>15</v>
      </c>
      <c r="N142">
        <f>salesitems[[#This Row],[quantity]]*salesitems[[#This Row],[unit_price]]</f>
        <v>53.93</v>
      </c>
      <c r="O142" t="str">
        <f>_xlfn.XLOOKUP(salesitems[[#This Row],[product_id]],products[product_id],products[product_name])</f>
        <v>Tailored Linen Trousers</v>
      </c>
      <c r="P142" t="str">
        <f>_xlfn.XLOOKUP(salesitems[[#This Row],[product_id]],fashion_store_products!A:A,fashion_store_products!C:C)</f>
        <v>Pants</v>
      </c>
    </row>
    <row r="143" spans="1:16" x14ac:dyDescent="0.45">
      <c r="A143">
        <v>1206</v>
      </c>
      <c r="B143">
        <v>55</v>
      </c>
      <c r="C143">
        <v>154</v>
      </c>
      <c r="D143">
        <v>1</v>
      </c>
      <c r="E143">
        <v>53.74</v>
      </c>
      <c r="F143">
        <v>53.74</v>
      </c>
      <c r="G143">
        <v>0</v>
      </c>
      <c r="H143" s="2">
        <v>0</v>
      </c>
      <c r="I143">
        <v>0</v>
      </c>
      <c r="J143">
        <v>53.74</v>
      </c>
      <c r="K143" s="1">
        <v>45764</v>
      </c>
      <c r="L143" t="s">
        <v>21</v>
      </c>
      <c r="M143" t="s">
        <v>18</v>
      </c>
      <c r="N143">
        <f>salesitems[[#This Row],[quantity]]*salesitems[[#This Row],[unit_price]]</f>
        <v>53.74</v>
      </c>
      <c r="O143" t="str">
        <f>_xlfn.XLOOKUP(salesitems[[#This Row],[product_id]],products[product_id],products[product_name])</f>
        <v>Classic Crew Set</v>
      </c>
      <c r="P143" t="str">
        <f>_xlfn.XLOOKUP(salesitems[[#This Row],[product_id]],fashion_store_products!A:A,fashion_store_products!C:C)</f>
        <v>Sleepwear</v>
      </c>
    </row>
    <row r="144" spans="1:16" x14ac:dyDescent="0.45">
      <c r="A144">
        <v>964</v>
      </c>
      <c r="B144">
        <v>675</v>
      </c>
      <c r="C144">
        <v>47</v>
      </c>
      <c r="D144">
        <v>1</v>
      </c>
      <c r="E144">
        <v>53.73</v>
      </c>
      <c r="F144">
        <v>53.73</v>
      </c>
      <c r="G144">
        <v>0</v>
      </c>
      <c r="H144" s="2">
        <v>0</v>
      </c>
      <c r="I144">
        <v>0</v>
      </c>
      <c r="J144">
        <v>53.73</v>
      </c>
      <c r="K144" s="1">
        <v>45800</v>
      </c>
      <c r="L144" t="s">
        <v>21</v>
      </c>
      <c r="M144" t="s">
        <v>18</v>
      </c>
      <c r="N144">
        <f>salesitems[[#This Row],[quantity]]*salesitems[[#This Row],[unit_price]]</f>
        <v>53.73</v>
      </c>
      <c r="O144" t="str">
        <f>_xlfn.XLOOKUP(salesitems[[#This Row],[product_id]],products[product_id],products[product_name])</f>
        <v>Soft High-Waist Tee</v>
      </c>
      <c r="P144" t="str">
        <f>_xlfn.XLOOKUP(salesitems[[#This Row],[product_id]],fashion_store_products!A:A,fashion_store_products!C:C)</f>
        <v>T-Shirts</v>
      </c>
    </row>
    <row r="145" spans="1:16" x14ac:dyDescent="0.45">
      <c r="A145">
        <v>3185</v>
      </c>
      <c r="B145">
        <v>1006</v>
      </c>
      <c r="C145">
        <v>221</v>
      </c>
      <c r="D145">
        <v>1</v>
      </c>
      <c r="E145">
        <v>53.7</v>
      </c>
      <c r="F145">
        <v>53.7</v>
      </c>
      <c r="G145">
        <v>0</v>
      </c>
      <c r="H145" s="2">
        <v>0</v>
      </c>
      <c r="I145">
        <v>0</v>
      </c>
      <c r="J145">
        <v>53.7</v>
      </c>
      <c r="K145" s="1">
        <v>45782</v>
      </c>
      <c r="L145" t="s">
        <v>21</v>
      </c>
      <c r="M145" t="s">
        <v>18</v>
      </c>
      <c r="N145">
        <f>salesitems[[#This Row],[quantity]]*salesitems[[#This Row],[unit_price]]</f>
        <v>53.7</v>
      </c>
      <c r="O145" t="str">
        <f>_xlfn.XLOOKUP(salesitems[[#This Row],[product_id]],products[product_id],products[product_name])</f>
        <v>Polished Silk Tee</v>
      </c>
      <c r="P145" t="str">
        <f>_xlfn.XLOOKUP(salesitems[[#This Row],[product_id]],fashion_store_products!A:A,fashion_store_products!C:C)</f>
        <v>T-Shirts</v>
      </c>
    </row>
    <row r="146" spans="1:16" x14ac:dyDescent="0.45">
      <c r="A146">
        <v>2293</v>
      </c>
      <c r="B146">
        <v>298</v>
      </c>
      <c r="C146">
        <v>52</v>
      </c>
      <c r="D146">
        <v>1</v>
      </c>
      <c r="E146">
        <v>53.61</v>
      </c>
      <c r="F146">
        <v>53.61</v>
      </c>
      <c r="G146">
        <v>0</v>
      </c>
      <c r="H146" s="2">
        <v>0</v>
      </c>
      <c r="I146">
        <v>0</v>
      </c>
      <c r="J146">
        <v>53.61</v>
      </c>
      <c r="K146" s="1">
        <v>45795</v>
      </c>
      <c r="L146" t="s">
        <v>21</v>
      </c>
      <c r="M146" t="s">
        <v>18</v>
      </c>
      <c r="N146">
        <f>salesitems[[#This Row],[quantity]]*salesitems[[#This Row],[unit_price]]</f>
        <v>53.61</v>
      </c>
      <c r="O146" t="str">
        <f>_xlfn.XLOOKUP(salesitems[[#This Row],[product_id]],products[product_id],products[product_name])</f>
        <v>Modern Linen Tee</v>
      </c>
      <c r="P146" t="str">
        <f>_xlfn.XLOOKUP(salesitems[[#This Row],[product_id]],fashion_store_products!A:A,fashion_store_products!C:C)</f>
        <v>T-Shirts</v>
      </c>
    </row>
    <row r="147" spans="1:16" x14ac:dyDescent="0.45">
      <c r="A147">
        <v>2959</v>
      </c>
      <c r="B147">
        <v>1004</v>
      </c>
      <c r="C147">
        <v>368</v>
      </c>
      <c r="D147">
        <v>1</v>
      </c>
      <c r="E147">
        <v>53.48</v>
      </c>
      <c r="F147">
        <v>53.48</v>
      </c>
      <c r="G147">
        <v>0</v>
      </c>
      <c r="H147" s="2">
        <v>0</v>
      </c>
      <c r="I147">
        <v>0</v>
      </c>
      <c r="J147">
        <v>53.48</v>
      </c>
      <c r="K147" s="1">
        <v>45774</v>
      </c>
      <c r="L147" t="s">
        <v>15</v>
      </c>
      <c r="M147" t="s">
        <v>15</v>
      </c>
      <c r="N147">
        <f>salesitems[[#This Row],[quantity]]*salesitems[[#This Row],[unit_price]]</f>
        <v>53.48</v>
      </c>
      <c r="O147" t="str">
        <f>_xlfn.XLOOKUP(salesitems[[#This Row],[product_id]],products[product_id],products[product_name])</f>
        <v>Elegant Linen Tee</v>
      </c>
      <c r="P147" t="str">
        <f>_xlfn.XLOOKUP(salesitems[[#This Row],[product_id]],fashion_store_products!A:A,fashion_store_products!C:C)</f>
        <v>T-Shirts</v>
      </c>
    </row>
    <row r="148" spans="1:16" x14ac:dyDescent="0.45">
      <c r="A148">
        <v>2972</v>
      </c>
      <c r="B148">
        <v>778</v>
      </c>
      <c r="C148">
        <v>416</v>
      </c>
      <c r="D148">
        <v>1</v>
      </c>
      <c r="E148">
        <v>53.46</v>
      </c>
      <c r="F148">
        <v>53.46</v>
      </c>
      <c r="G148">
        <v>0</v>
      </c>
      <c r="H148" s="2">
        <v>0</v>
      </c>
      <c r="I148">
        <v>0</v>
      </c>
      <c r="J148">
        <v>53.46</v>
      </c>
      <c r="K148" s="1">
        <v>45760</v>
      </c>
      <c r="L148" t="s">
        <v>21</v>
      </c>
      <c r="M148" t="s">
        <v>18</v>
      </c>
      <c r="N148">
        <f>salesitems[[#This Row],[quantity]]*salesitems[[#This Row],[unit_price]]</f>
        <v>53.46</v>
      </c>
      <c r="O148" t="str">
        <f>_xlfn.XLOOKUP(salesitems[[#This Row],[product_id]],products[product_id],products[product_name])</f>
        <v>Essential High-Waist Trousers</v>
      </c>
      <c r="P148" t="str">
        <f>_xlfn.XLOOKUP(salesitems[[#This Row],[product_id]],fashion_store_products!A:A,fashion_store_products!C:C)</f>
        <v>Pants</v>
      </c>
    </row>
    <row r="149" spans="1:16" x14ac:dyDescent="0.45">
      <c r="A149">
        <v>610</v>
      </c>
      <c r="B149">
        <v>749</v>
      </c>
      <c r="C149">
        <v>458</v>
      </c>
      <c r="D149">
        <v>1</v>
      </c>
      <c r="E149">
        <v>53.35</v>
      </c>
      <c r="F149">
        <v>53.35</v>
      </c>
      <c r="G149">
        <v>0</v>
      </c>
      <c r="H149" s="2">
        <v>0</v>
      </c>
      <c r="I149">
        <v>0</v>
      </c>
      <c r="J149">
        <v>53.35</v>
      </c>
      <c r="K149" s="1">
        <v>45773</v>
      </c>
      <c r="L149" t="s">
        <v>21</v>
      </c>
      <c r="M149" t="s">
        <v>18</v>
      </c>
      <c r="N149">
        <f>salesitems[[#This Row],[quantity]]*salesitems[[#This Row],[unit_price]]</f>
        <v>53.35</v>
      </c>
      <c r="O149" t="str">
        <f>_xlfn.XLOOKUP(salesitems[[#This Row],[product_id]],products[product_id],products[product_name])</f>
        <v>Bold Sleeveless Set</v>
      </c>
      <c r="P149" t="str">
        <f>_xlfn.XLOOKUP(salesitems[[#This Row],[product_id]],fashion_store_products!A:A,fashion_store_products!C:C)</f>
        <v>Sleepwear</v>
      </c>
    </row>
    <row r="150" spans="1:16" x14ac:dyDescent="0.45">
      <c r="A150">
        <v>1501</v>
      </c>
      <c r="B150">
        <v>1224</v>
      </c>
      <c r="C150">
        <v>458</v>
      </c>
      <c r="D150">
        <v>1</v>
      </c>
      <c r="E150">
        <v>53.35</v>
      </c>
      <c r="F150">
        <v>53.35</v>
      </c>
      <c r="G150">
        <v>0</v>
      </c>
      <c r="H150" s="2">
        <v>0</v>
      </c>
      <c r="I150">
        <v>0</v>
      </c>
      <c r="J150">
        <v>53.35</v>
      </c>
      <c r="K150" s="1">
        <v>45766</v>
      </c>
      <c r="L150" t="s">
        <v>21</v>
      </c>
      <c r="M150" t="s">
        <v>18</v>
      </c>
      <c r="N150">
        <f>salesitems[[#This Row],[quantity]]*salesitems[[#This Row],[unit_price]]</f>
        <v>53.35</v>
      </c>
      <c r="O150" t="str">
        <f>_xlfn.XLOOKUP(salesitems[[#This Row],[product_id]],products[product_id],products[product_name])</f>
        <v>Bold Sleeveless Set</v>
      </c>
      <c r="P150" t="str">
        <f>_xlfn.XLOOKUP(salesitems[[#This Row],[product_id]],fashion_store_products!A:A,fashion_store_products!C:C)</f>
        <v>Sleepwear</v>
      </c>
    </row>
    <row r="151" spans="1:16" x14ac:dyDescent="0.45">
      <c r="A151">
        <v>1407</v>
      </c>
      <c r="B151">
        <v>605</v>
      </c>
      <c r="C151">
        <v>87</v>
      </c>
      <c r="D151">
        <v>1</v>
      </c>
      <c r="E151">
        <v>53.32</v>
      </c>
      <c r="F151">
        <v>53.32</v>
      </c>
      <c r="G151">
        <v>0</v>
      </c>
      <c r="H151" s="2">
        <v>0</v>
      </c>
      <c r="I151">
        <v>0</v>
      </c>
      <c r="J151">
        <v>53.32</v>
      </c>
      <c r="K151" s="1">
        <v>45753</v>
      </c>
      <c r="L151" t="s">
        <v>15</v>
      </c>
      <c r="M151" t="s">
        <v>15</v>
      </c>
      <c r="N151">
        <f>salesitems[[#This Row],[quantity]]*salesitems[[#This Row],[unit_price]]</f>
        <v>53.32</v>
      </c>
      <c r="O151" t="str">
        <f>_xlfn.XLOOKUP(salesitems[[#This Row],[product_id]],products[product_id],products[product_name])</f>
        <v>Classic Silk Dress</v>
      </c>
      <c r="P151" t="str">
        <f>_xlfn.XLOOKUP(salesitems[[#This Row],[product_id]],fashion_store_products!A:A,fashion_store_products!C:C)</f>
        <v>Dresses</v>
      </c>
    </row>
    <row r="152" spans="1:16" x14ac:dyDescent="0.45">
      <c r="A152">
        <v>1226</v>
      </c>
      <c r="B152">
        <v>1256</v>
      </c>
      <c r="C152">
        <v>442</v>
      </c>
      <c r="D152">
        <v>1</v>
      </c>
      <c r="E152">
        <v>53.27</v>
      </c>
      <c r="F152">
        <v>53.27</v>
      </c>
      <c r="G152">
        <v>0</v>
      </c>
      <c r="H152" s="2">
        <v>0</v>
      </c>
      <c r="I152">
        <v>0</v>
      </c>
      <c r="J152">
        <v>53.27</v>
      </c>
      <c r="K152" s="1">
        <v>45763</v>
      </c>
      <c r="L152" t="s">
        <v>15</v>
      </c>
      <c r="M152" t="s">
        <v>15</v>
      </c>
      <c r="N152">
        <f>salesitems[[#This Row],[quantity]]*salesitems[[#This Row],[unit_price]]</f>
        <v>53.27</v>
      </c>
      <c r="O152" t="str">
        <f>_xlfn.XLOOKUP(salesitems[[#This Row],[product_id]],products[product_id],products[product_name])</f>
        <v>Bold Ribbed Dress</v>
      </c>
      <c r="P152" t="str">
        <f>_xlfn.XLOOKUP(salesitems[[#This Row],[product_id]],fashion_store_products!A:A,fashion_store_products!C:C)</f>
        <v>Dresses</v>
      </c>
    </row>
    <row r="153" spans="1:16" x14ac:dyDescent="0.45">
      <c r="A153">
        <v>1950</v>
      </c>
      <c r="B153">
        <v>666</v>
      </c>
      <c r="C153">
        <v>40</v>
      </c>
      <c r="D153">
        <v>1</v>
      </c>
      <c r="E153">
        <v>53.19</v>
      </c>
      <c r="F153">
        <v>53.19</v>
      </c>
      <c r="G153">
        <v>0</v>
      </c>
      <c r="H153" s="2">
        <v>0</v>
      </c>
      <c r="I153">
        <v>0</v>
      </c>
      <c r="J153">
        <v>53.19</v>
      </c>
      <c r="K153" s="1">
        <v>45801</v>
      </c>
      <c r="L153" t="s">
        <v>21</v>
      </c>
      <c r="M153" t="s">
        <v>18</v>
      </c>
      <c r="N153">
        <f>salesitems[[#This Row],[quantity]]*salesitems[[#This Row],[unit_price]]</f>
        <v>53.19</v>
      </c>
      <c r="O153" t="str">
        <f>_xlfn.XLOOKUP(salesitems[[#This Row],[product_id]],products[product_id],products[product_name])</f>
        <v>Soft High-Waist Trousers</v>
      </c>
      <c r="P153" t="str">
        <f>_xlfn.XLOOKUP(salesitems[[#This Row],[product_id]],fashion_store_products!A:A,fashion_store_products!C:C)</f>
        <v>Pants</v>
      </c>
    </row>
    <row r="154" spans="1:16" x14ac:dyDescent="0.45">
      <c r="A154">
        <v>1857</v>
      </c>
      <c r="B154">
        <v>1286</v>
      </c>
      <c r="C154">
        <v>214</v>
      </c>
      <c r="D154">
        <v>1</v>
      </c>
      <c r="E154">
        <v>59.07</v>
      </c>
      <c r="F154">
        <v>53.16</v>
      </c>
      <c r="G154">
        <v>5.91</v>
      </c>
      <c r="H154" s="2">
        <v>0.1</v>
      </c>
      <c r="I154">
        <v>1</v>
      </c>
      <c r="J154">
        <v>53.16</v>
      </c>
      <c r="K154" s="1">
        <v>45814</v>
      </c>
      <c r="L154" t="s">
        <v>21</v>
      </c>
      <c r="M154" t="s">
        <v>18</v>
      </c>
      <c r="N154">
        <f>salesitems[[#This Row],[quantity]]*salesitems[[#This Row],[unit_price]]</f>
        <v>53.16</v>
      </c>
      <c r="O154" t="str">
        <f>_xlfn.XLOOKUP(salesitems[[#This Row],[product_id]],products[product_id],products[product_name])</f>
        <v>Vintage Crew Trousers</v>
      </c>
      <c r="P154" t="str">
        <f>_xlfn.XLOOKUP(salesitems[[#This Row],[product_id]],fashion_store_products!A:A,fashion_store_products!C:C)</f>
        <v>Pants</v>
      </c>
    </row>
    <row r="155" spans="1:16" x14ac:dyDescent="0.45">
      <c r="A155">
        <v>2305</v>
      </c>
      <c r="B155">
        <v>827</v>
      </c>
      <c r="C155">
        <v>262</v>
      </c>
      <c r="D155">
        <v>1</v>
      </c>
      <c r="E155">
        <v>52.94</v>
      </c>
      <c r="F155">
        <v>52.94</v>
      </c>
      <c r="G155">
        <v>0</v>
      </c>
      <c r="H155" s="2">
        <v>0</v>
      </c>
      <c r="I155">
        <v>0</v>
      </c>
      <c r="J155">
        <v>52.94</v>
      </c>
      <c r="K155" s="1">
        <v>45822</v>
      </c>
      <c r="L155" t="s">
        <v>21</v>
      </c>
      <c r="M155" t="s">
        <v>18</v>
      </c>
      <c r="N155">
        <f>salesitems[[#This Row],[quantity]]*salesitems[[#This Row],[unit_price]]</f>
        <v>52.94</v>
      </c>
      <c r="O155" t="str">
        <f>_xlfn.XLOOKUP(salesitems[[#This Row],[product_id]],products[product_id],products[product_name])</f>
        <v>Polished Sleeveless Set</v>
      </c>
      <c r="P155" t="str">
        <f>_xlfn.XLOOKUP(salesitems[[#This Row],[product_id]],fashion_store_products!A:A,fashion_store_products!C:C)</f>
        <v>Sleepwear</v>
      </c>
    </row>
    <row r="156" spans="1:16" x14ac:dyDescent="0.45">
      <c r="A156">
        <v>2438</v>
      </c>
      <c r="B156">
        <v>604</v>
      </c>
      <c r="C156">
        <v>25</v>
      </c>
      <c r="D156">
        <v>1</v>
      </c>
      <c r="E156">
        <v>52.94</v>
      </c>
      <c r="F156">
        <v>52.94</v>
      </c>
      <c r="G156">
        <v>0</v>
      </c>
      <c r="H156" s="2">
        <v>0</v>
      </c>
      <c r="I156">
        <v>0</v>
      </c>
      <c r="J156">
        <v>52.94</v>
      </c>
      <c r="K156" s="1">
        <v>45803</v>
      </c>
      <c r="L156" t="s">
        <v>21</v>
      </c>
      <c r="M156" t="s">
        <v>18</v>
      </c>
      <c r="N156">
        <f>salesitems[[#This Row],[quantity]]*salesitems[[#This Row],[unit_price]]</f>
        <v>52.94</v>
      </c>
      <c r="O156" t="str">
        <f>_xlfn.XLOOKUP(salesitems[[#This Row],[product_id]],products[product_id],products[product_name])</f>
        <v>Soft Wrap Set</v>
      </c>
      <c r="P156" t="str">
        <f>_xlfn.XLOOKUP(salesitems[[#This Row],[product_id]],fashion_store_products!A:A,fashion_store_products!C:C)</f>
        <v>Sleepwear</v>
      </c>
    </row>
    <row r="157" spans="1:16" x14ac:dyDescent="0.45">
      <c r="A157">
        <v>1150</v>
      </c>
      <c r="B157">
        <v>128</v>
      </c>
      <c r="C157">
        <v>75</v>
      </c>
      <c r="D157">
        <v>1</v>
      </c>
      <c r="E157">
        <v>52.83</v>
      </c>
      <c r="F157">
        <v>52.83</v>
      </c>
      <c r="G157">
        <v>0</v>
      </c>
      <c r="H157" s="2">
        <v>0</v>
      </c>
      <c r="I157">
        <v>0</v>
      </c>
      <c r="J157">
        <v>52.83</v>
      </c>
      <c r="K157" s="1">
        <v>45766</v>
      </c>
      <c r="L157" t="s">
        <v>21</v>
      </c>
      <c r="M157" t="s">
        <v>18</v>
      </c>
      <c r="N157">
        <f>salesitems[[#This Row],[quantity]]*salesitems[[#This Row],[unit_price]]</f>
        <v>52.83</v>
      </c>
      <c r="O157" t="str">
        <f>_xlfn.XLOOKUP(salesitems[[#This Row],[product_id]],products[product_id],products[product_name])</f>
        <v>Modern Linen Set</v>
      </c>
      <c r="P157" t="str">
        <f>_xlfn.XLOOKUP(salesitems[[#This Row],[product_id]],fashion_store_products!A:A,fashion_store_products!C:C)</f>
        <v>Sleepwear</v>
      </c>
    </row>
    <row r="158" spans="1:16" x14ac:dyDescent="0.45">
      <c r="A158">
        <v>707</v>
      </c>
      <c r="B158">
        <v>1248</v>
      </c>
      <c r="C158">
        <v>299</v>
      </c>
      <c r="D158">
        <v>1</v>
      </c>
      <c r="E158">
        <v>52.65</v>
      </c>
      <c r="F158">
        <v>52.65</v>
      </c>
      <c r="G158">
        <v>0</v>
      </c>
      <c r="H158" s="2">
        <v>0</v>
      </c>
      <c r="I158">
        <v>0</v>
      </c>
      <c r="J158">
        <v>52.65</v>
      </c>
      <c r="K158" s="1">
        <v>45760</v>
      </c>
      <c r="L158" t="s">
        <v>15</v>
      </c>
      <c r="M158" t="s">
        <v>15</v>
      </c>
      <c r="N158">
        <f>salesitems[[#This Row],[quantity]]*salesitems[[#This Row],[unit_price]]</f>
        <v>52.65</v>
      </c>
      <c r="O158" t="str">
        <f>_xlfn.XLOOKUP(salesitems[[#This Row],[product_id]],products[product_id],products[product_name])</f>
        <v>Essential Wrap Dress</v>
      </c>
      <c r="P158" t="str">
        <f>_xlfn.XLOOKUP(salesitems[[#This Row],[product_id]],fashion_store_products!A:A,fashion_store_products!C:C)</f>
        <v>Dresses</v>
      </c>
    </row>
    <row r="159" spans="1:16" x14ac:dyDescent="0.45">
      <c r="A159">
        <v>1905</v>
      </c>
      <c r="B159">
        <v>250</v>
      </c>
      <c r="C159">
        <v>299</v>
      </c>
      <c r="D159">
        <v>1</v>
      </c>
      <c r="E159">
        <v>52.65</v>
      </c>
      <c r="F159">
        <v>52.65</v>
      </c>
      <c r="G159">
        <v>0</v>
      </c>
      <c r="H159" s="2">
        <v>0</v>
      </c>
      <c r="I159">
        <v>0</v>
      </c>
      <c r="J159">
        <v>52.65</v>
      </c>
      <c r="K159" s="1">
        <v>45824</v>
      </c>
      <c r="L159" t="s">
        <v>15</v>
      </c>
      <c r="M159" t="s">
        <v>15</v>
      </c>
      <c r="N159">
        <f>salesitems[[#This Row],[quantity]]*salesitems[[#This Row],[unit_price]]</f>
        <v>52.65</v>
      </c>
      <c r="O159" t="str">
        <f>_xlfn.XLOOKUP(salesitems[[#This Row],[product_id]],products[product_id],products[product_name])</f>
        <v>Essential Wrap Dress</v>
      </c>
      <c r="P159" t="str">
        <f>_xlfn.XLOOKUP(salesitems[[#This Row],[product_id]],fashion_store_products!A:A,fashion_store_products!C:C)</f>
        <v>Dresses</v>
      </c>
    </row>
    <row r="160" spans="1:16" x14ac:dyDescent="0.45">
      <c r="A160">
        <v>260</v>
      </c>
      <c r="B160">
        <v>1112</v>
      </c>
      <c r="C160">
        <v>394</v>
      </c>
      <c r="D160">
        <v>1</v>
      </c>
      <c r="E160">
        <v>52.58</v>
      </c>
      <c r="F160">
        <v>52.58</v>
      </c>
      <c r="G160">
        <v>0</v>
      </c>
      <c r="H160" s="2">
        <v>0</v>
      </c>
      <c r="I160">
        <v>0</v>
      </c>
      <c r="J160">
        <v>52.58</v>
      </c>
      <c r="K160" s="1">
        <v>45772</v>
      </c>
      <c r="L160" t="s">
        <v>15</v>
      </c>
      <c r="M160" t="s">
        <v>15</v>
      </c>
      <c r="N160">
        <f>salesitems[[#This Row],[quantity]]*salesitems[[#This Row],[unit_price]]</f>
        <v>52.58</v>
      </c>
      <c r="O160" t="str">
        <f>_xlfn.XLOOKUP(salesitems[[#This Row],[product_id]],products[product_id],products[product_name])</f>
        <v>Elegant Silk Tee</v>
      </c>
      <c r="P160" t="str">
        <f>_xlfn.XLOOKUP(salesitems[[#This Row],[product_id]],fashion_store_products!A:A,fashion_store_products!C:C)</f>
        <v>T-Shirts</v>
      </c>
    </row>
    <row r="161" spans="1:16" x14ac:dyDescent="0.45">
      <c r="A161">
        <v>2901</v>
      </c>
      <c r="B161">
        <v>293</v>
      </c>
      <c r="C161">
        <v>394</v>
      </c>
      <c r="D161">
        <v>1</v>
      </c>
      <c r="E161">
        <v>52.58</v>
      </c>
      <c r="F161">
        <v>52.58</v>
      </c>
      <c r="G161">
        <v>0</v>
      </c>
      <c r="H161" s="2">
        <v>0</v>
      </c>
      <c r="I161">
        <v>0</v>
      </c>
      <c r="J161">
        <v>52.58</v>
      </c>
      <c r="K161" s="1">
        <v>45781</v>
      </c>
      <c r="L161" t="s">
        <v>21</v>
      </c>
      <c r="M161" t="s">
        <v>18</v>
      </c>
      <c r="N161">
        <f>salesitems[[#This Row],[quantity]]*salesitems[[#This Row],[unit_price]]</f>
        <v>52.58</v>
      </c>
      <c r="O161" t="str">
        <f>_xlfn.XLOOKUP(salesitems[[#This Row],[product_id]],products[product_id],products[product_name])</f>
        <v>Elegant Silk Tee</v>
      </c>
      <c r="P161" t="str">
        <f>_xlfn.XLOOKUP(salesitems[[#This Row],[product_id]],fashion_store_products!A:A,fashion_store_products!C:C)</f>
        <v>T-Shirts</v>
      </c>
    </row>
    <row r="162" spans="1:16" x14ac:dyDescent="0.45">
      <c r="A162">
        <v>665</v>
      </c>
      <c r="B162">
        <v>31</v>
      </c>
      <c r="C162">
        <v>57</v>
      </c>
      <c r="D162">
        <v>1</v>
      </c>
      <c r="E162">
        <v>52.28</v>
      </c>
      <c r="F162">
        <v>52.28</v>
      </c>
      <c r="G162">
        <v>0</v>
      </c>
      <c r="H162" s="2">
        <v>0</v>
      </c>
      <c r="I162">
        <v>0</v>
      </c>
      <c r="J162">
        <v>52.28</v>
      </c>
      <c r="K162" s="1">
        <v>45797</v>
      </c>
      <c r="L162" t="s">
        <v>15</v>
      </c>
      <c r="M162" t="s">
        <v>15</v>
      </c>
      <c r="N162">
        <f>salesitems[[#This Row],[quantity]]*salesitems[[#This Row],[unit_price]]</f>
        <v>52.28</v>
      </c>
      <c r="O162" t="str">
        <f>_xlfn.XLOOKUP(salesitems[[#This Row],[product_id]],products[product_id],products[product_name])</f>
        <v>Modern Crew Dress</v>
      </c>
      <c r="P162" t="str">
        <f>_xlfn.XLOOKUP(salesitems[[#This Row],[product_id]],fashion_store_products!A:A,fashion_store_products!C:C)</f>
        <v>Dresses</v>
      </c>
    </row>
    <row r="163" spans="1:16" x14ac:dyDescent="0.45">
      <c r="A163">
        <v>2245</v>
      </c>
      <c r="B163">
        <v>36</v>
      </c>
      <c r="C163">
        <v>445</v>
      </c>
      <c r="D163">
        <v>1</v>
      </c>
      <c r="E163">
        <v>52.28</v>
      </c>
      <c r="F163">
        <v>52.28</v>
      </c>
      <c r="G163">
        <v>0</v>
      </c>
      <c r="H163" s="2">
        <v>0</v>
      </c>
      <c r="I163">
        <v>0</v>
      </c>
      <c r="J163">
        <v>52.28</v>
      </c>
      <c r="K163" s="1">
        <v>45805</v>
      </c>
      <c r="L163" t="s">
        <v>21</v>
      </c>
      <c r="M163" t="s">
        <v>18</v>
      </c>
      <c r="N163">
        <f>salesitems[[#This Row],[quantity]]*salesitems[[#This Row],[unit_price]]</f>
        <v>52.28</v>
      </c>
      <c r="O163" t="str">
        <f>_xlfn.XLOOKUP(salesitems[[#This Row],[product_id]],products[product_id],products[product_name])</f>
        <v>Bold Cotton Set</v>
      </c>
      <c r="P163" t="str">
        <f>_xlfn.XLOOKUP(salesitems[[#This Row],[product_id]],fashion_store_products!A:A,fashion_store_products!C:C)</f>
        <v>Sleepwear</v>
      </c>
    </row>
    <row r="164" spans="1:16" x14ac:dyDescent="0.45">
      <c r="A164">
        <v>2803</v>
      </c>
      <c r="B164">
        <v>546</v>
      </c>
      <c r="C164">
        <v>445</v>
      </c>
      <c r="D164">
        <v>1</v>
      </c>
      <c r="E164">
        <v>52.28</v>
      </c>
      <c r="F164">
        <v>52.28</v>
      </c>
      <c r="G164">
        <v>0</v>
      </c>
      <c r="H164" s="2">
        <v>0</v>
      </c>
      <c r="I164">
        <v>0</v>
      </c>
      <c r="J164">
        <v>52.28</v>
      </c>
      <c r="K164" s="1">
        <v>45775</v>
      </c>
      <c r="L164" t="s">
        <v>21</v>
      </c>
      <c r="M164" t="s">
        <v>18</v>
      </c>
      <c r="N164">
        <f>salesitems[[#This Row],[quantity]]*salesitems[[#This Row],[unit_price]]</f>
        <v>52.28</v>
      </c>
      <c r="O164" t="str">
        <f>_xlfn.XLOOKUP(salesitems[[#This Row],[product_id]],products[product_id],products[product_name])</f>
        <v>Bold Cotton Set</v>
      </c>
      <c r="P164" t="str">
        <f>_xlfn.XLOOKUP(salesitems[[#This Row],[product_id]],fashion_store_products!A:A,fashion_store_products!C:C)</f>
        <v>Sleepwear</v>
      </c>
    </row>
    <row r="165" spans="1:16" x14ac:dyDescent="0.45">
      <c r="A165">
        <v>145</v>
      </c>
      <c r="B165">
        <v>440</v>
      </c>
      <c r="C165">
        <v>306</v>
      </c>
      <c r="D165">
        <v>1</v>
      </c>
      <c r="E165">
        <v>74.67</v>
      </c>
      <c r="F165">
        <v>52.27</v>
      </c>
      <c r="G165">
        <v>22.4</v>
      </c>
      <c r="H165" s="2">
        <v>0.3</v>
      </c>
      <c r="I165">
        <v>1</v>
      </c>
      <c r="J165">
        <v>52.27</v>
      </c>
      <c r="K165" s="1">
        <v>45792</v>
      </c>
      <c r="L165" t="s">
        <v>15</v>
      </c>
      <c r="M165" t="s">
        <v>11</v>
      </c>
      <c r="N165">
        <f>salesitems[[#This Row],[quantity]]*salesitems[[#This Row],[unit_price]]</f>
        <v>52.27</v>
      </c>
      <c r="O165" t="str">
        <f>_xlfn.XLOOKUP(salesitems[[#This Row],[product_id]],products[product_id],products[product_name])</f>
        <v>Relaxed Silk Set</v>
      </c>
      <c r="P165" t="str">
        <f>_xlfn.XLOOKUP(salesitems[[#This Row],[product_id]],fashion_store_products!A:A,fashion_store_products!C:C)</f>
        <v>Sleepwear</v>
      </c>
    </row>
    <row r="166" spans="1:16" x14ac:dyDescent="0.45">
      <c r="A166">
        <v>1425</v>
      </c>
      <c r="B166">
        <v>1054</v>
      </c>
      <c r="C166">
        <v>181</v>
      </c>
      <c r="D166">
        <v>1</v>
      </c>
      <c r="E166">
        <v>52.18</v>
      </c>
      <c r="F166">
        <v>52.18</v>
      </c>
      <c r="G166">
        <v>0</v>
      </c>
      <c r="H166" s="2">
        <v>0</v>
      </c>
      <c r="I166">
        <v>0</v>
      </c>
      <c r="J166">
        <v>52.18</v>
      </c>
      <c r="K166" s="1">
        <v>45775</v>
      </c>
      <c r="L166" t="s">
        <v>15</v>
      </c>
      <c r="M166" t="s">
        <v>15</v>
      </c>
      <c r="N166">
        <f>salesitems[[#This Row],[quantity]]*salesitems[[#This Row],[unit_price]]</f>
        <v>52.18</v>
      </c>
      <c r="O166" t="str">
        <f>_xlfn.XLOOKUP(salesitems[[#This Row],[product_id]],products[product_id],products[product_name])</f>
        <v>Vintage High-Waist Shoes</v>
      </c>
      <c r="P166" t="str">
        <f>_xlfn.XLOOKUP(salesitems[[#This Row],[product_id]],fashion_store_products!A:A,fashion_store_products!C:C)</f>
        <v>Shoes</v>
      </c>
    </row>
    <row r="167" spans="1:16" x14ac:dyDescent="0.45">
      <c r="A167">
        <v>1005</v>
      </c>
      <c r="B167">
        <v>543</v>
      </c>
      <c r="C167">
        <v>203</v>
      </c>
      <c r="D167">
        <v>1</v>
      </c>
      <c r="E167">
        <v>52.1</v>
      </c>
      <c r="F167">
        <v>52.1</v>
      </c>
      <c r="G167">
        <v>0</v>
      </c>
      <c r="H167" s="2">
        <v>0</v>
      </c>
      <c r="I167">
        <v>0</v>
      </c>
      <c r="J167">
        <v>52.1</v>
      </c>
      <c r="K167" s="1">
        <v>45773</v>
      </c>
      <c r="L167" t="s">
        <v>21</v>
      </c>
      <c r="M167" t="s">
        <v>18</v>
      </c>
      <c r="N167">
        <f>salesitems[[#This Row],[quantity]]*salesitems[[#This Row],[unit_price]]</f>
        <v>52.1</v>
      </c>
      <c r="O167" t="str">
        <f>_xlfn.XLOOKUP(salesitems[[#This Row],[product_id]],products[product_id],products[product_name])</f>
        <v>Polished High-Waist Dress</v>
      </c>
      <c r="P167" t="str">
        <f>_xlfn.XLOOKUP(salesitems[[#This Row],[product_id]],fashion_store_products!A:A,fashion_store_products!C:C)</f>
        <v>Dresses</v>
      </c>
    </row>
    <row r="168" spans="1:16" x14ac:dyDescent="0.45">
      <c r="A168">
        <v>606</v>
      </c>
      <c r="B168">
        <v>1331</v>
      </c>
      <c r="C168">
        <v>440</v>
      </c>
      <c r="D168">
        <v>1</v>
      </c>
      <c r="E168">
        <v>52.08</v>
      </c>
      <c r="F168">
        <v>52.08</v>
      </c>
      <c r="G168">
        <v>0</v>
      </c>
      <c r="H168" s="2">
        <v>0</v>
      </c>
      <c r="I168">
        <v>0</v>
      </c>
      <c r="J168">
        <v>52.08</v>
      </c>
      <c r="K168" s="1">
        <v>45773</v>
      </c>
      <c r="L168" t="s">
        <v>15</v>
      </c>
      <c r="M168" t="s">
        <v>15</v>
      </c>
      <c r="N168">
        <f>salesitems[[#This Row],[quantity]]*salesitems[[#This Row],[unit_price]]</f>
        <v>52.08</v>
      </c>
      <c r="O168" t="str">
        <f>_xlfn.XLOOKUP(salesitems[[#This Row],[product_id]],products[product_id],products[product_name])</f>
        <v>Bold Linen Shoes</v>
      </c>
      <c r="P168" t="str">
        <f>_xlfn.XLOOKUP(salesitems[[#This Row],[product_id]],fashion_store_products!A:A,fashion_store_products!C:C)</f>
        <v>Shoes</v>
      </c>
    </row>
    <row r="169" spans="1:16" x14ac:dyDescent="0.45">
      <c r="A169">
        <v>1263</v>
      </c>
      <c r="B169">
        <v>763</v>
      </c>
      <c r="C169">
        <v>440</v>
      </c>
      <c r="D169">
        <v>1</v>
      </c>
      <c r="E169">
        <v>52.08</v>
      </c>
      <c r="F169">
        <v>52.08</v>
      </c>
      <c r="G169">
        <v>0</v>
      </c>
      <c r="H169" s="2">
        <v>0</v>
      </c>
      <c r="I169">
        <v>0</v>
      </c>
      <c r="J169">
        <v>52.08</v>
      </c>
      <c r="K169" s="1">
        <v>45768</v>
      </c>
      <c r="L169" t="s">
        <v>21</v>
      </c>
      <c r="M169" t="s">
        <v>18</v>
      </c>
      <c r="N169">
        <f>salesitems[[#This Row],[quantity]]*salesitems[[#This Row],[unit_price]]</f>
        <v>52.08</v>
      </c>
      <c r="O169" t="str">
        <f>_xlfn.XLOOKUP(salesitems[[#This Row],[product_id]],products[product_id],products[product_name])</f>
        <v>Bold Linen Shoes</v>
      </c>
      <c r="P169" t="str">
        <f>_xlfn.XLOOKUP(salesitems[[#This Row],[product_id]],fashion_store_products!A:A,fashion_store_products!C:C)</f>
        <v>Shoes</v>
      </c>
    </row>
    <row r="170" spans="1:16" x14ac:dyDescent="0.45">
      <c r="A170">
        <v>1300</v>
      </c>
      <c r="B170">
        <v>128</v>
      </c>
      <c r="C170">
        <v>440</v>
      </c>
      <c r="D170">
        <v>1</v>
      </c>
      <c r="E170">
        <v>52.08</v>
      </c>
      <c r="F170">
        <v>52.08</v>
      </c>
      <c r="G170">
        <v>0</v>
      </c>
      <c r="H170" s="2">
        <v>0</v>
      </c>
      <c r="I170">
        <v>0</v>
      </c>
      <c r="J170">
        <v>52.08</v>
      </c>
      <c r="K170" s="1">
        <v>45766</v>
      </c>
      <c r="L170" t="s">
        <v>21</v>
      </c>
      <c r="M170" t="s">
        <v>18</v>
      </c>
      <c r="N170">
        <f>salesitems[[#This Row],[quantity]]*salesitems[[#This Row],[unit_price]]</f>
        <v>52.08</v>
      </c>
      <c r="O170" t="str">
        <f>_xlfn.XLOOKUP(salesitems[[#This Row],[product_id]],products[product_id],products[product_name])</f>
        <v>Bold Linen Shoes</v>
      </c>
      <c r="P170" t="str">
        <f>_xlfn.XLOOKUP(salesitems[[#This Row],[product_id]],fashion_store_products!A:A,fashion_store_products!C:C)</f>
        <v>Shoes</v>
      </c>
    </row>
    <row r="171" spans="1:16" x14ac:dyDescent="0.45">
      <c r="A171">
        <v>2463</v>
      </c>
      <c r="B171">
        <v>590</v>
      </c>
      <c r="C171">
        <v>140</v>
      </c>
      <c r="D171">
        <v>1</v>
      </c>
      <c r="E171">
        <v>52.08</v>
      </c>
      <c r="F171">
        <v>52.08</v>
      </c>
      <c r="G171">
        <v>0</v>
      </c>
      <c r="H171" s="2">
        <v>0</v>
      </c>
      <c r="I171">
        <v>0</v>
      </c>
      <c r="J171">
        <v>52.08</v>
      </c>
      <c r="K171" s="1">
        <v>45760</v>
      </c>
      <c r="L171" t="s">
        <v>21</v>
      </c>
      <c r="M171" t="s">
        <v>18</v>
      </c>
      <c r="N171">
        <f>salesitems[[#This Row],[quantity]]*salesitems[[#This Row],[unit_price]]</f>
        <v>52.08</v>
      </c>
      <c r="O171" t="str">
        <f>_xlfn.XLOOKUP(salesitems[[#This Row],[product_id]],products[product_id],products[product_name])</f>
        <v>Vintage Ribbed Dress</v>
      </c>
      <c r="P171" t="str">
        <f>_xlfn.XLOOKUP(salesitems[[#This Row],[product_id]],fashion_store_products!A:A,fashion_store_products!C:C)</f>
        <v>Dresses</v>
      </c>
    </row>
    <row r="172" spans="1:16" x14ac:dyDescent="0.45">
      <c r="A172">
        <v>625</v>
      </c>
      <c r="B172">
        <v>545</v>
      </c>
      <c r="C172">
        <v>468</v>
      </c>
      <c r="D172">
        <v>1</v>
      </c>
      <c r="E172">
        <v>51.8</v>
      </c>
      <c r="F172">
        <v>51.8</v>
      </c>
      <c r="G172">
        <v>0</v>
      </c>
      <c r="H172" s="2">
        <v>0</v>
      </c>
      <c r="I172">
        <v>0</v>
      </c>
      <c r="J172">
        <v>51.8</v>
      </c>
      <c r="K172" s="1">
        <v>45781</v>
      </c>
      <c r="L172" t="s">
        <v>21</v>
      </c>
      <c r="M172" t="s">
        <v>18</v>
      </c>
      <c r="N172">
        <f>salesitems[[#This Row],[quantity]]*salesitems[[#This Row],[unit_price]]</f>
        <v>51.8</v>
      </c>
      <c r="O172" t="str">
        <f>_xlfn.XLOOKUP(salesitems[[#This Row],[product_id]],products[product_id],products[product_name])</f>
        <v>Sleepwear Drop 1</v>
      </c>
      <c r="P172" t="str">
        <f>_xlfn.XLOOKUP(salesitems[[#This Row],[product_id]],fashion_store_products!A:A,fashion_store_products!C:C)</f>
        <v>Sleepwear</v>
      </c>
    </row>
    <row r="173" spans="1:16" x14ac:dyDescent="0.45">
      <c r="A173">
        <v>839</v>
      </c>
      <c r="B173">
        <v>461</v>
      </c>
      <c r="C173">
        <v>468</v>
      </c>
      <c r="D173">
        <v>1</v>
      </c>
      <c r="E173">
        <v>51.8</v>
      </c>
      <c r="F173">
        <v>51.8</v>
      </c>
      <c r="G173">
        <v>0</v>
      </c>
      <c r="H173" s="2">
        <v>0</v>
      </c>
      <c r="I173">
        <v>0</v>
      </c>
      <c r="J173">
        <v>51.8</v>
      </c>
      <c r="K173" s="1">
        <v>45804</v>
      </c>
      <c r="L173" t="s">
        <v>21</v>
      </c>
      <c r="M173" t="s">
        <v>18</v>
      </c>
      <c r="N173">
        <f>salesitems[[#This Row],[quantity]]*salesitems[[#This Row],[unit_price]]</f>
        <v>51.8</v>
      </c>
      <c r="O173" t="str">
        <f>_xlfn.XLOOKUP(salesitems[[#This Row],[product_id]],products[product_id],products[product_name])</f>
        <v>Sleepwear Drop 1</v>
      </c>
      <c r="P173" t="str">
        <f>_xlfn.XLOOKUP(salesitems[[#This Row],[product_id]],fashion_store_products!A:A,fashion_store_products!C:C)</f>
        <v>Sleepwear</v>
      </c>
    </row>
    <row r="174" spans="1:16" x14ac:dyDescent="0.45">
      <c r="A174">
        <v>343</v>
      </c>
      <c r="B174">
        <v>402</v>
      </c>
      <c r="C174">
        <v>361</v>
      </c>
      <c r="D174">
        <v>1</v>
      </c>
      <c r="E174">
        <v>51.76</v>
      </c>
      <c r="F174">
        <v>51.76</v>
      </c>
      <c r="G174">
        <v>0</v>
      </c>
      <c r="H174" s="2">
        <v>0</v>
      </c>
      <c r="I174">
        <v>0</v>
      </c>
      <c r="J174">
        <v>51.76</v>
      </c>
      <c r="K174" s="1">
        <v>45790</v>
      </c>
      <c r="L174" t="s">
        <v>21</v>
      </c>
      <c r="M174" t="s">
        <v>18</v>
      </c>
      <c r="N174">
        <f>salesitems[[#This Row],[quantity]]*salesitems[[#This Row],[unit_price]]</f>
        <v>51.76</v>
      </c>
      <c r="O174" t="str">
        <f>_xlfn.XLOOKUP(salesitems[[#This Row],[product_id]],products[product_id],products[product_name])</f>
        <v>Tailored Linen Set</v>
      </c>
      <c r="P174" t="str">
        <f>_xlfn.XLOOKUP(salesitems[[#This Row],[product_id]],fashion_store_products!A:A,fashion_store_products!C:C)</f>
        <v>Sleepwear</v>
      </c>
    </row>
    <row r="175" spans="1:16" x14ac:dyDescent="0.45">
      <c r="A175">
        <v>2951</v>
      </c>
      <c r="B175">
        <v>114</v>
      </c>
      <c r="C175">
        <v>76</v>
      </c>
      <c r="D175">
        <v>1</v>
      </c>
      <c r="E175">
        <v>51.7</v>
      </c>
      <c r="F175">
        <v>51.7</v>
      </c>
      <c r="G175">
        <v>0</v>
      </c>
      <c r="H175" s="2">
        <v>0</v>
      </c>
      <c r="I175">
        <v>0</v>
      </c>
      <c r="J175">
        <v>51.7</v>
      </c>
      <c r="K175" s="1">
        <v>45772</v>
      </c>
      <c r="L175" t="s">
        <v>15</v>
      </c>
      <c r="M175" t="s">
        <v>15</v>
      </c>
      <c r="N175">
        <f>salesitems[[#This Row],[quantity]]*salesitems[[#This Row],[unit_price]]</f>
        <v>51.7</v>
      </c>
      <c r="O175" t="str">
        <f>_xlfn.XLOOKUP(salesitems[[#This Row],[product_id]],products[product_id],products[product_name])</f>
        <v>Modern Cotton Trousers</v>
      </c>
      <c r="P175" t="str">
        <f>_xlfn.XLOOKUP(salesitems[[#This Row],[product_id]],fashion_store_products!A:A,fashion_store_products!C:C)</f>
        <v>Pants</v>
      </c>
    </row>
    <row r="176" spans="1:16" x14ac:dyDescent="0.45">
      <c r="A176">
        <v>1680</v>
      </c>
      <c r="B176">
        <v>1045</v>
      </c>
      <c r="C176">
        <v>480</v>
      </c>
      <c r="D176">
        <v>1</v>
      </c>
      <c r="E176">
        <v>51.63</v>
      </c>
      <c r="F176">
        <v>51.63</v>
      </c>
      <c r="G176">
        <v>0</v>
      </c>
      <c r="H176" s="2">
        <v>0</v>
      </c>
      <c r="I176">
        <v>0</v>
      </c>
      <c r="J176">
        <v>51.63</v>
      </c>
      <c r="K176" s="1">
        <v>45791</v>
      </c>
      <c r="L176" t="s">
        <v>21</v>
      </c>
      <c r="M176" t="s">
        <v>18</v>
      </c>
      <c r="N176">
        <f>salesitems[[#This Row],[quantity]]*salesitems[[#This Row],[unit_price]]</f>
        <v>51.63</v>
      </c>
      <c r="O176" t="str">
        <f>_xlfn.XLOOKUP(salesitems[[#This Row],[product_id]],products[product_id],products[product_name])</f>
        <v>Dresses Drop 5</v>
      </c>
      <c r="P176" t="str">
        <f>_xlfn.XLOOKUP(salesitems[[#This Row],[product_id]],fashion_store_products!A:A,fashion_store_products!C:C)</f>
        <v>Dresses</v>
      </c>
    </row>
    <row r="177" spans="1:16" x14ac:dyDescent="0.45">
      <c r="A177">
        <v>1641</v>
      </c>
      <c r="B177">
        <v>651</v>
      </c>
      <c r="C177">
        <v>386</v>
      </c>
      <c r="D177">
        <v>1</v>
      </c>
      <c r="E177">
        <v>51.38</v>
      </c>
      <c r="F177">
        <v>51.38</v>
      </c>
      <c r="G177">
        <v>0</v>
      </c>
      <c r="H177" s="2">
        <v>0</v>
      </c>
      <c r="I177">
        <v>0</v>
      </c>
      <c r="J177">
        <v>51.38</v>
      </c>
      <c r="K177" s="1">
        <v>45763</v>
      </c>
      <c r="L177" t="s">
        <v>21</v>
      </c>
      <c r="M177" t="s">
        <v>18</v>
      </c>
      <c r="N177">
        <f>salesitems[[#This Row],[quantity]]*salesitems[[#This Row],[unit_price]]</f>
        <v>51.38</v>
      </c>
      <c r="O177" t="str">
        <f>_xlfn.XLOOKUP(salesitems[[#This Row],[product_id]],products[product_id],products[product_name])</f>
        <v>Tailored High-Waist Dress</v>
      </c>
      <c r="P177" t="str">
        <f>_xlfn.XLOOKUP(salesitems[[#This Row],[product_id]],fashion_store_products!A:A,fashion_store_products!C:C)</f>
        <v>Dresses</v>
      </c>
    </row>
    <row r="178" spans="1:16" x14ac:dyDescent="0.45">
      <c r="A178">
        <v>1949</v>
      </c>
      <c r="B178">
        <v>1184</v>
      </c>
      <c r="C178">
        <v>367</v>
      </c>
      <c r="D178">
        <v>1</v>
      </c>
      <c r="E178">
        <v>51.38</v>
      </c>
      <c r="F178">
        <v>51.38</v>
      </c>
      <c r="G178">
        <v>0</v>
      </c>
      <c r="H178" s="2">
        <v>0</v>
      </c>
      <c r="I178">
        <v>0</v>
      </c>
      <c r="J178">
        <v>51.38</v>
      </c>
      <c r="K178" s="1">
        <v>45772</v>
      </c>
      <c r="L178" t="s">
        <v>15</v>
      </c>
      <c r="M178" t="s">
        <v>15</v>
      </c>
      <c r="N178">
        <f>salesitems[[#This Row],[quantity]]*salesitems[[#This Row],[unit_price]]</f>
        <v>51.38</v>
      </c>
      <c r="O178" t="str">
        <f>_xlfn.XLOOKUP(salesitems[[#This Row],[product_id]],products[product_id],products[product_name])</f>
        <v>Tailored Silk Dress</v>
      </c>
      <c r="P178" t="str">
        <f>_xlfn.XLOOKUP(salesitems[[#This Row],[product_id]],fashion_store_products!A:A,fashion_store_products!C:C)</f>
        <v>Dresses</v>
      </c>
    </row>
    <row r="179" spans="1:16" x14ac:dyDescent="0.45">
      <c r="A179">
        <v>3076</v>
      </c>
      <c r="B179">
        <v>762</v>
      </c>
      <c r="C179">
        <v>170</v>
      </c>
      <c r="D179">
        <v>1</v>
      </c>
      <c r="E179">
        <v>51.27</v>
      </c>
      <c r="F179">
        <v>51.27</v>
      </c>
      <c r="G179">
        <v>0</v>
      </c>
      <c r="H179" s="2">
        <v>0</v>
      </c>
      <c r="I179">
        <v>0</v>
      </c>
      <c r="J179">
        <v>51.27</v>
      </c>
      <c r="K179" s="1">
        <v>45821</v>
      </c>
      <c r="L179" t="s">
        <v>21</v>
      </c>
      <c r="M179" t="s">
        <v>18</v>
      </c>
      <c r="N179">
        <f>salesitems[[#This Row],[quantity]]*salesitems[[#This Row],[unit_price]]</f>
        <v>51.27</v>
      </c>
      <c r="O179" t="str">
        <f>_xlfn.XLOOKUP(salesitems[[#This Row],[product_id]],products[product_id],products[product_name])</f>
        <v>Vintage Boxy Dress</v>
      </c>
      <c r="P179" t="str">
        <f>_xlfn.XLOOKUP(salesitems[[#This Row],[product_id]],fashion_store_products!A:A,fashion_store_products!C:C)</f>
        <v>Dresses</v>
      </c>
    </row>
    <row r="180" spans="1:16" x14ac:dyDescent="0.45">
      <c r="A180">
        <v>2445</v>
      </c>
      <c r="B180">
        <v>1004</v>
      </c>
      <c r="C180">
        <v>242</v>
      </c>
      <c r="D180">
        <v>1</v>
      </c>
      <c r="E180">
        <v>51.25</v>
      </c>
      <c r="F180">
        <v>51.25</v>
      </c>
      <c r="G180">
        <v>0</v>
      </c>
      <c r="H180" s="2">
        <v>0</v>
      </c>
      <c r="I180">
        <v>0</v>
      </c>
      <c r="J180">
        <v>51.25</v>
      </c>
      <c r="K180" s="1">
        <v>45774</v>
      </c>
      <c r="L180" t="s">
        <v>15</v>
      </c>
      <c r="M180" t="s">
        <v>15</v>
      </c>
      <c r="N180">
        <f>salesitems[[#This Row],[quantity]]*salesitems[[#This Row],[unit_price]]</f>
        <v>51.25</v>
      </c>
      <c r="O180" t="str">
        <f>_xlfn.XLOOKUP(salesitems[[#This Row],[product_id]],products[product_id],products[product_name])</f>
        <v>Relaxed Ribbed Shoes</v>
      </c>
      <c r="P180" t="str">
        <f>_xlfn.XLOOKUP(salesitems[[#This Row],[product_id]],fashion_store_products!A:A,fashion_store_products!C:C)</f>
        <v>Shoes</v>
      </c>
    </row>
    <row r="181" spans="1:16" x14ac:dyDescent="0.45">
      <c r="A181">
        <v>3110</v>
      </c>
      <c r="B181">
        <v>646</v>
      </c>
      <c r="C181">
        <v>336</v>
      </c>
      <c r="D181">
        <v>1</v>
      </c>
      <c r="E181">
        <v>51.22</v>
      </c>
      <c r="F181">
        <v>51.22</v>
      </c>
      <c r="G181">
        <v>0</v>
      </c>
      <c r="H181" s="2">
        <v>0</v>
      </c>
      <c r="I181">
        <v>0</v>
      </c>
      <c r="J181">
        <v>51.22</v>
      </c>
      <c r="K181" s="1">
        <v>45791</v>
      </c>
      <c r="L181" t="s">
        <v>21</v>
      </c>
      <c r="M181" t="s">
        <v>18</v>
      </c>
      <c r="N181">
        <f>salesitems[[#This Row],[quantity]]*salesitems[[#This Row],[unit_price]]</f>
        <v>51.22</v>
      </c>
      <c r="O181" t="str">
        <f>_xlfn.XLOOKUP(salesitems[[#This Row],[product_id]],products[product_id],products[product_name])</f>
        <v>Tailored Ribbed Tee</v>
      </c>
      <c r="P181" t="str">
        <f>_xlfn.XLOOKUP(salesitems[[#This Row],[product_id]],fashion_store_products!A:A,fashion_store_products!C:C)</f>
        <v>T-Shirts</v>
      </c>
    </row>
    <row r="182" spans="1:16" x14ac:dyDescent="0.45">
      <c r="A182">
        <v>1654</v>
      </c>
      <c r="B182">
        <v>272</v>
      </c>
      <c r="C182">
        <v>252</v>
      </c>
      <c r="D182">
        <v>1</v>
      </c>
      <c r="E182">
        <v>51.17</v>
      </c>
      <c r="F182">
        <v>51.17</v>
      </c>
      <c r="G182">
        <v>0</v>
      </c>
      <c r="H182" s="2">
        <v>0</v>
      </c>
      <c r="I182">
        <v>0</v>
      </c>
      <c r="J182">
        <v>51.17</v>
      </c>
      <c r="K182" s="1">
        <v>45782</v>
      </c>
      <c r="L182" t="s">
        <v>15</v>
      </c>
      <c r="M182" t="s">
        <v>15</v>
      </c>
      <c r="N182">
        <f>salesitems[[#This Row],[quantity]]*salesitems[[#This Row],[unit_price]]</f>
        <v>51.17</v>
      </c>
      <c r="O182" t="str">
        <f>_xlfn.XLOOKUP(salesitems[[#This Row],[product_id]],products[product_id],products[product_name])</f>
        <v>Relaxed Linen Tee</v>
      </c>
      <c r="P182" t="str">
        <f>_xlfn.XLOOKUP(salesitems[[#This Row],[product_id]],fashion_store_products!A:A,fashion_store_products!C:C)</f>
        <v>T-Shirts</v>
      </c>
    </row>
    <row r="183" spans="1:16" x14ac:dyDescent="0.45">
      <c r="A183">
        <v>2177</v>
      </c>
      <c r="B183">
        <v>542</v>
      </c>
      <c r="C183">
        <v>252</v>
      </c>
      <c r="D183">
        <v>1</v>
      </c>
      <c r="E183">
        <v>51.17</v>
      </c>
      <c r="F183">
        <v>51.17</v>
      </c>
      <c r="G183">
        <v>0</v>
      </c>
      <c r="H183" s="2">
        <v>0</v>
      </c>
      <c r="I183">
        <v>0</v>
      </c>
      <c r="J183">
        <v>51.17</v>
      </c>
      <c r="K183" s="1">
        <v>45801</v>
      </c>
      <c r="L183" t="s">
        <v>21</v>
      </c>
      <c r="M183" t="s">
        <v>18</v>
      </c>
      <c r="N183">
        <f>salesitems[[#This Row],[quantity]]*salesitems[[#This Row],[unit_price]]</f>
        <v>51.17</v>
      </c>
      <c r="O183" t="str">
        <f>_xlfn.XLOOKUP(salesitems[[#This Row],[product_id]],products[product_id],products[product_name])</f>
        <v>Relaxed Linen Tee</v>
      </c>
      <c r="P183" t="str">
        <f>_xlfn.XLOOKUP(salesitems[[#This Row],[product_id]],fashion_store_products!A:A,fashion_store_products!C:C)</f>
        <v>T-Shirts</v>
      </c>
    </row>
    <row r="184" spans="1:16" x14ac:dyDescent="0.45">
      <c r="A184">
        <v>3233</v>
      </c>
      <c r="B184">
        <v>744</v>
      </c>
      <c r="C184">
        <v>252</v>
      </c>
      <c r="D184">
        <v>1</v>
      </c>
      <c r="E184">
        <v>51.17</v>
      </c>
      <c r="F184">
        <v>51.17</v>
      </c>
      <c r="G184">
        <v>0</v>
      </c>
      <c r="H184" s="2">
        <v>0</v>
      </c>
      <c r="I184">
        <v>0</v>
      </c>
      <c r="J184">
        <v>51.17</v>
      </c>
      <c r="K184" s="1">
        <v>45814</v>
      </c>
      <c r="L184" t="s">
        <v>15</v>
      </c>
      <c r="M184" t="s">
        <v>15</v>
      </c>
      <c r="N184">
        <f>salesitems[[#This Row],[quantity]]*salesitems[[#This Row],[unit_price]]</f>
        <v>51.17</v>
      </c>
      <c r="O184" t="str">
        <f>_xlfn.XLOOKUP(salesitems[[#This Row],[product_id]],products[product_id],products[product_name])</f>
        <v>Relaxed Linen Tee</v>
      </c>
      <c r="P184" t="str">
        <f>_xlfn.XLOOKUP(salesitems[[#This Row],[product_id]],fashion_store_products!A:A,fashion_store_products!C:C)</f>
        <v>T-Shirts</v>
      </c>
    </row>
    <row r="185" spans="1:16" x14ac:dyDescent="0.45">
      <c r="A185">
        <v>1590</v>
      </c>
      <c r="B185">
        <v>551</v>
      </c>
      <c r="C185">
        <v>255</v>
      </c>
      <c r="D185">
        <v>1</v>
      </c>
      <c r="E185">
        <v>51</v>
      </c>
      <c r="F185">
        <v>51</v>
      </c>
      <c r="G185">
        <v>0</v>
      </c>
      <c r="H185" s="2">
        <v>0</v>
      </c>
      <c r="I185">
        <v>0</v>
      </c>
      <c r="J185">
        <v>51</v>
      </c>
      <c r="K185" s="1">
        <v>45808</v>
      </c>
      <c r="L185" t="s">
        <v>21</v>
      </c>
      <c r="M185" t="s">
        <v>18</v>
      </c>
      <c r="N185">
        <f>salesitems[[#This Row],[quantity]]*salesitems[[#This Row],[unit_price]]</f>
        <v>51</v>
      </c>
      <c r="O185" t="str">
        <f>_xlfn.XLOOKUP(salesitems[[#This Row],[product_id]],products[product_id],products[product_name])</f>
        <v>Polished Satin Trousers</v>
      </c>
      <c r="P185" t="str">
        <f>_xlfn.XLOOKUP(salesitems[[#This Row],[product_id]],fashion_store_products!A:A,fashion_store_products!C:C)</f>
        <v>Pants</v>
      </c>
    </row>
    <row r="186" spans="1:16" x14ac:dyDescent="0.45">
      <c r="A186">
        <v>2089</v>
      </c>
      <c r="B186">
        <v>622</v>
      </c>
      <c r="C186">
        <v>396</v>
      </c>
      <c r="D186">
        <v>1</v>
      </c>
      <c r="E186">
        <v>51</v>
      </c>
      <c r="F186">
        <v>51</v>
      </c>
      <c r="G186">
        <v>0</v>
      </c>
      <c r="H186" s="2">
        <v>0</v>
      </c>
      <c r="I186">
        <v>0</v>
      </c>
      <c r="J186">
        <v>51</v>
      </c>
      <c r="K186" s="1">
        <v>45773</v>
      </c>
      <c r="L186" t="s">
        <v>21</v>
      </c>
      <c r="M186" t="s">
        <v>18</v>
      </c>
      <c r="N186">
        <f>salesitems[[#This Row],[quantity]]*salesitems[[#This Row],[unit_price]]</f>
        <v>51</v>
      </c>
      <c r="O186" t="str">
        <f>_xlfn.XLOOKUP(salesitems[[#This Row],[product_id]],products[product_id],products[product_name])</f>
        <v>Elegant Crew Tee</v>
      </c>
      <c r="P186" t="str">
        <f>_xlfn.XLOOKUP(salesitems[[#This Row],[product_id]],fashion_store_products!A:A,fashion_store_products!C:C)</f>
        <v>T-Shirts</v>
      </c>
    </row>
    <row r="187" spans="1:16" x14ac:dyDescent="0.45">
      <c r="A187">
        <v>3334</v>
      </c>
      <c r="B187">
        <v>429</v>
      </c>
      <c r="C187">
        <v>255</v>
      </c>
      <c r="D187">
        <v>1</v>
      </c>
      <c r="E187">
        <v>51</v>
      </c>
      <c r="F187">
        <v>51</v>
      </c>
      <c r="G187">
        <v>0</v>
      </c>
      <c r="H187" s="2">
        <v>0</v>
      </c>
      <c r="I187">
        <v>0</v>
      </c>
      <c r="J187">
        <v>51</v>
      </c>
      <c r="K187" s="1">
        <v>45822</v>
      </c>
      <c r="L187" t="s">
        <v>15</v>
      </c>
      <c r="M187" t="s">
        <v>15</v>
      </c>
      <c r="N187">
        <f>salesitems[[#This Row],[quantity]]*salesitems[[#This Row],[unit_price]]</f>
        <v>51</v>
      </c>
      <c r="O187" t="str">
        <f>_xlfn.XLOOKUP(salesitems[[#This Row],[product_id]],products[product_id],products[product_name])</f>
        <v>Polished Satin Trousers</v>
      </c>
      <c r="P187" t="str">
        <f>_xlfn.XLOOKUP(salesitems[[#This Row],[product_id]],fashion_store_products!A:A,fashion_store_products!C:C)</f>
        <v>Pants</v>
      </c>
    </row>
    <row r="188" spans="1:16" x14ac:dyDescent="0.45">
      <c r="A188">
        <v>3099</v>
      </c>
      <c r="B188">
        <v>694</v>
      </c>
      <c r="C188">
        <v>8</v>
      </c>
      <c r="D188">
        <v>1</v>
      </c>
      <c r="E188">
        <v>50.91</v>
      </c>
      <c r="F188">
        <v>50.91</v>
      </c>
      <c r="G188">
        <v>0</v>
      </c>
      <c r="H188" s="2">
        <v>0</v>
      </c>
      <c r="I188">
        <v>0</v>
      </c>
      <c r="J188">
        <v>50.91</v>
      </c>
      <c r="K188" s="1">
        <v>45783</v>
      </c>
      <c r="L188" t="s">
        <v>15</v>
      </c>
      <c r="M188" t="s">
        <v>15</v>
      </c>
      <c r="N188">
        <f>salesitems[[#This Row],[quantity]]*salesitems[[#This Row],[unit_price]]</f>
        <v>50.91</v>
      </c>
      <c r="O188" t="str">
        <f>_xlfn.XLOOKUP(salesitems[[#This Row],[product_id]],products[product_id],products[product_name])</f>
        <v>Soft Linen Trousers</v>
      </c>
      <c r="P188" t="str">
        <f>_xlfn.XLOOKUP(salesitems[[#This Row],[product_id]],fashion_store_products!A:A,fashion_store_products!C:C)</f>
        <v>Pants</v>
      </c>
    </row>
    <row r="189" spans="1:16" x14ac:dyDescent="0.45">
      <c r="A189">
        <v>382</v>
      </c>
      <c r="B189">
        <v>1291</v>
      </c>
      <c r="C189">
        <v>61</v>
      </c>
      <c r="D189">
        <v>1</v>
      </c>
      <c r="E189">
        <v>50.88</v>
      </c>
      <c r="F189">
        <v>50.88</v>
      </c>
      <c r="G189">
        <v>0</v>
      </c>
      <c r="H189" s="2">
        <v>0</v>
      </c>
      <c r="I189">
        <v>0</v>
      </c>
      <c r="J189">
        <v>50.88</v>
      </c>
      <c r="K189" s="1">
        <v>45796</v>
      </c>
      <c r="L189" t="s">
        <v>21</v>
      </c>
      <c r="M189" t="s">
        <v>18</v>
      </c>
      <c r="N189">
        <f>salesitems[[#This Row],[quantity]]*salesitems[[#This Row],[unit_price]]</f>
        <v>50.88</v>
      </c>
      <c r="O189" t="str">
        <f>_xlfn.XLOOKUP(salesitems[[#This Row],[product_id]],products[product_id],products[product_name])</f>
        <v>Modern Satin Tee</v>
      </c>
      <c r="P189" t="str">
        <f>_xlfn.XLOOKUP(salesitems[[#This Row],[product_id]],fashion_store_products!A:A,fashion_store_products!C:C)</f>
        <v>T-Shirts</v>
      </c>
    </row>
    <row r="190" spans="1:16" x14ac:dyDescent="0.45">
      <c r="A190">
        <v>180</v>
      </c>
      <c r="B190">
        <v>1093</v>
      </c>
      <c r="C190">
        <v>290</v>
      </c>
      <c r="D190">
        <v>1</v>
      </c>
      <c r="E190">
        <v>50.86</v>
      </c>
      <c r="F190">
        <v>50.86</v>
      </c>
      <c r="G190">
        <v>0</v>
      </c>
      <c r="H190" s="2">
        <v>0</v>
      </c>
      <c r="I190">
        <v>0</v>
      </c>
      <c r="J190">
        <v>50.86</v>
      </c>
      <c r="K190" s="1">
        <v>45802</v>
      </c>
      <c r="L190" t="s">
        <v>15</v>
      </c>
      <c r="M190" t="s">
        <v>15</v>
      </c>
      <c r="N190">
        <f>salesitems[[#This Row],[quantity]]*salesitems[[#This Row],[unit_price]]</f>
        <v>50.86</v>
      </c>
      <c r="O190" t="str">
        <f>_xlfn.XLOOKUP(salesitems[[#This Row],[product_id]],products[product_id],products[product_name])</f>
        <v>Relaxed Cotton Set</v>
      </c>
      <c r="P190" t="str">
        <f>_xlfn.XLOOKUP(salesitems[[#This Row],[product_id]],fashion_store_products!A:A,fashion_store_products!C:C)</f>
        <v>Sleepwear</v>
      </c>
    </row>
    <row r="191" spans="1:16" x14ac:dyDescent="0.45">
      <c r="A191">
        <v>2274</v>
      </c>
      <c r="B191">
        <v>1098</v>
      </c>
      <c r="C191">
        <v>450</v>
      </c>
      <c r="D191">
        <v>1</v>
      </c>
      <c r="E191">
        <v>50.85</v>
      </c>
      <c r="F191">
        <v>50.85</v>
      </c>
      <c r="G191">
        <v>0</v>
      </c>
      <c r="H191" s="2">
        <v>0</v>
      </c>
      <c r="I191">
        <v>0</v>
      </c>
      <c r="J191">
        <v>50.85</v>
      </c>
      <c r="K191" s="1">
        <v>45804</v>
      </c>
      <c r="L191" t="s">
        <v>15</v>
      </c>
      <c r="M191" t="s">
        <v>15</v>
      </c>
      <c r="N191">
        <f>salesitems[[#This Row],[quantity]]*salesitems[[#This Row],[unit_price]]</f>
        <v>50.85</v>
      </c>
      <c r="O191" t="str">
        <f>_xlfn.XLOOKUP(salesitems[[#This Row],[product_id]],products[product_id],products[product_name])</f>
        <v>Bold Silk Set</v>
      </c>
      <c r="P191" t="str">
        <f>_xlfn.XLOOKUP(salesitems[[#This Row],[product_id]],fashion_store_products!A:A,fashion_store_products!C:C)</f>
        <v>Sleepwear</v>
      </c>
    </row>
    <row r="192" spans="1:16" x14ac:dyDescent="0.45">
      <c r="A192">
        <v>998</v>
      </c>
      <c r="B192">
        <v>1251</v>
      </c>
      <c r="C192">
        <v>273</v>
      </c>
      <c r="D192">
        <v>1</v>
      </c>
      <c r="E192">
        <v>50.72</v>
      </c>
      <c r="F192">
        <v>50.72</v>
      </c>
      <c r="G192">
        <v>0</v>
      </c>
      <c r="H192" s="2">
        <v>0</v>
      </c>
      <c r="I192">
        <v>0</v>
      </c>
      <c r="J192">
        <v>50.72</v>
      </c>
      <c r="K192" s="1">
        <v>45777</v>
      </c>
      <c r="L192" t="s">
        <v>15</v>
      </c>
      <c r="M192" t="s">
        <v>15</v>
      </c>
      <c r="N192">
        <f>salesitems[[#This Row],[quantity]]*salesitems[[#This Row],[unit_price]]</f>
        <v>50.72</v>
      </c>
      <c r="O192" t="str">
        <f>_xlfn.XLOOKUP(salesitems[[#This Row],[product_id]],products[product_id],products[product_name])</f>
        <v>Relaxed Crew Tee</v>
      </c>
      <c r="P192" t="str">
        <f>_xlfn.XLOOKUP(salesitems[[#This Row],[product_id]],fashion_store_products!A:A,fashion_store_products!C:C)</f>
        <v>T-Shirts</v>
      </c>
    </row>
    <row r="193" spans="1:16" x14ac:dyDescent="0.45">
      <c r="A193">
        <v>3037</v>
      </c>
      <c r="B193">
        <v>709</v>
      </c>
      <c r="C193">
        <v>273</v>
      </c>
      <c r="D193">
        <v>1</v>
      </c>
      <c r="E193">
        <v>50.72</v>
      </c>
      <c r="F193">
        <v>50.72</v>
      </c>
      <c r="G193">
        <v>0</v>
      </c>
      <c r="H193" s="2">
        <v>0</v>
      </c>
      <c r="I193">
        <v>0</v>
      </c>
      <c r="J193">
        <v>50.72</v>
      </c>
      <c r="K193" s="1">
        <v>45775</v>
      </c>
      <c r="L193" t="s">
        <v>15</v>
      </c>
      <c r="M193" t="s">
        <v>15</v>
      </c>
      <c r="N193">
        <f>salesitems[[#This Row],[quantity]]*salesitems[[#This Row],[unit_price]]</f>
        <v>50.72</v>
      </c>
      <c r="O193" t="str">
        <f>_xlfn.XLOOKUP(salesitems[[#This Row],[product_id]],products[product_id],products[product_name])</f>
        <v>Relaxed Crew Tee</v>
      </c>
      <c r="P193" t="str">
        <f>_xlfn.XLOOKUP(salesitems[[#This Row],[product_id]],fashion_store_products!A:A,fashion_store_products!C:C)</f>
        <v>T-Shirts</v>
      </c>
    </row>
    <row r="194" spans="1:16" x14ac:dyDescent="0.45">
      <c r="A194">
        <v>843</v>
      </c>
      <c r="B194">
        <v>80</v>
      </c>
      <c r="C194">
        <v>488</v>
      </c>
      <c r="D194">
        <v>1</v>
      </c>
      <c r="E194">
        <v>50.68</v>
      </c>
      <c r="F194">
        <v>50.68</v>
      </c>
      <c r="G194">
        <v>0</v>
      </c>
      <c r="H194" s="2">
        <v>0</v>
      </c>
      <c r="I194">
        <v>0</v>
      </c>
      <c r="J194">
        <v>50.68</v>
      </c>
      <c r="K194" s="1">
        <v>45802</v>
      </c>
      <c r="L194" t="s">
        <v>21</v>
      </c>
      <c r="M194" t="s">
        <v>18</v>
      </c>
      <c r="N194">
        <f>salesitems[[#This Row],[quantity]]*salesitems[[#This Row],[unit_price]]</f>
        <v>50.68</v>
      </c>
      <c r="O194" t="str">
        <f>_xlfn.XLOOKUP(salesitems[[#This Row],[product_id]],products[product_id],products[product_name])</f>
        <v>Sleepwear Drop 3</v>
      </c>
      <c r="P194" t="str">
        <f>_xlfn.XLOOKUP(salesitems[[#This Row],[product_id]],fashion_store_products!A:A,fashion_store_products!C:C)</f>
        <v>Sleepwear</v>
      </c>
    </row>
    <row r="195" spans="1:16" x14ac:dyDescent="0.45">
      <c r="A195">
        <v>2908</v>
      </c>
      <c r="B195">
        <v>1227</v>
      </c>
      <c r="C195">
        <v>488</v>
      </c>
      <c r="D195">
        <v>1</v>
      </c>
      <c r="E195">
        <v>50.68</v>
      </c>
      <c r="F195">
        <v>50.68</v>
      </c>
      <c r="G195">
        <v>0</v>
      </c>
      <c r="H195" s="2">
        <v>0</v>
      </c>
      <c r="I195">
        <v>0</v>
      </c>
      <c r="J195">
        <v>50.68</v>
      </c>
      <c r="K195" s="1">
        <v>45760</v>
      </c>
      <c r="L195" t="s">
        <v>15</v>
      </c>
      <c r="M195" t="s">
        <v>15</v>
      </c>
      <c r="N195">
        <f>salesitems[[#This Row],[quantity]]*salesitems[[#This Row],[unit_price]]</f>
        <v>50.68</v>
      </c>
      <c r="O195" t="str">
        <f>_xlfn.XLOOKUP(salesitems[[#This Row],[product_id]],products[product_id],products[product_name])</f>
        <v>Sleepwear Drop 3</v>
      </c>
      <c r="P195" t="str">
        <f>_xlfn.XLOOKUP(salesitems[[#This Row],[product_id]],fashion_store_products!A:A,fashion_store_products!C:C)</f>
        <v>Sleepwear</v>
      </c>
    </row>
    <row r="196" spans="1:16" x14ac:dyDescent="0.45">
      <c r="A196">
        <v>1812</v>
      </c>
      <c r="B196">
        <v>344</v>
      </c>
      <c r="C196">
        <v>253</v>
      </c>
      <c r="D196">
        <v>1</v>
      </c>
      <c r="E196">
        <v>50.55</v>
      </c>
      <c r="F196">
        <v>50.55</v>
      </c>
      <c r="G196">
        <v>0</v>
      </c>
      <c r="H196" s="2">
        <v>0</v>
      </c>
      <c r="I196">
        <v>0</v>
      </c>
      <c r="J196">
        <v>50.55</v>
      </c>
      <c r="K196" s="1">
        <v>45822</v>
      </c>
      <c r="L196" t="s">
        <v>15</v>
      </c>
      <c r="M196" t="s">
        <v>15</v>
      </c>
      <c r="N196">
        <f>salesitems[[#This Row],[quantity]]*salesitems[[#This Row],[unit_price]]</f>
        <v>50.55</v>
      </c>
      <c r="O196" t="str">
        <f>_xlfn.XLOOKUP(salesitems[[#This Row],[product_id]],products[product_id],products[product_name])</f>
        <v>Relaxed Ribbed Tee</v>
      </c>
      <c r="P196" t="str">
        <f>_xlfn.XLOOKUP(salesitems[[#This Row],[product_id]],fashion_store_products!A:A,fashion_store_products!C:C)</f>
        <v>T-Shirts</v>
      </c>
    </row>
    <row r="197" spans="1:16" x14ac:dyDescent="0.45">
      <c r="A197">
        <v>2421</v>
      </c>
      <c r="B197">
        <v>1025</v>
      </c>
      <c r="C197">
        <v>253</v>
      </c>
      <c r="D197">
        <v>1</v>
      </c>
      <c r="E197">
        <v>50.55</v>
      </c>
      <c r="F197">
        <v>50.55</v>
      </c>
      <c r="G197">
        <v>0</v>
      </c>
      <c r="H197" s="2">
        <v>0</v>
      </c>
      <c r="I197">
        <v>0</v>
      </c>
      <c r="J197">
        <v>50.55</v>
      </c>
      <c r="K197" s="1">
        <v>45806</v>
      </c>
      <c r="L197" t="s">
        <v>15</v>
      </c>
      <c r="M197" t="s">
        <v>15</v>
      </c>
      <c r="N197">
        <f>salesitems[[#This Row],[quantity]]*salesitems[[#This Row],[unit_price]]</f>
        <v>50.55</v>
      </c>
      <c r="O197" t="str">
        <f>_xlfn.XLOOKUP(salesitems[[#This Row],[product_id]],products[product_id],products[product_name])</f>
        <v>Relaxed Ribbed Tee</v>
      </c>
      <c r="P197" t="str">
        <f>_xlfn.XLOOKUP(salesitems[[#This Row],[product_id]],fashion_store_products!A:A,fashion_store_products!C:C)</f>
        <v>T-Shirts</v>
      </c>
    </row>
    <row r="198" spans="1:16" x14ac:dyDescent="0.45">
      <c r="A198">
        <v>2759</v>
      </c>
      <c r="B198">
        <v>346</v>
      </c>
      <c r="C198">
        <v>253</v>
      </c>
      <c r="D198">
        <v>1</v>
      </c>
      <c r="E198">
        <v>50.55</v>
      </c>
      <c r="F198">
        <v>50.55</v>
      </c>
      <c r="G198">
        <v>0</v>
      </c>
      <c r="H198" s="2">
        <v>0</v>
      </c>
      <c r="I198">
        <v>0</v>
      </c>
      <c r="J198">
        <v>50.55</v>
      </c>
      <c r="K198" s="1">
        <v>45803</v>
      </c>
      <c r="L198" t="s">
        <v>15</v>
      </c>
      <c r="M198" t="s">
        <v>15</v>
      </c>
      <c r="N198">
        <f>salesitems[[#This Row],[quantity]]*salesitems[[#This Row],[unit_price]]</f>
        <v>50.55</v>
      </c>
      <c r="O198" t="str">
        <f>_xlfn.XLOOKUP(salesitems[[#This Row],[product_id]],products[product_id],products[product_name])</f>
        <v>Relaxed Ribbed Tee</v>
      </c>
      <c r="P198" t="str">
        <f>_xlfn.XLOOKUP(salesitems[[#This Row],[product_id]],fashion_store_products!A:A,fashion_store_products!C:C)</f>
        <v>T-Shirts</v>
      </c>
    </row>
    <row r="199" spans="1:16" x14ac:dyDescent="0.45">
      <c r="A199">
        <v>2939</v>
      </c>
      <c r="B199">
        <v>397</v>
      </c>
      <c r="C199">
        <v>253</v>
      </c>
      <c r="D199">
        <v>1</v>
      </c>
      <c r="E199">
        <v>50.55</v>
      </c>
      <c r="F199">
        <v>50.55</v>
      </c>
      <c r="G199">
        <v>0</v>
      </c>
      <c r="H199" s="2">
        <v>0</v>
      </c>
      <c r="I199">
        <v>0</v>
      </c>
      <c r="J199">
        <v>50.55</v>
      </c>
      <c r="K199" s="1">
        <v>45776</v>
      </c>
      <c r="L199" t="s">
        <v>21</v>
      </c>
      <c r="M199" t="s">
        <v>18</v>
      </c>
      <c r="N199">
        <f>salesitems[[#This Row],[quantity]]*salesitems[[#This Row],[unit_price]]</f>
        <v>50.55</v>
      </c>
      <c r="O199" t="str">
        <f>_xlfn.XLOOKUP(salesitems[[#This Row],[product_id]],products[product_id],products[product_name])</f>
        <v>Relaxed Ribbed Tee</v>
      </c>
      <c r="P199" t="str">
        <f>_xlfn.XLOOKUP(salesitems[[#This Row],[product_id]],fashion_store_products!A:A,fashion_store_products!C:C)</f>
        <v>T-Shirts</v>
      </c>
    </row>
    <row r="200" spans="1:16" x14ac:dyDescent="0.45">
      <c r="A200">
        <v>939</v>
      </c>
      <c r="B200">
        <v>623</v>
      </c>
      <c r="C200">
        <v>193</v>
      </c>
      <c r="D200">
        <v>1</v>
      </c>
      <c r="E200">
        <v>50.52</v>
      </c>
      <c r="F200">
        <v>50.52</v>
      </c>
      <c r="G200">
        <v>0</v>
      </c>
      <c r="H200" s="2">
        <v>0</v>
      </c>
      <c r="I200">
        <v>0</v>
      </c>
      <c r="J200">
        <v>50.52</v>
      </c>
      <c r="K200" s="1">
        <v>45761</v>
      </c>
      <c r="L200" t="s">
        <v>21</v>
      </c>
      <c r="M200" t="s">
        <v>18</v>
      </c>
      <c r="N200">
        <f>salesitems[[#This Row],[quantity]]*salesitems[[#This Row],[unit_price]]</f>
        <v>50.52</v>
      </c>
      <c r="O200" t="str">
        <f>_xlfn.XLOOKUP(salesitems[[#This Row],[product_id]],products[product_id],products[product_name])</f>
        <v>Vintage Silk Tee</v>
      </c>
      <c r="P200" t="str">
        <f>_xlfn.XLOOKUP(salesitems[[#This Row],[product_id]],fashion_store_products!A:A,fashion_store_products!C:C)</f>
        <v>T-Shirts</v>
      </c>
    </row>
    <row r="201" spans="1:16" x14ac:dyDescent="0.45">
      <c r="A201">
        <v>1582</v>
      </c>
      <c r="B201">
        <v>593</v>
      </c>
      <c r="C201">
        <v>193</v>
      </c>
      <c r="D201">
        <v>1</v>
      </c>
      <c r="E201">
        <v>50.52</v>
      </c>
      <c r="F201">
        <v>50.52</v>
      </c>
      <c r="G201">
        <v>0</v>
      </c>
      <c r="H201" s="2">
        <v>0</v>
      </c>
      <c r="I201">
        <v>0</v>
      </c>
      <c r="J201">
        <v>50.52</v>
      </c>
      <c r="K201" s="1">
        <v>45824</v>
      </c>
      <c r="L201" t="s">
        <v>15</v>
      </c>
      <c r="M201" t="s">
        <v>15</v>
      </c>
      <c r="N201">
        <f>salesitems[[#This Row],[quantity]]*salesitems[[#This Row],[unit_price]]</f>
        <v>50.52</v>
      </c>
      <c r="O201" t="str">
        <f>_xlfn.XLOOKUP(salesitems[[#This Row],[product_id]],products[product_id],products[product_name])</f>
        <v>Vintage Silk Tee</v>
      </c>
      <c r="P201" t="str">
        <f>_xlfn.XLOOKUP(salesitems[[#This Row],[product_id]],fashion_store_products!A:A,fashion_store_products!C:C)</f>
        <v>T-Shirts</v>
      </c>
    </row>
    <row r="202" spans="1:16" x14ac:dyDescent="0.45">
      <c r="A202">
        <v>3295</v>
      </c>
      <c r="B202">
        <v>307</v>
      </c>
      <c r="C202">
        <v>193</v>
      </c>
      <c r="D202">
        <v>1</v>
      </c>
      <c r="E202">
        <v>50.52</v>
      </c>
      <c r="F202">
        <v>50.52</v>
      </c>
      <c r="G202">
        <v>0</v>
      </c>
      <c r="H202" s="2">
        <v>0</v>
      </c>
      <c r="I202">
        <v>0</v>
      </c>
      <c r="J202">
        <v>50.52</v>
      </c>
      <c r="K202" s="1">
        <v>45798</v>
      </c>
      <c r="L202" t="s">
        <v>21</v>
      </c>
      <c r="M202" t="s">
        <v>18</v>
      </c>
      <c r="N202">
        <f>salesitems[[#This Row],[quantity]]*salesitems[[#This Row],[unit_price]]</f>
        <v>50.52</v>
      </c>
      <c r="O202" t="str">
        <f>_xlfn.XLOOKUP(salesitems[[#This Row],[product_id]],products[product_id],products[product_name])</f>
        <v>Vintage Silk Tee</v>
      </c>
      <c r="P202" t="str">
        <f>_xlfn.XLOOKUP(salesitems[[#This Row],[product_id]],fashion_store_products!A:A,fashion_store_products!C:C)</f>
        <v>T-Shirts</v>
      </c>
    </row>
    <row r="203" spans="1:16" x14ac:dyDescent="0.45">
      <c r="A203">
        <v>2404</v>
      </c>
      <c r="B203">
        <v>959</v>
      </c>
      <c r="C203">
        <v>370</v>
      </c>
      <c r="D203">
        <v>1</v>
      </c>
      <c r="E203">
        <v>50.34</v>
      </c>
      <c r="F203">
        <v>50.34</v>
      </c>
      <c r="G203">
        <v>0</v>
      </c>
      <c r="H203" s="2">
        <v>0</v>
      </c>
      <c r="I203">
        <v>0</v>
      </c>
      <c r="J203">
        <v>50.34</v>
      </c>
      <c r="K203" s="1">
        <v>45752</v>
      </c>
      <c r="L203" t="s">
        <v>21</v>
      </c>
      <c r="M203" t="s">
        <v>18</v>
      </c>
      <c r="N203">
        <f>salesitems[[#This Row],[quantity]]*salesitems[[#This Row],[unit_price]]</f>
        <v>50.34</v>
      </c>
      <c r="O203" t="str">
        <f>_xlfn.XLOOKUP(salesitems[[#This Row],[product_id]],products[product_id],products[product_name])</f>
        <v>Elegant Ribbed Tee</v>
      </c>
      <c r="P203" t="str">
        <f>_xlfn.XLOOKUP(salesitems[[#This Row],[product_id]],fashion_store_products!A:A,fashion_store_products!C:C)</f>
        <v>T-Shirts</v>
      </c>
    </row>
    <row r="204" spans="1:16" x14ac:dyDescent="0.45">
      <c r="A204">
        <v>1176</v>
      </c>
      <c r="B204">
        <v>160</v>
      </c>
      <c r="C204">
        <v>150</v>
      </c>
      <c r="D204">
        <v>1</v>
      </c>
      <c r="E204">
        <v>50.04</v>
      </c>
      <c r="F204">
        <v>50.04</v>
      </c>
      <c r="G204">
        <v>0</v>
      </c>
      <c r="H204" s="2">
        <v>0</v>
      </c>
      <c r="I204">
        <v>0</v>
      </c>
      <c r="J204">
        <v>50.04</v>
      </c>
      <c r="K204" s="1">
        <v>45772</v>
      </c>
      <c r="L204" t="s">
        <v>15</v>
      </c>
      <c r="M204" t="s">
        <v>15</v>
      </c>
      <c r="N204">
        <f>salesitems[[#This Row],[quantity]]*salesitems[[#This Row],[unit_price]]</f>
        <v>50.04</v>
      </c>
      <c r="O204" t="str">
        <f>_xlfn.XLOOKUP(salesitems[[#This Row],[product_id]],products[product_id],products[product_name])</f>
        <v>Vintage Wrap Tee</v>
      </c>
      <c r="P204" t="str">
        <f>_xlfn.XLOOKUP(salesitems[[#This Row],[product_id]],fashion_store_products!A:A,fashion_store_products!C:C)</f>
        <v>T-Shirts</v>
      </c>
    </row>
    <row r="205" spans="1:16" x14ac:dyDescent="0.45">
      <c r="A205">
        <v>1621</v>
      </c>
      <c r="B205">
        <v>551</v>
      </c>
      <c r="C205">
        <v>69</v>
      </c>
      <c r="D205">
        <v>1</v>
      </c>
      <c r="E205">
        <v>49.98</v>
      </c>
      <c r="F205">
        <v>49.98</v>
      </c>
      <c r="G205">
        <v>0</v>
      </c>
      <c r="H205" s="2">
        <v>0</v>
      </c>
      <c r="I205">
        <v>0</v>
      </c>
      <c r="J205">
        <v>49.98</v>
      </c>
      <c r="K205" s="1">
        <v>45808</v>
      </c>
      <c r="L205" t="s">
        <v>21</v>
      </c>
      <c r="M205" t="s">
        <v>18</v>
      </c>
      <c r="N205">
        <f>salesitems[[#This Row],[quantity]]*salesitems[[#This Row],[unit_price]]</f>
        <v>49.98</v>
      </c>
      <c r="O205" t="str">
        <f>_xlfn.XLOOKUP(salesitems[[#This Row],[product_id]],products[product_id],products[product_name])</f>
        <v>Modern Linen Shoes</v>
      </c>
      <c r="P205" t="str">
        <f>_xlfn.XLOOKUP(salesitems[[#This Row],[product_id]],fashion_store_products!A:A,fashion_store_products!C:C)</f>
        <v>Shoes</v>
      </c>
    </row>
    <row r="206" spans="1:16" x14ac:dyDescent="0.45">
      <c r="A206">
        <v>1297</v>
      </c>
      <c r="B206">
        <v>1269</v>
      </c>
      <c r="C206">
        <v>487</v>
      </c>
      <c r="D206">
        <v>1</v>
      </c>
      <c r="E206">
        <v>49.84</v>
      </c>
      <c r="F206">
        <v>49.84</v>
      </c>
      <c r="G206">
        <v>0</v>
      </c>
      <c r="H206" s="2">
        <v>0</v>
      </c>
      <c r="I206">
        <v>0</v>
      </c>
      <c r="J206">
        <v>49.84</v>
      </c>
      <c r="K206" s="1">
        <v>45822</v>
      </c>
      <c r="L206" t="s">
        <v>15</v>
      </c>
      <c r="M206" t="s">
        <v>15</v>
      </c>
      <c r="N206">
        <f>salesitems[[#This Row],[quantity]]*salesitems[[#This Row],[unit_price]]</f>
        <v>49.84</v>
      </c>
      <c r="O206" t="str">
        <f>_xlfn.XLOOKUP(salesitems[[#This Row],[product_id]],products[product_id],products[product_name])</f>
        <v>Bold High-Waist Shoes</v>
      </c>
      <c r="P206" t="str">
        <f>_xlfn.XLOOKUP(salesitems[[#This Row],[product_id]],fashion_store_products!A:A,fashion_store_products!C:C)</f>
        <v>Shoes</v>
      </c>
    </row>
    <row r="207" spans="1:16" x14ac:dyDescent="0.45">
      <c r="A207">
        <v>1792</v>
      </c>
      <c r="B207">
        <v>284</v>
      </c>
      <c r="C207">
        <v>487</v>
      </c>
      <c r="D207">
        <v>1</v>
      </c>
      <c r="E207">
        <v>49.84</v>
      </c>
      <c r="F207">
        <v>49.84</v>
      </c>
      <c r="G207">
        <v>0</v>
      </c>
      <c r="H207" s="2">
        <v>0</v>
      </c>
      <c r="I207">
        <v>0</v>
      </c>
      <c r="J207">
        <v>49.84</v>
      </c>
      <c r="K207" s="1">
        <v>45776</v>
      </c>
      <c r="L207" t="s">
        <v>15</v>
      </c>
      <c r="M207" t="s">
        <v>15</v>
      </c>
      <c r="N207">
        <f>salesitems[[#This Row],[quantity]]*salesitems[[#This Row],[unit_price]]</f>
        <v>49.84</v>
      </c>
      <c r="O207" t="str">
        <f>_xlfn.XLOOKUP(salesitems[[#This Row],[product_id]],products[product_id],products[product_name])</f>
        <v>Bold High-Waist Shoes</v>
      </c>
      <c r="P207" t="str">
        <f>_xlfn.XLOOKUP(salesitems[[#This Row],[product_id]],fashion_store_products!A:A,fashion_store_products!C:C)</f>
        <v>Shoes</v>
      </c>
    </row>
    <row r="208" spans="1:16" x14ac:dyDescent="0.45">
      <c r="A208">
        <v>1078</v>
      </c>
      <c r="B208">
        <v>777</v>
      </c>
      <c r="C208">
        <v>436</v>
      </c>
      <c r="D208">
        <v>1</v>
      </c>
      <c r="E208">
        <v>49.81</v>
      </c>
      <c r="F208">
        <v>49.81</v>
      </c>
      <c r="G208">
        <v>0</v>
      </c>
      <c r="H208" s="2">
        <v>0</v>
      </c>
      <c r="I208">
        <v>0</v>
      </c>
      <c r="J208">
        <v>49.81</v>
      </c>
      <c r="K208" s="1">
        <v>45805</v>
      </c>
      <c r="L208" t="s">
        <v>21</v>
      </c>
      <c r="M208" t="s">
        <v>18</v>
      </c>
      <c r="N208">
        <f>salesitems[[#This Row],[quantity]]*salesitems[[#This Row],[unit_price]]</f>
        <v>49.81</v>
      </c>
      <c r="O208" t="str">
        <f>_xlfn.XLOOKUP(salesitems[[#This Row],[product_id]],products[product_id],products[product_name])</f>
        <v>Bold Wrap Shoes</v>
      </c>
      <c r="P208" t="str">
        <f>_xlfn.XLOOKUP(salesitems[[#This Row],[product_id]],fashion_store_products!A:A,fashion_store_products!C:C)</f>
        <v>Shoes</v>
      </c>
    </row>
    <row r="209" spans="1:16" x14ac:dyDescent="0.45">
      <c r="A209">
        <v>2074</v>
      </c>
      <c r="B209">
        <v>389</v>
      </c>
      <c r="C209">
        <v>219</v>
      </c>
      <c r="D209">
        <v>1</v>
      </c>
      <c r="E209">
        <v>49.76</v>
      </c>
      <c r="F209">
        <v>49.76</v>
      </c>
      <c r="G209">
        <v>0</v>
      </c>
      <c r="H209" s="2">
        <v>0</v>
      </c>
      <c r="I209">
        <v>0</v>
      </c>
      <c r="J209">
        <v>49.76</v>
      </c>
      <c r="K209" s="1">
        <v>45765</v>
      </c>
      <c r="L209" t="s">
        <v>21</v>
      </c>
      <c r="M209" t="s">
        <v>18</v>
      </c>
      <c r="N209">
        <f>salesitems[[#This Row],[quantity]]*salesitems[[#This Row],[unit_price]]</f>
        <v>49.76</v>
      </c>
      <c r="O209" t="str">
        <f>_xlfn.XLOOKUP(salesitems[[#This Row],[product_id]],products[product_id],products[product_name])</f>
        <v>Polished Silk Shoes</v>
      </c>
      <c r="P209" t="str">
        <f>_xlfn.XLOOKUP(salesitems[[#This Row],[product_id]],fashion_store_products!A:A,fashion_store_products!C:C)</f>
        <v>Shoes</v>
      </c>
    </row>
    <row r="210" spans="1:16" x14ac:dyDescent="0.45">
      <c r="A210">
        <v>2677</v>
      </c>
      <c r="B210">
        <v>89</v>
      </c>
      <c r="C210">
        <v>173</v>
      </c>
      <c r="D210">
        <v>1</v>
      </c>
      <c r="E210">
        <v>49.74</v>
      </c>
      <c r="F210">
        <v>49.74</v>
      </c>
      <c r="G210">
        <v>0</v>
      </c>
      <c r="H210" s="2">
        <v>0</v>
      </c>
      <c r="I210">
        <v>0</v>
      </c>
      <c r="J210">
        <v>49.74</v>
      </c>
      <c r="K210" s="1">
        <v>45772</v>
      </c>
      <c r="L210" t="s">
        <v>21</v>
      </c>
      <c r="M210" t="s">
        <v>18</v>
      </c>
      <c r="N210">
        <f>salesitems[[#This Row],[quantity]]*salesitems[[#This Row],[unit_price]]</f>
        <v>49.74</v>
      </c>
      <c r="O210" t="str">
        <f>_xlfn.XLOOKUP(salesitems[[#This Row],[product_id]],products[product_id],products[product_name])</f>
        <v>Polished Linen Dress</v>
      </c>
      <c r="P210" t="str">
        <f>_xlfn.XLOOKUP(salesitems[[#This Row],[product_id]],fashion_store_products!A:A,fashion_store_products!C:C)</f>
        <v>Dresses</v>
      </c>
    </row>
    <row r="211" spans="1:16" x14ac:dyDescent="0.45">
      <c r="A211">
        <v>3059</v>
      </c>
      <c r="B211">
        <v>956</v>
      </c>
      <c r="C211">
        <v>268</v>
      </c>
      <c r="D211">
        <v>1</v>
      </c>
      <c r="E211">
        <v>49.59</v>
      </c>
      <c r="F211">
        <v>49.59</v>
      </c>
      <c r="G211">
        <v>0</v>
      </c>
      <c r="H211" s="2">
        <v>0</v>
      </c>
      <c r="I211">
        <v>0</v>
      </c>
      <c r="J211">
        <v>49.59</v>
      </c>
      <c r="K211" s="1">
        <v>45808</v>
      </c>
      <c r="L211" t="s">
        <v>15</v>
      </c>
      <c r="M211" t="s">
        <v>15</v>
      </c>
      <c r="N211">
        <f>salesitems[[#This Row],[quantity]]*salesitems[[#This Row],[unit_price]]</f>
        <v>49.59</v>
      </c>
      <c r="O211" t="str">
        <f>_xlfn.XLOOKUP(salesitems[[#This Row],[product_id]],products[product_id],products[product_name])</f>
        <v>Polished Boxy Set</v>
      </c>
      <c r="P211" t="str">
        <f>_xlfn.XLOOKUP(salesitems[[#This Row],[product_id]],fashion_store_products!A:A,fashion_store_products!C:C)</f>
        <v>Sleepwear</v>
      </c>
    </row>
    <row r="212" spans="1:16" x14ac:dyDescent="0.45">
      <c r="A212">
        <v>1262</v>
      </c>
      <c r="B212">
        <v>1109</v>
      </c>
      <c r="C212">
        <v>190</v>
      </c>
      <c r="D212">
        <v>1</v>
      </c>
      <c r="E212">
        <v>49.41</v>
      </c>
      <c r="F212">
        <v>49.41</v>
      </c>
      <c r="G212">
        <v>0</v>
      </c>
      <c r="H212" s="2">
        <v>0</v>
      </c>
      <c r="I212">
        <v>0</v>
      </c>
      <c r="J212">
        <v>49.41</v>
      </c>
      <c r="K212" s="1">
        <v>45804</v>
      </c>
      <c r="L212" t="s">
        <v>21</v>
      </c>
      <c r="M212" t="s">
        <v>18</v>
      </c>
      <c r="N212">
        <f>salesitems[[#This Row],[quantity]]*salesitems[[#This Row],[unit_price]]</f>
        <v>49.41</v>
      </c>
      <c r="O212" t="str">
        <f>_xlfn.XLOOKUP(salesitems[[#This Row],[product_id]],products[product_id],products[product_name])</f>
        <v>Polished Cotton Dress</v>
      </c>
      <c r="P212" t="str">
        <f>_xlfn.XLOOKUP(salesitems[[#This Row],[product_id]],fashion_store_products!A:A,fashion_store_products!C:C)</f>
        <v>Dresses</v>
      </c>
    </row>
    <row r="213" spans="1:16" x14ac:dyDescent="0.45">
      <c r="A213">
        <v>2756</v>
      </c>
      <c r="B213">
        <v>675</v>
      </c>
      <c r="C213">
        <v>300</v>
      </c>
      <c r="D213">
        <v>1</v>
      </c>
      <c r="E213">
        <v>48.88</v>
      </c>
      <c r="F213">
        <v>48.88</v>
      </c>
      <c r="G213">
        <v>0</v>
      </c>
      <c r="H213" s="2">
        <v>0</v>
      </c>
      <c r="I213">
        <v>0</v>
      </c>
      <c r="J213">
        <v>48.88</v>
      </c>
      <c r="K213" s="1">
        <v>45800</v>
      </c>
      <c r="L213" t="s">
        <v>21</v>
      </c>
      <c r="M213" t="s">
        <v>18</v>
      </c>
      <c r="N213">
        <f>salesitems[[#This Row],[quantity]]*salesitems[[#This Row],[unit_price]]</f>
        <v>48.88</v>
      </c>
      <c r="O213" t="str">
        <f>_xlfn.XLOOKUP(salesitems[[#This Row],[product_id]],products[product_id],products[product_name])</f>
        <v>Tailored Wrap Shoes</v>
      </c>
      <c r="P213" t="str">
        <f>_xlfn.XLOOKUP(salesitems[[#This Row],[product_id]],fashion_store_products!A:A,fashion_store_products!C:C)</f>
        <v>Shoes</v>
      </c>
    </row>
    <row r="214" spans="1:16" x14ac:dyDescent="0.45">
      <c r="A214">
        <v>1127</v>
      </c>
      <c r="B214">
        <v>235</v>
      </c>
      <c r="C214">
        <v>216</v>
      </c>
      <c r="D214">
        <v>1</v>
      </c>
      <c r="E214">
        <v>48.86</v>
      </c>
      <c r="F214">
        <v>48.86</v>
      </c>
      <c r="G214">
        <v>0</v>
      </c>
      <c r="H214" s="2">
        <v>0</v>
      </c>
      <c r="I214">
        <v>0</v>
      </c>
      <c r="J214">
        <v>48.86</v>
      </c>
      <c r="K214" s="1">
        <v>45753</v>
      </c>
      <c r="L214" t="s">
        <v>21</v>
      </c>
      <c r="M214" t="s">
        <v>18</v>
      </c>
      <c r="N214">
        <f>salesitems[[#This Row],[quantity]]*salesitems[[#This Row],[unit_price]]</f>
        <v>48.86</v>
      </c>
      <c r="O214" t="str">
        <f>_xlfn.XLOOKUP(salesitems[[#This Row],[product_id]],products[product_id],products[product_name])</f>
        <v>Polished Satin Shoes</v>
      </c>
      <c r="P214" t="str">
        <f>_xlfn.XLOOKUP(salesitems[[#This Row],[product_id]],fashion_store_products!A:A,fashion_store_products!C:C)</f>
        <v>Shoes</v>
      </c>
    </row>
    <row r="215" spans="1:16" x14ac:dyDescent="0.45">
      <c r="A215">
        <v>862</v>
      </c>
      <c r="B215">
        <v>940</v>
      </c>
      <c r="C215">
        <v>295</v>
      </c>
      <c r="D215">
        <v>1</v>
      </c>
      <c r="E215">
        <v>48.73</v>
      </c>
      <c r="F215">
        <v>48.73</v>
      </c>
      <c r="G215">
        <v>0</v>
      </c>
      <c r="H215" s="2">
        <v>0</v>
      </c>
      <c r="I215">
        <v>0</v>
      </c>
      <c r="J215">
        <v>48.73</v>
      </c>
      <c r="K215" s="1">
        <v>45768</v>
      </c>
      <c r="L215" t="s">
        <v>15</v>
      </c>
      <c r="M215" t="s">
        <v>15</v>
      </c>
      <c r="N215">
        <f>salesitems[[#This Row],[quantity]]*salesitems[[#This Row],[unit_price]]</f>
        <v>48.73</v>
      </c>
      <c r="O215" t="str">
        <f>_xlfn.XLOOKUP(salesitems[[#This Row],[product_id]],products[product_id],products[product_name])</f>
        <v>Polished Boxy Trousers</v>
      </c>
      <c r="P215" t="str">
        <f>_xlfn.XLOOKUP(salesitems[[#This Row],[product_id]],fashion_store_products!A:A,fashion_store_products!C:C)</f>
        <v>Pants</v>
      </c>
    </row>
    <row r="216" spans="1:16" x14ac:dyDescent="0.45">
      <c r="A216">
        <v>1086</v>
      </c>
      <c r="B216">
        <v>613</v>
      </c>
      <c r="C216">
        <v>460</v>
      </c>
      <c r="D216">
        <v>1</v>
      </c>
      <c r="E216">
        <v>48.64</v>
      </c>
      <c r="F216">
        <v>48.64</v>
      </c>
      <c r="G216">
        <v>0</v>
      </c>
      <c r="H216" s="2">
        <v>0</v>
      </c>
      <c r="I216">
        <v>0</v>
      </c>
      <c r="J216">
        <v>48.64</v>
      </c>
      <c r="K216" s="1">
        <v>45823</v>
      </c>
      <c r="L216" t="s">
        <v>21</v>
      </c>
      <c r="M216" t="s">
        <v>18</v>
      </c>
      <c r="N216">
        <f>salesitems[[#This Row],[quantity]]*salesitems[[#This Row],[unit_price]]</f>
        <v>48.64</v>
      </c>
      <c r="O216" t="str">
        <f>_xlfn.XLOOKUP(salesitems[[#This Row],[product_id]],products[product_id],products[product_name])</f>
        <v>Bold Sleeveless Tee</v>
      </c>
      <c r="P216" t="str">
        <f>_xlfn.XLOOKUP(salesitems[[#This Row],[product_id]],fashion_store_products!A:A,fashion_store_products!C:C)</f>
        <v>T-Shirts</v>
      </c>
    </row>
    <row r="217" spans="1:16" x14ac:dyDescent="0.45">
      <c r="A217">
        <v>2517</v>
      </c>
      <c r="B217">
        <v>872</v>
      </c>
      <c r="C217">
        <v>406</v>
      </c>
      <c r="D217">
        <v>1</v>
      </c>
      <c r="E217">
        <v>53.74</v>
      </c>
      <c r="F217">
        <v>48.37</v>
      </c>
      <c r="G217">
        <v>5.37</v>
      </c>
      <c r="H217" s="2">
        <v>0.1</v>
      </c>
      <c r="I217">
        <v>1</v>
      </c>
      <c r="J217">
        <v>48.37</v>
      </c>
      <c r="K217" s="1">
        <v>45812</v>
      </c>
      <c r="L217" t="s">
        <v>21</v>
      </c>
      <c r="M217" t="s">
        <v>18</v>
      </c>
      <c r="N217">
        <f>salesitems[[#This Row],[quantity]]*salesitems[[#This Row],[unit_price]]</f>
        <v>48.37</v>
      </c>
      <c r="O217" t="str">
        <f>_xlfn.XLOOKUP(salesitems[[#This Row],[product_id]],products[product_id],products[product_name])</f>
        <v>Essential Crew Trousers</v>
      </c>
      <c r="P217" t="str">
        <f>_xlfn.XLOOKUP(salesitems[[#This Row],[product_id]],fashion_store_products!A:A,fashion_store_products!C:C)</f>
        <v>Pants</v>
      </c>
    </row>
    <row r="218" spans="1:16" x14ac:dyDescent="0.45">
      <c r="A218">
        <v>1219</v>
      </c>
      <c r="B218">
        <v>190</v>
      </c>
      <c r="C218">
        <v>34</v>
      </c>
      <c r="D218">
        <v>1</v>
      </c>
      <c r="E218">
        <v>48.34</v>
      </c>
      <c r="F218">
        <v>48.34</v>
      </c>
      <c r="G218">
        <v>0</v>
      </c>
      <c r="H218" s="2">
        <v>0</v>
      </c>
      <c r="I218">
        <v>0</v>
      </c>
      <c r="J218">
        <v>48.34</v>
      </c>
      <c r="K218" s="1">
        <v>45825</v>
      </c>
      <c r="L218" t="s">
        <v>15</v>
      </c>
      <c r="M218" t="s">
        <v>15</v>
      </c>
      <c r="N218">
        <f>salesitems[[#This Row],[quantity]]*salesitems[[#This Row],[unit_price]]</f>
        <v>48.34</v>
      </c>
      <c r="O218" t="str">
        <f>_xlfn.XLOOKUP(salesitems[[#This Row],[product_id]],products[product_id],products[product_name])</f>
        <v>Modern Linen Dress</v>
      </c>
      <c r="P218" t="str">
        <f>_xlfn.XLOOKUP(salesitems[[#This Row],[product_id]],fashion_store_products!A:A,fashion_store_products!C:C)</f>
        <v>Dresses</v>
      </c>
    </row>
    <row r="219" spans="1:16" x14ac:dyDescent="0.45">
      <c r="A219">
        <v>1375</v>
      </c>
      <c r="B219">
        <v>103</v>
      </c>
      <c r="C219">
        <v>34</v>
      </c>
      <c r="D219">
        <v>1</v>
      </c>
      <c r="E219">
        <v>48.34</v>
      </c>
      <c r="F219">
        <v>48.34</v>
      </c>
      <c r="G219">
        <v>0</v>
      </c>
      <c r="H219" s="2">
        <v>0</v>
      </c>
      <c r="I219">
        <v>0</v>
      </c>
      <c r="J219">
        <v>48.34</v>
      </c>
      <c r="K219" s="1">
        <v>45821</v>
      </c>
      <c r="L219" t="s">
        <v>21</v>
      </c>
      <c r="M219" t="s">
        <v>18</v>
      </c>
      <c r="N219">
        <f>salesitems[[#This Row],[quantity]]*salesitems[[#This Row],[unit_price]]</f>
        <v>48.34</v>
      </c>
      <c r="O219" t="str">
        <f>_xlfn.XLOOKUP(salesitems[[#This Row],[product_id]],products[product_id],products[product_name])</f>
        <v>Modern Linen Dress</v>
      </c>
      <c r="P219" t="str">
        <f>_xlfn.XLOOKUP(salesitems[[#This Row],[product_id]],fashion_store_products!A:A,fashion_store_products!C:C)</f>
        <v>Dresses</v>
      </c>
    </row>
    <row r="220" spans="1:16" x14ac:dyDescent="0.45">
      <c r="A220">
        <v>214</v>
      </c>
      <c r="B220">
        <v>116</v>
      </c>
      <c r="C220">
        <v>230</v>
      </c>
      <c r="D220">
        <v>1</v>
      </c>
      <c r="E220">
        <v>48.3</v>
      </c>
      <c r="F220">
        <v>48.3</v>
      </c>
      <c r="G220">
        <v>0</v>
      </c>
      <c r="H220" s="2">
        <v>0</v>
      </c>
      <c r="I220">
        <v>0</v>
      </c>
      <c r="J220">
        <v>48.3</v>
      </c>
      <c r="K220" s="1">
        <v>45781</v>
      </c>
      <c r="L220" t="s">
        <v>15</v>
      </c>
      <c r="M220" t="s">
        <v>15</v>
      </c>
      <c r="N220">
        <f>salesitems[[#This Row],[quantity]]*salesitems[[#This Row],[unit_price]]</f>
        <v>48.3</v>
      </c>
      <c r="O220" t="str">
        <f>_xlfn.XLOOKUP(salesitems[[#This Row],[product_id]],products[product_id],products[product_name])</f>
        <v>Polished Ribbed Set</v>
      </c>
      <c r="P220" t="str">
        <f>_xlfn.XLOOKUP(salesitems[[#This Row],[product_id]],fashion_store_products!A:A,fashion_store_products!C:C)</f>
        <v>Sleepwear</v>
      </c>
    </row>
    <row r="221" spans="1:16" x14ac:dyDescent="0.45">
      <c r="A221">
        <v>391</v>
      </c>
      <c r="B221">
        <v>623</v>
      </c>
      <c r="C221">
        <v>230</v>
      </c>
      <c r="D221">
        <v>1</v>
      </c>
      <c r="E221">
        <v>48.3</v>
      </c>
      <c r="F221">
        <v>48.3</v>
      </c>
      <c r="G221">
        <v>0</v>
      </c>
      <c r="H221" s="2">
        <v>0</v>
      </c>
      <c r="I221">
        <v>0</v>
      </c>
      <c r="J221">
        <v>48.3</v>
      </c>
      <c r="K221" s="1">
        <v>45761</v>
      </c>
      <c r="L221" t="s">
        <v>21</v>
      </c>
      <c r="M221" t="s">
        <v>18</v>
      </c>
      <c r="N221">
        <f>salesitems[[#This Row],[quantity]]*salesitems[[#This Row],[unit_price]]</f>
        <v>48.3</v>
      </c>
      <c r="O221" t="str">
        <f>_xlfn.XLOOKUP(salesitems[[#This Row],[product_id]],products[product_id],products[product_name])</f>
        <v>Polished Ribbed Set</v>
      </c>
      <c r="P221" t="str">
        <f>_xlfn.XLOOKUP(salesitems[[#This Row],[product_id]],fashion_store_products!A:A,fashion_store_products!C:C)</f>
        <v>Sleepwear</v>
      </c>
    </row>
    <row r="222" spans="1:16" x14ac:dyDescent="0.45">
      <c r="A222">
        <v>154</v>
      </c>
      <c r="B222">
        <v>643</v>
      </c>
      <c r="C222">
        <v>455</v>
      </c>
      <c r="D222">
        <v>1</v>
      </c>
      <c r="E222">
        <v>48.03</v>
      </c>
      <c r="F222">
        <v>48.03</v>
      </c>
      <c r="G222">
        <v>0</v>
      </c>
      <c r="H222" s="2">
        <v>0</v>
      </c>
      <c r="I222">
        <v>0</v>
      </c>
      <c r="J222">
        <v>48.03</v>
      </c>
      <c r="K222" s="1">
        <v>45771</v>
      </c>
      <c r="L222" t="s">
        <v>21</v>
      </c>
      <c r="M222" t="s">
        <v>18</v>
      </c>
      <c r="N222">
        <f>salesitems[[#This Row],[quantity]]*salesitems[[#This Row],[unit_price]]</f>
        <v>48.03</v>
      </c>
      <c r="O222" t="str">
        <f>_xlfn.XLOOKUP(salesitems[[#This Row],[product_id]],products[product_id],products[product_name])</f>
        <v>Tailored Ribbed Trousers</v>
      </c>
      <c r="P222" t="str">
        <f>_xlfn.XLOOKUP(salesitems[[#This Row],[product_id]],fashion_store_products!A:A,fashion_store_products!C:C)</f>
        <v>Pants</v>
      </c>
    </row>
    <row r="223" spans="1:16" x14ac:dyDescent="0.45">
      <c r="A223">
        <v>1374</v>
      </c>
      <c r="B223">
        <v>592</v>
      </c>
      <c r="C223">
        <v>455</v>
      </c>
      <c r="D223">
        <v>1</v>
      </c>
      <c r="E223">
        <v>48.03</v>
      </c>
      <c r="F223">
        <v>48.03</v>
      </c>
      <c r="G223">
        <v>0</v>
      </c>
      <c r="H223" s="2">
        <v>0</v>
      </c>
      <c r="I223">
        <v>0</v>
      </c>
      <c r="J223">
        <v>48.03</v>
      </c>
      <c r="K223" s="1">
        <v>45794</v>
      </c>
      <c r="L223" t="s">
        <v>21</v>
      </c>
      <c r="M223" t="s">
        <v>18</v>
      </c>
      <c r="N223">
        <f>salesitems[[#This Row],[quantity]]*salesitems[[#This Row],[unit_price]]</f>
        <v>48.03</v>
      </c>
      <c r="O223" t="str">
        <f>_xlfn.XLOOKUP(salesitems[[#This Row],[product_id]],products[product_id],products[product_name])</f>
        <v>Tailored Ribbed Trousers</v>
      </c>
      <c r="P223" t="str">
        <f>_xlfn.XLOOKUP(salesitems[[#This Row],[product_id]],fashion_store_products!A:A,fashion_store_products!C:C)</f>
        <v>Pants</v>
      </c>
    </row>
    <row r="224" spans="1:16" x14ac:dyDescent="0.45">
      <c r="A224">
        <v>1672</v>
      </c>
      <c r="B224">
        <v>489</v>
      </c>
      <c r="C224">
        <v>121</v>
      </c>
      <c r="D224">
        <v>1</v>
      </c>
      <c r="E224">
        <v>47.91</v>
      </c>
      <c r="F224">
        <v>47.91</v>
      </c>
      <c r="G224">
        <v>0</v>
      </c>
      <c r="H224" s="2">
        <v>0</v>
      </c>
      <c r="I224">
        <v>0</v>
      </c>
      <c r="J224">
        <v>47.91</v>
      </c>
      <c r="K224" s="1">
        <v>45821</v>
      </c>
      <c r="L224" t="s">
        <v>21</v>
      </c>
      <c r="M224" t="s">
        <v>18</v>
      </c>
      <c r="N224">
        <f>salesitems[[#This Row],[quantity]]*salesitems[[#This Row],[unit_price]]</f>
        <v>47.91</v>
      </c>
      <c r="O224" t="str">
        <f>_xlfn.XLOOKUP(salesitems[[#This Row],[product_id]],products[product_id],products[product_name])</f>
        <v>Classic Cotton Shoes</v>
      </c>
      <c r="P224" t="str">
        <f>_xlfn.XLOOKUP(salesitems[[#This Row],[product_id]],fashion_store_products!A:A,fashion_store_products!C:C)</f>
        <v>Shoes</v>
      </c>
    </row>
    <row r="225" spans="1:16" x14ac:dyDescent="0.45">
      <c r="A225">
        <v>3146</v>
      </c>
      <c r="B225">
        <v>1175</v>
      </c>
      <c r="C225">
        <v>183</v>
      </c>
      <c r="D225">
        <v>1</v>
      </c>
      <c r="E225">
        <v>47.87</v>
      </c>
      <c r="F225">
        <v>47.87</v>
      </c>
      <c r="G225">
        <v>0</v>
      </c>
      <c r="H225" s="2">
        <v>0</v>
      </c>
      <c r="I225">
        <v>0</v>
      </c>
      <c r="J225">
        <v>47.87</v>
      </c>
      <c r="K225" s="1">
        <v>45782</v>
      </c>
      <c r="L225" t="s">
        <v>21</v>
      </c>
      <c r="M225" t="s">
        <v>18</v>
      </c>
      <c r="N225">
        <f>salesitems[[#This Row],[quantity]]*salesitems[[#This Row],[unit_price]]</f>
        <v>47.87</v>
      </c>
      <c r="O225" t="str">
        <f>_xlfn.XLOOKUP(salesitems[[#This Row],[product_id]],products[product_id],products[product_name])</f>
        <v>Vintage Silk Set</v>
      </c>
      <c r="P225" t="str">
        <f>_xlfn.XLOOKUP(salesitems[[#This Row],[product_id]],fashion_store_products!A:A,fashion_store_products!C:C)</f>
        <v>Sleepwear</v>
      </c>
    </row>
    <row r="226" spans="1:16" x14ac:dyDescent="0.45">
      <c r="A226">
        <v>410</v>
      </c>
      <c r="B226">
        <v>125</v>
      </c>
      <c r="C226">
        <v>185</v>
      </c>
      <c r="D226">
        <v>1</v>
      </c>
      <c r="E226">
        <v>47.73</v>
      </c>
      <c r="F226">
        <v>47.73</v>
      </c>
      <c r="G226">
        <v>0</v>
      </c>
      <c r="H226" s="2">
        <v>0</v>
      </c>
      <c r="I226">
        <v>0</v>
      </c>
      <c r="J226">
        <v>47.73</v>
      </c>
      <c r="K226" s="1">
        <v>45813</v>
      </c>
      <c r="L226" t="s">
        <v>15</v>
      </c>
      <c r="M226" t="s">
        <v>15</v>
      </c>
      <c r="N226">
        <f>salesitems[[#This Row],[quantity]]*salesitems[[#This Row],[unit_price]]</f>
        <v>47.73</v>
      </c>
      <c r="O226" t="str">
        <f>_xlfn.XLOOKUP(salesitems[[#This Row],[product_id]],products[product_id],products[product_name])</f>
        <v>Vintage Linen Trousers</v>
      </c>
      <c r="P226" t="str">
        <f>_xlfn.XLOOKUP(salesitems[[#This Row],[product_id]],fashion_store_products!A:A,fashion_store_products!C:C)</f>
        <v>Pants</v>
      </c>
    </row>
    <row r="227" spans="1:16" x14ac:dyDescent="0.45">
      <c r="A227">
        <v>1805</v>
      </c>
      <c r="B227">
        <v>252</v>
      </c>
      <c r="C227">
        <v>447</v>
      </c>
      <c r="D227">
        <v>1</v>
      </c>
      <c r="E227">
        <v>47.66</v>
      </c>
      <c r="F227">
        <v>47.66</v>
      </c>
      <c r="G227">
        <v>0</v>
      </c>
      <c r="H227" s="2">
        <v>0</v>
      </c>
      <c r="I227">
        <v>0</v>
      </c>
      <c r="J227">
        <v>47.66</v>
      </c>
      <c r="K227" s="1">
        <v>45765</v>
      </c>
      <c r="L227" t="s">
        <v>15</v>
      </c>
      <c r="M227" t="s">
        <v>15</v>
      </c>
      <c r="N227">
        <f>salesitems[[#This Row],[quantity]]*salesitems[[#This Row],[unit_price]]</f>
        <v>47.66</v>
      </c>
      <c r="O227" t="str">
        <f>_xlfn.XLOOKUP(salesitems[[#This Row],[product_id]],products[product_id],products[product_name])</f>
        <v>Bold Satin Dress</v>
      </c>
      <c r="P227" t="str">
        <f>_xlfn.XLOOKUP(salesitems[[#This Row],[product_id]],fashion_store_products!A:A,fashion_store_products!C:C)</f>
        <v>Dresses</v>
      </c>
    </row>
    <row r="228" spans="1:16" x14ac:dyDescent="0.45">
      <c r="A228">
        <v>2126</v>
      </c>
      <c r="B228">
        <v>776</v>
      </c>
      <c r="C228">
        <v>447</v>
      </c>
      <c r="D228">
        <v>1</v>
      </c>
      <c r="E228">
        <v>47.66</v>
      </c>
      <c r="F228">
        <v>47.66</v>
      </c>
      <c r="G228">
        <v>0</v>
      </c>
      <c r="H228" s="2">
        <v>0</v>
      </c>
      <c r="I228">
        <v>0</v>
      </c>
      <c r="J228">
        <v>47.66</v>
      </c>
      <c r="K228" s="1">
        <v>45795</v>
      </c>
      <c r="L228" t="s">
        <v>21</v>
      </c>
      <c r="M228" t="s">
        <v>18</v>
      </c>
      <c r="N228">
        <f>salesitems[[#This Row],[quantity]]*salesitems[[#This Row],[unit_price]]</f>
        <v>47.66</v>
      </c>
      <c r="O228" t="str">
        <f>_xlfn.XLOOKUP(salesitems[[#This Row],[product_id]],products[product_id],products[product_name])</f>
        <v>Bold Satin Dress</v>
      </c>
      <c r="P228" t="str">
        <f>_xlfn.XLOOKUP(salesitems[[#This Row],[product_id]],fashion_store_products!A:A,fashion_store_products!C:C)</f>
        <v>Dresses</v>
      </c>
    </row>
    <row r="229" spans="1:16" x14ac:dyDescent="0.45">
      <c r="A229">
        <v>128</v>
      </c>
      <c r="B229">
        <v>278</v>
      </c>
      <c r="C229">
        <v>482</v>
      </c>
      <c r="D229">
        <v>1</v>
      </c>
      <c r="E229">
        <v>47.59</v>
      </c>
      <c r="F229">
        <v>47.59</v>
      </c>
      <c r="G229">
        <v>0</v>
      </c>
      <c r="H229" s="2">
        <v>0</v>
      </c>
      <c r="I229">
        <v>0</v>
      </c>
      <c r="J229">
        <v>47.59</v>
      </c>
      <c r="K229" s="1">
        <v>45821</v>
      </c>
      <c r="L229" t="s">
        <v>15</v>
      </c>
      <c r="M229" t="s">
        <v>15</v>
      </c>
      <c r="N229">
        <f>salesitems[[#This Row],[quantity]]*salesitems[[#This Row],[unit_price]]</f>
        <v>47.59</v>
      </c>
      <c r="O229" t="str">
        <f>_xlfn.XLOOKUP(salesitems[[#This Row],[product_id]],products[product_id],products[product_name])</f>
        <v>Dresses Drop 6</v>
      </c>
      <c r="P229" t="str">
        <f>_xlfn.XLOOKUP(salesitems[[#This Row],[product_id]],fashion_store_products!A:A,fashion_store_products!C:C)</f>
        <v>Dresses</v>
      </c>
    </row>
    <row r="230" spans="1:16" x14ac:dyDescent="0.45">
      <c r="A230">
        <v>1247</v>
      </c>
      <c r="B230">
        <v>1136</v>
      </c>
      <c r="C230">
        <v>410</v>
      </c>
      <c r="D230">
        <v>1</v>
      </c>
      <c r="E230">
        <v>47.47</v>
      </c>
      <c r="F230">
        <v>47.47</v>
      </c>
      <c r="G230">
        <v>0</v>
      </c>
      <c r="H230" s="2">
        <v>0</v>
      </c>
      <c r="I230">
        <v>0</v>
      </c>
      <c r="J230">
        <v>47.47</v>
      </c>
      <c r="K230" s="1">
        <v>45822</v>
      </c>
      <c r="L230" t="s">
        <v>15</v>
      </c>
      <c r="M230" t="s">
        <v>15</v>
      </c>
      <c r="N230">
        <f>salesitems[[#This Row],[quantity]]*salesitems[[#This Row],[unit_price]]</f>
        <v>47.47</v>
      </c>
      <c r="O230" t="str">
        <f>_xlfn.XLOOKUP(salesitems[[#This Row],[product_id]],products[product_id],products[product_name])</f>
        <v>Elegant Satin Set</v>
      </c>
      <c r="P230" t="str">
        <f>_xlfn.XLOOKUP(salesitems[[#This Row],[product_id]],fashion_store_products!A:A,fashion_store_products!C:C)</f>
        <v>Sleepwear</v>
      </c>
    </row>
    <row r="231" spans="1:16" x14ac:dyDescent="0.45">
      <c r="A231">
        <v>2469</v>
      </c>
      <c r="B231">
        <v>451</v>
      </c>
      <c r="C231">
        <v>410</v>
      </c>
      <c r="D231">
        <v>1</v>
      </c>
      <c r="E231">
        <v>47.47</v>
      </c>
      <c r="F231">
        <v>47.47</v>
      </c>
      <c r="G231">
        <v>0</v>
      </c>
      <c r="H231" s="2">
        <v>0</v>
      </c>
      <c r="I231">
        <v>0</v>
      </c>
      <c r="J231">
        <v>47.47</v>
      </c>
      <c r="K231" s="1">
        <v>45762</v>
      </c>
      <c r="L231" t="s">
        <v>21</v>
      </c>
      <c r="M231" t="s">
        <v>18</v>
      </c>
      <c r="N231">
        <f>salesitems[[#This Row],[quantity]]*salesitems[[#This Row],[unit_price]]</f>
        <v>47.47</v>
      </c>
      <c r="O231" t="str">
        <f>_xlfn.XLOOKUP(salesitems[[#This Row],[product_id]],products[product_id],products[product_name])</f>
        <v>Elegant Satin Set</v>
      </c>
      <c r="P231" t="str">
        <f>_xlfn.XLOOKUP(salesitems[[#This Row],[product_id]],fashion_store_products!A:A,fashion_store_products!C:C)</f>
        <v>Sleepwear</v>
      </c>
    </row>
    <row r="232" spans="1:16" x14ac:dyDescent="0.45">
      <c r="A232">
        <v>3079</v>
      </c>
      <c r="B232">
        <v>1328</v>
      </c>
      <c r="C232">
        <v>410</v>
      </c>
      <c r="D232">
        <v>1</v>
      </c>
      <c r="E232">
        <v>47.47</v>
      </c>
      <c r="F232">
        <v>47.47</v>
      </c>
      <c r="G232">
        <v>0</v>
      </c>
      <c r="H232" s="2">
        <v>0</v>
      </c>
      <c r="I232">
        <v>0</v>
      </c>
      <c r="J232">
        <v>47.47</v>
      </c>
      <c r="K232" s="1">
        <v>45824</v>
      </c>
      <c r="L232" t="s">
        <v>21</v>
      </c>
      <c r="M232" t="s">
        <v>18</v>
      </c>
      <c r="N232">
        <f>salesitems[[#This Row],[quantity]]*salesitems[[#This Row],[unit_price]]</f>
        <v>47.47</v>
      </c>
      <c r="O232" t="str">
        <f>_xlfn.XLOOKUP(salesitems[[#This Row],[product_id]],products[product_id],products[product_name])</f>
        <v>Elegant Satin Set</v>
      </c>
      <c r="P232" t="str">
        <f>_xlfn.XLOOKUP(salesitems[[#This Row],[product_id]],fashion_store_products!A:A,fashion_store_products!C:C)</f>
        <v>Sleepwear</v>
      </c>
    </row>
    <row r="233" spans="1:16" x14ac:dyDescent="0.45">
      <c r="A233">
        <v>371</v>
      </c>
      <c r="B233">
        <v>141</v>
      </c>
      <c r="C233">
        <v>254</v>
      </c>
      <c r="D233">
        <v>1</v>
      </c>
      <c r="E233">
        <v>47.44</v>
      </c>
      <c r="F233">
        <v>47.44</v>
      </c>
      <c r="G233">
        <v>0</v>
      </c>
      <c r="H233" s="2">
        <v>0</v>
      </c>
      <c r="I233">
        <v>0</v>
      </c>
      <c r="J233">
        <v>47.44</v>
      </c>
      <c r="K233" s="1">
        <v>45823</v>
      </c>
      <c r="L233" t="s">
        <v>21</v>
      </c>
      <c r="M233" t="s">
        <v>18</v>
      </c>
      <c r="N233">
        <f>salesitems[[#This Row],[quantity]]*salesitems[[#This Row],[unit_price]]</f>
        <v>47.44</v>
      </c>
      <c r="O233" t="str">
        <f>_xlfn.XLOOKUP(salesitems[[#This Row],[product_id]],products[product_id],products[product_name])</f>
        <v>Relaxed Silk Shoes</v>
      </c>
      <c r="P233" t="str">
        <f>_xlfn.XLOOKUP(salesitems[[#This Row],[product_id]],fashion_store_products!A:A,fashion_store_products!C:C)</f>
        <v>Shoes</v>
      </c>
    </row>
    <row r="234" spans="1:16" x14ac:dyDescent="0.45">
      <c r="A234">
        <v>1783</v>
      </c>
      <c r="B234">
        <v>72</v>
      </c>
      <c r="C234">
        <v>118</v>
      </c>
      <c r="D234">
        <v>1</v>
      </c>
      <c r="E234">
        <v>46.99</v>
      </c>
      <c r="F234">
        <v>46.99</v>
      </c>
      <c r="G234">
        <v>0</v>
      </c>
      <c r="H234" s="2">
        <v>0</v>
      </c>
      <c r="I234">
        <v>0</v>
      </c>
      <c r="J234">
        <v>46.99</v>
      </c>
      <c r="K234" s="1">
        <v>45796</v>
      </c>
      <c r="L234" t="s">
        <v>21</v>
      </c>
      <c r="M234" t="s">
        <v>18</v>
      </c>
      <c r="N234">
        <f>salesitems[[#This Row],[quantity]]*salesitems[[#This Row],[unit_price]]</f>
        <v>46.99</v>
      </c>
      <c r="O234" t="str">
        <f>_xlfn.XLOOKUP(salesitems[[#This Row],[product_id]],products[product_id],products[product_name])</f>
        <v>Classic Silk Tee</v>
      </c>
      <c r="P234" t="str">
        <f>_xlfn.XLOOKUP(salesitems[[#This Row],[product_id]],fashion_store_products!A:A,fashion_store_products!C:C)</f>
        <v>T-Shirts</v>
      </c>
    </row>
    <row r="235" spans="1:16" x14ac:dyDescent="0.45">
      <c r="A235">
        <v>1570</v>
      </c>
      <c r="B235">
        <v>1143</v>
      </c>
      <c r="C235">
        <v>217</v>
      </c>
      <c r="D235">
        <v>1</v>
      </c>
      <c r="E235">
        <v>52.12</v>
      </c>
      <c r="F235">
        <v>46.91</v>
      </c>
      <c r="G235">
        <v>5.21</v>
      </c>
      <c r="H235" s="2">
        <v>0.1</v>
      </c>
      <c r="I235">
        <v>1</v>
      </c>
      <c r="J235">
        <v>46.91</v>
      </c>
      <c r="K235" s="1">
        <v>45812</v>
      </c>
      <c r="L235" t="s">
        <v>21</v>
      </c>
      <c r="M235" t="s">
        <v>8</v>
      </c>
      <c r="N235">
        <f>salesitems[[#This Row],[quantity]]*salesitems[[#This Row],[unit_price]]</f>
        <v>46.91</v>
      </c>
      <c r="O235" t="str">
        <f>_xlfn.XLOOKUP(salesitems[[#This Row],[product_id]],products[product_id],products[product_name])</f>
        <v>Polished Cotton Tee</v>
      </c>
      <c r="P235" t="str">
        <f>_xlfn.XLOOKUP(salesitems[[#This Row],[product_id]],fashion_store_products!A:A,fashion_store_products!C:C)</f>
        <v>T-Shirts</v>
      </c>
    </row>
    <row r="236" spans="1:16" x14ac:dyDescent="0.45">
      <c r="A236">
        <v>1718</v>
      </c>
      <c r="B236">
        <v>483</v>
      </c>
      <c r="C236">
        <v>275</v>
      </c>
      <c r="D236">
        <v>1</v>
      </c>
      <c r="E236">
        <v>52.11</v>
      </c>
      <c r="F236">
        <v>46.9</v>
      </c>
      <c r="G236">
        <v>5.21</v>
      </c>
      <c r="H236" s="2">
        <v>0.1</v>
      </c>
      <c r="I236">
        <v>1</v>
      </c>
      <c r="J236">
        <v>46.9</v>
      </c>
      <c r="K236" s="1">
        <v>45814</v>
      </c>
      <c r="L236" t="s">
        <v>21</v>
      </c>
      <c r="M236" t="s">
        <v>8</v>
      </c>
      <c r="N236">
        <f>salesitems[[#This Row],[quantity]]*salesitems[[#This Row],[unit_price]]</f>
        <v>46.9</v>
      </c>
      <c r="O236" t="str">
        <f>_xlfn.XLOOKUP(salesitems[[#This Row],[product_id]],products[product_id],products[product_name])</f>
        <v>Relaxed Sleeveless Tee</v>
      </c>
      <c r="P236" t="str">
        <f>_xlfn.XLOOKUP(salesitems[[#This Row],[product_id]],fashion_store_products!A:A,fashion_store_products!C:C)</f>
        <v>T-Shirts</v>
      </c>
    </row>
    <row r="237" spans="1:16" x14ac:dyDescent="0.45">
      <c r="A237">
        <v>1984</v>
      </c>
      <c r="B237">
        <v>392</v>
      </c>
      <c r="C237">
        <v>132</v>
      </c>
      <c r="D237">
        <v>1</v>
      </c>
      <c r="E237">
        <v>46.9</v>
      </c>
      <c r="F237">
        <v>46.9</v>
      </c>
      <c r="G237">
        <v>0</v>
      </c>
      <c r="H237" s="2">
        <v>0</v>
      </c>
      <c r="I237">
        <v>0</v>
      </c>
      <c r="J237">
        <v>46.9</v>
      </c>
      <c r="K237" s="1">
        <v>45798</v>
      </c>
      <c r="L237" t="s">
        <v>21</v>
      </c>
      <c r="M237" t="s">
        <v>18</v>
      </c>
      <c r="N237">
        <f>salesitems[[#This Row],[quantity]]*salesitems[[#This Row],[unit_price]]</f>
        <v>46.9</v>
      </c>
      <c r="O237" t="str">
        <f>_xlfn.XLOOKUP(salesitems[[#This Row],[product_id]],products[product_id],products[product_name])</f>
        <v>Classic Crew Shoes</v>
      </c>
      <c r="P237" t="str">
        <f>_xlfn.XLOOKUP(salesitems[[#This Row],[product_id]],fashion_store_products!A:A,fashion_store_products!C:C)</f>
        <v>Shoes</v>
      </c>
    </row>
    <row r="238" spans="1:16" x14ac:dyDescent="0.45">
      <c r="A238">
        <v>2000</v>
      </c>
      <c r="B238">
        <v>537</v>
      </c>
      <c r="C238">
        <v>349</v>
      </c>
      <c r="D238">
        <v>1</v>
      </c>
      <c r="E238">
        <v>46.72</v>
      </c>
      <c r="F238">
        <v>46.72</v>
      </c>
      <c r="G238">
        <v>0</v>
      </c>
      <c r="H238" s="2">
        <v>0</v>
      </c>
      <c r="I238">
        <v>0</v>
      </c>
      <c r="J238">
        <v>46.72</v>
      </c>
      <c r="K238" s="1">
        <v>45777</v>
      </c>
      <c r="L238" t="s">
        <v>21</v>
      </c>
      <c r="M238" t="s">
        <v>18</v>
      </c>
      <c r="N238">
        <f>salesitems[[#This Row],[quantity]]*salesitems[[#This Row],[unit_price]]</f>
        <v>46.72</v>
      </c>
      <c r="O238" t="str">
        <f>_xlfn.XLOOKUP(salesitems[[#This Row],[product_id]],products[product_id],products[product_name])</f>
        <v>Tailored Satin Shoes</v>
      </c>
      <c r="P238" t="str">
        <f>_xlfn.XLOOKUP(salesitems[[#This Row],[product_id]],fashion_store_products!A:A,fashion_store_products!C:C)</f>
        <v>Shoes</v>
      </c>
    </row>
    <row r="239" spans="1:16" x14ac:dyDescent="0.45">
      <c r="A239">
        <v>1147</v>
      </c>
      <c r="B239">
        <v>992</v>
      </c>
      <c r="C239">
        <v>131</v>
      </c>
      <c r="D239">
        <v>1</v>
      </c>
      <c r="E239">
        <v>66.63</v>
      </c>
      <c r="F239">
        <v>46.64</v>
      </c>
      <c r="G239">
        <v>19.989999999999998</v>
      </c>
      <c r="H239" s="2">
        <v>0.3</v>
      </c>
      <c r="I239">
        <v>1</v>
      </c>
      <c r="J239">
        <v>46.64</v>
      </c>
      <c r="K239" s="1">
        <v>45790</v>
      </c>
      <c r="L239" t="s">
        <v>15</v>
      </c>
      <c r="M239" t="s">
        <v>11</v>
      </c>
      <c r="N239">
        <f>salesitems[[#This Row],[quantity]]*salesitems[[#This Row],[unit_price]]</f>
        <v>46.64</v>
      </c>
      <c r="O239" t="str">
        <f>_xlfn.XLOOKUP(salesitems[[#This Row],[product_id]],products[product_id],products[product_name])</f>
        <v>Classic Cotton Set</v>
      </c>
      <c r="P239" t="str">
        <f>_xlfn.XLOOKUP(salesitems[[#This Row],[product_id]],fashion_store_products!A:A,fashion_store_products!C:C)</f>
        <v>Sleepwear</v>
      </c>
    </row>
    <row r="240" spans="1:16" x14ac:dyDescent="0.45">
      <c r="A240">
        <v>591</v>
      </c>
      <c r="B240">
        <v>224</v>
      </c>
      <c r="C240">
        <v>137</v>
      </c>
      <c r="D240">
        <v>1</v>
      </c>
      <c r="E240">
        <v>46.52</v>
      </c>
      <c r="F240">
        <v>46.52</v>
      </c>
      <c r="G240">
        <v>0</v>
      </c>
      <c r="H240" s="2">
        <v>0</v>
      </c>
      <c r="I240">
        <v>0</v>
      </c>
      <c r="J240">
        <v>46.52</v>
      </c>
      <c r="K240" s="1">
        <v>45772</v>
      </c>
      <c r="L240" t="s">
        <v>15</v>
      </c>
      <c r="M240" t="s">
        <v>15</v>
      </c>
      <c r="N240">
        <f>salesitems[[#This Row],[quantity]]*salesitems[[#This Row],[unit_price]]</f>
        <v>46.52</v>
      </c>
      <c r="O240" t="str">
        <f>_xlfn.XLOOKUP(salesitems[[#This Row],[product_id]],products[product_id],products[product_name])</f>
        <v>Classic Satin Trousers</v>
      </c>
      <c r="P240" t="str">
        <f>_xlfn.XLOOKUP(salesitems[[#This Row],[product_id]],fashion_store_products!A:A,fashion_store_products!C:C)</f>
        <v>Pants</v>
      </c>
    </row>
    <row r="241" spans="1:16" x14ac:dyDescent="0.45">
      <c r="A241">
        <v>2413</v>
      </c>
      <c r="B241">
        <v>1103</v>
      </c>
      <c r="C241">
        <v>137</v>
      </c>
      <c r="D241">
        <v>1</v>
      </c>
      <c r="E241">
        <v>46.52</v>
      </c>
      <c r="F241">
        <v>46.52</v>
      </c>
      <c r="G241">
        <v>0</v>
      </c>
      <c r="H241" s="2">
        <v>0</v>
      </c>
      <c r="I241">
        <v>0</v>
      </c>
      <c r="J241">
        <v>46.52</v>
      </c>
      <c r="K241" s="1">
        <v>45808</v>
      </c>
      <c r="L241" t="s">
        <v>21</v>
      </c>
      <c r="M241" t="s">
        <v>18</v>
      </c>
      <c r="N241">
        <f>salesitems[[#This Row],[quantity]]*salesitems[[#This Row],[unit_price]]</f>
        <v>46.52</v>
      </c>
      <c r="O241" t="str">
        <f>_xlfn.XLOOKUP(salesitems[[#This Row],[product_id]],products[product_id],products[product_name])</f>
        <v>Classic Satin Trousers</v>
      </c>
      <c r="P241" t="str">
        <f>_xlfn.XLOOKUP(salesitems[[#This Row],[product_id]],fashion_store_products!A:A,fashion_store_products!C:C)</f>
        <v>Pants</v>
      </c>
    </row>
    <row r="242" spans="1:16" x14ac:dyDescent="0.45">
      <c r="A242">
        <v>2958</v>
      </c>
      <c r="B242">
        <v>853</v>
      </c>
      <c r="C242">
        <v>345</v>
      </c>
      <c r="D242">
        <v>1</v>
      </c>
      <c r="E242">
        <v>46.36</v>
      </c>
      <c r="F242">
        <v>46.36</v>
      </c>
      <c r="G242">
        <v>0</v>
      </c>
      <c r="H242" s="2">
        <v>0</v>
      </c>
      <c r="I242">
        <v>0</v>
      </c>
      <c r="J242">
        <v>46.36</v>
      </c>
      <c r="K242" s="1">
        <v>45775</v>
      </c>
      <c r="L242" t="s">
        <v>15</v>
      </c>
      <c r="M242" t="s">
        <v>15</v>
      </c>
      <c r="N242">
        <f>salesitems[[#This Row],[quantity]]*salesitems[[#This Row],[unit_price]]</f>
        <v>46.36</v>
      </c>
      <c r="O242" t="str">
        <f>_xlfn.XLOOKUP(salesitems[[#This Row],[product_id]],products[product_id],products[product_name])</f>
        <v>Tailored Crew Tee</v>
      </c>
      <c r="P242" t="str">
        <f>_xlfn.XLOOKUP(salesitems[[#This Row],[product_id]],fashion_store_products!A:A,fashion_store_products!C:C)</f>
        <v>T-Shirts</v>
      </c>
    </row>
    <row r="243" spans="1:16" x14ac:dyDescent="0.45">
      <c r="A243">
        <v>2594</v>
      </c>
      <c r="B243">
        <v>868</v>
      </c>
      <c r="C243">
        <v>351</v>
      </c>
      <c r="D243">
        <v>1</v>
      </c>
      <c r="E243">
        <v>46.11</v>
      </c>
      <c r="F243">
        <v>46.11</v>
      </c>
      <c r="G243">
        <v>0</v>
      </c>
      <c r="H243" s="2">
        <v>0</v>
      </c>
      <c r="I243">
        <v>0</v>
      </c>
      <c r="J243">
        <v>46.11</v>
      </c>
      <c r="K243" s="1">
        <v>45801</v>
      </c>
      <c r="L243" t="s">
        <v>15</v>
      </c>
      <c r="M243" t="s">
        <v>15</v>
      </c>
      <c r="N243">
        <f>salesitems[[#This Row],[quantity]]*salesitems[[#This Row],[unit_price]]</f>
        <v>46.11</v>
      </c>
      <c r="O243" t="str">
        <f>_xlfn.XLOOKUP(salesitems[[#This Row],[product_id]],products[product_id],products[product_name])</f>
        <v>Relaxed Sleeveless Trousers</v>
      </c>
      <c r="P243" t="str">
        <f>_xlfn.XLOOKUP(salesitems[[#This Row],[product_id]],fashion_store_products!A:A,fashion_store_products!C:C)</f>
        <v>Pants</v>
      </c>
    </row>
    <row r="244" spans="1:16" x14ac:dyDescent="0.45">
      <c r="A244">
        <v>1172</v>
      </c>
      <c r="B244">
        <v>845</v>
      </c>
      <c r="C244">
        <v>94</v>
      </c>
      <c r="D244">
        <v>1</v>
      </c>
      <c r="E244">
        <v>45.8</v>
      </c>
      <c r="F244">
        <v>45.8</v>
      </c>
      <c r="G244">
        <v>0</v>
      </c>
      <c r="H244" s="2">
        <v>0</v>
      </c>
      <c r="I244">
        <v>0</v>
      </c>
      <c r="J244">
        <v>45.8</v>
      </c>
      <c r="K244" s="1">
        <v>45803</v>
      </c>
      <c r="L244" t="s">
        <v>21</v>
      </c>
      <c r="M244" t="s">
        <v>18</v>
      </c>
      <c r="N244">
        <f>salesitems[[#This Row],[quantity]]*salesitems[[#This Row],[unit_price]]</f>
        <v>45.8</v>
      </c>
      <c r="O244" t="str">
        <f>_xlfn.XLOOKUP(salesitems[[#This Row],[product_id]],products[product_id],products[product_name])</f>
        <v>Modern Sleeveless Shoes</v>
      </c>
      <c r="P244" t="str">
        <f>_xlfn.XLOOKUP(salesitems[[#This Row],[product_id]],fashion_store_products!A:A,fashion_store_products!C:C)</f>
        <v>Shoes</v>
      </c>
    </row>
    <row r="245" spans="1:16" x14ac:dyDescent="0.45">
      <c r="A245">
        <v>2591</v>
      </c>
      <c r="B245">
        <v>274</v>
      </c>
      <c r="C245">
        <v>94</v>
      </c>
      <c r="D245">
        <v>1</v>
      </c>
      <c r="E245">
        <v>45.8</v>
      </c>
      <c r="F245">
        <v>45.8</v>
      </c>
      <c r="G245">
        <v>0</v>
      </c>
      <c r="H245" s="2">
        <v>0</v>
      </c>
      <c r="I245">
        <v>0</v>
      </c>
      <c r="J245">
        <v>45.8</v>
      </c>
      <c r="K245" s="1">
        <v>45766</v>
      </c>
      <c r="L245" t="s">
        <v>21</v>
      </c>
      <c r="M245" t="s">
        <v>18</v>
      </c>
      <c r="N245">
        <f>salesitems[[#This Row],[quantity]]*salesitems[[#This Row],[unit_price]]</f>
        <v>45.8</v>
      </c>
      <c r="O245" t="str">
        <f>_xlfn.XLOOKUP(salesitems[[#This Row],[product_id]],products[product_id],products[product_name])</f>
        <v>Modern Sleeveless Shoes</v>
      </c>
      <c r="P245" t="str">
        <f>_xlfn.XLOOKUP(salesitems[[#This Row],[product_id]],fashion_store_products!A:A,fashion_store_products!C:C)</f>
        <v>Shoes</v>
      </c>
    </row>
    <row r="246" spans="1:16" x14ac:dyDescent="0.45">
      <c r="A246">
        <v>264</v>
      </c>
      <c r="B246">
        <v>433</v>
      </c>
      <c r="C246">
        <v>161</v>
      </c>
      <c r="D246">
        <v>1</v>
      </c>
      <c r="E246">
        <v>45.75</v>
      </c>
      <c r="F246">
        <v>45.75</v>
      </c>
      <c r="G246">
        <v>0</v>
      </c>
      <c r="H246" s="2">
        <v>0</v>
      </c>
      <c r="I246">
        <v>0</v>
      </c>
      <c r="J246">
        <v>45.75</v>
      </c>
      <c r="K246" s="1">
        <v>45807</v>
      </c>
      <c r="L246" t="s">
        <v>15</v>
      </c>
      <c r="M246" t="s">
        <v>15</v>
      </c>
      <c r="N246">
        <f>salesitems[[#This Row],[quantity]]*salesitems[[#This Row],[unit_price]]</f>
        <v>45.75</v>
      </c>
      <c r="O246" t="str">
        <f>_xlfn.XLOOKUP(salesitems[[#This Row],[product_id]],products[product_id],products[product_name])</f>
        <v>Vintage Linen Tee</v>
      </c>
      <c r="P246" t="str">
        <f>_xlfn.XLOOKUP(salesitems[[#This Row],[product_id]],fashion_store_products!A:A,fashion_store_products!C:C)</f>
        <v>T-Shirts</v>
      </c>
    </row>
    <row r="247" spans="1:16" x14ac:dyDescent="0.45">
      <c r="A247">
        <v>601</v>
      </c>
      <c r="B247">
        <v>423</v>
      </c>
      <c r="C247">
        <v>19</v>
      </c>
      <c r="D247">
        <v>1</v>
      </c>
      <c r="E247">
        <v>65.260000000000005</v>
      </c>
      <c r="F247">
        <v>45.68</v>
      </c>
      <c r="G247">
        <v>19.579999999999998</v>
      </c>
      <c r="H247" s="2">
        <v>0.3</v>
      </c>
      <c r="I247">
        <v>1</v>
      </c>
      <c r="J247">
        <v>45.68</v>
      </c>
      <c r="K247" s="1">
        <v>45790</v>
      </c>
      <c r="L247" t="s">
        <v>15</v>
      </c>
      <c r="M247" t="s">
        <v>11</v>
      </c>
      <c r="N247">
        <f>salesitems[[#This Row],[quantity]]*salesitems[[#This Row],[unit_price]]</f>
        <v>45.68</v>
      </c>
      <c r="O247" t="str">
        <f>_xlfn.XLOOKUP(salesitems[[#This Row],[product_id]],products[product_id],products[product_name])</f>
        <v>Soft Silk Dress</v>
      </c>
      <c r="P247" t="str">
        <f>_xlfn.XLOOKUP(salesitems[[#This Row],[product_id]],fashion_store_products!A:A,fashion_store_products!C:C)</f>
        <v>Dresses</v>
      </c>
    </row>
    <row r="248" spans="1:16" x14ac:dyDescent="0.45">
      <c r="A248">
        <v>2347</v>
      </c>
      <c r="B248">
        <v>1296</v>
      </c>
      <c r="C248">
        <v>19</v>
      </c>
      <c r="D248">
        <v>1</v>
      </c>
      <c r="E248">
        <v>65.260000000000005</v>
      </c>
      <c r="F248">
        <v>45.68</v>
      </c>
      <c r="G248">
        <v>19.579999999999998</v>
      </c>
      <c r="H248" s="2">
        <v>0.3</v>
      </c>
      <c r="I248">
        <v>1</v>
      </c>
      <c r="J248">
        <v>45.68</v>
      </c>
      <c r="K248" s="1">
        <v>45795</v>
      </c>
      <c r="L248" t="s">
        <v>15</v>
      </c>
      <c r="M248" t="s">
        <v>11</v>
      </c>
      <c r="N248">
        <f>salesitems[[#This Row],[quantity]]*salesitems[[#This Row],[unit_price]]</f>
        <v>45.68</v>
      </c>
      <c r="O248" t="str">
        <f>_xlfn.XLOOKUP(salesitems[[#This Row],[product_id]],products[product_id],products[product_name])</f>
        <v>Soft Silk Dress</v>
      </c>
      <c r="P248" t="str">
        <f>_xlfn.XLOOKUP(salesitems[[#This Row],[product_id]],fashion_store_products!A:A,fashion_store_products!C:C)</f>
        <v>Dresses</v>
      </c>
    </row>
    <row r="249" spans="1:16" x14ac:dyDescent="0.45">
      <c r="A249">
        <v>872</v>
      </c>
      <c r="B249">
        <v>944</v>
      </c>
      <c r="C249">
        <v>201</v>
      </c>
      <c r="D249">
        <v>1</v>
      </c>
      <c r="E249">
        <v>45.62</v>
      </c>
      <c r="F249">
        <v>45.62</v>
      </c>
      <c r="G249">
        <v>0</v>
      </c>
      <c r="H249" s="2">
        <v>0</v>
      </c>
      <c r="I249">
        <v>0</v>
      </c>
      <c r="J249">
        <v>45.62</v>
      </c>
      <c r="K249" s="1">
        <v>45822</v>
      </c>
      <c r="L249" t="s">
        <v>21</v>
      </c>
      <c r="M249" t="s">
        <v>18</v>
      </c>
      <c r="N249">
        <f>salesitems[[#This Row],[quantity]]*salesitems[[#This Row],[unit_price]]</f>
        <v>45.62</v>
      </c>
      <c r="O249" t="str">
        <f>_xlfn.XLOOKUP(salesitems[[#This Row],[product_id]],products[product_id],products[product_name])</f>
        <v>Vintage Sleeveless Tee</v>
      </c>
      <c r="P249" t="str">
        <f>_xlfn.XLOOKUP(salesitems[[#This Row],[product_id]],fashion_store_products!A:A,fashion_store_products!C:C)</f>
        <v>T-Shirts</v>
      </c>
    </row>
    <row r="250" spans="1:16" x14ac:dyDescent="0.45">
      <c r="A250">
        <v>1607</v>
      </c>
      <c r="B250">
        <v>635</v>
      </c>
      <c r="C250">
        <v>229</v>
      </c>
      <c r="D250">
        <v>1</v>
      </c>
      <c r="E250">
        <v>45.58</v>
      </c>
      <c r="F250">
        <v>45.58</v>
      </c>
      <c r="G250">
        <v>0</v>
      </c>
      <c r="H250" s="2">
        <v>0</v>
      </c>
      <c r="I250">
        <v>0</v>
      </c>
      <c r="J250">
        <v>45.58</v>
      </c>
      <c r="K250" s="1">
        <v>45763</v>
      </c>
      <c r="L250" t="s">
        <v>15</v>
      </c>
      <c r="M250" t="s">
        <v>15</v>
      </c>
      <c r="N250">
        <f>salesitems[[#This Row],[quantity]]*salesitems[[#This Row],[unit_price]]</f>
        <v>45.58</v>
      </c>
      <c r="O250" t="str">
        <f>_xlfn.XLOOKUP(salesitems[[#This Row],[product_id]],products[product_id],products[product_name])</f>
        <v>Polished Sleeveless Shoes</v>
      </c>
      <c r="P250" t="str">
        <f>_xlfn.XLOOKUP(salesitems[[#This Row],[product_id]],fashion_store_products!A:A,fashion_store_products!C:C)</f>
        <v>Shoes</v>
      </c>
    </row>
    <row r="251" spans="1:16" x14ac:dyDescent="0.45">
      <c r="A251">
        <v>3056</v>
      </c>
      <c r="B251">
        <v>963</v>
      </c>
      <c r="C251">
        <v>229</v>
      </c>
      <c r="D251">
        <v>1</v>
      </c>
      <c r="E251">
        <v>45.58</v>
      </c>
      <c r="F251">
        <v>45.58</v>
      </c>
      <c r="G251">
        <v>0</v>
      </c>
      <c r="H251" s="2">
        <v>0</v>
      </c>
      <c r="I251">
        <v>0</v>
      </c>
      <c r="J251">
        <v>45.58</v>
      </c>
      <c r="K251" s="1">
        <v>45753</v>
      </c>
      <c r="L251" t="s">
        <v>21</v>
      </c>
      <c r="M251" t="s">
        <v>18</v>
      </c>
      <c r="N251">
        <f>salesitems[[#This Row],[quantity]]*salesitems[[#This Row],[unit_price]]</f>
        <v>45.58</v>
      </c>
      <c r="O251" t="str">
        <f>_xlfn.XLOOKUP(salesitems[[#This Row],[product_id]],products[product_id],products[product_name])</f>
        <v>Polished Sleeveless Shoes</v>
      </c>
      <c r="P251" t="str">
        <f>_xlfn.XLOOKUP(salesitems[[#This Row],[product_id]],fashion_store_products!A:A,fashion_store_products!C:C)</f>
        <v>Shoes</v>
      </c>
    </row>
    <row r="252" spans="1:16" x14ac:dyDescent="0.45">
      <c r="A252">
        <v>2148</v>
      </c>
      <c r="B252">
        <v>554</v>
      </c>
      <c r="C252">
        <v>20</v>
      </c>
      <c r="D252">
        <v>1</v>
      </c>
      <c r="E252">
        <v>45.42</v>
      </c>
      <c r="F252">
        <v>45.42</v>
      </c>
      <c r="G252">
        <v>0</v>
      </c>
      <c r="H252" s="2">
        <v>0</v>
      </c>
      <c r="I252">
        <v>0</v>
      </c>
      <c r="J252">
        <v>45.42</v>
      </c>
      <c r="K252" s="1">
        <v>45821</v>
      </c>
      <c r="L252" t="s">
        <v>21</v>
      </c>
      <c r="M252" t="s">
        <v>18</v>
      </c>
      <c r="N252">
        <f>salesitems[[#This Row],[quantity]]*salesitems[[#This Row],[unit_price]]</f>
        <v>45.42</v>
      </c>
      <c r="O252" t="str">
        <f>_xlfn.XLOOKUP(salesitems[[#This Row],[product_id]],products[product_id],products[product_name])</f>
        <v>Soft Crew Dress</v>
      </c>
      <c r="P252" t="str">
        <f>_xlfn.XLOOKUP(salesitems[[#This Row],[product_id]],fashion_store_products!A:A,fashion_store_products!C:C)</f>
        <v>Dresses</v>
      </c>
    </row>
    <row r="253" spans="1:16" x14ac:dyDescent="0.45">
      <c r="A253">
        <v>2786</v>
      </c>
      <c r="B253">
        <v>241</v>
      </c>
      <c r="C253">
        <v>20</v>
      </c>
      <c r="D253">
        <v>1</v>
      </c>
      <c r="E253">
        <v>45.42</v>
      </c>
      <c r="F253">
        <v>45.42</v>
      </c>
      <c r="G253">
        <v>0</v>
      </c>
      <c r="H253" s="2">
        <v>0</v>
      </c>
      <c r="I253">
        <v>0</v>
      </c>
      <c r="J253">
        <v>45.42</v>
      </c>
      <c r="K253" s="1">
        <v>45814</v>
      </c>
      <c r="L253" t="s">
        <v>15</v>
      </c>
      <c r="M253" t="s">
        <v>15</v>
      </c>
      <c r="N253">
        <f>salesitems[[#This Row],[quantity]]*salesitems[[#This Row],[unit_price]]</f>
        <v>45.42</v>
      </c>
      <c r="O253" t="str">
        <f>_xlfn.XLOOKUP(salesitems[[#This Row],[product_id]],products[product_id],products[product_name])</f>
        <v>Soft Crew Dress</v>
      </c>
      <c r="P253" t="str">
        <f>_xlfn.XLOOKUP(salesitems[[#This Row],[product_id]],fashion_store_products!A:A,fashion_store_products!C:C)</f>
        <v>Dresses</v>
      </c>
    </row>
    <row r="254" spans="1:16" x14ac:dyDescent="0.45">
      <c r="A254">
        <v>2593</v>
      </c>
      <c r="B254">
        <v>561</v>
      </c>
      <c r="C254">
        <v>370</v>
      </c>
      <c r="D254">
        <v>1</v>
      </c>
      <c r="E254">
        <v>50.34</v>
      </c>
      <c r="F254">
        <v>45.31</v>
      </c>
      <c r="G254">
        <v>5.03</v>
      </c>
      <c r="H254" s="2">
        <v>0.1</v>
      </c>
      <c r="I254">
        <v>1</v>
      </c>
      <c r="J254">
        <v>45.31</v>
      </c>
      <c r="K254" s="1">
        <v>45814</v>
      </c>
      <c r="L254" t="s">
        <v>21</v>
      </c>
      <c r="M254" t="s">
        <v>8</v>
      </c>
      <c r="N254">
        <f>salesitems[[#This Row],[quantity]]*salesitems[[#This Row],[unit_price]]</f>
        <v>45.31</v>
      </c>
      <c r="O254" t="str">
        <f>_xlfn.XLOOKUP(salesitems[[#This Row],[product_id]],products[product_id],products[product_name])</f>
        <v>Elegant Ribbed Tee</v>
      </c>
      <c r="P254" t="str">
        <f>_xlfn.XLOOKUP(salesitems[[#This Row],[product_id]],fashion_store_products!A:A,fashion_store_products!C:C)</f>
        <v>T-Shirts</v>
      </c>
    </row>
    <row r="255" spans="1:16" x14ac:dyDescent="0.45">
      <c r="A255">
        <v>1417</v>
      </c>
      <c r="B255">
        <v>75</v>
      </c>
      <c r="C255">
        <v>109</v>
      </c>
      <c r="D255">
        <v>1</v>
      </c>
      <c r="E255">
        <v>45.27</v>
      </c>
      <c r="F255">
        <v>45.27</v>
      </c>
      <c r="G255">
        <v>0</v>
      </c>
      <c r="H255" s="2">
        <v>0</v>
      </c>
      <c r="I255">
        <v>0</v>
      </c>
      <c r="J255">
        <v>45.27</v>
      </c>
      <c r="K255" s="1">
        <v>45799</v>
      </c>
      <c r="L255" t="s">
        <v>15</v>
      </c>
      <c r="M255" t="s">
        <v>15</v>
      </c>
      <c r="N255">
        <f>salesitems[[#This Row],[quantity]]*salesitems[[#This Row],[unit_price]]</f>
        <v>45.27</v>
      </c>
      <c r="O255" t="str">
        <f>_xlfn.XLOOKUP(salesitems[[#This Row],[product_id]],products[product_id],products[product_name])</f>
        <v>Classic Sleeveless Dress</v>
      </c>
      <c r="P255" t="str">
        <f>_xlfn.XLOOKUP(salesitems[[#This Row],[product_id]],fashion_store_products!A:A,fashion_store_products!C:C)</f>
        <v>Dresses</v>
      </c>
    </row>
    <row r="256" spans="1:16" x14ac:dyDescent="0.45">
      <c r="A256">
        <v>1448</v>
      </c>
      <c r="B256">
        <v>614</v>
      </c>
      <c r="C256">
        <v>109</v>
      </c>
      <c r="D256">
        <v>1</v>
      </c>
      <c r="E256">
        <v>45.27</v>
      </c>
      <c r="F256">
        <v>45.27</v>
      </c>
      <c r="G256">
        <v>0</v>
      </c>
      <c r="H256" s="2">
        <v>0</v>
      </c>
      <c r="I256">
        <v>0</v>
      </c>
      <c r="J256">
        <v>45.27</v>
      </c>
      <c r="K256" s="1">
        <v>45806</v>
      </c>
      <c r="L256" t="s">
        <v>15</v>
      </c>
      <c r="M256" t="s">
        <v>15</v>
      </c>
      <c r="N256">
        <f>salesitems[[#This Row],[quantity]]*salesitems[[#This Row],[unit_price]]</f>
        <v>45.27</v>
      </c>
      <c r="O256" t="str">
        <f>_xlfn.XLOOKUP(salesitems[[#This Row],[product_id]],products[product_id],products[product_name])</f>
        <v>Classic Sleeveless Dress</v>
      </c>
      <c r="P256" t="str">
        <f>_xlfn.XLOOKUP(salesitems[[#This Row],[product_id]],fashion_store_products!A:A,fashion_store_products!C:C)</f>
        <v>Dresses</v>
      </c>
    </row>
    <row r="257" spans="1:16" x14ac:dyDescent="0.45">
      <c r="A257">
        <v>2480</v>
      </c>
      <c r="B257">
        <v>384</v>
      </c>
      <c r="C257">
        <v>109</v>
      </c>
      <c r="D257">
        <v>1</v>
      </c>
      <c r="E257">
        <v>45.27</v>
      </c>
      <c r="F257">
        <v>45.27</v>
      </c>
      <c r="G257">
        <v>0</v>
      </c>
      <c r="H257" s="2">
        <v>0</v>
      </c>
      <c r="I257">
        <v>0</v>
      </c>
      <c r="J257">
        <v>45.27</v>
      </c>
      <c r="K257" s="1">
        <v>45774</v>
      </c>
      <c r="L257" t="s">
        <v>21</v>
      </c>
      <c r="M257" t="s">
        <v>18</v>
      </c>
      <c r="N257">
        <f>salesitems[[#This Row],[quantity]]*salesitems[[#This Row],[unit_price]]</f>
        <v>45.27</v>
      </c>
      <c r="O257" t="str">
        <f>_xlfn.XLOOKUP(salesitems[[#This Row],[product_id]],products[product_id],products[product_name])</f>
        <v>Classic Sleeveless Dress</v>
      </c>
      <c r="P257" t="str">
        <f>_xlfn.XLOOKUP(salesitems[[#This Row],[product_id]],fashion_store_products!A:A,fashion_store_products!C:C)</f>
        <v>Dresses</v>
      </c>
    </row>
    <row r="258" spans="1:16" x14ac:dyDescent="0.45">
      <c r="A258">
        <v>3144</v>
      </c>
      <c r="B258">
        <v>535</v>
      </c>
      <c r="C258">
        <v>404</v>
      </c>
      <c r="D258">
        <v>1</v>
      </c>
      <c r="E258">
        <v>45.19</v>
      </c>
      <c r="F258">
        <v>45.19</v>
      </c>
      <c r="G258">
        <v>0</v>
      </c>
      <c r="H258" s="2">
        <v>0</v>
      </c>
      <c r="I258">
        <v>0</v>
      </c>
      <c r="J258">
        <v>45.19</v>
      </c>
      <c r="K258" s="1">
        <v>45808</v>
      </c>
      <c r="L258" t="s">
        <v>15</v>
      </c>
      <c r="M258" t="s">
        <v>15</v>
      </c>
      <c r="N258">
        <f>salesitems[[#This Row],[quantity]]*salesitems[[#This Row],[unit_price]]</f>
        <v>45.19</v>
      </c>
      <c r="O258" t="str">
        <f>_xlfn.XLOOKUP(salesitems[[#This Row],[product_id]],products[product_id],products[product_name])</f>
        <v>Elegant Cotton Set</v>
      </c>
      <c r="P258" t="str">
        <f>_xlfn.XLOOKUP(salesitems[[#This Row],[product_id]],fashion_store_products!A:A,fashion_store_products!C:C)</f>
        <v>Sleepwear</v>
      </c>
    </row>
    <row r="259" spans="1:16" x14ac:dyDescent="0.45">
      <c r="A259">
        <v>2470</v>
      </c>
      <c r="B259">
        <v>121</v>
      </c>
      <c r="C259">
        <v>158</v>
      </c>
      <c r="D259">
        <v>1</v>
      </c>
      <c r="E259">
        <v>45.15</v>
      </c>
      <c r="F259">
        <v>45.15</v>
      </c>
      <c r="G259">
        <v>0</v>
      </c>
      <c r="H259" s="2">
        <v>0</v>
      </c>
      <c r="I259">
        <v>0</v>
      </c>
      <c r="J259">
        <v>45.15</v>
      </c>
      <c r="K259" s="1">
        <v>45772</v>
      </c>
      <c r="L259" t="s">
        <v>15</v>
      </c>
      <c r="M259" t="s">
        <v>15</v>
      </c>
      <c r="N259">
        <f>salesitems[[#This Row],[quantity]]*salesitems[[#This Row],[unit_price]]</f>
        <v>45.15</v>
      </c>
      <c r="O259" t="str">
        <f>_xlfn.XLOOKUP(salesitems[[#This Row],[product_id]],products[product_id],products[product_name])</f>
        <v>Vintage Sleeveless Dress</v>
      </c>
      <c r="P259" t="str">
        <f>_xlfn.XLOOKUP(salesitems[[#This Row],[product_id]],fashion_store_products!A:A,fashion_store_products!C:C)</f>
        <v>Dresses</v>
      </c>
    </row>
    <row r="260" spans="1:16" x14ac:dyDescent="0.45">
      <c r="A260">
        <v>2722</v>
      </c>
      <c r="B260">
        <v>46</v>
      </c>
      <c r="C260">
        <v>12</v>
      </c>
      <c r="D260">
        <v>1</v>
      </c>
      <c r="E260">
        <v>44.77</v>
      </c>
      <c r="F260">
        <v>44.77</v>
      </c>
      <c r="G260">
        <v>0</v>
      </c>
      <c r="H260" s="2">
        <v>0</v>
      </c>
      <c r="I260">
        <v>0</v>
      </c>
      <c r="J260">
        <v>44.77</v>
      </c>
      <c r="K260" s="1">
        <v>45822</v>
      </c>
      <c r="L260" t="s">
        <v>15</v>
      </c>
      <c r="M260" t="s">
        <v>15</v>
      </c>
      <c r="N260">
        <f>salesitems[[#This Row],[quantity]]*salesitems[[#This Row],[unit_price]]</f>
        <v>44.77</v>
      </c>
      <c r="O260" t="str">
        <f>_xlfn.XLOOKUP(salesitems[[#This Row],[product_id]],products[product_id],products[product_name])</f>
        <v>Soft Ribbed Dress</v>
      </c>
      <c r="P260" t="str">
        <f>_xlfn.XLOOKUP(salesitems[[#This Row],[product_id]],fashion_store_products!A:A,fashion_store_products!C:C)</f>
        <v>Dresses</v>
      </c>
    </row>
    <row r="261" spans="1:16" x14ac:dyDescent="0.45">
      <c r="A261">
        <v>1295</v>
      </c>
      <c r="B261">
        <v>332</v>
      </c>
      <c r="C261">
        <v>322</v>
      </c>
      <c r="D261">
        <v>1</v>
      </c>
      <c r="E261">
        <v>44.45</v>
      </c>
      <c r="F261">
        <v>44.45</v>
      </c>
      <c r="G261">
        <v>0</v>
      </c>
      <c r="H261" s="2">
        <v>0</v>
      </c>
      <c r="I261">
        <v>0</v>
      </c>
      <c r="J261">
        <v>44.45</v>
      </c>
      <c r="K261" s="1">
        <v>45801</v>
      </c>
      <c r="L261" t="s">
        <v>15</v>
      </c>
      <c r="M261" t="s">
        <v>15</v>
      </c>
      <c r="N261">
        <f>salesitems[[#This Row],[quantity]]*salesitems[[#This Row],[unit_price]]</f>
        <v>44.45</v>
      </c>
      <c r="O261" t="str">
        <f>_xlfn.XLOOKUP(salesitems[[#This Row],[product_id]],products[product_id],products[product_name])</f>
        <v>Essential Sleeveless Dress</v>
      </c>
      <c r="P261" t="str">
        <f>_xlfn.XLOOKUP(salesitems[[#This Row],[product_id]],fashion_store_products!A:A,fashion_store_products!C:C)</f>
        <v>Dresses</v>
      </c>
    </row>
    <row r="262" spans="1:16" x14ac:dyDescent="0.45">
      <c r="A262">
        <v>1130</v>
      </c>
      <c r="B262">
        <v>646</v>
      </c>
      <c r="C262">
        <v>55</v>
      </c>
      <c r="D262">
        <v>1</v>
      </c>
      <c r="E262">
        <v>44.32</v>
      </c>
      <c r="F262">
        <v>44.32</v>
      </c>
      <c r="G262">
        <v>0</v>
      </c>
      <c r="H262" s="2">
        <v>0</v>
      </c>
      <c r="I262">
        <v>0</v>
      </c>
      <c r="J262">
        <v>44.32</v>
      </c>
      <c r="K262" s="1">
        <v>45791</v>
      </c>
      <c r="L262" t="s">
        <v>21</v>
      </c>
      <c r="M262" t="s">
        <v>18</v>
      </c>
      <c r="N262">
        <f>salesitems[[#This Row],[quantity]]*salesitems[[#This Row],[unit_price]]</f>
        <v>44.32</v>
      </c>
      <c r="O262" t="str">
        <f>_xlfn.XLOOKUP(salesitems[[#This Row],[product_id]],products[product_id],products[product_name])</f>
        <v>Modern Ribbed Tee</v>
      </c>
      <c r="P262" t="str">
        <f>_xlfn.XLOOKUP(salesitems[[#This Row],[product_id]],fashion_store_products!A:A,fashion_store_products!C:C)</f>
        <v>T-Shirts</v>
      </c>
    </row>
    <row r="263" spans="1:16" x14ac:dyDescent="0.45">
      <c r="A263">
        <v>1193</v>
      </c>
      <c r="B263">
        <v>729</v>
      </c>
      <c r="C263">
        <v>55</v>
      </c>
      <c r="D263">
        <v>1</v>
      </c>
      <c r="E263">
        <v>44.32</v>
      </c>
      <c r="F263">
        <v>44.32</v>
      </c>
      <c r="G263">
        <v>0</v>
      </c>
      <c r="H263" s="2">
        <v>0</v>
      </c>
      <c r="I263">
        <v>0</v>
      </c>
      <c r="J263">
        <v>44.32</v>
      </c>
      <c r="K263" s="1">
        <v>45774</v>
      </c>
      <c r="L263" t="s">
        <v>21</v>
      </c>
      <c r="M263" t="s">
        <v>18</v>
      </c>
      <c r="N263">
        <f>salesitems[[#This Row],[quantity]]*salesitems[[#This Row],[unit_price]]</f>
        <v>44.32</v>
      </c>
      <c r="O263" t="str">
        <f>_xlfn.XLOOKUP(salesitems[[#This Row],[product_id]],products[product_id],products[product_name])</f>
        <v>Modern Ribbed Tee</v>
      </c>
      <c r="P263" t="str">
        <f>_xlfn.XLOOKUP(salesitems[[#This Row],[product_id]],fashion_store_products!A:A,fashion_store_products!C:C)</f>
        <v>T-Shirts</v>
      </c>
    </row>
    <row r="264" spans="1:16" x14ac:dyDescent="0.45">
      <c r="A264">
        <v>73</v>
      </c>
      <c r="B264">
        <v>478</v>
      </c>
      <c r="C264">
        <v>280</v>
      </c>
      <c r="D264">
        <v>1</v>
      </c>
      <c r="E264">
        <v>44.14</v>
      </c>
      <c r="F264">
        <v>44.14</v>
      </c>
      <c r="G264">
        <v>0</v>
      </c>
      <c r="H264" s="2">
        <v>0</v>
      </c>
      <c r="I264">
        <v>0</v>
      </c>
      <c r="J264">
        <v>44.14</v>
      </c>
      <c r="K264" s="1">
        <v>45761</v>
      </c>
      <c r="L264" t="s">
        <v>15</v>
      </c>
      <c r="M264" t="s">
        <v>15</v>
      </c>
      <c r="N264">
        <f>salesitems[[#This Row],[quantity]]*salesitems[[#This Row],[unit_price]]</f>
        <v>44.14</v>
      </c>
      <c r="O264" t="str">
        <f>_xlfn.XLOOKUP(salesitems[[#This Row],[product_id]],products[product_id],products[product_name])</f>
        <v>Essential Linen Tee</v>
      </c>
      <c r="P264" t="str">
        <f>_xlfn.XLOOKUP(salesitems[[#This Row],[product_id]],fashion_store_products!A:A,fashion_store_products!C:C)</f>
        <v>T-Shirts</v>
      </c>
    </row>
    <row r="265" spans="1:16" x14ac:dyDescent="0.45">
      <c r="A265">
        <v>350</v>
      </c>
      <c r="B265">
        <v>245</v>
      </c>
      <c r="C265">
        <v>373</v>
      </c>
      <c r="D265">
        <v>1</v>
      </c>
      <c r="E265">
        <v>44.12</v>
      </c>
      <c r="F265">
        <v>44.12</v>
      </c>
      <c r="G265">
        <v>0</v>
      </c>
      <c r="H265" s="2">
        <v>0</v>
      </c>
      <c r="I265">
        <v>0</v>
      </c>
      <c r="J265">
        <v>44.12</v>
      </c>
      <c r="K265" s="1">
        <v>45806</v>
      </c>
      <c r="L265" t="s">
        <v>21</v>
      </c>
      <c r="M265" t="s">
        <v>18</v>
      </c>
      <c r="N265">
        <f>salesitems[[#This Row],[quantity]]*salesitems[[#This Row],[unit_price]]</f>
        <v>44.12</v>
      </c>
      <c r="O265" t="str">
        <f>_xlfn.XLOOKUP(salesitems[[#This Row],[product_id]],products[product_id],products[product_name])</f>
        <v>Tailored Crew Shoes</v>
      </c>
      <c r="P265" t="str">
        <f>_xlfn.XLOOKUP(salesitems[[#This Row],[product_id]],fashion_store_products!A:A,fashion_store_products!C:C)</f>
        <v>Shoes</v>
      </c>
    </row>
    <row r="266" spans="1:16" x14ac:dyDescent="0.45">
      <c r="A266">
        <v>3019</v>
      </c>
      <c r="B266">
        <v>143</v>
      </c>
      <c r="C266">
        <v>373</v>
      </c>
      <c r="D266">
        <v>1</v>
      </c>
      <c r="E266">
        <v>44.12</v>
      </c>
      <c r="F266">
        <v>44.12</v>
      </c>
      <c r="G266">
        <v>0</v>
      </c>
      <c r="H266" s="2">
        <v>0</v>
      </c>
      <c r="I266">
        <v>0</v>
      </c>
      <c r="J266">
        <v>44.12</v>
      </c>
      <c r="K266" s="1">
        <v>45824</v>
      </c>
      <c r="L266" t="s">
        <v>21</v>
      </c>
      <c r="M266" t="s">
        <v>18</v>
      </c>
      <c r="N266">
        <f>salesitems[[#This Row],[quantity]]*salesitems[[#This Row],[unit_price]]</f>
        <v>44.12</v>
      </c>
      <c r="O266" t="str">
        <f>_xlfn.XLOOKUP(salesitems[[#This Row],[product_id]],products[product_id],products[product_name])</f>
        <v>Tailored Crew Shoes</v>
      </c>
      <c r="P266" t="str">
        <f>_xlfn.XLOOKUP(salesitems[[#This Row],[product_id]],fashion_store_products!A:A,fashion_store_products!C:C)</f>
        <v>Shoes</v>
      </c>
    </row>
    <row r="267" spans="1:16" x14ac:dyDescent="0.45">
      <c r="A267">
        <v>565</v>
      </c>
      <c r="B267">
        <v>432</v>
      </c>
      <c r="C267">
        <v>184</v>
      </c>
      <c r="D267">
        <v>1</v>
      </c>
      <c r="E267">
        <v>44.08</v>
      </c>
      <c r="F267">
        <v>44.08</v>
      </c>
      <c r="G267">
        <v>0</v>
      </c>
      <c r="H267" s="2">
        <v>0</v>
      </c>
      <c r="I267">
        <v>0</v>
      </c>
      <c r="J267">
        <v>44.08</v>
      </c>
      <c r="K267" s="1">
        <v>45767</v>
      </c>
      <c r="L267" t="s">
        <v>21</v>
      </c>
      <c r="M267" t="s">
        <v>18</v>
      </c>
      <c r="N267">
        <f>salesitems[[#This Row],[quantity]]*salesitems[[#This Row],[unit_price]]</f>
        <v>44.08</v>
      </c>
      <c r="O267" t="str">
        <f>_xlfn.XLOOKUP(salesitems[[#This Row],[product_id]],products[product_id],products[product_name])</f>
        <v>Vintage Wrap Trousers</v>
      </c>
      <c r="P267" t="str">
        <f>_xlfn.XLOOKUP(salesitems[[#This Row],[product_id]],fashion_store_products!A:A,fashion_store_products!C:C)</f>
        <v>Pants</v>
      </c>
    </row>
    <row r="268" spans="1:16" x14ac:dyDescent="0.45">
      <c r="A268">
        <v>2655</v>
      </c>
      <c r="B268">
        <v>626</v>
      </c>
      <c r="C268">
        <v>184</v>
      </c>
      <c r="D268">
        <v>1</v>
      </c>
      <c r="E268">
        <v>44.08</v>
      </c>
      <c r="F268">
        <v>44.08</v>
      </c>
      <c r="G268">
        <v>0</v>
      </c>
      <c r="H268" s="2">
        <v>0</v>
      </c>
      <c r="I268">
        <v>0</v>
      </c>
      <c r="J268">
        <v>44.08</v>
      </c>
      <c r="K268" s="1">
        <v>45771</v>
      </c>
      <c r="L268" t="s">
        <v>15</v>
      </c>
      <c r="M268" t="s">
        <v>15</v>
      </c>
      <c r="N268">
        <f>salesitems[[#This Row],[quantity]]*salesitems[[#This Row],[unit_price]]</f>
        <v>44.08</v>
      </c>
      <c r="O268" t="str">
        <f>_xlfn.XLOOKUP(salesitems[[#This Row],[product_id]],products[product_id],products[product_name])</f>
        <v>Vintage Wrap Trousers</v>
      </c>
      <c r="P268" t="str">
        <f>_xlfn.XLOOKUP(salesitems[[#This Row],[product_id]],fashion_store_products!A:A,fashion_store_products!C:C)</f>
        <v>Pants</v>
      </c>
    </row>
    <row r="269" spans="1:16" x14ac:dyDescent="0.45">
      <c r="A269">
        <v>1143</v>
      </c>
      <c r="B269">
        <v>403</v>
      </c>
      <c r="C269">
        <v>231</v>
      </c>
      <c r="D269">
        <v>1</v>
      </c>
      <c r="E269">
        <v>44.06</v>
      </c>
      <c r="F269">
        <v>44.06</v>
      </c>
      <c r="G269">
        <v>0</v>
      </c>
      <c r="H269" s="2">
        <v>0</v>
      </c>
      <c r="I269">
        <v>0</v>
      </c>
      <c r="J269">
        <v>44.06</v>
      </c>
      <c r="K269" s="1">
        <v>45774</v>
      </c>
      <c r="L269" t="s">
        <v>15</v>
      </c>
      <c r="M269" t="s">
        <v>15</v>
      </c>
      <c r="N269">
        <f>salesitems[[#This Row],[quantity]]*salesitems[[#This Row],[unit_price]]</f>
        <v>44.06</v>
      </c>
      <c r="O269" t="str">
        <f>_xlfn.XLOOKUP(salesitems[[#This Row],[product_id]],products[product_id],products[product_name])</f>
        <v>Polished High-Waist Shoes</v>
      </c>
      <c r="P269" t="str">
        <f>_xlfn.XLOOKUP(salesitems[[#This Row],[product_id]],fashion_store_products!A:A,fashion_store_products!C:C)</f>
        <v>Shoes</v>
      </c>
    </row>
    <row r="270" spans="1:16" x14ac:dyDescent="0.45">
      <c r="A270">
        <v>3118</v>
      </c>
      <c r="B270">
        <v>318</v>
      </c>
      <c r="C270">
        <v>231</v>
      </c>
      <c r="D270">
        <v>1</v>
      </c>
      <c r="E270">
        <v>44.06</v>
      </c>
      <c r="F270">
        <v>44.06</v>
      </c>
      <c r="G270">
        <v>0</v>
      </c>
      <c r="H270" s="2">
        <v>0</v>
      </c>
      <c r="I270">
        <v>0</v>
      </c>
      <c r="J270">
        <v>44.06</v>
      </c>
      <c r="K270" s="1">
        <v>45764</v>
      </c>
      <c r="L270" t="s">
        <v>21</v>
      </c>
      <c r="M270" t="s">
        <v>18</v>
      </c>
      <c r="N270">
        <f>salesitems[[#This Row],[quantity]]*salesitems[[#This Row],[unit_price]]</f>
        <v>44.06</v>
      </c>
      <c r="O270" t="str">
        <f>_xlfn.XLOOKUP(salesitems[[#This Row],[product_id]],products[product_id],products[product_name])</f>
        <v>Polished High-Waist Shoes</v>
      </c>
      <c r="P270" t="str">
        <f>_xlfn.XLOOKUP(salesitems[[#This Row],[product_id]],fashion_store_products!A:A,fashion_store_products!C:C)</f>
        <v>Shoes</v>
      </c>
    </row>
    <row r="271" spans="1:16" x14ac:dyDescent="0.45">
      <c r="A271">
        <v>1119</v>
      </c>
      <c r="B271">
        <v>484</v>
      </c>
      <c r="C271">
        <v>277</v>
      </c>
      <c r="D271">
        <v>1</v>
      </c>
      <c r="E271">
        <v>43.92</v>
      </c>
      <c r="F271">
        <v>43.92</v>
      </c>
      <c r="G271">
        <v>0</v>
      </c>
      <c r="H271" s="2">
        <v>0</v>
      </c>
      <c r="I271">
        <v>0</v>
      </c>
      <c r="J271">
        <v>43.92</v>
      </c>
      <c r="K271" s="1">
        <v>45773</v>
      </c>
      <c r="L271" t="s">
        <v>15</v>
      </c>
      <c r="M271" t="s">
        <v>15</v>
      </c>
      <c r="N271">
        <f>salesitems[[#This Row],[quantity]]*salesitems[[#This Row],[unit_price]]</f>
        <v>43.92</v>
      </c>
      <c r="O271" t="str">
        <f>_xlfn.XLOOKUP(salesitems[[#This Row],[product_id]],products[product_id],products[product_name])</f>
        <v>Relaxed Boxy Tee</v>
      </c>
      <c r="P271" t="str">
        <f>_xlfn.XLOOKUP(salesitems[[#This Row],[product_id]],fashion_store_products!A:A,fashion_store_products!C:C)</f>
        <v>T-Shirts</v>
      </c>
    </row>
    <row r="272" spans="1:16" x14ac:dyDescent="0.45">
      <c r="A272">
        <v>2358</v>
      </c>
      <c r="B272">
        <v>1035</v>
      </c>
      <c r="C272">
        <v>277</v>
      </c>
      <c r="D272">
        <v>1</v>
      </c>
      <c r="E272">
        <v>43.92</v>
      </c>
      <c r="F272">
        <v>43.92</v>
      </c>
      <c r="G272">
        <v>0</v>
      </c>
      <c r="H272" s="2">
        <v>0</v>
      </c>
      <c r="I272">
        <v>0</v>
      </c>
      <c r="J272">
        <v>43.92</v>
      </c>
      <c r="K272" s="1">
        <v>45782</v>
      </c>
      <c r="L272" t="s">
        <v>21</v>
      </c>
      <c r="M272" t="s">
        <v>18</v>
      </c>
      <c r="N272">
        <f>salesitems[[#This Row],[quantity]]*salesitems[[#This Row],[unit_price]]</f>
        <v>43.92</v>
      </c>
      <c r="O272" t="str">
        <f>_xlfn.XLOOKUP(salesitems[[#This Row],[product_id]],products[product_id],products[product_name])</f>
        <v>Relaxed Boxy Tee</v>
      </c>
      <c r="P272" t="str">
        <f>_xlfn.XLOOKUP(salesitems[[#This Row],[product_id]],fashion_store_products!A:A,fashion_store_products!C:C)</f>
        <v>T-Shirts</v>
      </c>
    </row>
    <row r="273" spans="1:16" x14ac:dyDescent="0.45">
      <c r="A273">
        <v>1793</v>
      </c>
      <c r="B273">
        <v>90</v>
      </c>
      <c r="C273">
        <v>363</v>
      </c>
      <c r="D273">
        <v>1</v>
      </c>
      <c r="E273">
        <v>43.64</v>
      </c>
      <c r="F273">
        <v>43.64</v>
      </c>
      <c r="G273">
        <v>0</v>
      </c>
      <c r="H273" s="2">
        <v>0</v>
      </c>
      <c r="I273">
        <v>0</v>
      </c>
      <c r="J273">
        <v>43.64</v>
      </c>
      <c r="K273" s="1">
        <v>45803</v>
      </c>
      <c r="L273" t="s">
        <v>21</v>
      </c>
      <c r="M273" t="s">
        <v>18</v>
      </c>
      <c r="N273">
        <f>salesitems[[#This Row],[quantity]]*salesitems[[#This Row],[unit_price]]</f>
        <v>43.64</v>
      </c>
      <c r="O273" t="str">
        <f>_xlfn.XLOOKUP(salesitems[[#This Row],[product_id]],products[product_id],products[product_name])</f>
        <v>Tailored Cotton Dress</v>
      </c>
      <c r="P273" t="str">
        <f>_xlfn.XLOOKUP(salesitems[[#This Row],[product_id]],fashion_store_products!A:A,fashion_store_products!C:C)</f>
        <v>Dresses</v>
      </c>
    </row>
    <row r="274" spans="1:16" x14ac:dyDescent="0.45">
      <c r="A274">
        <v>1056</v>
      </c>
      <c r="B274">
        <v>1192</v>
      </c>
      <c r="C274">
        <v>374</v>
      </c>
      <c r="D274">
        <v>1</v>
      </c>
      <c r="E274">
        <v>43.43</v>
      </c>
      <c r="F274">
        <v>43.43</v>
      </c>
      <c r="G274">
        <v>0</v>
      </c>
      <c r="H274" s="2">
        <v>0</v>
      </c>
      <c r="I274">
        <v>0</v>
      </c>
      <c r="J274">
        <v>43.43</v>
      </c>
      <c r="K274" s="1">
        <v>45799</v>
      </c>
      <c r="L274" t="s">
        <v>15</v>
      </c>
      <c r="M274" t="s">
        <v>15</v>
      </c>
      <c r="N274">
        <f>salesitems[[#This Row],[quantity]]*salesitems[[#This Row],[unit_price]]</f>
        <v>43.43</v>
      </c>
      <c r="O274" t="str">
        <f>_xlfn.XLOOKUP(salesitems[[#This Row],[product_id]],products[product_id],products[product_name])</f>
        <v>Tailored Cotton Set</v>
      </c>
      <c r="P274" t="str">
        <f>_xlfn.XLOOKUP(salesitems[[#This Row],[product_id]],fashion_store_products!A:A,fashion_store_products!C:C)</f>
        <v>Sleepwear</v>
      </c>
    </row>
    <row r="275" spans="1:16" x14ac:dyDescent="0.45">
      <c r="A275">
        <v>1780</v>
      </c>
      <c r="B275">
        <v>644</v>
      </c>
      <c r="C275">
        <v>311</v>
      </c>
      <c r="D275">
        <v>1</v>
      </c>
      <c r="E275">
        <v>43.38</v>
      </c>
      <c r="F275">
        <v>43.38</v>
      </c>
      <c r="G275">
        <v>0</v>
      </c>
      <c r="H275" s="2">
        <v>0</v>
      </c>
      <c r="I275">
        <v>0</v>
      </c>
      <c r="J275">
        <v>43.38</v>
      </c>
      <c r="K275" s="1">
        <v>45751</v>
      </c>
      <c r="L275" t="s">
        <v>21</v>
      </c>
      <c r="M275" t="s">
        <v>18</v>
      </c>
      <c r="N275">
        <f>salesitems[[#This Row],[quantity]]*salesitems[[#This Row],[unit_price]]</f>
        <v>43.38</v>
      </c>
      <c r="O275" t="str">
        <f>_xlfn.XLOOKUP(salesitems[[#This Row],[product_id]],products[product_id],products[product_name])</f>
        <v>Essential Cotton Dress</v>
      </c>
      <c r="P275" t="str">
        <f>_xlfn.XLOOKUP(salesitems[[#This Row],[product_id]],fashion_store_products!A:A,fashion_store_products!C:C)</f>
        <v>Dresses</v>
      </c>
    </row>
    <row r="276" spans="1:16" x14ac:dyDescent="0.45">
      <c r="A276">
        <v>1957</v>
      </c>
      <c r="B276">
        <v>96</v>
      </c>
      <c r="C276">
        <v>434</v>
      </c>
      <c r="D276">
        <v>1</v>
      </c>
      <c r="E276">
        <v>43.14</v>
      </c>
      <c r="F276">
        <v>43.14</v>
      </c>
      <c r="G276">
        <v>0</v>
      </c>
      <c r="H276" s="2">
        <v>0</v>
      </c>
      <c r="I276">
        <v>0</v>
      </c>
      <c r="J276">
        <v>43.14</v>
      </c>
      <c r="K276" s="1">
        <v>45767</v>
      </c>
      <c r="L276" t="s">
        <v>21</v>
      </c>
      <c r="M276" t="s">
        <v>18</v>
      </c>
      <c r="N276">
        <f>salesitems[[#This Row],[quantity]]*salesitems[[#This Row],[unit_price]]</f>
        <v>43.14</v>
      </c>
      <c r="O276" t="str">
        <f>_xlfn.XLOOKUP(salesitems[[#This Row],[product_id]],products[product_id],products[product_name])</f>
        <v>Bold Ribbed Tee</v>
      </c>
      <c r="P276" t="str">
        <f>_xlfn.XLOOKUP(salesitems[[#This Row],[product_id]],fashion_store_products!A:A,fashion_store_products!C:C)</f>
        <v>T-Shirts</v>
      </c>
    </row>
    <row r="277" spans="1:16" x14ac:dyDescent="0.45">
      <c r="A277">
        <v>2131</v>
      </c>
      <c r="B277">
        <v>1333</v>
      </c>
      <c r="C277">
        <v>123</v>
      </c>
      <c r="D277">
        <v>1</v>
      </c>
      <c r="E277">
        <v>61.51</v>
      </c>
      <c r="F277">
        <v>43.06</v>
      </c>
      <c r="G277">
        <v>18.45</v>
      </c>
      <c r="H277" s="2">
        <v>0.3</v>
      </c>
      <c r="I277">
        <v>1</v>
      </c>
      <c r="J277">
        <v>43.06</v>
      </c>
      <c r="K277" s="1">
        <v>45791</v>
      </c>
      <c r="L277" t="s">
        <v>15</v>
      </c>
      <c r="M277" t="s">
        <v>11</v>
      </c>
      <c r="N277">
        <f>salesitems[[#This Row],[quantity]]*salesitems[[#This Row],[unit_price]]</f>
        <v>43.06</v>
      </c>
      <c r="O277" t="str">
        <f>_xlfn.XLOOKUP(salesitems[[#This Row],[product_id]],products[product_id],products[product_name])</f>
        <v>Classic Wrap Set</v>
      </c>
      <c r="P277" t="str">
        <f>_xlfn.XLOOKUP(salesitems[[#This Row],[product_id]],fashion_store_products!A:A,fashion_store_products!C:C)</f>
        <v>Sleepwear</v>
      </c>
    </row>
    <row r="278" spans="1:16" x14ac:dyDescent="0.45">
      <c r="A278">
        <v>3227</v>
      </c>
      <c r="B278">
        <v>1297</v>
      </c>
      <c r="C278">
        <v>102</v>
      </c>
      <c r="D278">
        <v>1</v>
      </c>
      <c r="E278">
        <v>43.06</v>
      </c>
      <c r="F278">
        <v>43.06</v>
      </c>
      <c r="G278">
        <v>0</v>
      </c>
      <c r="H278" s="2">
        <v>0</v>
      </c>
      <c r="I278">
        <v>0</v>
      </c>
      <c r="J278">
        <v>43.06</v>
      </c>
      <c r="K278" s="1">
        <v>45776</v>
      </c>
      <c r="L278" t="s">
        <v>15</v>
      </c>
      <c r="M278" t="s">
        <v>15</v>
      </c>
      <c r="N278">
        <f>salesitems[[#This Row],[quantity]]*salesitems[[#This Row],[unit_price]]</f>
        <v>43.06</v>
      </c>
      <c r="O278" t="str">
        <f>_xlfn.XLOOKUP(salesitems[[#This Row],[product_id]],products[product_id],products[product_name])</f>
        <v>Classic Linen Tee</v>
      </c>
      <c r="P278" t="str">
        <f>_xlfn.XLOOKUP(salesitems[[#This Row],[product_id]],fashion_store_products!A:A,fashion_store_products!C:C)</f>
        <v>T-Shirts</v>
      </c>
    </row>
    <row r="279" spans="1:16" x14ac:dyDescent="0.45">
      <c r="A279">
        <v>2532</v>
      </c>
      <c r="B279">
        <v>639</v>
      </c>
      <c r="C279">
        <v>369</v>
      </c>
      <c r="D279">
        <v>1</v>
      </c>
      <c r="E279">
        <v>43.04</v>
      </c>
      <c r="F279">
        <v>43.04</v>
      </c>
      <c r="G279">
        <v>0</v>
      </c>
      <c r="H279" s="2">
        <v>0</v>
      </c>
      <c r="I279">
        <v>0</v>
      </c>
      <c r="J279">
        <v>43.04</v>
      </c>
      <c r="K279" s="1">
        <v>45769</v>
      </c>
      <c r="L279" t="s">
        <v>21</v>
      </c>
      <c r="M279" t="s">
        <v>18</v>
      </c>
      <c r="N279">
        <f>salesitems[[#This Row],[quantity]]*salesitems[[#This Row],[unit_price]]</f>
        <v>43.04</v>
      </c>
      <c r="O279" t="str">
        <f>_xlfn.XLOOKUP(salesitems[[#This Row],[product_id]],products[product_id],products[product_name])</f>
        <v>Tailored Crew Dress</v>
      </c>
      <c r="P279" t="str">
        <f>_xlfn.XLOOKUP(salesitems[[#This Row],[product_id]],fashion_store_products!A:A,fashion_store_products!C:C)</f>
        <v>Dresses</v>
      </c>
    </row>
    <row r="280" spans="1:16" x14ac:dyDescent="0.45">
      <c r="A280">
        <v>461</v>
      </c>
      <c r="B280">
        <v>778</v>
      </c>
      <c r="C280">
        <v>476</v>
      </c>
      <c r="D280">
        <v>1</v>
      </c>
      <c r="E280">
        <v>42.72</v>
      </c>
      <c r="F280">
        <v>42.72</v>
      </c>
      <c r="G280">
        <v>0</v>
      </c>
      <c r="H280" s="2">
        <v>0</v>
      </c>
      <c r="I280">
        <v>0</v>
      </c>
      <c r="J280">
        <v>42.72</v>
      </c>
      <c r="K280" s="1">
        <v>45760</v>
      </c>
      <c r="L280" t="s">
        <v>21</v>
      </c>
      <c r="M280" t="s">
        <v>18</v>
      </c>
      <c r="N280">
        <f>salesitems[[#This Row],[quantity]]*salesitems[[#This Row],[unit_price]]</f>
        <v>42.72</v>
      </c>
      <c r="O280" t="str">
        <f>_xlfn.XLOOKUP(salesitems[[#This Row],[product_id]],products[product_id],products[product_name])</f>
        <v>Bold Satin Shoes</v>
      </c>
      <c r="P280" t="str">
        <f>_xlfn.XLOOKUP(salesitems[[#This Row],[product_id]],fashion_store_products!A:A,fashion_store_products!C:C)</f>
        <v>Shoes</v>
      </c>
    </row>
    <row r="281" spans="1:16" x14ac:dyDescent="0.45">
      <c r="A281">
        <v>1765</v>
      </c>
      <c r="B281">
        <v>151</v>
      </c>
      <c r="C281">
        <v>476</v>
      </c>
      <c r="D281">
        <v>1</v>
      </c>
      <c r="E281">
        <v>42.72</v>
      </c>
      <c r="F281">
        <v>42.72</v>
      </c>
      <c r="G281">
        <v>0</v>
      </c>
      <c r="H281" s="2">
        <v>0</v>
      </c>
      <c r="I281">
        <v>0</v>
      </c>
      <c r="J281">
        <v>42.72</v>
      </c>
      <c r="K281" s="1">
        <v>45761</v>
      </c>
      <c r="L281" t="s">
        <v>21</v>
      </c>
      <c r="M281" t="s">
        <v>18</v>
      </c>
      <c r="N281">
        <f>salesitems[[#This Row],[quantity]]*salesitems[[#This Row],[unit_price]]</f>
        <v>42.72</v>
      </c>
      <c r="O281" t="str">
        <f>_xlfn.XLOOKUP(salesitems[[#This Row],[product_id]],products[product_id],products[product_name])</f>
        <v>Bold Satin Shoes</v>
      </c>
      <c r="P281" t="str">
        <f>_xlfn.XLOOKUP(salesitems[[#This Row],[product_id]],fashion_store_products!A:A,fashion_store_products!C:C)</f>
        <v>Shoes</v>
      </c>
    </row>
    <row r="282" spans="1:16" x14ac:dyDescent="0.45">
      <c r="A282">
        <v>2242</v>
      </c>
      <c r="B282">
        <v>873</v>
      </c>
      <c r="C282">
        <v>375</v>
      </c>
      <c r="D282">
        <v>1</v>
      </c>
      <c r="E282">
        <v>42.67</v>
      </c>
      <c r="F282">
        <v>42.67</v>
      </c>
      <c r="G282">
        <v>0</v>
      </c>
      <c r="H282" s="2">
        <v>0</v>
      </c>
      <c r="I282">
        <v>0</v>
      </c>
      <c r="J282">
        <v>42.67</v>
      </c>
      <c r="K282" s="1">
        <v>45799</v>
      </c>
      <c r="L282" t="s">
        <v>21</v>
      </c>
      <c r="M282" t="s">
        <v>18</v>
      </c>
      <c r="N282">
        <f>salesitems[[#This Row],[quantity]]*salesitems[[#This Row],[unit_price]]</f>
        <v>42.67</v>
      </c>
      <c r="O282" t="str">
        <f>_xlfn.XLOOKUP(salesitems[[#This Row],[product_id]],products[product_id],products[product_name])</f>
        <v>Tailored Sleeveless Shoes</v>
      </c>
      <c r="P282" t="str">
        <f>_xlfn.XLOOKUP(salesitems[[#This Row],[product_id]],fashion_store_products!A:A,fashion_store_products!C:C)</f>
        <v>Shoes</v>
      </c>
    </row>
    <row r="283" spans="1:16" x14ac:dyDescent="0.45">
      <c r="A283">
        <v>2158</v>
      </c>
      <c r="B283">
        <v>448</v>
      </c>
      <c r="C283">
        <v>177</v>
      </c>
      <c r="D283">
        <v>1</v>
      </c>
      <c r="E283">
        <v>42.66</v>
      </c>
      <c r="F283">
        <v>42.66</v>
      </c>
      <c r="G283">
        <v>0</v>
      </c>
      <c r="H283" s="2">
        <v>0</v>
      </c>
      <c r="I283">
        <v>0</v>
      </c>
      <c r="J283">
        <v>42.66</v>
      </c>
      <c r="K283" s="1">
        <v>45776</v>
      </c>
      <c r="L283" t="s">
        <v>15</v>
      </c>
      <c r="M283" t="s">
        <v>15</v>
      </c>
      <c r="N283">
        <f>salesitems[[#This Row],[quantity]]*salesitems[[#This Row],[unit_price]]</f>
        <v>42.66</v>
      </c>
      <c r="O283" t="str">
        <f>_xlfn.XLOOKUP(salesitems[[#This Row],[product_id]],products[product_id],products[product_name])</f>
        <v>Vintage Cotton Set</v>
      </c>
      <c r="P283" t="str">
        <f>_xlfn.XLOOKUP(salesitems[[#This Row],[product_id]],fashion_store_products!A:A,fashion_store_products!C:C)</f>
        <v>Sleepwear</v>
      </c>
    </row>
    <row r="284" spans="1:16" x14ac:dyDescent="0.45">
      <c r="A284">
        <v>2563</v>
      </c>
      <c r="B284">
        <v>132</v>
      </c>
      <c r="C284">
        <v>377</v>
      </c>
      <c r="D284">
        <v>1</v>
      </c>
      <c r="E284">
        <v>42.5</v>
      </c>
      <c r="F284">
        <v>42.5</v>
      </c>
      <c r="G284">
        <v>0</v>
      </c>
      <c r="H284" s="2">
        <v>0</v>
      </c>
      <c r="I284">
        <v>0</v>
      </c>
      <c r="J284">
        <v>42.5</v>
      </c>
      <c r="K284" s="1">
        <v>45767</v>
      </c>
      <c r="L284" t="s">
        <v>15</v>
      </c>
      <c r="M284" t="s">
        <v>15</v>
      </c>
      <c r="N284">
        <f>salesitems[[#This Row],[quantity]]*salesitems[[#This Row],[unit_price]]</f>
        <v>42.5</v>
      </c>
      <c r="O284" t="str">
        <f>_xlfn.XLOOKUP(salesitems[[#This Row],[product_id]],products[product_id],products[product_name])</f>
        <v>Tailored High-Waist Shoes</v>
      </c>
      <c r="P284" t="str">
        <f>_xlfn.XLOOKUP(salesitems[[#This Row],[product_id]],fashion_store_products!A:A,fashion_store_products!C:C)</f>
        <v>Shoes</v>
      </c>
    </row>
    <row r="285" spans="1:16" x14ac:dyDescent="0.45">
      <c r="A285">
        <v>1635</v>
      </c>
      <c r="B285">
        <v>616</v>
      </c>
      <c r="C285">
        <v>135</v>
      </c>
      <c r="D285">
        <v>1</v>
      </c>
      <c r="E285">
        <v>42.47</v>
      </c>
      <c r="F285">
        <v>42.47</v>
      </c>
      <c r="G285">
        <v>0</v>
      </c>
      <c r="H285" s="2">
        <v>0</v>
      </c>
      <c r="I285">
        <v>0</v>
      </c>
      <c r="J285">
        <v>42.47</v>
      </c>
      <c r="K285" s="1">
        <v>45770</v>
      </c>
      <c r="L285" t="s">
        <v>21</v>
      </c>
      <c r="M285" t="s">
        <v>18</v>
      </c>
      <c r="N285">
        <f>salesitems[[#This Row],[quantity]]*salesitems[[#This Row],[unit_price]]</f>
        <v>42.47</v>
      </c>
      <c r="O285" t="str">
        <f>_xlfn.XLOOKUP(salesitems[[#This Row],[product_id]],products[product_id],products[product_name])</f>
        <v>Classic Sleeveless Shoes</v>
      </c>
      <c r="P285" t="str">
        <f>_xlfn.XLOOKUP(salesitems[[#This Row],[product_id]],fashion_store_products!A:A,fashion_store_products!C:C)</f>
        <v>Shoes</v>
      </c>
    </row>
    <row r="286" spans="1:16" x14ac:dyDescent="0.45">
      <c r="A286">
        <v>1697</v>
      </c>
      <c r="B286">
        <v>567</v>
      </c>
      <c r="C286">
        <v>135</v>
      </c>
      <c r="D286">
        <v>1</v>
      </c>
      <c r="E286">
        <v>42.47</v>
      </c>
      <c r="F286">
        <v>42.47</v>
      </c>
      <c r="G286">
        <v>0</v>
      </c>
      <c r="H286" s="2">
        <v>0</v>
      </c>
      <c r="I286">
        <v>0</v>
      </c>
      <c r="J286">
        <v>42.47</v>
      </c>
      <c r="K286" s="1">
        <v>45794</v>
      </c>
      <c r="L286" t="s">
        <v>21</v>
      </c>
      <c r="M286" t="s">
        <v>18</v>
      </c>
      <c r="N286">
        <f>salesitems[[#This Row],[quantity]]*salesitems[[#This Row],[unit_price]]</f>
        <v>42.47</v>
      </c>
      <c r="O286" t="str">
        <f>_xlfn.XLOOKUP(salesitems[[#This Row],[product_id]],products[product_id],products[product_name])</f>
        <v>Classic Sleeveless Shoes</v>
      </c>
      <c r="P286" t="str">
        <f>_xlfn.XLOOKUP(salesitems[[#This Row],[product_id]],fashion_store_products!A:A,fashion_store_products!C:C)</f>
        <v>Shoes</v>
      </c>
    </row>
    <row r="287" spans="1:16" x14ac:dyDescent="0.45">
      <c r="A287">
        <v>278</v>
      </c>
      <c r="B287">
        <v>421</v>
      </c>
      <c r="C287">
        <v>149</v>
      </c>
      <c r="D287">
        <v>1</v>
      </c>
      <c r="E287">
        <v>42.24</v>
      </c>
      <c r="F287">
        <v>42.24</v>
      </c>
      <c r="G287">
        <v>0</v>
      </c>
      <c r="H287" s="2">
        <v>0</v>
      </c>
      <c r="I287">
        <v>0</v>
      </c>
      <c r="J287">
        <v>42.24</v>
      </c>
      <c r="K287" s="1">
        <v>45796</v>
      </c>
      <c r="L287" t="s">
        <v>21</v>
      </c>
      <c r="M287" t="s">
        <v>18</v>
      </c>
      <c r="N287">
        <f>salesitems[[#This Row],[quantity]]*salesitems[[#This Row],[unit_price]]</f>
        <v>42.24</v>
      </c>
      <c r="O287" t="str">
        <f>_xlfn.XLOOKUP(salesitems[[#This Row],[product_id]],products[product_id],products[product_name])</f>
        <v>Classic Crew Trousers</v>
      </c>
      <c r="P287" t="str">
        <f>_xlfn.XLOOKUP(salesitems[[#This Row],[product_id]],fashion_store_products!A:A,fashion_store_products!C:C)</f>
        <v>Pants</v>
      </c>
    </row>
    <row r="288" spans="1:16" x14ac:dyDescent="0.45">
      <c r="A288">
        <v>1354</v>
      </c>
      <c r="B288">
        <v>259</v>
      </c>
      <c r="C288">
        <v>287</v>
      </c>
      <c r="D288">
        <v>1</v>
      </c>
      <c r="E288">
        <v>60.34</v>
      </c>
      <c r="F288">
        <v>42.24</v>
      </c>
      <c r="G288">
        <v>18.100000000000001</v>
      </c>
      <c r="H288" s="2">
        <v>0.3</v>
      </c>
      <c r="I288">
        <v>1</v>
      </c>
      <c r="J288">
        <v>42.24</v>
      </c>
      <c r="K288" s="1">
        <v>45796</v>
      </c>
      <c r="L288" t="s">
        <v>15</v>
      </c>
      <c r="M288" t="s">
        <v>11</v>
      </c>
      <c r="N288">
        <f>salesitems[[#This Row],[quantity]]*salesitems[[#This Row],[unit_price]]</f>
        <v>42.24</v>
      </c>
      <c r="O288" t="str">
        <f>_xlfn.XLOOKUP(salesitems[[#This Row],[product_id]],products[product_id],products[product_name])</f>
        <v>Relaxed Ribbed Set</v>
      </c>
      <c r="P288" t="str">
        <f>_xlfn.XLOOKUP(salesitems[[#This Row],[product_id]],fashion_store_products!A:A,fashion_store_products!C:C)</f>
        <v>Sleepwear</v>
      </c>
    </row>
    <row r="289" spans="1:16" x14ac:dyDescent="0.45">
      <c r="A289">
        <v>1749</v>
      </c>
      <c r="B289">
        <v>925</v>
      </c>
      <c r="C289">
        <v>309</v>
      </c>
      <c r="D289">
        <v>1</v>
      </c>
      <c r="E289">
        <v>42.14</v>
      </c>
      <c r="F289">
        <v>42.14</v>
      </c>
      <c r="G289">
        <v>0</v>
      </c>
      <c r="H289" s="2">
        <v>0</v>
      </c>
      <c r="I289">
        <v>0</v>
      </c>
      <c r="J289">
        <v>42.14</v>
      </c>
      <c r="K289" s="1">
        <v>45771</v>
      </c>
      <c r="L289" t="s">
        <v>21</v>
      </c>
      <c r="M289" t="s">
        <v>18</v>
      </c>
      <c r="N289">
        <f>salesitems[[#This Row],[quantity]]*salesitems[[#This Row],[unit_price]]</f>
        <v>42.14</v>
      </c>
      <c r="O289" t="str">
        <f>_xlfn.XLOOKUP(salesitems[[#This Row],[product_id]],products[product_id],products[product_name])</f>
        <v>Essential Ribbed Dress</v>
      </c>
      <c r="P289" t="str">
        <f>_xlfn.XLOOKUP(salesitems[[#This Row],[product_id]],fashion_store_products!A:A,fashion_store_products!C:C)</f>
        <v>Dresses</v>
      </c>
    </row>
    <row r="290" spans="1:16" x14ac:dyDescent="0.45">
      <c r="A290">
        <v>2637</v>
      </c>
      <c r="B290">
        <v>449</v>
      </c>
      <c r="C290">
        <v>309</v>
      </c>
      <c r="D290">
        <v>1</v>
      </c>
      <c r="E290">
        <v>42.14</v>
      </c>
      <c r="F290">
        <v>42.14</v>
      </c>
      <c r="G290">
        <v>0</v>
      </c>
      <c r="H290" s="2">
        <v>0</v>
      </c>
      <c r="I290">
        <v>0</v>
      </c>
      <c r="J290">
        <v>42.14</v>
      </c>
      <c r="K290" s="1">
        <v>45800</v>
      </c>
      <c r="L290" t="s">
        <v>21</v>
      </c>
      <c r="M290" t="s">
        <v>18</v>
      </c>
      <c r="N290">
        <f>salesitems[[#This Row],[quantity]]*salesitems[[#This Row],[unit_price]]</f>
        <v>42.14</v>
      </c>
      <c r="O290" t="str">
        <f>_xlfn.XLOOKUP(salesitems[[#This Row],[product_id]],products[product_id],products[product_name])</f>
        <v>Essential Ribbed Dress</v>
      </c>
      <c r="P290" t="str">
        <f>_xlfn.XLOOKUP(salesitems[[#This Row],[product_id]],fashion_store_products!A:A,fashion_store_products!C:C)</f>
        <v>Dresses</v>
      </c>
    </row>
    <row r="291" spans="1:16" x14ac:dyDescent="0.45">
      <c r="A291">
        <v>1072</v>
      </c>
      <c r="B291">
        <v>1194</v>
      </c>
      <c r="C291">
        <v>344</v>
      </c>
      <c r="D291">
        <v>1</v>
      </c>
      <c r="E291">
        <v>42.1</v>
      </c>
      <c r="F291">
        <v>42.1</v>
      </c>
      <c r="G291">
        <v>0</v>
      </c>
      <c r="H291" s="2">
        <v>0</v>
      </c>
      <c r="I291">
        <v>0</v>
      </c>
      <c r="J291">
        <v>42.1</v>
      </c>
      <c r="K291" s="1">
        <v>45790</v>
      </c>
      <c r="L291" t="s">
        <v>21</v>
      </c>
      <c r="M291" t="s">
        <v>18</v>
      </c>
      <c r="N291">
        <f>salesitems[[#This Row],[quantity]]*salesitems[[#This Row],[unit_price]]</f>
        <v>42.1</v>
      </c>
      <c r="O291" t="str">
        <f>_xlfn.XLOOKUP(salesitems[[#This Row],[product_id]],products[product_id],products[product_name])</f>
        <v>Tailored Silk Tee</v>
      </c>
      <c r="P291" t="str">
        <f>_xlfn.XLOOKUP(salesitems[[#This Row],[product_id]],fashion_store_products!A:A,fashion_store_products!C:C)</f>
        <v>T-Shirts</v>
      </c>
    </row>
    <row r="292" spans="1:16" x14ac:dyDescent="0.45">
      <c r="A292">
        <v>923</v>
      </c>
      <c r="B292">
        <v>908</v>
      </c>
      <c r="C292">
        <v>202</v>
      </c>
      <c r="D292">
        <v>1</v>
      </c>
      <c r="E292">
        <v>41.88</v>
      </c>
      <c r="F292">
        <v>41.88</v>
      </c>
      <c r="G292">
        <v>0</v>
      </c>
      <c r="H292" s="2">
        <v>0</v>
      </c>
      <c r="I292">
        <v>0</v>
      </c>
      <c r="J292">
        <v>41.88</v>
      </c>
      <c r="K292" s="1">
        <v>45773</v>
      </c>
      <c r="L292" t="s">
        <v>15</v>
      </c>
      <c r="M292" t="s">
        <v>15</v>
      </c>
      <c r="N292">
        <f>salesitems[[#This Row],[quantity]]*salesitems[[#This Row],[unit_price]]</f>
        <v>41.88</v>
      </c>
      <c r="O292" t="str">
        <f>_xlfn.XLOOKUP(salesitems[[#This Row],[product_id]],products[product_id],products[product_name])</f>
        <v>Vintage High-Waist Tee</v>
      </c>
      <c r="P292" t="str">
        <f>_xlfn.XLOOKUP(salesitems[[#This Row],[product_id]],fashion_store_products!A:A,fashion_store_products!C:C)</f>
        <v>T-Shirts</v>
      </c>
    </row>
    <row r="293" spans="1:16" x14ac:dyDescent="0.45">
      <c r="A293">
        <v>1456</v>
      </c>
      <c r="B293">
        <v>1070</v>
      </c>
      <c r="C293">
        <v>144</v>
      </c>
      <c r="D293">
        <v>1</v>
      </c>
      <c r="E293">
        <v>41.84</v>
      </c>
      <c r="F293">
        <v>41.84</v>
      </c>
      <c r="G293">
        <v>0</v>
      </c>
      <c r="H293" s="2">
        <v>0</v>
      </c>
      <c r="I293">
        <v>0</v>
      </c>
      <c r="J293">
        <v>41.84</v>
      </c>
      <c r="K293" s="1">
        <v>45777</v>
      </c>
      <c r="L293" t="s">
        <v>15</v>
      </c>
      <c r="M293" t="s">
        <v>15</v>
      </c>
      <c r="N293">
        <f>salesitems[[#This Row],[quantity]]*salesitems[[#This Row],[unit_price]]</f>
        <v>41.84</v>
      </c>
      <c r="O293" t="str">
        <f>_xlfn.XLOOKUP(salesitems[[#This Row],[product_id]],products[product_id],products[product_name])</f>
        <v>Classic Silk Trousers</v>
      </c>
      <c r="P293" t="str">
        <f>_xlfn.XLOOKUP(salesitems[[#This Row],[product_id]],fashion_store_products!A:A,fashion_store_products!C:C)</f>
        <v>Pants</v>
      </c>
    </row>
    <row r="294" spans="1:16" x14ac:dyDescent="0.45">
      <c r="A294">
        <v>1669</v>
      </c>
      <c r="B294">
        <v>654</v>
      </c>
      <c r="C294">
        <v>172</v>
      </c>
      <c r="D294">
        <v>1</v>
      </c>
      <c r="E294">
        <v>41.7</v>
      </c>
      <c r="F294">
        <v>41.7</v>
      </c>
      <c r="G294">
        <v>0</v>
      </c>
      <c r="H294" s="2">
        <v>0</v>
      </c>
      <c r="I294">
        <v>0</v>
      </c>
      <c r="J294">
        <v>41.7</v>
      </c>
      <c r="K294" s="1">
        <v>45781</v>
      </c>
      <c r="L294" t="s">
        <v>15</v>
      </c>
      <c r="M294" t="s">
        <v>15</v>
      </c>
      <c r="N294">
        <f>salesitems[[#This Row],[quantity]]*salesitems[[#This Row],[unit_price]]</f>
        <v>41.7</v>
      </c>
      <c r="O294" t="str">
        <f>_xlfn.XLOOKUP(salesitems[[#This Row],[product_id]],products[product_id],products[product_name])</f>
        <v>Vintage Crew Shoes</v>
      </c>
      <c r="P294" t="str">
        <f>_xlfn.XLOOKUP(salesitems[[#This Row],[product_id]],fashion_store_products!A:A,fashion_store_products!C:C)</f>
        <v>Shoes</v>
      </c>
    </row>
    <row r="295" spans="1:16" x14ac:dyDescent="0.45">
      <c r="A295">
        <v>3108</v>
      </c>
      <c r="B295">
        <v>356</v>
      </c>
      <c r="C295">
        <v>291</v>
      </c>
      <c r="D295">
        <v>1</v>
      </c>
      <c r="E295">
        <v>59.56</v>
      </c>
      <c r="F295">
        <v>41.69</v>
      </c>
      <c r="G295">
        <v>17.87</v>
      </c>
      <c r="H295" s="2">
        <v>0.3</v>
      </c>
      <c r="I295">
        <v>1</v>
      </c>
      <c r="J295">
        <v>41.69</v>
      </c>
      <c r="K295" s="1">
        <v>45790</v>
      </c>
      <c r="L295" t="s">
        <v>15</v>
      </c>
      <c r="M295" t="s">
        <v>11</v>
      </c>
      <c r="N295">
        <f>salesitems[[#This Row],[quantity]]*salesitems[[#This Row],[unit_price]]</f>
        <v>41.69</v>
      </c>
      <c r="O295" t="str">
        <f>_xlfn.XLOOKUP(salesitems[[#This Row],[product_id]],products[product_id],products[product_name])</f>
        <v>Essential Silk Shoes</v>
      </c>
      <c r="P295" t="str">
        <f>_xlfn.XLOOKUP(salesitems[[#This Row],[product_id]],fashion_store_products!A:A,fashion_store_products!C:C)</f>
        <v>Shoes</v>
      </c>
    </row>
    <row r="296" spans="1:16" x14ac:dyDescent="0.45">
      <c r="A296">
        <v>2724</v>
      </c>
      <c r="B296">
        <v>486</v>
      </c>
      <c r="C296">
        <v>423</v>
      </c>
      <c r="D296">
        <v>1</v>
      </c>
      <c r="E296">
        <v>41.64</v>
      </c>
      <c r="F296">
        <v>41.64</v>
      </c>
      <c r="G296">
        <v>0</v>
      </c>
      <c r="H296" s="2">
        <v>0</v>
      </c>
      <c r="I296">
        <v>0</v>
      </c>
      <c r="J296">
        <v>41.64</v>
      </c>
      <c r="K296" s="1">
        <v>45766</v>
      </c>
      <c r="L296" t="s">
        <v>15</v>
      </c>
      <c r="M296" t="s">
        <v>15</v>
      </c>
      <c r="N296">
        <f>salesitems[[#This Row],[quantity]]*salesitems[[#This Row],[unit_price]]</f>
        <v>41.64</v>
      </c>
      <c r="O296" t="str">
        <f>_xlfn.XLOOKUP(salesitems[[#This Row],[product_id]],products[product_id],products[product_name])</f>
        <v>Elegant Boxy Tee</v>
      </c>
      <c r="P296" t="str">
        <f>_xlfn.XLOOKUP(salesitems[[#This Row],[product_id]],fashion_store_products!A:A,fashion_store_products!C:C)</f>
        <v>T-Shirts</v>
      </c>
    </row>
    <row r="297" spans="1:16" x14ac:dyDescent="0.45">
      <c r="A297">
        <v>495</v>
      </c>
      <c r="B297">
        <v>386</v>
      </c>
      <c r="C297">
        <v>157</v>
      </c>
      <c r="D297">
        <v>1</v>
      </c>
      <c r="E297">
        <v>41.56</v>
      </c>
      <c r="F297">
        <v>41.56</v>
      </c>
      <c r="G297">
        <v>0</v>
      </c>
      <c r="H297" s="2">
        <v>0</v>
      </c>
      <c r="I297">
        <v>0</v>
      </c>
      <c r="J297">
        <v>41.56</v>
      </c>
      <c r="K297" s="1">
        <v>45768</v>
      </c>
      <c r="L297" t="s">
        <v>15</v>
      </c>
      <c r="M297" t="s">
        <v>15</v>
      </c>
      <c r="N297">
        <f>salesitems[[#This Row],[quantity]]*salesitems[[#This Row],[unit_price]]</f>
        <v>41.56</v>
      </c>
      <c r="O297" t="str">
        <f>_xlfn.XLOOKUP(salesitems[[#This Row],[product_id]],products[product_id],products[product_name])</f>
        <v>Classic Sleeveless Set</v>
      </c>
      <c r="P297" t="str">
        <f>_xlfn.XLOOKUP(salesitems[[#This Row],[product_id]],fashion_store_products!A:A,fashion_store_products!C:C)</f>
        <v>Sleepwear</v>
      </c>
    </row>
    <row r="298" spans="1:16" x14ac:dyDescent="0.45">
      <c r="A298">
        <v>967</v>
      </c>
      <c r="B298">
        <v>427</v>
      </c>
      <c r="C298">
        <v>289</v>
      </c>
      <c r="D298">
        <v>1</v>
      </c>
      <c r="E298">
        <v>41.51</v>
      </c>
      <c r="F298">
        <v>41.51</v>
      </c>
      <c r="G298">
        <v>0</v>
      </c>
      <c r="H298" s="2">
        <v>0</v>
      </c>
      <c r="I298">
        <v>0</v>
      </c>
      <c r="J298">
        <v>41.51</v>
      </c>
      <c r="K298" s="1">
        <v>45825</v>
      </c>
      <c r="L298" t="s">
        <v>15</v>
      </c>
      <c r="M298" t="s">
        <v>15</v>
      </c>
      <c r="N298">
        <f>salesitems[[#This Row],[quantity]]*salesitems[[#This Row],[unit_price]]</f>
        <v>41.51</v>
      </c>
      <c r="O298" t="str">
        <f>_xlfn.XLOOKUP(salesitems[[#This Row],[product_id]],products[product_id],products[product_name])</f>
        <v>Relaxed High-Waist Dress</v>
      </c>
      <c r="P298" t="str">
        <f>_xlfn.XLOOKUP(salesitems[[#This Row],[product_id]],fashion_store_products!A:A,fashion_store_products!C:C)</f>
        <v>Dresses</v>
      </c>
    </row>
    <row r="299" spans="1:16" x14ac:dyDescent="0.45">
      <c r="A299">
        <v>1477</v>
      </c>
      <c r="B299">
        <v>626</v>
      </c>
      <c r="C299">
        <v>86</v>
      </c>
      <c r="D299">
        <v>1</v>
      </c>
      <c r="E299">
        <v>41.26</v>
      </c>
      <c r="F299">
        <v>41.26</v>
      </c>
      <c r="G299">
        <v>0</v>
      </c>
      <c r="H299" s="2">
        <v>0</v>
      </c>
      <c r="I299">
        <v>0</v>
      </c>
      <c r="J299">
        <v>41.26</v>
      </c>
      <c r="K299" s="1">
        <v>45771</v>
      </c>
      <c r="L299" t="s">
        <v>15</v>
      </c>
      <c r="M299" t="s">
        <v>15</v>
      </c>
      <c r="N299">
        <f>salesitems[[#This Row],[quantity]]*salesitems[[#This Row],[unit_price]]</f>
        <v>41.26</v>
      </c>
      <c r="O299" t="str">
        <f>_xlfn.XLOOKUP(salesitems[[#This Row],[product_id]],products[product_id],products[product_name])</f>
        <v>Modern Cotton Set</v>
      </c>
      <c r="P299" t="str">
        <f>_xlfn.XLOOKUP(salesitems[[#This Row],[product_id]],fashion_store_products!A:A,fashion_store_products!C:C)</f>
        <v>Sleepwear</v>
      </c>
    </row>
    <row r="300" spans="1:16" x14ac:dyDescent="0.45">
      <c r="A300">
        <v>1806</v>
      </c>
      <c r="B300">
        <v>306</v>
      </c>
      <c r="C300">
        <v>86</v>
      </c>
      <c r="D300">
        <v>1</v>
      </c>
      <c r="E300">
        <v>41.26</v>
      </c>
      <c r="F300">
        <v>41.26</v>
      </c>
      <c r="G300">
        <v>0</v>
      </c>
      <c r="H300" s="2">
        <v>0</v>
      </c>
      <c r="I300">
        <v>0</v>
      </c>
      <c r="J300">
        <v>41.26</v>
      </c>
      <c r="K300" s="1">
        <v>45773</v>
      </c>
      <c r="L300" t="s">
        <v>21</v>
      </c>
      <c r="M300" t="s">
        <v>18</v>
      </c>
      <c r="N300">
        <f>salesitems[[#This Row],[quantity]]*salesitems[[#This Row],[unit_price]]</f>
        <v>41.26</v>
      </c>
      <c r="O300" t="str">
        <f>_xlfn.XLOOKUP(salesitems[[#This Row],[product_id]],products[product_id],products[product_name])</f>
        <v>Modern Cotton Set</v>
      </c>
      <c r="P300" t="str">
        <f>_xlfn.XLOOKUP(salesitems[[#This Row],[product_id]],fashion_store_products!A:A,fashion_store_products!C:C)</f>
        <v>Sleepwear</v>
      </c>
    </row>
    <row r="301" spans="1:16" x14ac:dyDescent="0.45">
      <c r="A301">
        <v>4</v>
      </c>
      <c r="B301">
        <v>468</v>
      </c>
      <c r="C301">
        <v>18</v>
      </c>
      <c r="D301">
        <v>1</v>
      </c>
      <c r="E301">
        <v>40.99</v>
      </c>
      <c r="F301">
        <v>40.99</v>
      </c>
      <c r="G301">
        <v>0</v>
      </c>
      <c r="H301" s="2">
        <v>0</v>
      </c>
      <c r="I301">
        <v>0</v>
      </c>
      <c r="J301">
        <v>40.99</v>
      </c>
      <c r="K301" s="1">
        <v>45782</v>
      </c>
      <c r="L301" t="s">
        <v>15</v>
      </c>
      <c r="M301" t="s">
        <v>15</v>
      </c>
      <c r="N301">
        <f>salesitems[[#This Row],[quantity]]*salesitems[[#This Row],[unit_price]]</f>
        <v>40.99</v>
      </c>
      <c r="O301" t="str">
        <f>_xlfn.XLOOKUP(salesitems[[#This Row],[product_id]],products[product_id],products[product_name])</f>
        <v>Soft Satin Shoes</v>
      </c>
      <c r="P301" t="str">
        <f>_xlfn.XLOOKUP(salesitems[[#This Row],[product_id]],fashion_store_products!A:A,fashion_store_products!C:C)</f>
        <v>Shoes</v>
      </c>
    </row>
    <row r="302" spans="1:16" x14ac:dyDescent="0.45">
      <c r="A302">
        <v>387</v>
      </c>
      <c r="B302">
        <v>349</v>
      </c>
      <c r="C302">
        <v>18</v>
      </c>
      <c r="D302">
        <v>1</v>
      </c>
      <c r="E302">
        <v>40.99</v>
      </c>
      <c r="F302">
        <v>40.99</v>
      </c>
      <c r="G302">
        <v>0</v>
      </c>
      <c r="H302" s="2">
        <v>0</v>
      </c>
      <c r="I302">
        <v>0</v>
      </c>
      <c r="J302">
        <v>40.99</v>
      </c>
      <c r="K302" s="1">
        <v>45823</v>
      </c>
      <c r="L302" t="s">
        <v>15</v>
      </c>
      <c r="M302" t="s">
        <v>15</v>
      </c>
      <c r="N302">
        <f>salesitems[[#This Row],[quantity]]*salesitems[[#This Row],[unit_price]]</f>
        <v>40.99</v>
      </c>
      <c r="O302" t="str">
        <f>_xlfn.XLOOKUP(salesitems[[#This Row],[product_id]],products[product_id],products[product_name])</f>
        <v>Soft Satin Shoes</v>
      </c>
      <c r="P302" t="str">
        <f>_xlfn.XLOOKUP(salesitems[[#This Row],[product_id]],fashion_store_products!A:A,fashion_store_products!C:C)</f>
        <v>Shoes</v>
      </c>
    </row>
    <row r="303" spans="1:16" x14ac:dyDescent="0.45">
      <c r="A303">
        <v>1242</v>
      </c>
      <c r="B303">
        <v>966</v>
      </c>
      <c r="C303">
        <v>18</v>
      </c>
      <c r="D303">
        <v>1</v>
      </c>
      <c r="E303">
        <v>40.99</v>
      </c>
      <c r="F303">
        <v>40.99</v>
      </c>
      <c r="G303">
        <v>0</v>
      </c>
      <c r="H303" s="2">
        <v>0</v>
      </c>
      <c r="I303">
        <v>0</v>
      </c>
      <c r="J303">
        <v>40.99</v>
      </c>
      <c r="K303" s="1">
        <v>45794</v>
      </c>
      <c r="L303" t="s">
        <v>21</v>
      </c>
      <c r="M303" t="s">
        <v>18</v>
      </c>
      <c r="N303">
        <f>salesitems[[#This Row],[quantity]]*salesitems[[#This Row],[unit_price]]</f>
        <v>40.99</v>
      </c>
      <c r="O303" t="str">
        <f>_xlfn.XLOOKUP(salesitems[[#This Row],[product_id]],products[product_id],products[product_name])</f>
        <v>Soft Satin Shoes</v>
      </c>
      <c r="P303" t="str">
        <f>_xlfn.XLOOKUP(salesitems[[#This Row],[product_id]],fashion_store_products!A:A,fashion_store_products!C:C)</f>
        <v>Shoes</v>
      </c>
    </row>
    <row r="304" spans="1:16" x14ac:dyDescent="0.45">
      <c r="A304">
        <v>984</v>
      </c>
      <c r="B304">
        <v>525</v>
      </c>
      <c r="C304">
        <v>471</v>
      </c>
      <c r="D304">
        <v>1</v>
      </c>
      <c r="E304">
        <v>40.92</v>
      </c>
      <c r="F304">
        <v>40.92</v>
      </c>
      <c r="G304">
        <v>0</v>
      </c>
      <c r="H304" s="2">
        <v>0</v>
      </c>
      <c r="I304">
        <v>0</v>
      </c>
      <c r="J304">
        <v>40.92</v>
      </c>
      <c r="K304" s="1">
        <v>45798</v>
      </c>
      <c r="L304" t="s">
        <v>15</v>
      </c>
      <c r="M304" t="s">
        <v>15</v>
      </c>
      <c r="N304">
        <f>salesitems[[#This Row],[quantity]]*salesitems[[#This Row],[unit_price]]</f>
        <v>40.92</v>
      </c>
      <c r="O304" t="str">
        <f>_xlfn.XLOOKUP(salesitems[[#This Row],[product_id]],products[product_id],products[product_name])</f>
        <v>T-Shirts Drop 1</v>
      </c>
      <c r="P304" t="str">
        <f>_xlfn.XLOOKUP(salesitems[[#This Row],[product_id]],fashion_store_products!A:A,fashion_store_products!C:C)</f>
        <v>T-Shirts</v>
      </c>
    </row>
    <row r="305" spans="1:16" x14ac:dyDescent="0.45">
      <c r="A305">
        <v>1289</v>
      </c>
      <c r="B305">
        <v>971</v>
      </c>
      <c r="C305">
        <v>471</v>
      </c>
      <c r="D305">
        <v>1</v>
      </c>
      <c r="E305">
        <v>40.92</v>
      </c>
      <c r="F305">
        <v>40.92</v>
      </c>
      <c r="G305">
        <v>0</v>
      </c>
      <c r="H305" s="2">
        <v>0</v>
      </c>
      <c r="I305">
        <v>0</v>
      </c>
      <c r="J305">
        <v>40.92</v>
      </c>
      <c r="K305" s="1">
        <v>45798</v>
      </c>
      <c r="L305" t="s">
        <v>15</v>
      </c>
      <c r="M305" t="s">
        <v>15</v>
      </c>
      <c r="N305">
        <f>salesitems[[#This Row],[quantity]]*salesitems[[#This Row],[unit_price]]</f>
        <v>40.92</v>
      </c>
      <c r="O305" t="str">
        <f>_xlfn.XLOOKUP(salesitems[[#This Row],[product_id]],products[product_id],products[product_name])</f>
        <v>T-Shirts Drop 1</v>
      </c>
      <c r="P305" t="str">
        <f>_xlfn.XLOOKUP(salesitems[[#This Row],[product_id]],fashion_store_products!A:A,fashion_store_products!C:C)</f>
        <v>T-Shirts</v>
      </c>
    </row>
    <row r="306" spans="1:16" x14ac:dyDescent="0.45">
      <c r="A306">
        <v>2048</v>
      </c>
      <c r="B306">
        <v>618</v>
      </c>
      <c r="C306">
        <v>471</v>
      </c>
      <c r="D306">
        <v>1</v>
      </c>
      <c r="E306">
        <v>40.92</v>
      </c>
      <c r="F306">
        <v>40.92</v>
      </c>
      <c r="G306">
        <v>0</v>
      </c>
      <c r="H306" s="2">
        <v>0</v>
      </c>
      <c r="I306">
        <v>0</v>
      </c>
      <c r="J306">
        <v>40.92</v>
      </c>
      <c r="K306" s="1">
        <v>45766</v>
      </c>
      <c r="L306" t="s">
        <v>15</v>
      </c>
      <c r="M306" t="s">
        <v>15</v>
      </c>
      <c r="N306">
        <f>salesitems[[#This Row],[quantity]]*salesitems[[#This Row],[unit_price]]</f>
        <v>40.92</v>
      </c>
      <c r="O306" t="str">
        <f>_xlfn.XLOOKUP(salesitems[[#This Row],[product_id]],products[product_id],products[product_name])</f>
        <v>T-Shirts Drop 1</v>
      </c>
      <c r="P306" t="str">
        <f>_xlfn.XLOOKUP(salesitems[[#This Row],[product_id]],fashion_store_products!A:A,fashion_store_products!C:C)</f>
        <v>T-Shirts</v>
      </c>
    </row>
    <row r="307" spans="1:16" x14ac:dyDescent="0.45">
      <c r="A307">
        <v>3242</v>
      </c>
      <c r="B307">
        <v>297</v>
      </c>
      <c r="C307">
        <v>366</v>
      </c>
      <c r="D307">
        <v>1</v>
      </c>
      <c r="E307">
        <v>58.34</v>
      </c>
      <c r="F307">
        <v>40.840000000000003</v>
      </c>
      <c r="G307">
        <v>17.5</v>
      </c>
      <c r="H307" s="2">
        <v>0.3</v>
      </c>
      <c r="I307">
        <v>1</v>
      </c>
      <c r="J307">
        <v>40.840000000000003</v>
      </c>
      <c r="K307" s="1">
        <v>45794</v>
      </c>
      <c r="L307" t="s">
        <v>15</v>
      </c>
      <c r="M307" t="s">
        <v>11</v>
      </c>
      <c r="N307">
        <f>salesitems[[#This Row],[quantity]]*salesitems[[#This Row],[unit_price]]</f>
        <v>40.840000000000003</v>
      </c>
      <c r="O307" t="str">
        <f>_xlfn.XLOOKUP(salesitems[[#This Row],[product_id]],products[product_id],products[product_name])</f>
        <v>Essential Wrap Trousers</v>
      </c>
      <c r="P307" t="str">
        <f>_xlfn.XLOOKUP(salesitems[[#This Row],[product_id]],fashion_store_products!A:A,fashion_store_products!C:C)</f>
        <v>Pants</v>
      </c>
    </row>
    <row r="308" spans="1:16" x14ac:dyDescent="0.45">
      <c r="A308">
        <v>94</v>
      </c>
      <c r="B308">
        <v>558</v>
      </c>
      <c r="C308">
        <v>22</v>
      </c>
      <c r="D308">
        <v>1</v>
      </c>
      <c r="E308">
        <v>58.26</v>
      </c>
      <c r="F308">
        <v>40.78</v>
      </c>
      <c r="G308">
        <v>17.48</v>
      </c>
      <c r="H308" s="2">
        <v>0.3</v>
      </c>
      <c r="I308">
        <v>1</v>
      </c>
      <c r="J308">
        <v>40.78</v>
      </c>
      <c r="K308" s="1">
        <v>45794</v>
      </c>
      <c r="L308" t="s">
        <v>15</v>
      </c>
      <c r="M308" t="s">
        <v>11</v>
      </c>
      <c r="N308">
        <f>salesitems[[#This Row],[quantity]]*salesitems[[#This Row],[unit_price]]</f>
        <v>40.78</v>
      </c>
      <c r="O308" t="str">
        <f>_xlfn.XLOOKUP(salesitems[[#This Row],[product_id]],products[product_id],products[product_name])</f>
        <v>Soft Satin Tee</v>
      </c>
      <c r="P308" t="str">
        <f>_xlfn.XLOOKUP(salesitems[[#This Row],[product_id]],fashion_store_products!A:A,fashion_store_products!C:C)</f>
        <v>T-Shirts</v>
      </c>
    </row>
    <row r="309" spans="1:16" x14ac:dyDescent="0.45">
      <c r="A309">
        <v>1093</v>
      </c>
      <c r="B309">
        <v>834</v>
      </c>
      <c r="C309">
        <v>293</v>
      </c>
      <c r="D309">
        <v>1</v>
      </c>
      <c r="E309">
        <v>40.770000000000003</v>
      </c>
      <c r="F309">
        <v>40.770000000000003</v>
      </c>
      <c r="G309">
        <v>0</v>
      </c>
      <c r="H309" s="2">
        <v>0</v>
      </c>
      <c r="I309">
        <v>0</v>
      </c>
      <c r="J309">
        <v>40.770000000000003</v>
      </c>
      <c r="K309" s="1">
        <v>45825</v>
      </c>
      <c r="L309" t="s">
        <v>15</v>
      </c>
      <c r="M309" t="s">
        <v>15</v>
      </c>
      <c r="N309">
        <f>salesitems[[#This Row],[quantity]]*salesitems[[#This Row],[unit_price]]</f>
        <v>40.770000000000003</v>
      </c>
      <c r="O309" t="str">
        <f>_xlfn.XLOOKUP(salesitems[[#This Row],[product_id]],products[product_id],products[product_name])</f>
        <v>Essential Crew Shoes</v>
      </c>
      <c r="P309" t="str">
        <f>_xlfn.XLOOKUP(salesitems[[#This Row],[product_id]],fashion_store_products!A:A,fashion_store_products!C:C)</f>
        <v>Shoes</v>
      </c>
    </row>
    <row r="310" spans="1:16" x14ac:dyDescent="0.45">
      <c r="A310">
        <v>1596</v>
      </c>
      <c r="B310">
        <v>200</v>
      </c>
      <c r="C310">
        <v>293</v>
      </c>
      <c r="D310">
        <v>1</v>
      </c>
      <c r="E310">
        <v>40.770000000000003</v>
      </c>
      <c r="F310">
        <v>40.770000000000003</v>
      </c>
      <c r="G310">
        <v>0</v>
      </c>
      <c r="H310" s="2">
        <v>0</v>
      </c>
      <c r="I310">
        <v>0</v>
      </c>
      <c r="J310">
        <v>40.770000000000003</v>
      </c>
      <c r="K310" s="1">
        <v>45781</v>
      </c>
      <c r="L310" t="s">
        <v>15</v>
      </c>
      <c r="M310" t="s">
        <v>15</v>
      </c>
      <c r="N310">
        <f>salesitems[[#This Row],[quantity]]*salesitems[[#This Row],[unit_price]]</f>
        <v>40.770000000000003</v>
      </c>
      <c r="O310" t="str">
        <f>_xlfn.XLOOKUP(salesitems[[#This Row],[product_id]],products[product_id],products[product_name])</f>
        <v>Essential Crew Shoes</v>
      </c>
      <c r="P310" t="str">
        <f>_xlfn.XLOOKUP(salesitems[[#This Row],[product_id]],fashion_store_products!A:A,fashion_store_products!C:C)</f>
        <v>Shoes</v>
      </c>
    </row>
    <row r="311" spans="1:16" x14ac:dyDescent="0.45">
      <c r="A311">
        <v>2328</v>
      </c>
      <c r="B311">
        <v>750</v>
      </c>
      <c r="C311">
        <v>293</v>
      </c>
      <c r="D311">
        <v>1</v>
      </c>
      <c r="E311">
        <v>40.770000000000003</v>
      </c>
      <c r="F311">
        <v>40.770000000000003</v>
      </c>
      <c r="G311">
        <v>0</v>
      </c>
      <c r="H311" s="2">
        <v>0</v>
      </c>
      <c r="I311">
        <v>0</v>
      </c>
      <c r="J311">
        <v>40.770000000000003</v>
      </c>
      <c r="K311" s="1">
        <v>45763</v>
      </c>
      <c r="L311" t="s">
        <v>21</v>
      </c>
      <c r="M311" t="s">
        <v>18</v>
      </c>
      <c r="N311">
        <f>salesitems[[#This Row],[quantity]]*salesitems[[#This Row],[unit_price]]</f>
        <v>40.770000000000003</v>
      </c>
      <c r="O311" t="str">
        <f>_xlfn.XLOOKUP(salesitems[[#This Row],[product_id]],products[product_id],products[product_name])</f>
        <v>Essential Crew Shoes</v>
      </c>
      <c r="P311" t="str">
        <f>_xlfn.XLOOKUP(salesitems[[#This Row],[product_id]],fashion_store_products!A:A,fashion_store_products!C:C)</f>
        <v>Shoes</v>
      </c>
    </row>
    <row r="312" spans="1:16" x14ac:dyDescent="0.45">
      <c r="A312">
        <v>341</v>
      </c>
      <c r="B312">
        <v>44</v>
      </c>
      <c r="C312">
        <v>106</v>
      </c>
      <c r="D312">
        <v>1</v>
      </c>
      <c r="E312">
        <v>40.75</v>
      </c>
      <c r="F312">
        <v>40.75</v>
      </c>
      <c r="G312">
        <v>0</v>
      </c>
      <c r="H312" s="2">
        <v>0</v>
      </c>
      <c r="I312">
        <v>0</v>
      </c>
      <c r="J312">
        <v>40.75</v>
      </c>
      <c r="K312" s="1">
        <v>45791</v>
      </c>
      <c r="L312" t="s">
        <v>21</v>
      </c>
      <c r="M312" t="s">
        <v>18</v>
      </c>
      <c r="N312">
        <f>salesitems[[#This Row],[quantity]]*salesitems[[#This Row],[unit_price]]</f>
        <v>40.75</v>
      </c>
      <c r="O312" t="str">
        <f>_xlfn.XLOOKUP(salesitems[[#This Row],[product_id]],products[product_id],products[product_name])</f>
        <v>Classic Satin Tee</v>
      </c>
      <c r="P312" t="str">
        <f>_xlfn.XLOOKUP(salesitems[[#This Row],[product_id]],fashion_store_products!A:A,fashion_store_products!C:C)</f>
        <v>T-Shirts</v>
      </c>
    </row>
    <row r="313" spans="1:16" x14ac:dyDescent="0.45">
      <c r="A313">
        <v>2604</v>
      </c>
      <c r="B313">
        <v>392</v>
      </c>
      <c r="C313">
        <v>106</v>
      </c>
      <c r="D313">
        <v>1</v>
      </c>
      <c r="E313">
        <v>40.75</v>
      </c>
      <c r="F313">
        <v>40.75</v>
      </c>
      <c r="G313">
        <v>0</v>
      </c>
      <c r="H313" s="2">
        <v>0</v>
      </c>
      <c r="I313">
        <v>0</v>
      </c>
      <c r="J313">
        <v>40.75</v>
      </c>
      <c r="K313" s="1">
        <v>45798</v>
      </c>
      <c r="L313" t="s">
        <v>21</v>
      </c>
      <c r="M313" t="s">
        <v>18</v>
      </c>
      <c r="N313">
        <f>salesitems[[#This Row],[quantity]]*salesitems[[#This Row],[unit_price]]</f>
        <v>40.75</v>
      </c>
      <c r="O313" t="str">
        <f>_xlfn.XLOOKUP(salesitems[[#This Row],[product_id]],products[product_id],products[product_name])</f>
        <v>Classic Satin Tee</v>
      </c>
      <c r="P313" t="str">
        <f>_xlfn.XLOOKUP(salesitems[[#This Row],[product_id]],fashion_store_products!A:A,fashion_store_products!C:C)</f>
        <v>T-Shirts</v>
      </c>
    </row>
    <row r="314" spans="1:16" x14ac:dyDescent="0.45">
      <c r="A314">
        <v>1528</v>
      </c>
      <c r="B314">
        <v>323</v>
      </c>
      <c r="C314">
        <v>9</v>
      </c>
      <c r="D314">
        <v>1</v>
      </c>
      <c r="E314">
        <v>40.5</v>
      </c>
      <c r="F314">
        <v>40.5</v>
      </c>
      <c r="G314">
        <v>0</v>
      </c>
      <c r="H314" s="2">
        <v>0</v>
      </c>
      <c r="I314">
        <v>0</v>
      </c>
      <c r="J314">
        <v>40.5</v>
      </c>
      <c r="K314" s="1">
        <v>45783</v>
      </c>
      <c r="L314" t="s">
        <v>21</v>
      </c>
      <c r="M314" t="s">
        <v>18</v>
      </c>
      <c r="N314">
        <f>salesitems[[#This Row],[quantity]]*salesitems[[#This Row],[unit_price]]</f>
        <v>40.5</v>
      </c>
      <c r="O314" t="str">
        <f>_xlfn.XLOOKUP(salesitems[[#This Row],[product_id]],products[product_id],products[product_name])</f>
        <v>Soft Linen Shoes</v>
      </c>
      <c r="P314" t="str">
        <f>_xlfn.XLOOKUP(salesitems[[#This Row],[product_id]],fashion_store_products!A:A,fashion_store_products!C:C)</f>
        <v>Shoes</v>
      </c>
    </row>
    <row r="315" spans="1:16" x14ac:dyDescent="0.45">
      <c r="A315">
        <v>2929</v>
      </c>
      <c r="B315">
        <v>281</v>
      </c>
      <c r="C315">
        <v>83</v>
      </c>
      <c r="D315">
        <v>1</v>
      </c>
      <c r="E315">
        <v>57.8</v>
      </c>
      <c r="F315">
        <v>40.46</v>
      </c>
      <c r="G315">
        <v>17.34</v>
      </c>
      <c r="H315" s="2">
        <v>0.3</v>
      </c>
      <c r="I315">
        <v>1</v>
      </c>
      <c r="J315">
        <v>40.46</v>
      </c>
      <c r="K315" s="1">
        <v>45794</v>
      </c>
      <c r="L315" t="s">
        <v>15</v>
      </c>
      <c r="M315" t="s">
        <v>11</v>
      </c>
      <c r="N315">
        <f>salesitems[[#This Row],[quantity]]*salesitems[[#This Row],[unit_price]]</f>
        <v>40.46</v>
      </c>
      <c r="O315" t="str">
        <f>_xlfn.XLOOKUP(salesitems[[#This Row],[product_id]],products[product_id],products[product_name])</f>
        <v>Modern Sleeveless Tee</v>
      </c>
      <c r="P315" t="str">
        <f>_xlfn.XLOOKUP(salesitems[[#This Row],[product_id]],fashion_store_products!A:A,fashion_store_products!C:C)</f>
        <v>T-Shirts</v>
      </c>
    </row>
    <row r="316" spans="1:16" x14ac:dyDescent="0.45">
      <c r="A316">
        <v>1164</v>
      </c>
      <c r="B316">
        <v>53</v>
      </c>
      <c r="C316">
        <v>16</v>
      </c>
      <c r="D316">
        <v>1</v>
      </c>
      <c r="E316">
        <v>40.36</v>
      </c>
      <c r="F316">
        <v>40.36</v>
      </c>
      <c r="G316">
        <v>0</v>
      </c>
      <c r="H316" s="2">
        <v>0</v>
      </c>
      <c r="I316">
        <v>0</v>
      </c>
      <c r="J316">
        <v>40.36</v>
      </c>
      <c r="K316" s="1">
        <v>45761</v>
      </c>
      <c r="L316" t="s">
        <v>21</v>
      </c>
      <c r="M316" t="s">
        <v>18</v>
      </c>
      <c r="N316">
        <f>salesitems[[#This Row],[quantity]]*salesitems[[#This Row],[unit_price]]</f>
        <v>40.36</v>
      </c>
      <c r="O316" t="str">
        <f>_xlfn.XLOOKUP(salesitems[[#This Row],[product_id]],products[product_id],products[product_name])</f>
        <v>Soft Cotton Trousers</v>
      </c>
      <c r="P316" t="str">
        <f>_xlfn.XLOOKUP(salesitems[[#This Row],[product_id]],fashion_store_products!A:A,fashion_store_products!C:C)</f>
        <v>Pants</v>
      </c>
    </row>
    <row r="317" spans="1:16" x14ac:dyDescent="0.45">
      <c r="A317">
        <v>583</v>
      </c>
      <c r="B317">
        <v>441</v>
      </c>
      <c r="C317">
        <v>92</v>
      </c>
      <c r="D317">
        <v>1</v>
      </c>
      <c r="E317">
        <v>40.25</v>
      </c>
      <c r="F317">
        <v>40.25</v>
      </c>
      <c r="G317">
        <v>0</v>
      </c>
      <c r="H317" s="2">
        <v>0</v>
      </c>
      <c r="I317">
        <v>0</v>
      </c>
      <c r="J317">
        <v>40.25</v>
      </c>
      <c r="K317" s="1">
        <v>45775</v>
      </c>
      <c r="L317" t="s">
        <v>21</v>
      </c>
      <c r="M317" t="s">
        <v>18</v>
      </c>
      <c r="N317">
        <f>salesitems[[#This Row],[quantity]]*salesitems[[#This Row],[unit_price]]</f>
        <v>40.25</v>
      </c>
      <c r="O317" t="str">
        <f>_xlfn.XLOOKUP(salesitems[[#This Row],[product_id]],products[product_id],products[product_name])</f>
        <v>Modern Crew Shoes</v>
      </c>
      <c r="P317" t="str">
        <f>_xlfn.XLOOKUP(salesitems[[#This Row],[product_id]],fashion_store_products!A:A,fashion_store_products!C:C)</f>
        <v>Shoes</v>
      </c>
    </row>
    <row r="318" spans="1:16" x14ac:dyDescent="0.45">
      <c r="A318">
        <v>2279</v>
      </c>
      <c r="B318">
        <v>39</v>
      </c>
      <c r="C318">
        <v>292</v>
      </c>
      <c r="D318">
        <v>1</v>
      </c>
      <c r="E318">
        <v>40.119999999999997</v>
      </c>
      <c r="F318">
        <v>40.119999999999997</v>
      </c>
      <c r="G318">
        <v>0</v>
      </c>
      <c r="H318" s="2">
        <v>0</v>
      </c>
      <c r="I318">
        <v>0</v>
      </c>
      <c r="J318">
        <v>40.119999999999997</v>
      </c>
      <c r="K318" s="1">
        <v>45791</v>
      </c>
      <c r="L318" t="s">
        <v>21</v>
      </c>
      <c r="M318" t="s">
        <v>18</v>
      </c>
      <c r="N318">
        <f>salesitems[[#This Row],[quantity]]*salesitems[[#This Row],[unit_price]]</f>
        <v>40.119999999999997</v>
      </c>
      <c r="O318" t="str">
        <f>_xlfn.XLOOKUP(salesitems[[#This Row],[product_id]],products[product_id],products[product_name])</f>
        <v>Essential Cotton Tee</v>
      </c>
      <c r="P318" t="str">
        <f>_xlfn.XLOOKUP(salesitems[[#This Row],[product_id]],fashion_store_products!A:A,fashion_store_products!C:C)</f>
        <v>T-Shirts</v>
      </c>
    </row>
    <row r="319" spans="1:16" x14ac:dyDescent="0.45">
      <c r="A319">
        <v>3073</v>
      </c>
      <c r="B319">
        <v>875</v>
      </c>
      <c r="C319">
        <v>407</v>
      </c>
      <c r="D319">
        <v>1</v>
      </c>
      <c r="E319">
        <v>56.84</v>
      </c>
      <c r="F319">
        <v>39.79</v>
      </c>
      <c r="G319">
        <v>17.05</v>
      </c>
      <c r="H319" s="2">
        <v>0.3</v>
      </c>
      <c r="I319">
        <v>1</v>
      </c>
      <c r="J319">
        <v>39.79</v>
      </c>
      <c r="K319" s="1">
        <v>45794</v>
      </c>
      <c r="L319" t="s">
        <v>15</v>
      </c>
      <c r="M319" t="s">
        <v>11</v>
      </c>
      <c r="N319">
        <f>salesitems[[#This Row],[quantity]]*salesitems[[#This Row],[unit_price]]</f>
        <v>39.79</v>
      </c>
      <c r="O319" t="str">
        <f>_xlfn.XLOOKUP(salesitems[[#This Row],[product_id]],products[product_id],products[product_name])</f>
        <v>Elegant Sleeveless Tee</v>
      </c>
      <c r="P319" t="str">
        <f>_xlfn.XLOOKUP(salesitems[[#This Row],[product_id]],fashion_store_products!A:A,fashion_store_products!C:C)</f>
        <v>T-Shirts</v>
      </c>
    </row>
    <row r="320" spans="1:16" x14ac:dyDescent="0.45">
      <c r="A320">
        <v>1031</v>
      </c>
      <c r="B320">
        <v>478</v>
      </c>
      <c r="C320">
        <v>325</v>
      </c>
      <c r="D320">
        <v>1</v>
      </c>
      <c r="E320">
        <v>39.78</v>
      </c>
      <c r="F320">
        <v>39.78</v>
      </c>
      <c r="G320">
        <v>0</v>
      </c>
      <c r="H320" s="2">
        <v>0</v>
      </c>
      <c r="I320">
        <v>0</v>
      </c>
      <c r="J320">
        <v>39.78</v>
      </c>
      <c r="K320" s="1">
        <v>45761</v>
      </c>
      <c r="L320" t="s">
        <v>15</v>
      </c>
      <c r="M320" t="s">
        <v>15</v>
      </c>
      <c r="N320">
        <f>salesitems[[#This Row],[quantity]]*salesitems[[#This Row],[unit_price]]</f>
        <v>39.78</v>
      </c>
      <c r="O320" t="str">
        <f>_xlfn.XLOOKUP(salesitems[[#This Row],[product_id]],products[product_id],products[product_name])</f>
        <v>Tailored Linen Shoes</v>
      </c>
      <c r="P320" t="str">
        <f>_xlfn.XLOOKUP(salesitems[[#This Row],[product_id]],fashion_store_products!A:A,fashion_store_products!C:C)</f>
        <v>Shoes</v>
      </c>
    </row>
    <row r="321" spans="1:16" x14ac:dyDescent="0.45">
      <c r="A321">
        <v>1366</v>
      </c>
      <c r="B321">
        <v>706</v>
      </c>
      <c r="C321">
        <v>226</v>
      </c>
      <c r="D321">
        <v>1</v>
      </c>
      <c r="E321">
        <v>39.78</v>
      </c>
      <c r="F321">
        <v>39.78</v>
      </c>
      <c r="G321">
        <v>0</v>
      </c>
      <c r="H321" s="2">
        <v>0</v>
      </c>
      <c r="I321">
        <v>0</v>
      </c>
      <c r="J321">
        <v>39.78</v>
      </c>
      <c r="K321" s="1">
        <v>45782</v>
      </c>
      <c r="L321" t="s">
        <v>15</v>
      </c>
      <c r="M321" t="s">
        <v>15</v>
      </c>
      <c r="N321">
        <f>salesitems[[#This Row],[quantity]]*salesitems[[#This Row],[unit_price]]</f>
        <v>39.78</v>
      </c>
      <c r="O321" t="str">
        <f>_xlfn.XLOOKUP(salesitems[[#This Row],[product_id]],products[product_id],products[product_name])</f>
        <v>Polished Linen Set</v>
      </c>
      <c r="P321" t="str">
        <f>_xlfn.XLOOKUP(salesitems[[#This Row],[product_id]],fashion_store_products!A:A,fashion_store_products!C:C)</f>
        <v>Sleepwear</v>
      </c>
    </row>
    <row r="322" spans="1:16" x14ac:dyDescent="0.45">
      <c r="A322">
        <v>2032</v>
      </c>
      <c r="B322">
        <v>154</v>
      </c>
      <c r="C322">
        <v>325</v>
      </c>
      <c r="D322">
        <v>1</v>
      </c>
      <c r="E322">
        <v>39.78</v>
      </c>
      <c r="F322">
        <v>39.78</v>
      </c>
      <c r="G322">
        <v>0</v>
      </c>
      <c r="H322" s="2">
        <v>0</v>
      </c>
      <c r="I322">
        <v>0</v>
      </c>
      <c r="J322">
        <v>39.78</v>
      </c>
      <c r="K322" s="1">
        <v>45769</v>
      </c>
      <c r="L322" t="s">
        <v>21</v>
      </c>
      <c r="M322" t="s">
        <v>18</v>
      </c>
      <c r="N322">
        <f>salesitems[[#This Row],[quantity]]*salesitems[[#This Row],[unit_price]]</f>
        <v>39.78</v>
      </c>
      <c r="O322" t="str">
        <f>_xlfn.XLOOKUP(salesitems[[#This Row],[product_id]],products[product_id],products[product_name])</f>
        <v>Tailored Linen Shoes</v>
      </c>
      <c r="P322" t="str">
        <f>_xlfn.XLOOKUP(salesitems[[#This Row],[product_id]],fashion_store_products!A:A,fashion_store_products!C:C)</f>
        <v>Shoes</v>
      </c>
    </row>
    <row r="323" spans="1:16" x14ac:dyDescent="0.45">
      <c r="A323">
        <v>2802</v>
      </c>
      <c r="B323">
        <v>947</v>
      </c>
      <c r="C323">
        <v>283</v>
      </c>
      <c r="D323">
        <v>1</v>
      </c>
      <c r="E323">
        <v>39.619999999999997</v>
      </c>
      <c r="F323">
        <v>39.619999999999997</v>
      </c>
      <c r="G323">
        <v>0</v>
      </c>
      <c r="H323" s="2">
        <v>0</v>
      </c>
      <c r="I323">
        <v>0</v>
      </c>
      <c r="J323">
        <v>39.619999999999997</v>
      </c>
      <c r="K323" s="1">
        <v>45824</v>
      </c>
      <c r="L323" t="s">
        <v>21</v>
      </c>
      <c r="M323" t="s">
        <v>18</v>
      </c>
      <c r="N323">
        <f>salesitems[[#This Row],[quantity]]*salesitems[[#This Row],[unit_price]]</f>
        <v>39.619999999999997</v>
      </c>
      <c r="O323" t="str">
        <f>_xlfn.XLOOKUP(salesitems[[#This Row],[product_id]],products[product_id],products[product_name])</f>
        <v>Essential Ribbed Shoes</v>
      </c>
      <c r="P323" t="str">
        <f>_xlfn.XLOOKUP(salesitems[[#This Row],[product_id]],fashion_store_products!A:A,fashion_store_products!C:C)</f>
        <v>Shoes</v>
      </c>
    </row>
    <row r="324" spans="1:16" x14ac:dyDescent="0.45">
      <c r="A324">
        <v>490</v>
      </c>
      <c r="B324">
        <v>1025</v>
      </c>
      <c r="C324">
        <v>490</v>
      </c>
      <c r="D324">
        <v>1</v>
      </c>
      <c r="E324">
        <v>39.42</v>
      </c>
      <c r="F324">
        <v>39.42</v>
      </c>
      <c r="G324">
        <v>0</v>
      </c>
      <c r="H324" s="2">
        <v>0</v>
      </c>
      <c r="I324">
        <v>0</v>
      </c>
      <c r="J324">
        <v>39.42</v>
      </c>
      <c r="K324" s="1">
        <v>45806</v>
      </c>
      <c r="L324" t="s">
        <v>15</v>
      </c>
      <c r="M324" t="s">
        <v>15</v>
      </c>
      <c r="N324">
        <f>salesitems[[#This Row],[quantity]]*salesitems[[#This Row],[unit_price]]</f>
        <v>39.42</v>
      </c>
      <c r="O324" t="str">
        <f>_xlfn.XLOOKUP(salesitems[[#This Row],[product_id]],products[product_id],products[product_name])</f>
        <v>Bold Boxy Shoes</v>
      </c>
      <c r="P324" t="str">
        <f>_xlfn.XLOOKUP(salesitems[[#This Row],[product_id]],fashion_store_products!A:A,fashion_store_products!C:C)</f>
        <v>Shoes</v>
      </c>
    </row>
    <row r="325" spans="1:16" x14ac:dyDescent="0.45">
      <c r="A325">
        <v>1057</v>
      </c>
      <c r="B325">
        <v>858</v>
      </c>
      <c r="C325">
        <v>178</v>
      </c>
      <c r="D325">
        <v>1</v>
      </c>
      <c r="E325">
        <v>39.340000000000003</v>
      </c>
      <c r="F325">
        <v>39.340000000000003</v>
      </c>
      <c r="G325">
        <v>0</v>
      </c>
      <c r="H325" s="2">
        <v>0</v>
      </c>
      <c r="I325">
        <v>0</v>
      </c>
      <c r="J325">
        <v>39.340000000000003</v>
      </c>
      <c r="K325" s="1">
        <v>45791</v>
      </c>
      <c r="L325" t="s">
        <v>21</v>
      </c>
      <c r="M325" t="s">
        <v>18</v>
      </c>
      <c r="N325">
        <f>salesitems[[#This Row],[quantity]]*salesitems[[#This Row],[unit_price]]</f>
        <v>39.340000000000003</v>
      </c>
      <c r="O325" t="str">
        <f>_xlfn.XLOOKUP(salesitems[[#This Row],[product_id]],products[product_id],products[product_name])</f>
        <v>Classic Boxy Trousers</v>
      </c>
      <c r="P325" t="str">
        <f>_xlfn.XLOOKUP(salesitems[[#This Row],[product_id]],fashion_store_products!A:A,fashion_store_products!C:C)</f>
        <v>Pants</v>
      </c>
    </row>
    <row r="326" spans="1:16" x14ac:dyDescent="0.45">
      <c r="A326">
        <v>1817</v>
      </c>
      <c r="B326">
        <v>106</v>
      </c>
      <c r="C326">
        <v>178</v>
      </c>
      <c r="D326">
        <v>1</v>
      </c>
      <c r="E326">
        <v>39.340000000000003</v>
      </c>
      <c r="F326">
        <v>39.340000000000003</v>
      </c>
      <c r="G326">
        <v>0</v>
      </c>
      <c r="H326" s="2">
        <v>0</v>
      </c>
      <c r="I326">
        <v>0</v>
      </c>
      <c r="J326">
        <v>39.340000000000003</v>
      </c>
      <c r="K326" s="1">
        <v>45772</v>
      </c>
      <c r="L326" t="s">
        <v>21</v>
      </c>
      <c r="M326" t="s">
        <v>18</v>
      </c>
      <c r="N326">
        <f>salesitems[[#This Row],[quantity]]*salesitems[[#This Row],[unit_price]]</f>
        <v>39.340000000000003</v>
      </c>
      <c r="O326" t="str">
        <f>_xlfn.XLOOKUP(salesitems[[#This Row],[product_id]],products[product_id],products[product_name])</f>
        <v>Classic Boxy Trousers</v>
      </c>
      <c r="P326" t="str">
        <f>_xlfn.XLOOKUP(salesitems[[#This Row],[product_id]],fashion_store_products!A:A,fashion_store_products!C:C)</f>
        <v>Pants</v>
      </c>
    </row>
    <row r="327" spans="1:16" x14ac:dyDescent="0.45">
      <c r="A327">
        <v>3205</v>
      </c>
      <c r="B327">
        <v>999</v>
      </c>
      <c r="C327">
        <v>467</v>
      </c>
      <c r="D327">
        <v>1</v>
      </c>
      <c r="E327">
        <v>39.22</v>
      </c>
      <c r="F327">
        <v>39.22</v>
      </c>
      <c r="G327">
        <v>0</v>
      </c>
      <c r="H327" s="2">
        <v>0</v>
      </c>
      <c r="I327">
        <v>0</v>
      </c>
      <c r="J327">
        <v>39.22</v>
      </c>
      <c r="K327" s="1">
        <v>45824</v>
      </c>
      <c r="L327" t="s">
        <v>21</v>
      </c>
      <c r="M327" t="s">
        <v>18</v>
      </c>
      <c r="N327">
        <f>salesitems[[#This Row],[quantity]]*salesitems[[#This Row],[unit_price]]</f>
        <v>39.22</v>
      </c>
      <c r="O327" t="str">
        <f>_xlfn.XLOOKUP(salesitems[[#This Row],[product_id]],products[product_id],products[product_name])</f>
        <v>Tailored Cotton Trousers</v>
      </c>
      <c r="P327" t="str">
        <f>_xlfn.XLOOKUP(salesitems[[#This Row],[product_id]],fashion_store_products!A:A,fashion_store_products!C:C)</f>
        <v>Pants</v>
      </c>
    </row>
    <row r="328" spans="1:16" x14ac:dyDescent="0.45">
      <c r="A328">
        <v>69</v>
      </c>
      <c r="B328">
        <v>2</v>
      </c>
      <c r="C328">
        <v>113</v>
      </c>
      <c r="D328">
        <v>1</v>
      </c>
      <c r="E328">
        <v>39.18</v>
      </c>
      <c r="F328">
        <v>39.18</v>
      </c>
      <c r="G328">
        <v>0</v>
      </c>
      <c r="H328" s="2">
        <v>0</v>
      </c>
      <c r="I328">
        <v>0</v>
      </c>
      <c r="J328">
        <v>39.18</v>
      </c>
      <c r="K328" s="1">
        <v>45793</v>
      </c>
      <c r="L328" t="s">
        <v>21</v>
      </c>
      <c r="M328" t="s">
        <v>18</v>
      </c>
      <c r="N328">
        <f>salesitems[[#This Row],[quantity]]*salesitems[[#This Row],[unit_price]]</f>
        <v>39.18</v>
      </c>
      <c r="O328" t="str">
        <f>_xlfn.XLOOKUP(salesitems[[#This Row],[product_id]],products[product_id],products[product_name])</f>
        <v>Classic Boxy Dress</v>
      </c>
      <c r="P328" t="str">
        <f>_xlfn.XLOOKUP(salesitems[[#This Row],[product_id]],fashion_store_products!A:A,fashion_store_products!C:C)</f>
        <v>Dresses</v>
      </c>
    </row>
    <row r="329" spans="1:16" x14ac:dyDescent="0.45">
      <c r="A329">
        <v>2633</v>
      </c>
      <c r="B329">
        <v>255</v>
      </c>
      <c r="C329">
        <v>93</v>
      </c>
      <c r="D329">
        <v>1</v>
      </c>
      <c r="E329">
        <v>39.18</v>
      </c>
      <c r="F329">
        <v>39.18</v>
      </c>
      <c r="G329">
        <v>0</v>
      </c>
      <c r="H329" s="2">
        <v>0</v>
      </c>
      <c r="I329">
        <v>0</v>
      </c>
      <c r="J329">
        <v>39.18</v>
      </c>
      <c r="K329" s="1">
        <v>45777</v>
      </c>
      <c r="L329" t="s">
        <v>21</v>
      </c>
      <c r="M329" t="s">
        <v>18</v>
      </c>
      <c r="N329">
        <f>salesitems[[#This Row],[quantity]]*salesitems[[#This Row],[unit_price]]</f>
        <v>39.18</v>
      </c>
      <c r="O329" t="str">
        <f>_xlfn.XLOOKUP(salesitems[[#This Row],[product_id]],products[product_id],products[product_name])</f>
        <v>Modern Silk Trousers</v>
      </c>
      <c r="P329" t="str">
        <f>_xlfn.XLOOKUP(salesitems[[#This Row],[product_id]],fashion_store_products!A:A,fashion_store_products!C:C)</f>
        <v>Pants</v>
      </c>
    </row>
    <row r="330" spans="1:16" x14ac:dyDescent="0.45">
      <c r="A330">
        <v>1517</v>
      </c>
      <c r="B330">
        <v>677</v>
      </c>
      <c r="C330">
        <v>456</v>
      </c>
      <c r="D330">
        <v>1</v>
      </c>
      <c r="E330">
        <v>39.090000000000003</v>
      </c>
      <c r="F330">
        <v>39.090000000000003</v>
      </c>
      <c r="G330">
        <v>0</v>
      </c>
      <c r="H330" s="2">
        <v>0</v>
      </c>
      <c r="I330">
        <v>0</v>
      </c>
      <c r="J330">
        <v>39.090000000000003</v>
      </c>
      <c r="K330" s="1">
        <v>45822</v>
      </c>
      <c r="L330" t="s">
        <v>21</v>
      </c>
      <c r="M330" t="s">
        <v>18</v>
      </c>
      <c r="N330">
        <f>salesitems[[#This Row],[quantity]]*salesitems[[#This Row],[unit_price]]</f>
        <v>39.090000000000003</v>
      </c>
      <c r="O330" t="str">
        <f>_xlfn.XLOOKUP(salesitems[[#This Row],[product_id]],products[product_id],products[product_name])</f>
        <v>Bold Sleeveless Dress</v>
      </c>
      <c r="P330" t="str">
        <f>_xlfn.XLOOKUP(salesitems[[#This Row],[product_id]],fashion_store_products!A:A,fashion_store_products!C:C)</f>
        <v>Dresses</v>
      </c>
    </row>
    <row r="331" spans="1:16" x14ac:dyDescent="0.45">
      <c r="A331">
        <v>2921</v>
      </c>
      <c r="B331">
        <v>469</v>
      </c>
      <c r="C331">
        <v>456</v>
      </c>
      <c r="D331">
        <v>1</v>
      </c>
      <c r="E331">
        <v>39.090000000000003</v>
      </c>
      <c r="F331">
        <v>39.090000000000003</v>
      </c>
      <c r="G331">
        <v>0</v>
      </c>
      <c r="H331" s="2">
        <v>0</v>
      </c>
      <c r="I331">
        <v>0</v>
      </c>
      <c r="J331">
        <v>39.090000000000003</v>
      </c>
      <c r="K331" s="1">
        <v>45802</v>
      </c>
      <c r="L331" t="s">
        <v>21</v>
      </c>
      <c r="M331" t="s">
        <v>18</v>
      </c>
      <c r="N331">
        <f>salesitems[[#This Row],[quantity]]*salesitems[[#This Row],[unit_price]]</f>
        <v>39.090000000000003</v>
      </c>
      <c r="O331" t="str">
        <f>_xlfn.XLOOKUP(salesitems[[#This Row],[product_id]],products[product_id],products[product_name])</f>
        <v>Bold Sleeveless Dress</v>
      </c>
      <c r="P331" t="str">
        <f>_xlfn.XLOOKUP(salesitems[[#This Row],[product_id]],fashion_store_products!A:A,fashion_store_products!C:C)</f>
        <v>Dresses</v>
      </c>
    </row>
    <row r="332" spans="1:16" x14ac:dyDescent="0.45">
      <c r="A332">
        <v>924</v>
      </c>
      <c r="B332">
        <v>817</v>
      </c>
      <c r="C332">
        <v>311</v>
      </c>
      <c r="D332">
        <v>1</v>
      </c>
      <c r="E332">
        <v>43.38</v>
      </c>
      <c r="F332">
        <v>39.04</v>
      </c>
      <c r="G332">
        <v>4.34</v>
      </c>
      <c r="H332" s="2">
        <v>0.1</v>
      </c>
      <c r="I332">
        <v>1</v>
      </c>
      <c r="J332">
        <v>39.04</v>
      </c>
      <c r="K332" s="1">
        <v>45813</v>
      </c>
      <c r="L332" t="s">
        <v>21</v>
      </c>
      <c r="M332" t="s">
        <v>8</v>
      </c>
      <c r="N332">
        <f>salesitems[[#This Row],[quantity]]*salesitems[[#This Row],[unit_price]]</f>
        <v>39.04</v>
      </c>
      <c r="O332" t="str">
        <f>_xlfn.XLOOKUP(salesitems[[#This Row],[product_id]],products[product_id],products[product_name])</f>
        <v>Essential Cotton Dress</v>
      </c>
      <c r="P332" t="str">
        <f>_xlfn.XLOOKUP(salesitems[[#This Row],[product_id]],fashion_store_products!A:A,fashion_store_products!C:C)</f>
        <v>Dresses</v>
      </c>
    </row>
    <row r="333" spans="1:16" x14ac:dyDescent="0.45">
      <c r="A333">
        <v>938</v>
      </c>
      <c r="B333">
        <v>745</v>
      </c>
      <c r="C333">
        <v>96</v>
      </c>
      <c r="D333">
        <v>1</v>
      </c>
      <c r="E333">
        <v>39.03</v>
      </c>
      <c r="F333">
        <v>39.03</v>
      </c>
      <c r="G333">
        <v>0</v>
      </c>
      <c r="H333" s="2">
        <v>0</v>
      </c>
      <c r="I333">
        <v>0</v>
      </c>
      <c r="J333">
        <v>39.03</v>
      </c>
      <c r="K333" s="1">
        <v>45775</v>
      </c>
      <c r="L333" t="s">
        <v>21</v>
      </c>
      <c r="M333" t="s">
        <v>18</v>
      </c>
      <c r="N333">
        <f>salesitems[[#This Row],[quantity]]*salesitems[[#This Row],[unit_price]]</f>
        <v>39.03</v>
      </c>
      <c r="O333" t="str">
        <f>_xlfn.XLOOKUP(salesitems[[#This Row],[product_id]],products[product_id],products[product_name])</f>
        <v>Modern High-Waist Tee</v>
      </c>
      <c r="P333" t="str">
        <f>_xlfn.XLOOKUP(salesitems[[#This Row],[product_id]],fashion_store_products!A:A,fashion_store_products!C:C)</f>
        <v>T-Shirts</v>
      </c>
    </row>
    <row r="334" spans="1:16" x14ac:dyDescent="0.45">
      <c r="A334">
        <v>2316</v>
      </c>
      <c r="B334">
        <v>378</v>
      </c>
      <c r="C334">
        <v>477</v>
      </c>
      <c r="D334">
        <v>1</v>
      </c>
      <c r="E334">
        <v>38.9</v>
      </c>
      <c r="F334">
        <v>38.9</v>
      </c>
      <c r="G334">
        <v>0</v>
      </c>
      <c r="H334" s="2">
        <v>0</v>
      </c>
      <c r="I334">
        <v>0</v>
      </c>
      <c r="J334">
        <v>38.9</v>
      </c>
      <c r="K334" s="1">
        <v>45764</v>
      </c>
      <c r="L334" t="s">
        <v>15</v>
      </c>
      <c r="M334" t="s">
        <v>15</v>
      </c>
      <c r="N334">
        <f>salesitems[[#This Row],[quantity]]*salesitems[[#This Row],[unit_price]]</f>
        <v>38.9</v>
      </c>
      <c r="O334" t="str">
        <f>_xlfn.XLOOKUP(salesitems[[#This Row],[product_id]],products[product_id],products[product_name])</f>
        <v>Bold Silk Shoes</v>
      </c>
      <c r="P334" t="str">
        <f>_xlfn.XLOOKUP(salesitems[[#This Row],[product_id]],fashion_store_products!A:A,fashion_store_products!C:C)</f>
        <v>Shoes</v>
      </c>
    </row>
    <row r="335" spans="1:16" x14ac:dyDescent="0.45">
      <c r="A335">
        <v>949</v>
      </c>
      <c r="B335">
        <v>183</v>
      </c>
      <c r="C335">
        <v>180</v>
      </c>
      <c r="D335">
        <v>1</v>
      </c>
      <c r="E335">
        <v>38.81</v>
      </c>
      <c r="F335">
        <v>38.81</v>
      </c>
      <c r="G335">
        <v>0</v>
      </c>
      <c r="H335" s="2">
        <v>0</v>
      </c>
      <c r="I335">
        <v>0</v>
      </c>
      <c r="J335">
        <v>38.81</v>
      </c>
      <c r="K335" s="1">
        <v>45793</v>
      </c>
      <c r="L335" t="s">
        <v>21</v>
      </c>
      <c r="M335" t="s">
        <v>18</v>
      </c>
      <c r="N335">
        <f>salesitems[[#This Row],[quantity]]*salesitems[[#This Row],[unit_price]]</f>
        <v>38.81</v>
      </c>
      <c r="O335" t="str">
        <f>_xlfn.XLOOKUP(salesitems[[#This Row],[product_id]],products[product_id],products[product_name])</f>
        <v>Vintage Sleeveless Shoes</v>
      </c>
      <c r="P335" t="str">
        <f>_xlfn.XLOOKUP(salesitems[[#This Row],[product_id]],fashion_store_products!A:A,fashion_store_products!C:C)</f>
        <v>Shoes</v>
      </c>
    </row>
    <row r="336" spans="1:16" x14ac:dyDescent="0.45">
      <c r="A336">
        <v>1280</v>
      </c>
      <c r="B336">
        <v>766</v>
      </c>
      <c r="C336">
        <v>180</v>
      </c>
      <c r="D336">
        <v>1</v>
      </c>
      <c r="E336">
        <v>38.81</v>
      </c>
      <c r="F336">
        <v>38.81</v>
      </c>
      <c r="G336">
        <v>0</v>
      </c>
      <c r="H336" s="2">
        <v>0</v>
      </c>
      <c r="I336">
        <v>0</v>
      </c>
      <c r="J336">
        <v>38.81</v>
      </c>
      <c r="K336" s="1">
        <v>45824</v>
      </c>
      <c r="L336" t="s">
        <v>15</v>
      </c>
      <c r="M336" t="s">
        <v>15</v>
      </c>
      <c r="N336">
        <f>salesitems[[#This Row],[quantity]]*salesitems[[#This Row],[unit_price]]</f>
        <v>38.81</v>
      </c>
      <c r="O336" t="str">
        <f>_xlfn.XLOOKUP(salesitems[[#This Row],[product_id]],products[product_id],products[product_name])</f>
        <v>Vintage Sleeveless Shoes</v>
      </c>
      <c r="P336" t="str">
        <f>_xlfn.XLOOKUP(salesitems[[#This Row],[product_id]],fashion_store_products!A:A,fashion_store_products!C:C)</f>
        <v>Shoes</v>
      </c>
    </row>
    <row r="337" spans="1:16" x14ac:dyDescent="0.45">
      <c r="A337">
        <v>2905</v>
      </c>
      <c r="B337">
        <v>87</v>
      </c>
      <c r="C337">
        <v>438</v>
      </c>
      <c r="D337">
        <v>1</v>
      </c>
      <c r="E337">
        <v>38.74</v>
      </c>
      <c r="F337">
        <v>38.74</v>
      </c>
      <c r="G337">
        <v>0</v>
      </c>
      <c r="H337" s="2">
        <v>0</v>
      </c>
      <c r="I337">
        <v>0</v>
      </c>
      <c r="J337">
        <v>38.74</v>
      </c>
      <c r="K337" s="1">
        <v>45761</v>
      </c>
      <c r="L337" t="s">
        <v>21</v>
      </c>
      <c r="M337" t="s">
        <v>18</v>
      </c>
      <c r="N337">
        <f>salesitems[[#This Row],[quantity]]*salesitems[[#This Row],[unit_price]]</f>
        <v>38.74</v>
      </c>
      <c r="O337" t="str">
        <f>_xlfn.XLOOKUP(salesitems[[#This Row],[product_id]],products[product_id],products[product_name])</f>
        <v>Bold Wrap Dress</v>
      </c>
      <c r="P337" t="str">
        <f>_xlfn.XLOOKUP(salesitems[[#This Row],[product_id]],fashion_store_products!A:A,fashion_store_products!C:C)</f>
        <v>Dresses</v>
      </c>
    </row>
    <row r="338" spans="1:16" x14ac:dyDescent="0.45">
      <c r="A338">
        <v>779</v>
      </c>
      <c r="B338">
        <v>958</v>
      </c>
      <c r="C338">
        <v>233</v>
      </c>
      <c r="D338">
        <v>1</v>
      </c>
      <c r="E338">
        <v>38.68</v>
      </c>
      <c r="F338">
        <v>38.68</v>
      </c>
      <c r="G338">
        <v>0</v>
      </c>
      <c r="H338" s="2">
        <v>0</v>
      </c>
      <c r="I338">
        <v>0</v>
      </c>
      <c r="J338">
        <v>38.68</v>
      </c>
      <c r="K338" s="1">
        <v>45799</v>
      </c>
      <c r="L338" t="s">
        <v>21</v>
      </c>
      <c r="M338" t="s">
        <v>18</v>
      </c>
      <c r="N338">
        <f>salesitems[[#This Row],[quantity]]*salesitems[[#This Row],[unit_price]]</f>
        <v>38.68</v>
      </c>
      <c r="O338" t="str">
        <f>_xlfn.XLOOKUP(salesitems[[#This Row],[product_id]],products[product_id],products[product_name])</f>
        <v>Relaxed Wrap Shoes</v>
      </c>
      <c r="P338" t="str">
        <f>_xlfn.XLOOKUP(salesitems[[#This Row],[product_id]],fashion_store_products!A:A,fashion_store_products!C:C)</f>
        <v>Shoes</v>
      </c>
    </row>
    <row r="339" spans="1:16" x14ac:dyDescent="0.45">
      <c r="A339">
        <v>2927</v>
      </c>
      <c r="B339">
        <v>42</v>
      </c>
      <c r="C339">
        <v>233</v>
      </c>
      <c r="D339">
        <v>1</v>
      </c>
      <c r="E339">
        <v>38.68</v>
      </c>
      <c r="F339">
        <v>38.68</v>
      </c>
      <c r="G339">
        <v>0</v>
      </c>
      <c r="H339" s="2">
        <v>0</v>
      </c>
      <c r="I339">
        <v>0</v>
      </c>
      <c r="J339">
        <v>38.68</v>
      </c>
      <c r="K339" s="1">
        <v>45808</v>
      </c>
      <c r="L339" t="s">
        <v>15</v>
      </c>
      <c r="M339" t="s">
        <v>15</v>
      </c>
      <c r="N339">
        <f>salesitems[[#This Row],[quantity]]*salesitems[[#This Row],[unit_price]]</f>
        <v>38.68</v>
      </c>
      <c r="O339" t="str">
        <f>_xlfn.XLOOKUP(salesitems[[#This Row],[product_id]],products[product_id],products[product_name])</f>
        <v>Relaxed Wrap Shoes</v>
      </c>
      <c r="P339" t="str">
        <f>_xlfn.XLOOKUP(salesitems[[#This Row],[product_id]],fashion_store_products!A:A,fashion_store_products!C:C)</f>
        <v>Shoes</v>
      </c>
    </row>
    <row r="340" spans="1:16" x14ac:dyDescent="0.45">
      <c r="A340">
        <v>1363</v>
      </c>
      <c r="B340">
        <v>199</v>
      </c>
      <c r="C340">
        <v>107</v>
      </c>
      <c r="D340">
        <v>1</v>
      </c>
      <c r="E340">
        <v>55.06</v>
      </c>
      <c r="F340">
        <v>38.54</v>
      </c>
      <c r="G340">
        <v>16.52</v>
      </c>
      <c r="H340" s="2">
        <v>0.3</v>
      </c>
      <c r="I340">
        <v>1</v>
      </c>
      <c r="J340">
        <v>38.54</v>
      </c>
      <c r="K340" s="1">
        <v>45796</v>
      </c>
      <c r="L340" t="s">
        <v>15</v>
      </c>
      <c r="M340" t="s">
        <v>11</v>
      </c>
      <c r="N340">
        <f>salesitems[[#This Row],[quantity]]*salesitems[[#This Row],[unit_price]]</f>
        <v>38.54</v>
      </c>
      <c r="O340" t="str">
        <f>_xlfn.XLOOKUP(salesitems[[#This Row],[product_id]],products[product_id],products[product_name])</f>
        <v>Classic Linen Shoes</v>
      </c>
      <c r="P340" t="str">
        <f>_xlfn.XLOOKUP(salesitems[[#This Row],[product_id]],fashion_store_products!A:A,fashion_store_products!C:C)</f>
        <v>Shoes</v>
      </c>
    </row>
    <row r="341" spans="1:16" x14ac:dyDescent="0.45">
      <c r="A341">
        <v>654</v>
      </c>
      <c r="B341">
        <v>1165</v>
      </c>
      <c r="C341">
        <v>376</v>
      </c>
      <c r="D341">
        <v>1</v>
      </c>
      <c r="E341">
        <v>38.520000000000003</v>
      </c>
      <c r="F341">
        <v>38.520000000000003</v>
      </c>
      <c r="G341">
        <v>0</v>
      </c>
      <c r="H341" s="2">
        <v>0</v>
      </c>
      <c r="I341">
        <v>0</v>
      </c>
      <c r="J341">
        <v>38.520000000000003</v>
      </c>
      <c r="K341" s="1">
        <v>45769</v>
      </c>
      <c r="L341" t="s">
        <v>21</v>
      </c>
      <c r="M341" t="s">
        <v>18</v>
      </c>
      <c r="N341">
        <f>salesitems[[#This Row],[quantity]]*salesitems[[#This Row],[unit_price]]</f>
        <v>38.520000000000003</v>
      </c>
      <c r="O341" t="str">
        <f>_xlfn.XLOOKUP(salesitems[[#This Row],[product_id]],products[product_id],products[product_name])</f>
        <v>Tailored Satin Set</v>
      </c>
      <c r="P341" t="str">
        <f>_xlfn.XLOOKUP(salesitems[[#This Row],[product_id]],fashion_store_products!A:A,fashion_store_products!C:C)</f>
        <v>Sleepwear</v>
      </c>
    </row>
    <row r="342" spans="1:16" x14ac:dyDescent="0.45">
      <c r="A342">
        <v>740</v>
      </c>
      <c r="B342">
        <v>286</v>
      </c>
      <c r="C342">
        <v>188</v>
      </c>
      <c r="D342">
        <v>1</v>
      </c>
      <c r="E342">
        <v>55.01</v>
      </c>
      <c r="F342">
        <v>38.51</v>
      </c>
      <c r="G342">
        <v>16.5</v>
      </c>
      <c r="H342" s="2">
        <v>0.3</v>
      </c>
      <c r="I342">
        <v>1</v>
      </c>
      <c r="J342">
        <v>38.51</v>
      </c>
      <c r="K342" s="1">
        <v>45795</v>
      </c>
      <c r="L342" t="s">
        <v>15</v>
      </c>
      <c r="M342" t="s">
        <v>11</v>
      </c>
      <c r="N342">
        <f>salesitems[[#This Row],[quantity]]*salesitems[[#This Row],[unit_price]]</f>
        <v>38.51</v>
      </c>
      <c r="O342" t="str">
        <f>_xlfn.XLOOKUP(salesitems[[#This Row],[product_id]],products[product_id],products[product_name])</f>
        <v>Polished Wrap Shoes</v>
      </c>
      <c r="P342" t="str">
        <f>_xlfn.XLOOKUP(salesitems[[#This Row],[product_id]],fashion_store_products!A:A,fashion_store_products!C:C)</f>
        <v>Shoes</v>
      </c>
    </row>
    <row r="343" spans="1:16" x14ac:dyDescent="0.45">
      <c r="A343">
        <v>420</v>
      </c>
      <c r="B343">
        <v>1332</v>
      </c>
      <c r="C343">
        <v>256</v>
      </c>
      <c r="D343">
        <v>1</v>
      </c>
      <c r="E343">
        <v>38.409999999999997</v>
      </c>
      <c r="F343">
        <v>38.409999999999997</v>
      </c>
      <c r="G343">
        <v>0</v>
      </c>
      <c r="H343" s="2">
        <v>0</v>
      </c>
      <c r="I343">
        <v>0</v>
      </c>
      <c r="J343">
        <v>38.409999999999997</v>
      </c>
      <c r="K343" s="1">
        <v>45790</v>
      </c>
      <c r="L343" t="s">
        <v>21</v>
      </c>
      <c r="M343" t="s">
        <v>18</v>
      </c>
      <c r="N343">
        <f>salesitems[[#This Row],[quantity]]*salesitems[[#This Row],[unit_price]]</f>
        <v>38.409999999999997</v>
      </c>
      <c r="O343" t="str">
        <f>_xlfn.XLOOKUP(salesitems[[#This Row],[product_id]],products[product_id],products[product_name])</f>
        <v>Polished Crew Set</v>
      </c>
      <c r="P343" t="str">
        <f>_xlfn.XLOOKUP(salesitems[[#This Row],[product_id]],fashion_store_products!A:A,fashion_store_products!C:C)</f>
        <v>Sleepwear</v>
      </c>
    </row>
    <row r="344" spans="1:16" x14ac:dyDescent="0.45">
      <c r="A344">
        <v>599</v>
      </c>
      <c r="B344">
        <v>274</v>
      </c>
      <c r="C344">
        <v>256</v>
      </c>
      <c r="D344">
        <v>1</v>
      </c>
      <c r="E344">
        <v>38.409999999999997</v>
      </c>
      <c r="F344">
        <v>38.409999999999997</v>
      </c>
      <c r="G344">
        <v>0</v>
      </c>
      <c r="H344" s="2">
        <v>0</v>
      </c>
      <c r="I344">
        <v>0</v>
      </c>
      <c r="J344">
        <v>38.409999999999997</v>
      </c>
      <c r="K344" s="1">
        <v>45766</v>
      </c>
      <c r="L344" t="s">
        <v>21</v>
      </c>
      <c r="M344" t="s">
        <v>18</v>
      </c>
      <c r="N344">
        <f>salesitems[[#This Row],[quantity]]*salesitems[[#This Row],[unit_price]]</f>
        <v>38.409999999999997</v>
      </c>
      <c r="O344" t="str">
        <f>_xlfn.XLOOKUP(salesitems[[#This Row],[product_id]],products[product_id],products[product_name])</f>
        <v>Polished Crew Set</v>
      </c>
      <c r="P344" t="str">
        <f>_xlfn.XLOOKUP(salesitems[[#This Row],[product_id]],fashion_store_products!A:A,fashion_store_products!C:C)</f>
        <v>Sleepwear</v>
      </c>
    </row>
    <row r="345" spans="1:16" x14ac:dyDescent="0.45">
      <c r="A345">
        <v>3272</v>
      </c>
      <c r="B345">
        <v>423</v>
      </c>
      <c r="C345">
        <v>32</v>
      </c>
      <c r="D345">
        <v>1</v>
      </c>
      <c r="E345">
        <v>54.83</v>
      </c>
      <c r="F345">
        <v>38.380000000000003</v>
      </c>
      <c r="G345">
        <v>16.45</v>
      </c>
      <c r="H345" s="2">
        <v>0.3</v>
      </c>
      <c r="I345">
        <v>1</v>
      </c>
      <c r="J345">
        <v>38.380000000000003</v>
      </c>
      <c r="K345" s="1">
        <v>45790</v>
      </c>
      <c r="L345" t="s">
        <v>15</v>
      </c>
      <c r="M345" t="s">
        <v>11</v>
      </c>
      <c r="N345">
        <f>salesitems[[#This Row],[quantity]]*salesitems[[#This Row],[unit_price]]</f>
        <v>38.380000000000003</v>
      </c>
      <c r="O345" t="str">
        <f>_xlfn.XLOOKUP(salesitems[[#This Row],[product_id]],products[product_id],products[product_name])</f>
        <v>Soft Silk Tee</v>
      </c>
      <c r="P345" t="str">
        <f>_xlfn.XLOOKUP(salesitems[[#This Row],[product_id]],fashion_store_products!A:A,fashion_store_products!C:C)</f>
        <v>T-Shirts</v>
      </c>
    </row>
    <row r="346" spans="1:16" x14ac:dyDescent="0.45">
      <c r="A346">
        <v>78</v>
      </c>
      <c r="B346">
        <v>1129</v>
      </c>
      <c r="C346">
        <v>240</v>
      </c>
      <c r="D346">
        <v>1</v>
      </c>
      <c r="E346">
        <v>38.14</v>
      </c>
      <c r="F346">
        <v>38.14</v>
      </c>
      <c r="G346">
        <v>0</v>
      </c>
      <c r="H346" s="2">
        <v>0</v>
      </c>
      <c r="I346">
        <v>0</v>
      </c>
      <c r="J346">
        <v>38.14</v>
      </c>
      <c r="K346" s="1">
        <v>45798</v>
      </c>
      <c r="L346" t="s">
        <v>15</v>
      </c>
      <c r="M346" t="s">
        <v>15</v>
      </c>
      <c r="N346">
        <f>salesitems[[#This Row],[quantity]]*salesitems[[#This Row],[unit_price]]</f>
        <v>38.14</v>
      </c>
      <c r="O346" t="str">
        <f>_xlfn.XLOOKUP(salesitems[[#This Row],[product_id]],products[product_id],products[product_name])</f>
        <v>Polished Linen Trousers</v>
      </c>
      <c r="P346" t="str">
        <f>_xlfn.XLOOKUP(salesitems[[#This Row],[product_id]],fashion_store_products!A:A,fashion_store_products!C:C)</f>
        <v>Pants</v>
      </c>
    </row>
    <row r="347" spans="1:16" x14ac:dyDescent="0.45">
      <c r="A347">
        <v>629</v>
      </c>
      <c r="B347">
        <v>139</v>
      </c>
      <c r="C347">
        <v>240</v>
      </c>
      <c r="D347">
        <v>1</v>
      </c>
      <c r="E347">
        <v>38.14</v>
      </c>
      <c r="F347">
        <v>38.14</v>
      </c>
      <c r="G347">
        <v>0</v>
      </c>
      <c r="H347" s="2">
        <v>0</v>
      </c>
      <c r="I347">
        <v>0</v>
      </c>
      <c r="J347">
        <v>38.14</v>
      </c>
      <c r="K347" s="1">
        <v>45798</v>
      </c>
      <c r="L347" t="s">
        <v>15</v>
      </c>
      <c r="M347" t="s">
        <v>15</v>
      </c>
      <c r="N347">
        <f>salesitems[[#This Row],[quantity]]*salesitems[[#This Row],[unit_price]]</f>
        <v>38.14</v>
      </c>
      <c r="O347" t="str">
        <f>_xlfn.XLOOKUP(salesitems[[#This Row],[product_id]],products[product_id],products[product_name])</f>
        <v>Polished Linen Trousers</v>
      </c>
      <c r="P347" t="str">
        <f>_xlfn.XLOOKUP(salesitems[[#This Row],[product_id]],fashion_store_products!A:A,fashion_store_products!C:C)</f>
        <v>Pants</v>
      </c>
    </row>
    <row r="348" spans="1:16" x14ac:dyDescent="0.45">
      <c r="A348">
        <v>2511</v>
      </c>
      <c r="B348">
        <v>609</v>
      </c>
      <c r="C348">
        <v>240</v>
      </c>
      <c r="D348">
        <v>1</v>
      </c>
      <c r="E348">
        <v>38.14</v>
      </c>
      <c r="F348">
        <v>38.14</v>
      </c>
      <c r="G348">
        <v>0</v>
      </c>
      <c r="H348" s="2">
        <v>0</v>
      </c>
      <c r="I348">
        <v>0</v>
      </c>
      <c r="J348">
        <v>38.14</v>
      </c>
      <c r="K348" s="1">
        <v>45799</v>
      </c>
      <c r="L348" t="s">
        <v>15</v>
      </c>
      <c r="M348" t="s">
        <v>15</v>
      </c>
      <c r="N348">
        <f>salesitems[[#This Row],[quantity]]*salesitems[[#This Row],[unit_price]]</f>
        <v>38.14</v>
      </c>
      <c r="O348" t="str">
        <f>_xlfn.XLOOKUP(salesitems[[#This Row],[product_id]],products[product_id],products[product_name])</f>
        <v>Polished Linen Trousers</v>
      </c>
      <c r="P348" t="str">
        <f>_xlfn.XLOOKUP(salesitems[[#This Row],[product_id]],fashion_store_products!A:A,fashion_store_products!C:C)</f>
        <v>Pants</v>
      </c>
    </row>
    <row r="349" spans="1:16" x14ac:dyDescent="0.45">
      <c r="A349">
        <v>281</v>
      </c>
      <c r="B349">
        <v>916</v>
      </c>
      <c r="C349">
        <v>48</v>
      </c>
      <c r="D349">
        <v>1</v>
      </c>
      <c r="E349">
        <v>54.38</v>
      </c>
      <c r="F349">
        <v>38.07</v>
      </c>
      <c r="G349">
        <v>16.309999999999999</v>
      </c>
      <c r="H349" s="2">
        <v>0.3</v>
      </c>
      <c r="I349">
        <v>1</v>
      </c>
      <c r="J349">
        <v>38.07</v>
      </c>
      <c r="K349" s="1">
        <v>45795</v>
      </c>
      <c r="L349" t="s">
        <v>15</v>
      </c>
      <c r="M349" t="s">
        <v>11</v>
      </c>
      <c r="N349">
        <f>salesitems[[#This Row],[quantity]]*salesitems[[#This Row],[unit_price]]</f>
        <v>38.07</v>
      </c>
      <c r="O349" t="str">
        <f>_xlfn.XLOOKUP(salesitems[[#This Row],[product_id]],products[product_id],products[product_name])</f>
        <v>Soft High-Waist Shoes</v>
      </c>
      <c r="P349" t="str">
        <f>_xlfn.XLOOKUP(salesitems[[#This Row],[product_id]],fashion_store_products!A:A,fashion_store_products!C:C)</f>
        <v>Shoes</v>
      </c>
    </row>
    <row r="350" spans="1:16" x14ac:dyDescent="0.45">
      <c r="A350">
        <v>242</v>
      </c>
      <c r="B350">
        <v>124</v>
      </c>
      <c r="C350">
        <v>387</v>
      </c>
      <c r="D350">
        <v>1</v>
      </c>
      <c r="E350">
        <v>38.06</v>
      </c>
      <c r="F350">
        <v>38.06</v>
      </c>
      <c r="G350">
        <v>0</v>
      </c>
      <c r="H350" s="2">
        <v>0</v>
      </c>
      <c r="I350">
        <v>0</v>
      </c>
      <c r="J350">
        <v>38.06</v>
      </c>
      <c r="K350" s="1">
        <v>45766</v>
      </c>
      <c r="L350" t="s">
        <v>21</v>
      </c>
      <c r="M350" t="s">
        <v>18</v>
      </c>
      <c r="N350">
        <f>salesitems[[#This Row],[quantity]]*salesitems[[#This Row],[unit_price]]</f>
        <v>38.06</v>
      </c>
      <c r="O350" t="str">
        <f>_xlfn.XLOOKUP(salesitems[[#This Row],[product_id]],products[product_id],products[product_name])</f>
        <v>Tailored High-Waist Set</v>
      </c>
      <c r="P350" t="str">
        <f>_xlfn.XLOOKUP(salesitems[[#This Row],[product_id]],fashion_store_products!A:A,fashion_store_products!C:C)</f>
        <v>Sleepwear</v>
      </c>
    </row>
    <row r="351" spans="1:16" x14ac:dyDescent="0.45">
      <c r="A351">
        <v>1060</v>
      </c>
      <c r="B351">
        <v>447</v>
      </c>
      <c r="C351">
        <v>387</v>
      </c>
      <c r="D351">
        <v>1</v>
      </c>
      <c r="E351">
        <v>38.06</v>
      </c>
      <c r="F351">
        <v>38.06</v>
      </c>
      <c r="G351">
        <v>0</v>
      </c>
      <c r="H351" s="2">
        <v>0</v>
      </c>
      <c r="I351">
        <v>0</v>
      </c>
      <c r="J351">
        <v>38.06</v>
      </c>
      <c r="K351" s="1">
        <v>45766</v>
      </c>
      <c r="L351" t="s">
        <v>15</v>
      </c>
      <c r="M351" t="s">
        <v>15</v>
      </c>
      <c r="N351">
        <f>salesitems[[#This Row],[quantity]]*salesitems[[#This Row],[unit_price]]</f>
        <v>38.06</v>
      </c>
      <c r="O351" t="str">
        <f>_xlfn.XLOOKUP(salesitems[[#This Row],[product_id]],products[product_id],products[product_name])</f>
        <v>Tailored High-Waist Set</v>
      </c>
      <c r="P351" t="str">
        <f>_xlfn.XLOOKUP(salesitems[[#This Row],[product_id]],fashion_store_products!A:A,fashion_store_products!C:C)</f>
        <v>Sleepwear</v>
      </c>
    </row>
    <row r="352" spans="1:16" x14ac:dyDescent="0.45">
      <c r="A352">
        <v>106</v>
      </c>
      <c r="B352">
        <v>981</v>
      </c>
      <c r="C352">
        <v>500</v>
      </c>
      <c r="D352">
        <v>1</v>
      </c>
      <c r="E352">
        <v>38.03</v>
      </c>
      <c r="F352">
        <v>38.03</v>
      </c>
      <c r="G352">
        <v>0</v>
      </c>
      <c r="H352" s="2">
        <v>0</v>
      </c>
      <c r="I352">
        <v>0</v>
      </c>
      <c r="J352">
        <v>38.03</v>
      </c>
      <c r="K352" s="1">
        <v>45762</v>
      </c>
      <c r="L352" t="s">
        <v>21</v>
      </c>
      <c r="M352" t="s">
        <v>18</v>
      </c>
      <c r="N352">
        <f>salesitems[[#This Row],[quantity]]*salesitems[[#This Row],[unit_price]]</f>
        <v>38.03</v>
      </c>
      <c r="O352" t="str">
        <f>_xlfn.XLOOKUP(salesitems[[#This Row],[product_id]],products[product_id],products[product_name])</f>
        <v>Dresses Drop 9</v>
      </c>
      <c r="P352" t="str">
        <f>_xlfn.XLOOKUP(salesitems[[#This Row],[product_id]],fashion_store_products!A:A,fashion_store_products!C:C)</f>
        <v>Dresses</v>
      </c>
    </row>
    <row r="353" spans="1:16" x14ac:dyDescent="0.45">
      <c r="A353">
        <v>2217</v>
      </c>
      <c r="B353">
        <v>88</v>
      </c>
      <c r="C353">
        <v>500</v>
      </c>
      <c r="D353">
        <v>1</v>
      </c>
      <c r="E353">
        <v>38.03</v>
      </c>
      <c r="F353">
        <v>38.03</v>
      </c>
      <c r="G353">
        <v>0</v>
      </c>
      <c r="H353" s="2">
        <v>0</v>
      </c>
      <c r="I353">
        <v>0</v>
      </c>
      <c r="J353">
        <v>38.03</v>
      </c>
      <c r="K353" s="1">
        <v>45760</v>
      </c>
      <c r="L353" t="s">
        <v>15</v>
      </c>
      <c r="M353" t="s">
        <v>15</v>
      </c>
      <c r="N353">
        <f>salesitems[[#This Row],[quantity]]*salesitems[[#This Row],[unit_price]]</f>
        <v>38.03</v>
      </c>
      <c r="O353" t="str">
        <f>_xlfn.XLOOKUP(salesitems[[#This Row],[product_id]],products[product_id],products[product_name])</f>
        <v>Dresses Drop 9</v>
      </c>
      <c r="P353" t="str">
        <f>_xlfn.XLOOKUP(salesitems[[#This Row],[product_id]],fashion_store_products!A:A,fashion_store_products!C:C)</f>
        <v>Dresses</v>
      </c>
    </row>
    <row r="354" spans="1:16" x14ac:dyDescent="0.45">
      <c r="A354">
        <v>1405</v>
      </c>
      <c r="B354">
        <v>603</v>
      </c>
      <c r="C354">
        <v>41</v>
      </c>
      <c r="D354">
        <v>1</v>
      </c>
      <c r="E354">
        <v>37.94</v>
      </c>
      <c r="F354">
        <v>37.94</v>
      </c>
      <c r="G354">
        <v>0</v>
      </c>
      <c r="H354" s="2">
        <v>0</v>
      </c>
      <c r="I354">
        <v>0</v>
      </c>
      <c r="J354">
        <v>37.94</v>
      </c>
      <c r="K354" s="1">
        <v>45808</v>
      </c>
      <c r="L354" t="s">
        <v>15</v>
      </c>
      <c r="M354" t="s">
        <v>15</v>
      </c>
      <c r="N354">
        <f>salesitems[[#This Row],[quantity]]*salesitems[[#This Row],[unit_price]]</f>
        <v>37.94</v>
      </c>
      <c r="O354" t="str">
        <f>_xlfn.XLOOKUP(salesitems[[#This Row],[product_id]],products[product_id],products[product_name])</f>
        <v>Soft Boxy Trousers</v>
      </c>
      <c r="P354" t="str">
        <f>_xlfn.XLOOKUP(salesitems[[#This Row],[product_id]],fashion_store_products!A:A,fashion_store_products!C:C)</f>
        <v>Pants</v>
      </c>
    </row>
    <row r="355" spans="1:16" x14ac:dyDescent="0.45">
      <c r="A355">
        <v>233</v>
      </c>
      <c r="B355">
        <v>1124</v>
      </c>
      <c r="C355">
        <v>208</v>
      </c>
      <c r="D355">
        <v>1</v>
      </c>
      <c r="E355">
        <v>37.450000000000003</v>
      </c>
      <c r="F355">
        <v>37.450000000000003</v>
      </c>
      <c r="G355">
        <v>0</v>
      </c>
      <c r="H355" s="2">
        <v>0</v>
      </c>
      <c r="I355">
        <v>0</v>
      </c>
      <c r="J355">
        <v>37.450000000000003</v>
      </c>
      <c r="K355" s="1">
        <v>45776</v>
      </c>
      <c r="L355" t="s">
        <v>21</v>
      </c>
      <c r="M355" t="s">
        <v>18</v>
      </c>
      <c r="N355">
        <f>salesitems[[#This Row],[quantity]]*salesitems[[#This Row],[unit_price]]</f>
        <v>37.450000000000003</v>
      </c>
      <c r="O355" t="str">
        <f>_xlfn.XLOOKUP(salesitems[[#This Row],[product_id]],products[product_id],products[product_name])</f>
        <v>Polished Wrap Tee</v>
      </c>
      <c r="P355" t="str">
        <f>_xlfn.XLOOKUP(salesitems[[#This Row],[product_id]],fashion_store_products!A:A,fashion_store_products!C:C)</f>
        <v>T-Shirts</v>
      </c>
    </row>
    <row r="356" spans="1:16" x14ac:dyDescent="0.45">
      <c r="A356">
        <v>1063</v>
      </c>
      <c r="B356">
        <v>468</v>
      </c>
      <c r="C356">
        <v>208</v>
      </c>
      <c r="D356">
        <v>1</v>
      </c>
      <c r="E356">
        <v>37.450000000000003</v>
      </c>
      <c r="F356">
        <v>37.450000000000003</v>
      </c>
      <c r="G356">
        <v>0</v>
      </c>
      <c r="H356" s="2">
        <v>0</v>
      </c>
      <c r="I356">
        <v>0</v>
      </c>
      <c r="J356">
        <v>37.450000000000003</v>
      </c>
      <c r="K356" s="1">
        <v>45782</v>
      </c>
      <c r="L356" t="s">
        <v>15</v>
      </c>
      <c r="M356" t="s">
        <v>15</v>
      </c>
      <c r="N356">
        <f>salesitems[[#This Row],[quantity]]*salesitems[[#This Row],[unit_price]]</f>
        <v>37.450000000000003</v>
      </c>
      <c r="O356" t="str">
        <f>_xlfn.XLOOKUP(salesitems[[#This Row],[product_id]],products[product_id],products[product_name])</f>
        <v>Polished Wrap Tee</v>
      </c>
      <c r="P356" t="str">
        <f>_xlfn.XLOOKUP(salesitems[[#This Row],[product_id]],fashion_store_products!A:A,fashion_store_products!C:C)</f>
        <v>T-Shirts</v>
      </c>
    </row>
    <row r="357" spans="1:16" x14ac:dyDescent="0.45">
      <c r="A357">
        <v>2906</v>
      </c>
      <c r="B357">
        <v>138</v>
      </c>
      <c r="C357">
        <v>215</v>
      </c>
      <c r="D357">
        <v>1</v>
      </c>
      <c r="E357">
        <v>37.11</v>
      </c>
      <c r="F357">
        <v>37.11</v>
      </c>
      <c r="G357">
        <v>0</v>
      </c>
      <c r="H357" s="2">
        <v>0</v>
      </c>
      <c r="I357">
        <v>0</v>
      </c>
      <c r="J357">
        <v>37.11</v>
      </c>
      <c r="K357" s="1">
        <v>45822</v>
      </c>
      <c r="L357" t="s">
        <v>21</v>
      </c>
      <c r="M357" t="s">
        <v>18</v>
      </c>
      <c r="N357">
        <f>salesitems[[#This Row],[quantity]]*salesitems[[#This Row],[unit_price]]</f>
        <v>37.11</v>
      </c>
      <c r="O357" t="str">
        <f>_xlfn.XLOOKUP(salesitems[[#This Row],[product_id]],products[product_id],products[product_name])</f>
        <v>Vintage Sleeveless Trousers</v>
      </c>
      <c r="P357" t="str">
        <f>_xlfn.XLOOKUP(salesitems[[#This Row],[product_id]],fashion_store_products!A:A,fashion_store_products!C:C)</f>
        <v>Pants</v>
      </c>
    </row>
    <row r="358" spans="1:16" x14ac:dyDescent="0.45">
      <c r="A358">
        <v>844</v>
      </c>
      <c r="B358">
        <v>15</v>
      </c>
      <c r="C358">
        <v>243</v>
      </c>
      <c r="D358">
        <v>1</v>
      </c>
      <c r="E358">
        <v>37.06</v>
      </c>
      <c r="F358">
        <v>37.06</v>
      </c>
      <c r="G358">
        <v>0</v>
      </c>
      <c r="H358" s="2">
        <v>0</v>
      </c>
      <c r="I358">
        <v>0</v>
      </c>
      <c r="J358">
        <v>37.06</v>
      </c>
      <c r="K358" s="1">
        <v>45797</v>
      </c>
      <c r="L358" t="s">
        <v>21</v>
      </c>
      <c r="M358" t="s">
        <v>18</v>
      </c>
      <c r="N358">
        <f>salesitems[[#This Row],[quantity]]*salesitems[[#This Row],[unit_price]]</f>
        <v>37.06</v>
      </c>
      <c r="O358" t="str">
        <f>_xlfn.XLOOKUP(salesitems[[#This Row],[product_id]],products[product_id],products[product_name])</f>
        <v>Polished Satin Set</v>
      </c>
      <c r="P358" t="str">
        <f>_xlfn.XLOOKUP(salesitems[[#This Row],[product_id]],fashion_store_products!A:A,fashion_store_products!C:C)</f>
        <v>Sleepwear</v>
      </c>
    </row>
    <row r="359" spans="1:16" x14ac:dyDescent="0.45">
      <c r="A359">
        <v>1842</v>
      </c>
      <c r="B359">
        <v>839</v>
      </c>
      <c r="C359">
        <v>243</v>
      </c>
      <c r="D359">
        <v>1</v>
      </c>
      <c r="E359">
        <v>37.06</v>
      </c>
      <c r="F359">
        <v>37.06</v>
      </c>
      <c r="G359">
        <v>0</v>
      </c>
      <c r="H359" s="2">
        <v>0</v>
      </c>
      <c r="I359">
        <v>0</v>
      </c>
      <c r="J359">
        <v>37.06</v>
      </c>
      <c r="K359" s="1">
        <v>45808</v>
      </c>
      <c r="L359" t="s">
        <v>15</v>
      </c>
      <c r="M359" t="s">
        <v>15</v>
      </c>
      <c r="N359">
        <f>salesitems[[#This Row],[quantity]]*salesitems[[#This Row],[unit_price]]</f>
        <v>37.06</v>
      </c>
      <c r="O359" t="str">
        <f>_xlfn.XLOOKUP(salesitems[[#This Row],[product_id]],products[product_id],products[product_name])</f>
        <v>Polished Satin Set</v>
      </c>
      <c r="P359" t="str">
        <f>_xlfn.XLOOKUP(salesitems[[#This Row],[product_id]],fashion_store_products!A:A,fashion_store_products!C:C)</f>
        <v>Sleepwear</v>
      </c>
    </row>
    <row r="360" spans="1:16" x14ac:dyDescent="0.45">
      <c r="A360">
        <v>2664</v>
      </c>
      <c r="B360">
        <v>428</v>
      </c>
      <c r="C360">
        <v>262</v>
      </c>
      <c r="D360">
        <v>1</v>
      </c>
      <c r="E360">
        <v>52.94</v>
      </c>
      <c r="F360">
        <v>37.06</v>
      </c>
      <c r="G360">
        <v>15.88</v>
      </c>
      <c r="H360" s="2">
        <v>0.3</v>
      </c>
      <c r="I360">
        <v>1</v>
      </c>
      <c r="J360">
        <v>37.06</v>
      </c>
      <c r="K360" s="1">
        <v>45791</v>
      </c>
      <c r="L360" t="s">
        <v>15</v>
      </c>
      <c r="M360" t="s">
        <v>11</v>
      </c>
      <c r="N360">
        <f>salesitems[[#This Row],[quantity]]*salesitems[[#This Row],[unit_price]]</f>
        <v>37.06</v>
      </c>
      <c r="O360" t="str">
        <f>_xlfn.XLOOKUP(salesitems[[#This Row],[product_id]],products[product_id],products[product_name])</f>
        <v>Polished Sleeveless Set</v>
      </c>
      <c r="P360" t="str">
        <f>_xlfn.XLOOKUP(salesitems[[#This Row],[product_id]],fashion_store_products!A:A,fashion_store_products!C:C)</f>
        <v>Sleepwear</v>
      </c>
    </row>
    <row r="361" spans="1:16" x14ac:dyDescent="0.45">
      <c r="A361">
        <v>2778</v>
      </c>
      <c r="B361">
        <v>510</v>
      </c>
      <c r="C361">
        <v>243</v>
      </c>
      <c r="D361">
        <v>1</v>
      </c>
      <c r="E361">
        <v>37.06</v>
      </c>
      <c r="F361">
        <v>37.06</v>
      </c>
      <c r="G361">
        <v>0</v>
      </c>
      <c r="H361" s="2">
        <v>0</v>
      </c>
      <c r="I361">
        <v>0</v>
      </c>
      <c r="J361">
        <v>37.06</v>
      </c>
      <c r="K361" s="1">
        <v>45777</v>
      </c>
      <c r="L361" t="s">
        <v>21</v>
      </c>
      <c r="M361" t="s">
        <v>18</v>
      </c>
      <c r="N361">
        <f>salesitems[[#This Row],[quantity]]*salesitems[[#This Row],[unit_price]]</f>
        <v>37.06</v>
      </c>
      <c r="O361" t="str">
        <f>_xlfn.XLOOKUP(salesitems[[#This Row],[product_id]],products[product_id],products[product_name])</f>
        <v>Polished Satin Set</v>
      </c>
      <c r="P361" t="str">
        <f>_xlfn.XLOOKUP(salesitems[[#This Row],[product_id]],fashion_store_products!A:A,fashion_store_products!C:C)</f>
        <v>Sleepwear</v>
      </c>
    </row>
    <row r="362" spans="1:16" x14ac:dyDescent="0.45">
      <c r="A362">
        <v>3062</v>
      </c>
      <c r="B362">
        <v>722</v>
      </c>
      <c r="C362">
        <v>441</v>
      </c>
      <c r="D362">
        <v>1</v>
      </c>
      <c r="E362">
        <v>36.99</v>
      </c>
      <c r="F362">
        <v>36.99</v>
      </c>
      <c r="G362">
        <v>0</v>
      </c>
      <c r="H362" s="2">
        <v>0</v>
      </c>
      <c r="I362">
        <v>0</v>
      </c>
      <c r="J362">
        <v>36.99</v>
      </c>
      <c r="K362" s="1">
        <v>45752</v>
      </c>
      <c r="L362" t="s">
        <v>15</v>
      </c>
      <c r="M362" t="s">
        <v>15</v>
      </c>
      <c r="N362">
        <f>salesitems[[#This Row],[quantity]]*salesitems[[#This Row],[unit_price]]</f>
        <v>36.99</v>
      </c>
      <c r="O362" t="str">
        <f>_xlfn.XLOOKUP(salesitems[[#This Row],[product_id]],products[product_id],products[product_name])</f>
        <v>Bold Linen Dress</v>
      </c>
      <c r="P362" t="str">
        <f>_xlfn.XLOOKUP(salesitems[[#This Row],[product_id]],fashion_store_products!A:A,fashion_store_products!C:C)</f>
        <v>Dresses</v>
      </c>
    </row>
    <row r="363" spans="1:16" x14ac:dyDescent="0.45">
      <c r="A363">
        <v>443</v>
      </c>
      <c r="B363">
        <v>40</v>
      </c>
      <c r="C363">
        <v>75</v>
      </c>
      <c r="D363">
        <v>1</v>
      </c>
      <c r="E363">
        <v>52.83</v>
      </c>
      <c r="F363">
        <v>36.979999999999997</v>
      </c>
      <c r="G363">
        <v>15.85</v>
      </c>
      <c r="H363" s="2">
        <v>0.3</v>
      </c>
      <c r="I363">
        <v>1</v>
      </c>
      <c r="J363">
        <v>36.979999999999997</v>
      </c>
      <c r="K363" s="1">
        <v>45790</v>
      </c>
      <c r="L363" t="s">
        <v>15</v>
      </c>
      <c r="M363" t="s">
        <v>11</v>
      </c>
      <c r="N363">
        <f>salesitems[[#This Row],[quantity]]*salesitems[[#This Row],[unit_price]]</f>
        <v>36.979999999999997</v>
      </c>
      <c r="O363" t="str">
        <f>_xlfn.XLOOKUP(salesitems[[#This Row],[product_id]],products[product_id],products[product_name])</f>
        <v>Modern Linen Set</v>
      </c>
      <c r="P363" t="str">
        <f>_xlfn.XLOOKUP(salesitems[[#This Row],[product_id]],fashion_store_products!A:A,fashion_store_products!C:C)</f>
        <v>Sleepwear</v>
      </c>
    </row>
    <row r="364" spans="1:16" x14ac:dyDescent="0.45">
      <c r="A364">
        <v>1519</v>
      </c>
      <c r="B364">
        <v>15</v>
      </c>
      <c r="C364">
        <v>251</v>
      </c>
      <c r="D364">
        <v>1</v>
      </c>
      <c r="E364">
        <v>36.880000000000003</v>
      </c>
      <c r="F364">
        <v>36.880000000000003</v>
      </c>
      <c r="G364">
        <v>0</v>
      </c>
      <c r="H364" s="2">
        <v>0</v>
      </c>
      <c r="I364">
        <v>0</v>
      </c>
      <c r="J364">
        <v>36.880000000000003</v>
      </c>
      <c r="K364" s="1">
        <v>45797</v>
      </c>
      <c r="L364" t="s">
        <v>21</v>
      </c>
      <c r="M364" t="s">
        <v>18</v>
      </c>
      <c r="N364">
        <f>salesitems[[#This Row],[quantity]]*salesitems[[#This Row],[unit_price]]</f>
        <v>36.880000000000003</v>
      </c>
      <c r="O364" t="str">
        <f>_xlfn.XLOOKUP(salesitems[[#This Row],[product_id]],products[product_id],products[product_name])</f>
        <v>Relaxed Wrap Tee</v>
      </c>
      <c r="P364" t="str">
        <f>_xlfn.XLOOKUP(salesitems[[#This Row],[product_id]],fashion_store_products!A:A,fashion_store_products!C:C)</f>
        <v>T-Shirts</v>
      </c>
    </row>
    <row r="365" spans="1:16" x14ac:dyDescent="0.45">
      <c r="A365">
        <v>2643</v>
      </c>
      <c r="B365">
        <v>73</v>
      </c>
      <c r="C365">
        <v>251</v>
      </c>
      <c r="D365">
        <v>1</v>
      </c>
      <c r="E365">
        <v>36.880000000000003</v>
      </c>
      <c r="F365">
        <v>36.880000000000003</v>
      </c>
      <c r="G365">
        <v>0</v>
      </c>
      <c r="H365" s="2">
        <v>0</v>
      </c>
      <c r="I365">
        <v>0</v>
      </c>
      <c r="J365">
        <v>36.880000000000003</v>
      </c>
      <c r="K365" s="1">
        <v>45796</v>
      </c>
      <c r="L365" t="s">
        <v>21</v>
      </c>
      <c r="M365" t="s">
        <v>18</v>
      </c>
      <c r="N365">
        <f>salesitems[[#This Row],[quantity]]*salesitems[[#This Row],[unit_price]]</f>
        <v>36.880000000000003</v>
      </c>
      <c r="O365" t="str">
        <f>_xlfn.XLOOKUP(salesitems[[#This Row],[product_id]],products[product_id],products[product_name])</f>
        <v>Relaxed Wrap Tee</v>
      </c>
      <c r="P365" t="str">
        <f>_xlfn.XLOOKUP(salesitems[[#This Row],[product_id]],fashion_store_products!A:A,fashion_store_products!C:C)</f>
        <v>T-Shirts</v>
      </c>
    </row>
    <row r="366" spans="1:16" x14ac:dyDescent="0.45">
      <c r="A366">
        <v>2630</v>
      </c>
      <c r="B366">
        <v>56</v>
      </c>
      <c r="C366">
        <v>5</v>
      </c>
      <c r="D366">
        <v>1</v>
      </c>
      <c r="E366">
        <v>36.840000000000003</v>
      </c>
      <c r="F366">
        <v>36.840000000000003</v>
      </c>
      <c r="G366">
        <v>0</v>
      </c>
      <c r="H366" s="2">
        <v>0</v>
      </c>
      <c r="I366">
        <v>0</v>
      </c>
      <c r="J366">
        <v>36.840000000000003</v>
      </c>
      <c r="K366" s="1">
        <v>45806</v>
      </c>
      <c r="L366" t="s">
        <v>15</v>
      </c>
      <c r="M366" t="s">
        <v>15</v>
      </c>
      <c r="N366">
        <f>salesitems[[#This Row],[quantity]]*salesitems[[#This Row],[unit_price]]</f>
        <v>36.840000000000003</v>
      </c>
      <c r="O366" t="str">
        <f>_xlfn.XLOOKUP(salesitems[[#This Row],[product_id]],products[product_id],products[product_name])</f>
        <v>Soft Wrap Trousers</v>
      </c>
      <c r="P366" t="str">
        <f>_xlfn.XLOOKUP(salesitems[[#This Row],[product_id]],fashion_store_products!A:A,fashion_store_products!C:C)</f>
        <v>Pants</v>
      </c>
    </row>
    <row r="367" spans="1:16" x14ac:dyDescent="0.45">
      <c r="A367">
        <v>3365</v>
      </c>
      <c r="B367">
        <v>705</v>
      </c>
      <c r="C367">
        <v>495</v>
      </c>
      <c r="D367">
        <v>1</v>
      </c>
      <c r="E367">
        <v>36.65</v>
      </c>
      <c r="F367">
        <v>36.65</v>
      </c>
      <c r="G367">
        <v>0</v>
      </c>
      <c r="H367" s="2">
        <v>0</v>
      </c>
      <c r="I367">
        <v>0</v>
      </c>
      <c r="J367">
        <v>36.65</v>
      </c>
      <c r="K367" s="1">
        <v>45765</v>
      </c>
      <c r="L367" t="s">
        <v>21</v>
      </c>
      <c r="M367" t="s">
        <v>18</v>
      </c>
      <c r="N367">
        <f>salesitems[[#This Row],[quantity]]*salesitems[[#This Row],[unit_price]]</f>
        <v>36.65</v>
      </c>
      <c r="O367" t="str">
        <f>_xlfn.XLOOKUP(salesitems[[#This Row],[product_id]],products[product_id],products[product_name])</f>
        <v>Dresses Drop 7</v>
      </c>
      <c r="P367" t="str">
        <f>_xlfn.XLOOKUP(salesitems[[#This Row],[product_id]],fashion_store_products!A:A,fashion_store_products!C:C)</f>
        <v>Dresses</v>
      </c>
    </row>
    <row r="368" spans="1:16" x14ac:dyDescent="0.45">
      <c r="A368">
        <v>1466</v>
      </c>
      <c r="B368">
        <v>1225</v>
      </c>
      <c r="C368">
        <v>151</v>
      </c>
      <c r="D368">
        <v>1</v>
      </c>
      <c r="E368">
        <v>36.47</v>
      </c>
      <c r="F368">
        <v>36.47</v>
      </c>
      <c r="G368">
        <v>0</v>
      </c>
      <c r="H368" s="2">
        <v>0</v>
      </c>
      <c r="I368">
        <v>0</v>
      </c>
      <c r="J368">
        <v>36.47</v>
      </c>
      <c r="K368" s="1">
        <v>45774</v>
      </c>
      <c r="L368" t="s">
        <v>15</v>
      </c>
      <c r="M368" t="s">
        <v>15</v>
      </c>
      <c r="N368">
        <f>salesitems[[#This Row],[quantity]]*salesitems[[#This Row],[unit_price]]</f>
        <v>36.47</v>
      </c>
      <c r="O368" t="str">
        <f>_xlfn.XLOOKUP(salesitems[[#This Row],[product_id]],products[product_id],products[product_name])</f>
        <v>Classic Sleeveless Trousers</v>
      </c>
      <c r="P368" t="str">
        <f>_xlfn.XLOOKUP(salesitems[[#This Row],[product_id]],fashion_store_products!A:A,fashion_store_products!C:C)</f>
        <v>Pants</v>
      </c>
    </row>
    <row r="369" spans="1:16" x14ac:dyDescent="0.45">
      <c r="A369">
        <v>1588</v>
      </c>
      <c r="B369">
        <v>40</v>
      </c>
      <c r="C369">
        <v>140</v>
      </c>
      <c r="D369">
        <v>1</v>
      </c>
      <c r="E369">
        <v>52.08</v>
      </c>
      <c r="F369">
        <v>36.46</v>
      </c>
      <c r="G369">
        <v>15.62</v>
      </c>
      <c r="H369" s="2">
        <v>0.3</v>
      </c>
      <c r="I369">
        <v>1</v>
      </c>
      <c r="J369">
        <v>36.46</v>
      </c>
      <c r="K369" s="1">
        <v>45790</v>
      </c>
      <c r="L369" t="s">
        <v>15</v>
      </c>
      <c r="M369" t="s">
        <v>11</v>
      </c>
      <c r="N369">
        <f>salesitems[[#This Row],[quantity]]*salesitems[[#This Row],[unit_price]]</f>
        <v>36.46</v>
      </c>
      <c r="O369" t="str">
        <f>_xlfn.XLOOKUP(salesitems[[#This Row],[product_id]],products[product_id],products[product_name])</f>
        <v>Vintage Ribbed Dress</v>
      </c>
      <c r="P369" t="str">
        <f>_xlfn.XLOOKUP(salesitems[[#This Row],[product_id]],fashion_store_products!A:A,fashion_store_products!C:C)</f>
        <v>Dresses</v>
      </c>
    </row>
    <row r="370" spans="1:16" x14ac:dyDescent="0.45">
      <c r="A370">
        <v>1543</v>
      </c>
      <c r="B370">
        <v>934</v>
      </c>
      <c r="C370">
        <v>427</v>
      </c>
      <c r="D370">
        <v>1</v>
      </c>
      <c r="E370">
        <v>36.01</v>
      </c>
      <c r="F370">
        <v>36.01</v>
      </c>
      <c r="G370">
        <v>0</v>
      </c>
      <c r="H370" s="2">
        <v>0</v>
      </c>
      <c r="I370">
        <v>0</v>
      </c>
      <c r="J370">
        <v>36.01</v>
      </c>
      <c r="K370" s="1">
        <v>45793</v>
      </c>
      <c r="L370" t="s">
        <v>21</v>
      </c>
      <c r="M370" t="s">
        <v>18</v>
      </c>
      <c r="N370">
        <f>salesitems[[#This Row],[quantity]]*salesitems[[#This Row],[unit_price]]</f>
        <v>36.01</v>
      </c>
      <c r="O370" t="str">
        <f>_xlfn.XLOOKUP(salesitems[[#This Row],[product_id]],products[product_id],products[product_name])</f>
        <v>Bold Wrap Set</v>
      </c>
      <c r="P370" t="str">
        <f>_xlfn.XLOOKUP(salesitems[[#This Row],[product_id]],fashion_store_products!A:A,fashion_store_products!C:C)</f>
        <v>Sleepwear</v>
      </c>
    </row>
    <row r="371" spans="1:16" x14ac:dyDescent="0.45">
      <c r="A371">
        <v>83</v>
      </c>
      <c r="B371">
        <v>1223</v>
      </c>
      <c r="C371">
        <v>367</v>
      </c>
      <c r="D371">
        <v>1</v>
      </c>
      <c r="E371">
        <v>51.38</v>
      </c>
      <c r="F371">
        <v>35.97</v>
      </c>
      <c r="G371">
        <v>15.41</v>
      </c>
      <c r="H371" s="2">
        <v>0.3</v>
      </c>
      <c r="I371">
        <v>1</v>
      </c>
      <c r="J371">
        <v>35.97</v>
      </c>
      <c r="K371" s="1">
        <v>45794</v>
      </c>
      <c r="L371" t="s">
        <v>15</v>
      </c>
      <c r="M371" t="s">
        <v>11</v>
      </c>
      <c r="N371">
        <f>salesitems[[#This Row],[quantity]]*salesitems[[#This Row],[unit_price]]</f>
        <v>35.97</v>
      </c>
      <c r="O371" t="str">
        <f>_xlfn.XLOOKUP(salesitems[[#This Row],[product_id]],products[product_id],products[product_name])</f>
        <v>Tailored Silk Dress</v>
      </c>
      <c r="P371" t="str">
        <f>_xlfn.XLOOKUP(salesitems[[#This Row],[product_id]],fashion_store_products!A:A,fashion_store_products!C:C)</f>
        <v>Dresses</v>
      </c>
    </row>
    <row r="372" spans="1:16" x14ac:dyDescent="0.45">
      <c r="A372">
        <v>2390</v>
      </c>
      <c r="B372">
        <v>874</v>
      </c>
      <c r="C372">
        <v>313</v>
      </c>
      <c r="D372">
        <v>1</v>
      </c>
      <c r="E372">
        <v>35.69</v>
      </c>
      <c r="F372">
        <v>35.69</v>
      </c>
      <c r="G372">
        <v>0</v>
      </c>
      <c r="H372" s="2">
        <v>0</v>
      </c>
      <c r="I372">
        <v>0</v>
      </c>
      <c r="J372">
        <v>35.69</v>
      </c>
      <c r="K372" s="1">
        <v>45824</v>
      </c>
      <c r="L372" t="s">
        <v>21</v>
      </c>
      <c r="M372" t="s">
        <v>18</v>
      </c>
      <c r="N372">
        <f>salesitems[[#This Row],[quantity]]*salesitems[[#This Row],[unit_price]]</f>
        <v>35.69</v>
      </c>
      <c r="O372" t="str">
        <f>_xlfn.XLOOKUP(salesitems[[#This Row],[product_id]],products[product_id],products[product_name])</f>
        <v>Relaxed Crew Set</v>
      </c>
      <c r="P372" t="str">
        <f>_xlfn.XLOOKUP(salesitems[[#This Row],[product_id]],fashion_store_products!A:A,fashion_store_products!C:C)</f>
        <v>Sleepwear</v>
      </c>
    </row>
    <row r="373" spans="1:16" x14ac:dyDescent="0.45">
      <c r="A373">
        <v>3152</v>
      </c>
      <c r="B373">
        <v>115</v>
      </c>
      <c r="C373">
        <v>313</v>
      </c>
      <c r="D373">
        <v>1</v>
      </c>
      <c r="E373">
        <v>35.69</v>
      </c>
      <c r="F373">
        <v>35.69</v>
      </c>
      <c r="G373">
        <v>0</v>
      </c>
      <c r="H373" s="2">
        <v>0</v>
      </c>
      <c r="I373">
        <v>0</v>
      </c>
      <c r="J373">
        <v>35.69</v>
      </c>
      <c r="K373" s="1">
        <v>45752</v>
      </c>
      <c r="L373" t="s">
        <v>15</v>
      </c>
      <c r="M373" t="s">
        <v>15</v>
      </c>
      <c r="N373">
        <f>salesitems[[#This Row],[quantity]]*salesitems[[#This Row],[unit_price]]</f>
        <v>35.69</v>
      </c>
      <c r="O373" t="str">
        <f>_xlfn.XLOOKUP(salesitems[[#This Row],[product_id]],products[product_id],products[product_name])</f>
        <v>Relaxed Crew Set</v>
      </c>
      <c r="P373" t="str">
        <f>_xlfn.XLOOKUP(salesitems[[#This Row],[product_id]],fashion_store_products!A:A,fashion_store_products!C:C)</f>
        <v>Sleepwear</v>
      </c>
    </row>
    <row r="374" spans="1:16" x14ac:dyDescent="0.45">
      <c r="A374">
        <v>2001</v>
      </c>
      <c r="B374">
        <v>215</v>
      </c>
      <c r="C374">
        <v>204</v>
      </c>
      <c r="D374">
        <v>1</v>
      </c>
      <c r="E374">
        <v>39.200000000000003</v>
      </c>
      <c r="F374">
        <v>35.28</v>
      </c>
      <c r="G374">
        <v>3.92</v>
      </c>
      <c r="H374" s="2">
        <v>0.1</v>
      </c>
      <c r="I374">
        <v>1</v>
      </c>
      <c r="J374">
        <v>35.28</v>
      </c>
      <c r="K374" s="1">
        <v>45812</v>
      </c>
      <c r="L374" t="s">
        <v>21</v>
      </c>
      <c r="M374" t="s">
        <v>8</v>
      </c>
      <c r="N374">
        <f>salesitems[[#This Row],[quantity]]*salesitems[[#This Row],[unit_price]]</f>
        <v>35.28</v>
      </c>
      <c r="O374" t="str">
        <f>_xlfn.XLOOKUP(salesitems[[#This Row],[product_id]],products[product_id],products[product_name])</f>
        <v>Polished Boxy Dress</v>
      </c>
      <c r="P374" t="str">
        <f>_xlfn.XLOOKUP(salesitems[[#This Row],[product_id]],fashion_store_products!A:A,fashion_store_products!C:C)</f>
        <v>Dresses</v>
      </c>
    </row>
    <row r="375" spans="1:16" x14ac:dyDescent="0.45">
      <c r="A375">
        <v>92</v>
      </c>
      <c r="B375">
        <v>1327</v>
      </c>
      <c r="C375">
        <v>414</v>
      </c>
      <c r="D375">
        <v>1</v>
      </c>
      <c r="E375">
        <v>35.200000000000003</v>
      </c>
      <c r="F375">
        <v>35.200000000000003</v>
      </c>
      <c r="G375">
        <v>0</v>
      </c>
      <c r="H375" s="2">
        <v>0</v>
      </c>
      <c r="I375">
        <v>0</v>
      </c>
      <c r="J375">
        <v>35.200000000000003</v>
      </c>
      <c r="K375" s="1">
        <v>45766</v>
      </c>
      <c r="L375" t="s">
        <v>21</v>
      </c>
      <c r="M375" t="s">
        <v>18</v>
      </c>
      <c r="N375">
        <f>salesitems[[#This Row],[quantity]]*salesitems[[#This Row],[unit_price]]</f>
        <v>35.200000000000003</v>
      </c>
      <c r="O375" t="str">
        <f>_xlfn.XLOOKUP(salesitems[[#This Row],[product_id]],products[product_id],products[product_name])</f>
        <v>Elegant Crew Set</v>
      </c>
      <c r="P375" t="str">
        <f>_xlfn.XLOOKUP(salesitems[[#This Row],[product_id]],fashion_store_products!A:A,fashion_store_products!C:C)</f>
        <v>Sleepwear</v>
      </c>
    </row>
    <row r="376" spans="1:16" x14ac:dyDescent="0.45">
      <c r="A376">
        <v>1576</v>
      </c>
      <c r="B376">
        <v>1290</v>
      </c>
      <c r="C376">
        <v>414</v>
      </c>
      <c r="D376">
        <v>1</v>
      </c>
      <c r="E376">
        <v>35.200000000000003</v>
      </c>
      <c r="F376">
        <v>35.200000000000003</v>
      </c>
      <c r="G376">
        <v>0</v>
      </c>
      <c r="H376" s="2">
        <v>0</v>
      </c>
      <c r="I376">
        <v>0</v>
      </c>
      <c r="J376">
        <v>35.200000000000003</v>
      </c>
      <c r="K376" s="1">
        <v>45769</v>
      </c>
      <c r="L376" t="s">
        <v>21</v>
      </c>
      <c r="M376" t="s">
        <v>18</v>
      </c>
      <c r="N376">
        <f>salesitems[[#This Row],[quantity]]*salesitems[[#This Row],[unit_price]]</f>
        <v>35.200000000000003</v>
      </c>
      <c r="O376" t="str">
        <f>_xlfn.XLOOKUP(salesitems[[#This Row],[product_id]],products[product_id],products[product_name])</f>
        <v>Elegant Crew Set</v>
      </c>
      <c r="P376" t="str">
        <f>_xlfn.XLOOKUP(salesitems[[#This Row],[product_id]],fashion_store_products!A:A,fashion_store_products!C:C)</f>
        <v>Sleepwear</v>
      </c>
    </row>
    <row r="377" spans="1:16" x14ac:dyDescent="0.45">
      <c r="A377">
        <v>3321</v>
      </c>
      <c r="B377">
        <v>559</v>
      </c>
      <c r="C377">
        <v>477</v>
      </c>
      <c r="D377">
        <v>1</v>
      </c>
      <c r="E377">
        <v>38.9</v>
      </c>
      <c r="F377">
        <v>35.01</v>
      </c>
      <c r="G377">
        <v>3.89</v>
      </c>
      <c r="H377" s="2">
        <v>0.1</v>
      </c>
      <c r="I377">
        <v>1</v>
      </c>
      <c r="J377">
        <v>35.01</v>
      </c>
      <c r="K377" s="1">
        <v>45812</v>
      </c>
      <c r="L377" t="s">
        <v>21</v>
      </c>
      <c r="M377" t="s">
        <v>8</v>
      </c>
      <c r="N377">
        <f>salesitems[[#This Row],[quantity]]*salesitems[[#This Row],[unit_price]]</f>
        <v>35.01</v>
      </c>
      <c r="O377" t="str">
        <f>_xlfn.XLOOKUP(salesitems[[#This Row],[product_id]],products[product_id],products[product_name])</f>
        <v>Bold Silk Shoes</v>
      </c>
      <c r="P377" t="str">
        <f>_xlfn.XLOOKUP(salesitems[[#This Row],[product_id]],fashion_store_products!A:A,fashion_store_products!C:C)</f>
        <v>Shoes</v>
      </c>
    </row>
    <row r="378" spans="1:16" x14ac:dyDescent="0.45">
      <c r="A378">
        <v>712</v>
      </c>
      <c r="B378">
        <v>1223</v>
      </c>
      <c r="C378">
        <v>190</v>
      </c>
      <c r="D378">
        <v>1</v>
      </c>
      <c r="E378">
        <v>49.41</v>
      </c>
      <c r="F378">
        <v>34.590000000000003</v>
      </c>
      <c r="G378">
        <v>14.82</v>
      </c>
      <c r="H378" s="2">
        <v>0.3</v>
      </c>
      <c r="I378">
        <v>1</v>
      </c>
      <c r="J378">
        <v>34.590000000000003</v>
      </c>
      <c r="K378" s="1">
        <v>45794</v>
      </c>
      <c r="L378" t="s">
        <v>15</v>
      </c>
      <c r="M378" t="s">
        <v>11</v>
      </c>
      <c r="N378">
        <f>salesitems[[#This Row],[quantity]]*salesitems[[#This Row],[unit_price]]</f>
        <v>34.590000000000003</v>
      </c>
      <c r="O378" t="str">
        <f>_xlfn.XLOOKUP(salesitems[[#This Row],[product_id]],products[product_id],products[product_name])</f>
        <v>Polished Cotton Dress</v>
      </c>
      <c r="P378" t="str">
        <f>_xlfn.XLOOKUP(salesitems[[#This Row],[product_id]],fashion_store_products!A:A,fashion_store_products!C:C)</f>
        <v>Dresses</v>
      </c>
    </row>
    <row r="379" spans="1:16" x14ac:dyDescent="0.45">
      <c r="A379">
        <v>2163</v>
      </c>
      <c r="B379">
        <v>1329</v>
      </c>
      <c r="C379">
        <v>59</v>
      </c>
      <c r="D379">
        <v>1</v>
      </c>
      <c r="E379">
        <v>34.58</v>
      </c>
      <c r="F379">
        <v>34.58</v>
      </c>
      <c r="G379">
        <v>0</v>
      </c>
      <c r="H379" s="2">
        <v>0</v>
      </c>
      <c r="I379">
        <v>0</v>
      </c>
      <c r="J379">
        <v>34.58</v>
      </c>
      <c r="K379" s="1">
        <v>45774</v>
      </c>
      <c r="L379" t="s">
        <v>15</v>
      </c>
      <c r="M379" t="s">
        <v>15</v>
      </c>
      <c r="N379">
        <f>salesitems[[#This Row],[quantity]]*salesitems[[#This Row],[unit_price]]</f>
        <v>34.58</v>
      </c>
      <c r="O379" t="str">
        <f>_xlfn.XLOOKUP(salesitems[[#This Row],[product_id]],products[product_id],products[product_name])</f>
        <v>Soft Silk Set</v>
      </c>
      <c r="P379" t="str">
        <f>_xlfn.XLOOKUP(salesitems[[#This Row],[product_id]],fashion_store_products!A:A,fashion_store_products!C:C)</f>
        <v>Sleepwear</v>
      </c>
    </row>
    <row r="380" spans="1:16" x14ac:dyDescent="0.45">
      <c r="A380">
        <v>1976</v>
      </c>
      <c r="B380">
        <v>542</v>
      </c>
      <c r="C380">
        <v>402</v>
      </c>
      <c r="D380">
        <v>1</v>
      </c>
      <c r="E380">
        <v>34.450000000000003</v>
      </c>
      <c r="F380">
        <v>34.450000000000003</v>
      </c>
      <c r="G380">
        <v>0</v>
      </c>
      <c r="H380" s="2">
        <v>0</v>
      </c>
      <c r="I380">
        <v>0</v>
      </c>
      <c r="J380">
        <v>34.450000000000003</v>
      </c>
      <c r="K380" s="1">
        <v>45801</v>
      </c>
      <c r="L380" t="s">
        <v>21</v>
      </c>
      <c r="M380" t="s">
        <v>18</v>
      </c>
      <c r="N380">
        <f>salesitems[[#This Row],[quantity]]*salesitems[[#This Row],[unit_price]]</f>
        <v>34.450000000000003</v>
      </c>
      <c r="O380" t="str">
        <f>_xlfn.XLOOKUP(salesitems[[#This Row],[product_id]],products[product_id],products[product_name])</f>
        <v>Elegant Ribbed Set</v>
      </c>
      <c r="P380" t="str">
        <f>_xlfn.XLOOKUP(salesitems[[#This Row],[product_id]],fashion_store_products!A:A,fashion_store_products!C:C)</f>
        <v>Sleepwear</v>
      </c>
    </row>
    <row r="381" spans="1:16" x14ac:dyDescent="0.45">
      <c r="A381">
        <v>2577</v>
      </c>
      <c r="B381">
        <v>707</v>
      </c>
      <c r="C381">
        <v>402</v>
      </c>
      <c r="D381">
        <v>1</v>
      </c>
      <c r="E381">
        <v>34.450000000000003</v>
      </c>
      <c r="F381">
        <v>34.450000000000003</v>
      </c>
      <c r="G381">
        <v>0</v>
      </c>
      <c r="H381" s="2">
        <v>0</v>
      </c>
      <c r="I381">
        <v>0</v>
      </c>
      <c r="J381">
        <v>34.450000000000003</v>
      </c>
      <c r="K381" s="1">
        <v>45800</v>
      </c>
      <c r="L381" t="s">
        <v>21</v>
      </c>
      <c r="M381" t="s">
        <v>18</v>
      </c>
      <c r="N381">
        <f>salesitems[[#This Row],[quantity]]*salesitems[[#This Row],[unit_price]]</f>
        <v>34.450000000000003</v>
      </c>
      <c r="O381" t="str">
        <f>_xlfn.XLOOKUP(salesitems[[#This Row],[product_id]],products[product_id],products[product_name])</f>
        <v>Elegant Ribbed Set</v>
      </c>
      <c r="P381" t="str">
        <f>_xlfn.XLOOKUP(salesitems[[#This Row],[product_id]],fashion_store_products!A:A,fashion_store_products!C:C)</f>
        <v>Sleepwear</v>
      </c>
    </row>
    <row r="382" spans="1:16" x14ac:dyDescent="0.45">
      <c r="A382">
        <v>1163</v>
      </c>
      <c r="B382">
        <v>369</v>
      </c>
      <c r="C382">
        <v>388</v>
      </c>
      <c r="D382">
        <v>1</v>
      </c>
      <c r="E382">
        <v>34.229999999999997</v>
      </c>
      <c r="F382">
        <v>34.229999999999997</v>
      </c>
      <c r="G382">
        <v>0</v>
      </c>
      <c r="H382" s="2">
        <v>0</v>
      </c>
      <c r="I382">
        <v>0</v>
      </c>
      <c r="J382">
        <v>34.229999999999997</v>
      </c>
      <c r="K382" s="1">
        <v>45776</v>
      </c>
      <c r="L382" t="s">
        <v>21</v>
      </c>
      <c r="M382" t="s">
        <v>18</v>
      </c>
      <c r="N382">
        <f>salesitems[[#This Row],[quantity]]*salesitems[[#This Row],[unit_price]]</f>
        <v>34.229999999999997</v>
      </c>
      <c r="O382" t="str">
        <f>_xlfn.XLOOKUP(salesitems[[#This Row],[product_id]],products[product_id],products[product_name])</f>
        <v>Tailored Boxy Dress</v>
      </c>
      <c r="P382" t="str">
        <f>_xlfn.XLOOKUP(salesitems[[#This Row],[product_id]],fashion_store_products!A:A,fashion_store_products!C:C)</f>
        <v>Dresses</v>
      </c>
    </row>
    <row r="383" spans="1:16" x14ac:dyDescent="0.45">
      <c r="A383">
        <v>1507</v>
      </c>
      <c r="B383">
        <v>589</v>
      </c>
      <c r="C383">
        <v>91</v>
      </c>
      <c r="D383">
        <v>1</v>
      </c>
      <c r="E383">
        <v>33.950000000000003</v>
      </c>
      <c r="F383">
        <v>33.950000000000003</v>
      </c>
      <c r="G383">
        <v>0</v>
      </c>
      <c r="H383" s="2">
        <v>0</v>
      </c>
      <c r="I383">
        <v>0</v>
      </c>
      <c r="J383">
        <v>33.950000000000003</v>
      </c>
      <c r="K383" s="1">
        <v>45825</v>
      </c>
      <c r="L383" t="s">
        <v>15</v>
      </c>
      <c r="M383" t="s">
        <v>15</v>
      </c>
      <c r="N383">
        <f>salesitems[[#This Row],[quantity]]*salesitems[[#This Row],[unit_price]]</f>
        <v>33.950000000000003</v>
      </c>
      <c r="O383" t="str">
        <f>_xlfn.XLOOKUP(salesitems[[#This Row],[product_id]],products[product_id],products[product_name])</f>
        <v>Modern Silk Set</v>
      </c>
      <c r="P383" t="str">
        <f>_xlfn.XLOOKUP(salesitems[[#This Row],[product_id]],fashion_store_products!A:A,fashion_store_products!C:C)</f>
        <v>Sleepwear</v>
      </c>
    </row>
    <row r="384" spans="1:16" x14ac:dyDescent="0.45">
      <c r="A384">
        <v>2863</v>
      </c>
      <c r="B384">
        <v>144</v>
      </c>
      <c r="C384">
        <v>91</v>
      </c>
      <c r="D384">
        <v>1</v>
      </c>
      <c r="E384">
        <v>33.950000000000003</v>
      </c>
      <c r="F384">
        <v>33.950000000000003</v>
      </c>
      <c r="G384">
        <v>0</v>
      </c>
      <c r="H384" s="2">
        <v>0</v>
      </c>
      <c r="I384">
        <v>0</v>
      </c>
      <c r="J384">
        <v>33.950000000000003</v>
      </c>
      <c r="K384" s="1">
        <v>45767</v>
      </c>
      <c r="L384" t="s">
        <v>15</v>
      </c>
      <c r="M384" t="s">
        <v>15</v>
      </c>
      <c r="N384">
        <f>salesitems[[#This Row],[quantity]]*salesitems[[#This Row],[unit_price]]</f>
        <v>33.950000000000003</v>
      </c>
      <c r="O384" t="str">
        <f>_xlfn.XLOOKUP(salesitems[[#This Row],[product_id]],products[product_id],products[product_name])</f>
        <v>Modern Silk Set</v>
      </c>
      <c r="P384" t="str">
        <f>_xlfn.XLOOKUP(salesitems[[#This Row],[product_id]],fashion_store_products!A:A,fashion_store_products!C:C)</f>
        <v>Sleepwear</v>
      </c>
    </row>
    <row r="385" spans="1:16" x14ac:dyDescent="0.45">
      <c r="A385">
        <v>1482</v>
      </c>
      <c r="B385">
        <v>1320</v>
      </c>
      <c r="C385">
        <v>298</v>
      </c>
      <c r="D385">
        <v>1</v>
      </c>
      <c r="E385">
        <v>33.94</v>
      </c>
      <c r="F385">
        <v>33.94</v>
      </c>
      <c r="G385">
        <v>0</v>
      </c>
      <c r="H385" s="2">
        <v>0</v>
      </c>
      <c r="I385">
        <v>0</v>
      </c>
      <c r="J385">
        <v>33.94</v>
      </c>
      <c r="K385" s="1">
        <v>45764</v>
      </c>
      <c r="L385" t="s">
        <v>21</v>
      </c>
      <c r="M385" t="s">
        <v>18</v>
      </c>
      <c r="N385">
        <f>salesitems[[#This Row],[quantity]]*salesitems[[#This Row],[unit_price]]</f>
        <v>33.94</v>
      </c>
      <c r="O385" t="str">
        <f>_xlfn.XLOOKUP(salesitems[[#This Row],[product_id]],products[product_id],products[product_name])</f>
        <v>Essential Boxy Shoes</v>
      </c>
      <c r="P385" t="str">
        <f>_xlfn.XLOOKUP(salesitems[[#This Row],[product_id]],fashion_store_products!A:A,fashion_store_products!C:C)</f>
        <v>Shoes</v>
      </c>
    </row>
    <row r="386" spans="1:16" x14ac:dyDescent="0.45">
      <c r="A386">
        <v>379</v>
      </c>
      <c r="B386">
        <v>895</v>
      </c>
      <c r="C386">
        <v>139</v>
      </c>
      <c r="D386">
        <v>1</v>
      </c>
      <c r="E386">
        <v>33.590000000000003</v>
      </c>
      <c r="F386">
        <v>33.590000000000003</v>
      </c>
      <c r="G386">
        <v>0</v>
      </c>
      <c r="H386" s="2">
        <v>0</v>
      </c>
      <c r="I386">
        <v>0</v>
      </c>
      <c r="J386">
        <v>33.590000000000003</v>
      </c>
      <c r="K386" s="1">
        <v>45808</v>
      </c>
      <c r="L386" t="s">
        <v>15</v>
      </c>
      <c r="M386" t="s">
        <v>15</v>
      </c>
      <c r="N386">
        <f>salesitems[[#This Row],[quantity]]*salesitems[[#This Row],[unit_price]]</f>
        <v>33.590000000000003</v>
      </c>
      <c r="O386" t="str">
        <f>_xlfn.XLOOKUP(salesitems[[#This Row],[product_id]],products[product_id],products[product_name])</f>
        <v>Classic High-Waist Tee</v>
      </c>
      <c r="P386" t="str">
        <f>_xlfn.XLOOKUP(salesitems[[#This Row],[product_id]],fashion_store_products!A:A,fashion_store_products!C:C)</f>
        <v>T-Shirts</v>
      </c>
    </row>
    <row r="387" spans="1:16" x14ac:dyDescent="0.45">
      <c r="A387">
        <v>2717</v>
      </c>
      <c r="B387">
        <v>550</v>
      </c>
      <c r="C387">
        <v>139</v>
      </c>
      <c r="D387">
        <v>1</v>
      </c>
      <c r="E387">
        <v>33.590000000000003</v>
      </c>
      <c r="F387">
        <v>33.590000000000003</v>
      </c>
      <c r="G387">
        <v>0</v>
      </c>
      <c r="H387" s="2">
        <v>0</v>
      </c>
      <c r="I387">
        <v>0</v>
      </c>
      <c r="J387">
        <v>33.590000000000003</v>
      </c>
      <c r="K387" s="1">
        <v>45793</v>
      </c>
      <c r="L387" t="s">
        <v>21</v>
      </c>
      <c r="M387" t="s">
        <v>18</v>
      </c>
      <c r="N387">
        <f>salesitems[[#This Row],[quantity]]*salesitems[[#This Row],[unit_price]]</f>
        <v>33.590000000000003</v>
      </c>
      <c r="O387" t="str">
        <f>_xlfn.XLOOKUP(salesitems[[#This Row],[product_id]],products[product_id],products[product_name])</f>
        <v>Classic High-Waist Tee</v>
      </c>
      <c r="P387" t="str">
        <f>_xlfn.XLOOKUP(salesitems[[#This Row],[product_id]],fashion_store_products!A:A,fashion_store_products!C:C)</f>
        <v>T-Shirts</v>
      </c>
    </row>
    <row r="388" spans="1:16" x14ac:dyDescent="0.45">
      <c r="A388">
        <v>215</v>
      </c>
      <c r="B388">
        <v>404</v>
      </c>
      <c r="C388">
        <v>338</v>
      </c>
      <c r="D388">
        <v>1</v>
      </c>
      <c r="E388">
        <v>33.39</v>
      </c>
      <c r="F388">
        <v>33.39</v>
      </c>
      <c r="G388">
        <v>0</v>
      </c>
      <c r="H388" s="2">
        <v>0</v>
      </c>
      <c r="I388">
        <v>0</v>
      </c>
      <c r="J388">
        <v>33.39</v>
      </c>
      <c r="K388" s="1">
        <v>45803</v>
      </c>
      <c r="L388" t="s">
        <v>21</v>
      </c>
      <c r="M388" t="s">
        <v>18</v>
      </c>
      <c r="N388">
        <f>salesitems[[#This Row],[quantity]]*salesitems[[#This Row],[unit_price]]</f>
        <v>33.39</v>
      </c>
      <c r="O388" t="str">
        <f>_xlfn.XLOOKUP(salesitems[[#This Row],[product_id]],products[product_id],products[product_name])</f>
        <v>Essential Ribbed Set</v>
      </c>
      <c r="P388" t="str">
        <f>_xlfn.XLOOKUP(salesitems[[#This Row],[product_id]],fashion_store_products!A:A,fashion_store_products!C:C)</f>
        <v>Sleepwear</v>
      </c>
    </row>
    <row r="389" spans="1:16" x14ac:dyDescent="0.45">
      <c r="A389">
        <v>920</v>
      </c>
      <c r="B389">
        <v>485</v>
      </c>
      <c r="C389">
        <v>338</v>
      </c>
      <c r="D389">
        <v>1</v>
      </c>
      <c r="E389">
        <v>33.39</v>
      </c>
      <c r="F389">
        <v>33.39</v>
      </c>
      <c r="G389">
        <v>0</v>
      </c>
      <c r="H389" s="2">
        <v>0</v>
      </c>
      <c r="I389">
        <v>0</v>
      </c>
      <c r="J389">
        <v>33.39</v>
      </c>
      <c r="K389" s="1">
        <v>45821</v>
      </c>
      <c r="L389" t="s">
        <v>21</v>
      </c>
      <c r="M389" t="s">
        <v>18</v>
      </c>
      <c r="N389">
        <f>salesitems[[#This Row],[quantity]]*salesitems[[#This Row],[unit_price]]</f>
        <v>33.39</v>
      </c>
      <c r="O389" t="str">
        <f>_xlfn.XLOOKUP(salesitems[[#This Row],[product_id]],products[product_id],products[product_name])</f>
        <v>Essential Ribbed Set</v>
      </c>
      <c r="P389" t="str">
        <f>_xlfn.XLOOKUP(salesitems[[#This Row],[product_id]],fashion_store_products!A:A,fashion_store_products!C:C)</f>
        <v>Sleepwear</v>
      </c>
    </row>
    <row r="390" spans="1:16" x14ac:dyDescent="0.45">
      <c r="A390">
        <v>2094</v>
      </c>
      <c r="B390">
        <v>24</v>
      </c>
      <c r="C390">
        <v>410</v>
      </c>
      <c r="D390">
        <v>1</v>
      </c>
      <c r="E390">
        <v>47.47</v>
      </c>
      <c r="F390">
        <v>33.229999999999997</v>
      </c>
      <c r="G390">
        <v>14.24</v>
      </c>
      <c r="H390" s="2">
        <v>0.3</v>
      </c>
      <c r="I390">
        <v>1</v>
      </c>
      <c r="J390">
        <v>33.229999999999997</v>
      </c>
      <c r="K390" s="1">
        <v>45790</v>
      </c>
      <c r="L390" t="s">
        <v>15</v>
      </c>
      <c r="M390" t="s">
        <v>11</v>
      </c>
      <c r="N390">
        <f>salesitems[[#This Row],[quantity]]*salesitems[[#This Row],[unit_price]]</f>
        <v>33.229999999999997</v>
      </c>
      <c r="O390" t="str">
        <f>_xlfn.XLOOKUP(salesitems[[#This Row],[product_id]],products[product_id],products[product_name])</f>
        <v>Elegant Satin Set</v>
      </c>
      <c r="P390" t="str">
        <f>_xlfn.XLOOKUP(salesitems[[#This Row],[product_id]],fashion_store_products!A:A,fashion_store_products!C:C)</f>
        <v>Sleepwear</v>
      </c>
    </row>
    <row r="391" spans="1:16" x14ac:dyDescent="0.45">
      <c r="A391">
        <v>136</v>
      </c>
      <c r="B391">
        <v>278</v>
      </c>
      <c r="C391">
        <v>169</v>
      </c>
      <c r="D391">
        <v>1</v>
      </c>
      <c r="E391">
        <v>32.94</v>
      </c>
      <c r="F391">
        <v>32.94</v>
      </c>
      <c r="G391">
        <v>0</v>
      </c>
      <c r="H391" s="2">
        <v>0</v>
      </c>
      <c r="I391">
        <v>0</v>
      </c>
      <c r="J391">
        <v>32.94</v>
      </c>
      <c r="K391" s="1">
        <v>45821</v>
      </c>
      <c r="L391" t="s">
        <v>15</v>
      </c>
      <c r="M391" t="s">
        <v>15</v>
      </c>
      <c r="N391">
        <f>salesitems[[#This Row],[quantity]]*salesitems[[#This Row],[unit_price]]</f>
        <v>32.94</v>
      </c>
      <c r="O391" t="str">
        <f>_xlfn.XLOOKUP(salesitems[[#This Row],[product_id]],products[product_id],products[product_name])</f>
        <v>Vintage Linen Set</v>
      </c>
      <c r="P391" t="str">
        <f>_xlfn.XLOOKUP(salesitems[[#This Row],[product_id]],fashion_store_products!A:A,fashion_store_products!C:C)</f>
        <v>Sleepwear</v>
      </c>
    </row>
    <row r="392" spans="1:16" x14ac:dyDescent="0.45">
      <c r="A392">
        <v>358</v>
      </c>
      <c r="B392">
        <v>619</v>
      </c>
      <c r="C392">
        <v>228</v>
      </c>
      <c r="D392">
        <v>1</v>
      </c>
      <c r="E392">
        <v>46.89</v>
      </c>
      <c r="F392">
        <v>32.82</v>
      </c>
      <c r="G392">
        <v>14.07</v>
      </c>
      <c r="H392" s="2">
        <v>0.3</v>
      </c>
      <c r="I392">
        <v>1</v>
      </c>
      <c r="J392">
        <v>32.82</v>
      </c>
      <c r="K392" s="1">
        <v>45792</v>
      </c>
      <c r="L392" t="s">
        <v>15</v>
      </c>
      <c r="M392" t="s">
        <v>11</v>
      </c>
      <c r="N392">
        <f>salesitems[[#This Row],[quantity]]*salesitems[[#This Row],[unit_price]]</f>
        <v>32.82</v>
      </c>
      <c r="O392" t="str">
        <f>_xlfn.XLOOKUP(salesitems[[#This Row],[product_id]],products[product_id],products[product_name])</f>
        <v>Vintage Boxy Trousers</v>
      </c>
      <c r="P392" t="str">
        <f>_xlfn.XLOOKUP(salesitems[[#This Row],[product_id]],fashion_store_products!A:A,fashion_store_products!C:C)</f>
        <v>Pants</v>
      </c>
    </row>
    <row r="393" spans="1:16" x14ac:dyDescent="0.45">
      <c r="A393">
        <v>1387</v>
      </c>
      <c r="B393">
        <v>555</v>
      </c>
      <c r="C393">
        <v>209</v>
      </c>
      <c r="D393">
        <v>1</v>
      </c>
      <c r="E393">
        <v>32.409999999999997</v>
      </c>
      <c r="F393">
        <v>32.409999999999997</v>
      </c>
      <c r="G393">
        <v>0</v>
      </c>
      <c r="H393" s="2">
        <v>0</v>
      </c>
      <c r="I393">
        <v>0</v>
      </c>
      <c r="J393">
        <v>32.409999999999997</v>
      </c>
      <c r="K393" s="1">
        <v>45802</v>
      </c>
      <c r="L393" t="s">
        <v>15</v>
      </c>
      <c r="M393" t="s">
        <v>15</v>
      </c>
      <c r="N393">
        <f>salesitems[[#This Row],[quantity]]*salesitems[[#This Row],[unit_price]]</f>
        <v>32.409999999999997</v>
      </c>
      <c r="O393" t="str">
        <f>_xlfn.XLOOKUP(salesitems[[#This Row],[product_id]],products[product_id],products[product_name])</f>
        <v>Polished Ribbed Shoes</v>
      </c>
      <c r="P393" t="str">
        <f>_xlfn.XLOOKUP(salesitems[[#This Row],[product_id]],fashion_store_products!A:A,fashion_store_products!C:C)</f>
        <v>Shoes</v>
      </c>
    </row>
    <row r="394" spans="1:16" x14ac:dyDescent="0.45">
      <c r="A394">
        <v>1133</v>
      </c>
      <c r="B394">
        <v>377</v>
      </c>
      <c r="C394">
        <v>82</v>
      </c>
      <c r="D394">
        <v>1</v>
      </c>
      <c r="E394">
        <v>32.21</v>
      </c>
      <c r="F394">
        <v>32.21</v>
      </c>
      <c r="G394">
        <v>0</v>
      </c>
      <c r="H394" s="2">
        <v>0</v>
      </c>
      <c r="I394">
        <v>0</v>
      </c>
      <c r="J394">
        <v>32.21</v>
      </c>
      <c r="K394" s="1">
        <v>45791</v>
      </c>
      <c r="L394" t="s">
        <v>21</v>
      </c>
      <c r="M394" t="s">
        <v>18</v>
      </c>
      <c r="N394">
        <f>salesitems[[#This Row],[quantity]]*salesitems[[#This Row],[unit_price]]</f>
        <v>32.21</v>
      </c>
      <c r="O394" t="str">
        <f>_xlfn.XLOOKUP(salesitems[[#This Row],[product_id]],products[product_id],products[product_name])</f>
        <v>Classic Cotton Dress</v>
      </c>
      <c r="P394" t="str">
        <f>_xlfn.XLOOKUP(salesitems[[#This Row],[product_id]],fashion_store_products!A:A,fashion_store_products!C:C)</f>
        <v>Dresses</v>
      </c>
    </row>
    <row r="395" spans="1:16" x14ac:dyDescent="0.45">
      <c r="A395">
        <v>2578</v>
      </c>
      <c r="B395">
        <v>949</v>
      </c>
      <c r="C395">
        <v>82</v>
      </c>
      <c r="D395">
        <v>1</v>
      </c>
      <c r="E395">
        <v>32.21</v>
      </c>
      <c r="F395">
        <v>32.21</v>
      </c>
      <c r="G395">
        <v>0</v>
      </c>
      <c r="H395" s="2">
        <v>0</v>
      </c>
      <c r="I395">
        <v>0</v>
      </c>
      <c r="J395">
        <v>32.21</v>
      </c>
      <c r="K395" s="1">
        <v>45807</v>
      </c>
      <c r="L395" t="s">
        <v>21</v>
      </c>
      <c r="M395" t="s">
        <v>18</v>
      </c>
      <c r="N395">
        <f>salesitems[[#This Row],[quantity]]*salesitems[[#This Row],[unit_price]]</f>
        <v>32.21</v>
      </c>
      <c r="O395" t="str">
        <f>_xlfn.XLOOKUP(salesitems[[#This Row],[product_id]],products[product_id],products[product_name])</f>
        <v>Classic Cotton Dress</v>
      </c>
      <c r="P395" t="str">
        <f>_xlfn.XLOOKUP(salesitems[[#This Row],[product_id]],fashion_store_products!A:A,fashion_store_products!C:C)</f>
        <v>Dresses</v>
      </c>
    </row>
    <row r="396" spans="1:16" x14ac:dyDescent="0.45">
      <c r="A396">
        <v>118</v>
      </c>
      <c r="B396">
        <v>577</v>
      </c>
      <c r="C396">
        <v>453</v>
      </c>
      <c r="D396">
        <v>1</v>
      </c>
      <c r="E396">
        <v>32.049999999999997</v>
      </c>
      <c r="F396">
        <v>32.049999999999997</v>
      </c>
      <c r="G396">
        <v>0</v>
      </c>
      <c r="H396" s="2">
        <v>0</v>
      </c>
      <c r="I396">
        <v>0</v>
      </c>
      <c r="J396">
        <v>32.049999999999997</v>
      </c>
      <c r="K396" s="1">
        <v>45804</v>
      </c>
      <c r="L396" t="s">
        <v>21</v>
      </c>
      <c r="M396" t="s">
        <v>18</v>
      </c>
      <c r="N396">
        <f>salesitems[[#This Row],[quantity]]*salesitems[[#This Row],[unit_price]]</f>
        <v>32.049999999999997</v>
      </c>
      <c r="O396" t="str">
        <f>_xlfn.XLOOKUP(salesitems[[#This Row],[product_id]],products[product_id],products[product_name])</f>
        <v>Bold Silk Tee</v>
      </c>
      <c r="P396" t="str">
        <f>_xlfn.XLOOKUP(salesitems[[#This Row],[product_id]],fashion_store_products!A:A,fashion_store_products!C:C)</f>
        <v>T-Shirts</v>
      </c>
    </row>
    <row r="397" spans="1:16" x14ac:dyDescent="0.45">
      <c r="A397">
        <v>799</v>
      </c>
      <c r="B397">
        <v>931</v>
      </c>
      <c r="C397">
        <v>80</v>
      </c>
      <c r="D397">
        <v>1</v>
      </c>
      <c r="E397">
        <v>31.86</v>
      </c>
      <c r="F397">
        <v>31.86</v>
      </c>
      <c r="G397">
        <v>0</v>
      </c>
      <c r="H397" s="2">
        <v>0</v>
      </c>
      <c r="I397">
        <v>0</v>
      </c>
      <c r="J397">
        <v>31.86</v>
      </c>
      <c r="K397" s="1">
        <v>45825</v>
      </c>
      <c r="L397" t="s">
        <v>21</v>
      </c>
      <c r="M397" t="s">
        <v>18</v>
      </c>
      <c r="N397">
        <f>salesitems[[#This Row],[quantity]]*salesitems[[#This Row],[unit_price]]</f>
        <v>31.86</v>
      </c>
      <c r="O397" t="str">
        <f>_xlfn.XLOOKUP(salesitems[[#This Row],[product_id]],products[product_id],products[product_name])</f>
        <v>Classic Ribbed Dress</v>
      </c>
      <c r="P397" t="str">
        <f>_xlfn.XLOOKUP(salesitems[[#This Row],[product_id]],fashion_store_products!A:A,fashion_store_products!C:C)</f>
        <v>Dresses</v>
      </c>
    </row>
    <row r="398" spans="1:16" x14ac:dyDescent="0.45">
      <c r="A398">
        <v>2744</v>
      </c>
      <c r="B398">
        <v>842</v>
      </c>
      <c r="C398">
        <v>80</v>
      </c>
      <c r="D398">
        <v>1</v>
      </c>
      <c r="E398">
        <v>31.86</v>
      </c>
      <c r="F398">
        <v>31.86</v>
      </c>
      <c r="G398">
        <v>0</v>
      </c>
      <c r="H398" s="2">
        <v>0</v>
      </c>
      <c r="I398">
        <v>0</v>
      </c>
      <c r="J398">
        <v>31.86</v>
      </c>
      <c r="K398" s="1">
        <v>45768</v>
      </c>
      <c r="L398" t="s">
        <v>15</v>
      </c>
      <c r="M398" t="s">
        <v>15</v>
      </c>
      <c r="N398">
        <f>salesitems[[#This Row],[quantity]]*salesitems[[#This Row],[unit_price]]</f>
        <v>31.86</v>
      </c>
      <c r="O398" t="str">
        <f>_xlfn.XLOOKUP(salesitems[[#This Row],[product_id]],products[product_id],products[product_name])</f>
        <v>Classic Ribbed Dress</v>
      </c>
      <c r="P398" t="str">
        <f>_xlfn.XLOOKUP(salesitems[[#This Row],[product_id]],fashion_store_products!A:A,fashion_store_products!C:C)</f>
        <v>Dresses</v>
      </c>
    </row>
    <row r="399" spans="1:16" x14ac:dyDescent="0.45">
      <c r="A399">
        <v>842</v>
      </c>
      <c r="B399">
        <v>1195</v>
      </c>
      <c r="C399">
        <v>418</v>
      </c>
      <c r="D399">
        <v>1</v>
      </c>
      <c r="E399">
        <v>31.84</v>
      </c>
      <c r="F399">
        <v>31.84</v>
      </c>
      <c r="G399">
        <v>0</v>
      </c>
      <c r="H399" s="2">
        <v>0</v>
      </c>
      <c r="I399">
        <v>0</v>
      </c>
      <c r="J399">
        <v>31.84</v>
      </c>
      <c r="K399" s="1">
        <v>45769</v>
      </c>
      <c r="L399" t="s">
        <v>15</v>
      </c>
      <c r="M399" t="s">
        <v>15</v>
      </c>
      <c r="N399">
        <f>salesitems[[#This Row],[quantity]]*salesitems[[#This Row],[unit_price]]</f>
        <v>31.84</v>
      </c>
      <c r="O399" t="str">
        <f>_xlfn.XLOOKUP(salesitems[[#This Row],[product_id]],products[product_id],products[product_name])</f>
        <v>Elegant Crew Shoes</v>
      </c>
      <c r="P399" t="str">
        <f>_xlfn.XLOOKUP(salesitems[[#This Row],[product_id]],fashion_store_products!A:A,fashion_store_products!C:C)</f>
        <v>Shoes</v>
      </c>
    </row>
    <row r="400" spans="1:16" x14ac:dyDescent="0.45">
      <c r="A400">
        <v>2495</v>
      </c>
      <c r="B400">
        <v>1216</v>
      </c>
      <c r="C400">
        <v>84</v>
      </c>
      <c r="D400">
        <v>1</v>
      </c>
      <c r="E400">
        <v>31.84</v>
      </c>
      <c r="F400">
        <v>31.84</v>
      </c>
      <c r="G400">
        <v>0</v>
      </c>
      <c r="H400" s="2">
        <v>0</v>
      </c>
      <c r="I400">
        <v>0</v>
      </c>
      <c r="J400">
        <v>31.84</v>
      </c>
      <c r="K400" s="1">
        <v>45774</v>
      </c>
      <c r="L400" t="s">
        <v>15</v>
      </c>
      <c r="M400" t="s">
        <v>15</v>
      </c>
      <c r="N400">
        <f>salesitems[[#This Row],[quantity]]*salesitems[[#This Row],[unit_price]]</f>
        <v>31.84</v>
      </c>
      <c r="O400" t="str">
        <f>_xlfn.XLOOKUP(salesitems[[#This Row],[product_id]],products[product_id],products[product_name])</f>
        <v>Modern Cotton Shoes</v>
      </c>
      <c r="P400" t="str">
        <f>_xlfn.XLOOKUP(salesitems[[#This Row],[product_id]],fashion_store_products!A:A,fashion_store_products!C:C)</f>
        <v>Shoes</v>
      </c>
    </row>
    <row r="401" spans="1:16" x14ac:dyDescent="0.45">
      <c r="A401">
        <v>2882</v>
      </c>
      <c r="B401">
        <v>592</v>
      </c>
      <c r="C401">
        <v>418</v>
      </c>
      <c r="D401">
        <v>1</v>
      </c>
      <c r="E401">
        <v>31.84</v>
      </c>
      <c r="F401">
        <v>31.84</v>
      </c>
      <c r="G401">
        <v>0</v>
      </c>
      <c r="H401" s="2">
        <v>0</v>
      </c>
      <c r="I401">
        <v>0</v>
      </c>
      <c r="J401">
        <v>31.84</v>
      </c>
      <c r="K401" s="1">
        <v>45794</v>
      </c>
      <c r="L401" t="s">
        <v>21</v>
      </c>
      <c r="M401" t="s">
        <v>18</v>
      </c>
      <c r="N401">
        <f>salesitems[[#This Row],[quantity]]*salesitems[[#This Row],[unit_price]]</f>
        <v>31.84</v>
      </c>
      <c r="O401" t="str">
        <f>_xlfn.XLOOKUP(salesitems[[#This Row],[product_id]],products[product_id],products[product_name])</f>
        <v>Elegant Crew Shoes</v>
      </c>
      <c r="P401" t="str">
        <f>_xlfn.XLOOKUP(salesitems[[#This Row],[product_id]],fashion_store_products!A:A,fashion_store_products!C:C)</f>
        <v>Shoes</v>
      </c>
    </row>
    <row r="402" spans="1:16" x14ac:dyDescent="0.45">
      <c r="A402">
        <v>2733</v>
      </c>
      <c r="B402">
        <v>882</v>
      </c>
      <c r="C402">
        <v>90</v>
      </c>
      <c r="D402">
        <v>1</v>
      </c>
      <c r="E402">
        <v>31.67</v>
      </c>
      <c r="F402">
        <v>31.67</v>
      </c>
      <c r="G402">
        <v>0</v>
      </c>
      <c r="H402" s="2">
        <v>0</v>
      </c>
      <c r="I402">
        <v>0</v>
      </c>
      <c r="J402">
        <v>31.67</v>
      </c>
      <c r="K402" s="1">
        <v>45823</v>
      </c>
      <c r="L402" t="s">
        <v>15</v>
      </c>
      <c r="M402" t="s">
        <v>15</v>
      </c>
      <c r="N402">
        <f>salesitems[[#This Row],[quantity]]*salesitems[[#This Row],[unit_price]]</f>
        <v>31.67</v>
      </c>
      <c r="O402" t="str">
        <f>_xlfn.XLOOKUP(salesitems[[#This Row],[product_id]],products[product_id],products[product_name])</f>
        <v>Modern Silk Shoes</v>
      </c>
      <c r="P402" t="str">
        <f>_xlfn.XLOOKUP(salesitems[[#This Row],[product_id]],fashion_store_products!A:A,fashion_store_products!C:C)</f>
        <v>Shoes</v>
      </c>
    </row>
    <row r="403" spans="1:16" x14ac:dyDescent="0.45">
      <c r="A403">
        <v>3219</v>
      </c>
      <c r="B403">
        <v>1249</v>
      </c>
      <c r="C403">
        <v>457</v>
      </c>
      <c r="D403">
        <v>1</v>
      </c>
      <c r="E403">
        <v>31.61</v>
      </c>
      <c r="F403">
        <v>31.61</v>
      </c>
      <c r="G403">
        <v>0</v>
      </c>
      <c r="H403" s="2">
        <v>0</v>
      </c>
      <c r="I403">
        <v>0</v>
      </c>
      <c r="J403">
        <v>31.61</v>
      </c>
      <c r="K403" s="1">
        <v>45821</v>
      </c>
      <c r="L403" t="s">
        <v>21</v>
      </c>
      <c r="M403" t="s">
        <v>18</v>
      </c>
      <c r="N403">
        <f>salesitems[[#This Row],[quantity]]*salesitems[[#This Row],[unit_price]]</f>
        <v>31.61</v>
      </c>
      <c r="O403" t="str">
        <f>_xlfn.XLOOKUP(salesitems[[#This Row],[product_id]],products[product_id],products[product_name])</f>
        <v>Bold Crew Tee</v>
      </c>
      <c r="P403" t="str">
        <f>_xlfn.XLOOKUP(salesitems[[#This Row],[product_id]],fashion_store_products!A:A,fashion_store_products!C:C)</f>
        <v>T-Shirts</v>
      </c>
    </row>
    <row r="404" spans="1:16" x14ac:dyDescent="0.45">
      <c r="A404">
        <v>82</v>
      </c>
      <c r="B404">
        <v>490</v>
      </c>
      <c r="C404">
        <v>258</v>
      </c>
      <c r="D404">
        <v>1</v>
      </c>
      <c r="E404">
        <v>31.48</v>
      </c>
      <c r="F404">
        <v>31.48</v>
      </c>
      <c r="G404">
        <v>0</v>
      </c>
      <c r="H404" s="2">
        <v>0</v>
      </c>
      <c r="I404">
        <v>0</v>
      </c>
      <c r="J404">
        <v>31.48</v>
      </c>
      <c r="K404" s="1">
        <v>45801</v>
      </c>
      <c r="L404" t="s">
        <v>15</v>
      </c>
      <c r="M404" t="s">
        <v>15</v>
      </c>
      <c r="N404">
        <f>salesitems[[#This Row],[quantity]]*salesitems[[#This Row],[unit_price]]</f>
        <v>31.48</v>
      </c>
      <c r="O404" t="str">
        <f>_xlfn.XLOOKUP(salesitems[[#This Row],[product_id]],products[product_id],products[product_name])</f>
        <v>Relaxed Sleeveless Shoes</v>
      </c>
      <c r="P404" t="str">
        <f>_xlfn.XLOOKUP(salesitems[[#This Row],[product_id]],fashion_store_products!A:A,fashion_store_products!C:C)</f>
        <v>Shoes</v>
      </c>
    </row>
    <row r="405" spans="1:16" x14ac:dyDescent="0.45">
      <c r="A405">
        <v>3278</v>
      </c>
      <c r="B405">
        <v>497</v>
      </c>
      <c r="C405">
        <v>12</v>
      </c>
      <c r="D405">
        <v>1</v>
      </c>
      <c r="E405">
        <v>44.77</v>
      </c>
      <c r="F405">
        <v>31.34</v>
      </c>
      <c r="G405">
        <v>13.43</v>
      </c>
      <c r="H405" s="2">
        <v>0.3</v>
      </c>
      <c r="I405">
        <v>1</v>
      </c>
      <c r="J405">
        <v>31.34</v>
      </c>
      <c r="K405" s="1">
        <v>45790</v>
      </c>
      <c r="L405" t="s">
        <v>15</v>
      </c>
      <c r="M405" t="s">
        <v>11</v>
      </c>
      <c r="N405">
        <f>salesitems[[#This Row],[quantity]]*salesitems[[#This Row],[unit_price]]</f>
        <v>31.34</v>
      </c>
      <c r="O405" t="str">
        <f>_xlfn.XLOOKUP(salesitems[[#This Row],[product_id]],products[product_id],products[product_name])</f>
        <v>Soft Ribbed Dress</v>
      </c>
      <c r="P405" t="str">
        <f>_xlfn.XLOOKUP(salesitems[[#This Row],[product_id]],fashion_store_products!A:A,fashion_store_products!C:C)</f>
        <v>Dresses</v>
      </c>
    </row>
    <row r="406" spans="1:16" x14ac:dyDescent="0.45">
      <c r="A406">
        <v>733</v>
      </c>
      <c r="B406">
        <v>467</v>
      </c>
      <c r="C406">
        <v>95</v>
      </c>
      <c r="D406">
        <v>1</v>
      </c>
      <c r="E406">
        <v>31.15</v>
      </c>
      <c r="F406">
        <v>31.15</v>
      </c>
      <c r="G406">
        <v>0</v>
      </c>
      <c r="H406" s="2">
        <v>0</v>
      </c>
      <c r="I406">
        <v>0</v>
      </c>
      <c r="J406">
        <v>31.15</v>
      </c>
      <c r="K406" s="1">
        <v>45767</v>
      </c>
      <c r="L406" t="s">
        <v>15</v>
      </c>
      <c r="M406" t="s">
        <v>15</v>
      </c>
      <c r="N406">
        <f>salesitems[[#This Row],[quantity]]*salesitems[[#This Row],[unit_price]]</f>
        <v>31.15</v>
      </c>
      <c r="O406" t="str">
        <f>_xlfn.XLOOKUP(salesitems[[#This Row],[product_id]],products[product_id],products[product_name])</f>
        <v>Modern Crew Set</v>
      </c>
      <c r="P406" t="str">
        <f>_xlfn.XLOOKUP(salesitems[[#This Row],[product_id]],fashion_store_products!A:A,fashion_store_products!C:C)</f>
        <v>Sleepwear</v>
      </c>
    </row>
    <row r="407" spans="1:16" x14ac:dyDescent="0.45">
      <c r="A407">
        <v>1210</v>
      </c>
      <c r="B407">
        <v>33</v>
      </c>
      <c r="C407">
        <v>452</v>
      </c>
      <c r="D407">
        <v>1</v>
      </c>
      <c r="E407">
        <v>30.85</v>
      </c>
      <c r="F407">
        <v>30.85</v>
      </c>
      <c r="G407">
        <v>0</v>
      </c>
      <c r="H407" s="2">
        <v>0</v>
      </c>
      <c r="I407">
        <v>0</v>
      </c>
      <c r="J407">
        <v>30.85</v>
      </c>
      <c r="K407" s="1">
        <v>45770</v>
      </c>
      <c r="L407" t="s">
        <v>21</v>
      </c>
      <c r="M407" t="s">
        <v>18</v>
      </c>
      <c r="N407">
        <f>salesitems[[#This Row],[quantity]]*salesitems[[#This Row],[unit_price]]</f>
        <v>30.85</v>
      </c>
      <c r="O407" t="str">
        <f>_xlfn.XLOOKUP(salesitems[[#This Row],[product_id]],products[product_id],products[product_name])</f>
        <v>Bold Crew Dress</v>
      </c>
      <c r="P407" t="str">
        <f>_xlfn.XLOOKUP(salesitems[[#This Row],[product_id]],fashion_store_products!A:A,fashion_store_products!C:C)</f>
        <v>Dresses</v>
      </c>
    </row>
    <row r="408" spans="1:16" x14ac:dyDescent="0.45">
      <c r="A408">
        <v>2645</v>
      </c>
      <c r="B408">
        <v>1067</v>
      </c>
      <c r="C408">
        <v>452</v>
      </c>
      <c r="D408">
        <v>1</v>
      </c>
      <c r="E408">
        <v>30.85</v>
      </c>
      <c r="F408">
        <v>30.85</v>
      </c>
      <c r="G408">
        <v>0</v>
      </c>
      <c r="H408" s="2">
        <v>0</v>
      </c>
      <c r="I408">
        <v>0</v>
      </c>
      <c r="J408">
        <v>30.85</v>
      </c>
      <c r="K408" s="1">
        <v>45807</v>
      </c>
      <c r="L408" t="s">
        <v>15</v>
      </c>
      <c r="M408" t="s">
        <v>15</v>
      </c>
      <c r="N408">
        <f>salesitems[[#This Row],[quantity]]*salesitems[[#This Row],[unit_price]]</f>
        <v>30.85</v>
      </c>
      <c r="O408" t="str">
        <f>_xlfn.XLOOKUP(salesitems[[#This Row],[product_id]],products[product_id],products[product_name])</f>
        <v>Bold Crew Dress</v>
      </c>
      <c r="P408" t="str">
        <f>_xlfn.XLOOKUP(salesitems[[#This Row],[product_id]],fashion_store_products!A:A,fashion_store_products!C:C)</f>
        <v>Dresses</v>
      </c>
    </row>
    <row r="409" spans="1:16" x14ac:dyDescent="0.45">
      <c r="A409">
        <v>928</v>
      </c>
      <c r="B409">
        <v>907</v>
      </c>
      <c r="C409">
        <v>401</v>
      </c>
      <c r="D409">
        <v>1</v>
      </c>
      <c r="E409">
        <v>30.83</v>
      </c>
      <c r="F409">
        <v>30.83</v>
      </c>
      <c r="G409">
        <v>0</v>
      </c>
      <c r="H409" s="2">
        <v>0</v>
      </c>
      <c r="I409">
        <v>0</v>
      </c>
      <c r="J409">
        <v>30.83</v>
      </c>
      <c r="K409" s="1">
        <v>45765</v>
      </c>
      <c r="L409" t="s">
        <v>21</v>
      </c>
      <c r="M409" t="s">
        <v>18</v>
      </c>
      <c r="N409">
        <f>salesitems[[#This Row],[quantity]]*salesitems[[#This Row],[unit_price]]</f>
        <v>30.83</v>
      </c>
      <c r="O409" t="str">
        <f>_xlfn.XLOOKUP(salesitems[[#This Row],[product_id]],products[product_id],products[product_name])</f>
        <v>Elegant Cotton Dress</v>
      </c>
      <c r="P409" t="str">
        <f>_xlfn.XLOOKUP(salesitems[[#This Row],[product_id]],fashion_store_products!A:A,fashion_store_products!C:C)</f>
        <v>Dresses</v>
      </c>
    </row>
    <row r="410" spans="1:16" x14ac:dyDescent="0.45">
      <c r="A410">
        <v>2809</v>
      </c>
      <c r="B410">
        <v>359</v>
      </c>
      <c r="C410">
        <v>401</v>
      </c>
      <c r="D410">
        <v>1</v>
      </c>
      <c r="E410">
        <v>30.83</v>
      </c>
      <c r="F410">
        <v>30.83</v>
      </c>
      <c r="G410">
        <v>0</v>
      </c>
      <c r="H410" s="2">
        <v>0</v>
      </c>
      <c r="I410">
        <v>0</v>
      </c>
      <c r="J410">
        <v>30.83</v>
      </c>
      <c r="K410" s="1">
        <v>45765</v>
      </c>
      <c r="L410" t="s">
        <v>15</v>
      </c>
      <c r="M410" t="s">
        <v>15</v>
      </c>
      <c r="N410">
        <f>salesitems[[#This Row],[quantity]]*salesitems[[#This Row],[unit_price]]</f>
        <v>30.83</v>
      </c>
      <c r="O410" t="str">
        <f>_xlfn.XLOOKUP(salesitems[[#This Row],[product_id]],products[product_id],products[product_name])</f>
        <v>Elegant Cotton Dress</v>
      </c>
      <c r="P410" t="str">
        <f>_xlfn.XLOOKUP(salesitems[[#This Row],[product_id]],fashion_store_products!A:A,fashion_store_products!C:C)</f>
        <v>Dresses</v>
      </c>
    </row>
    <row r="411" spans="1:16" x14ac:dyDescent="0.45">
      <c r="A411">
        <v>2779</v>
      </c>
      <c r="B411">
        <v>328</v>
      </c>
      <c r="C411">
        <v>431</v>
      </c>
      <c r="D411">
        <v>1</v>
      </c>
      <c r="E411">
        <v>30.41</v>
      </c>
      <c r="F411">
        <v>30.41</v>
      </c>
      <c r="G411">
        <v>0</v>
      </c>
      <c r="H411" s="2">
        <v>0</v>
      </c>
      <c r="I411">
        <v>0</v>
      </c>
      <c r="J411">
        <v>30.41</v>
      </c>
      <c r="K411" s="1">
        <v>45790</v>
      </c>
      <c r="L411" t="s">
        <v>21</v>
      </c>
      <c r="M411" t="s">
        <v>18</v>
      </c>
      <c r="N411">
        <f>salesitems[[#This Row],[quantity]]*salesitems[[#This Row],[unit_price]]</f>
        <v>30.41</v>
      </c>
      <c r="O411" t="str">
        <f>_xlfn.XLOOKUP(salesitems[[#This Row],[product_id]],products[product_id],products[product_name])</f>
        <v>Elegant Boxy Shoes</v>
      </c>
      <c r="P411" t="str">
        <f>_xlfn.XLOOKUP(salesitems[[#This Row],[product_id]],fashion_store_products!A:A,fashion_store_products!C:C)</f>
        <v>Shoes</v>
      </c>
    </row>
    <row r="412" spans="1:16" x14ac:dyDescent="0.45">
      <c r="A412">
        <v>2543</v>
      </c>
      <c r="B412">
        <v>503</v>
      </c>
      <c r="C412">
        <v>171</v>
      </c>
      <c r="D412">
        <v>1</v>
      </c>
      <c r="E412">
        <v>30.26</v>
      </c>
      <c r="F412">
        <v>30.26</v>
      </c>
      <c r="G412">
        <v>0</v>
      </c>
      <c r="H412" s="2">
        <v>0</v>
      </c>
      <c r="I412">
        <v>0</v>
      </c>
      <c r="J412">
        <v>30.26</v>
      </c>
      <c r="K412" s="1">
        <v>45799</v>
      </c>
      <c r="L412" t="s">
        <v>21</v>
      </c>
      <c r="M412" t="s">
        <v>18</v>
      </c>
      <c r="N412">
        <f>salesitems[[#This Row],[quantity]]*salesitems[[#This Row],[unit_price]]</f>
        <v>30.26</v>
      </c>
      <c r="O412" t="str">
        <f>_xlfn.XLOOKUP(salesitems[[#This Row],[product_id]],products[product_id],products[product_name])</f>
        <v>Polished Wrap Dress</v>
      </c>
      <c r="P412" t="str">
        <f>_xlfn.XLOOKUP(salesitems[[#This Row],[product_id]],fashion_store_products!A:A,fashion_store_products!C:C)</f>
        <v>Dresses</v>
      </c>
    </row>
    <row r="413" spans="1:16" x14ac:dyDescent="0.45">
      <c r="A413">
        <v>1944</v>
      </c>
      <c r="B413">
        <v>1128</v>
      </c>
      <c r="C413">
        <v>39</v>
      </c>
      <c r="D413">
        <v>1</v>
      </c>
      <c r="E413">
        <v>29.97</v>
      </c>
      <c r="F413">
        <v>29.97</v>
      </c>
      <c r="G413">
        <v>0</v>
      </c>
      <c r="H413" s="2">
        <v>0</v>
      </c>
      <c r="I413">
        <v>0</v>
      </c>
      <c r="J413">
        <v>29.97</v>
      </c>
      <c r="K413" s="1">
        <v>45808</v>
      </c>
      <c r="L413" t="s">
        <v>15</v>
      </c>
      <c r="M413" t="s">
        <v>15</v>
      </c>
      <c r="N413">
        <f>salesitems[[#This Row],[quantity]]*salesitems[[#This Row],[unit_price]]</f>
        <v>29.97</v>
      </c>
      <c r="O413" t="str">
        <f>_xlfn.XLOOKUP(salesitems[[#This Row],[product_id]],products[product_id],products[product_name])</f>
        <v>Soft Sleeveless Trousers</v>
      </c>
      <c r="P413" t="str">
        <f>_xlfn.XLOOKUP(salesitems[[#This Row],[product_id]],fashion_store_products!A:A,fashion_store_products!C:C)</f>
        <v>Pants</v>
      </c>
    </row>
    <row r="414" spans="1:16" x14ac:dyDescent="0.45">
      <c r="A414">
        <v>1923</v>
      </c>
      <c r="B414">
        <v>1298</v>
      </c>
      <c r="C414">
        <v>241</v>
      </c>
      <c r="D414">
        <v>1</v>
      </c>
      <c r="E414">
        <v>29.82</v>
      </c>
      <c r="F414">
        <v>29.82</v>
      </c>
      <c r="G414">
        <v>0</v>
      </c>
      <c r="H414" s="2">
        <v>0</v>
      </c>
      <c r="I414">
        <v>0</v>
      </c>
      <c r="J414">
        <v>29.82</v>
      </c>
      <c r="K414" s="1">
        <v>45793</v>
      </c>
      <c r="L414" t="s">
        <v>21</v>
      </c>
      <c r="M414" t="s">
        <v>18</v>
      </c>
      <c r="N414">
        <f>salesitems[[#This Row],[quantity]]*salesitems[[#This Row],[unit_price]]</f>
        <v>29.82</v>
      </c>
      <c r="O414" t="str">
        <f>_xlfn.XLOOKUP(salesitems[[#This Row],[product_id]],products[product_id],products[product_name])</f>
        <v>Polished Ribbed Trousers</v>
      </c>
      <c r="P414" t="str">
        <f>_xlfn.XLOOKUP(salesitems[[#This Row],[product_id]],fashion_store_products!A:A,fashion_store_products!C:C)</f>
        <v>Pants</v>
      </c>
    </row>
    <row r="415" spans="1:16" x14ac:dyDescent="0.45">
      <c r="A415">
        <v>2219</v>
      </c>
      <c r="B415">
        <v>1029</v>
      </c>
      <c r="C415">
        <v>88</v>
      </c>
      <c r="D415">
        <v>1</v>
      </c>
      <c r="E415">
        <v>29.81</v>
      </c>
      <c r="F415">
        <v>29.81</v>
      </c>
      <c r="G415">
        <v>0</v>
      </c>
      <c r="H415" s="2">
        <v>0</v>
      </c>
      <c r="I415">
        <v>0</v>
      </c>
      <c r="J415">
        <v>29.81</v>
      </c>
      <c r="K415" s="1">
        <v>45764</v>
      </c>
      <c r="L415" t="s">
        <v>21</v>
      </c>
      <c r="M415" t="s">
        <v>18</v>
      </c>
      <c r="N415">
        <f>salesitems[[#This Row],[quantity]]*salesitems[[#This Row],[unit_price]]</f>
        <v>29.81</v>
      </c>
      <c r="O415" t="str">
        <f>_xlfn.XLOOKUP(salesitems[[#This Row],[product_id]],products[product_id],products[product_name])</f>
        <v>Modern Satin Set</v>
      </c>
      <c r="P415" t="str">
        <f>_xlfn.XLOOKUP(salesitems[[#This Row],[product_id]],fashion_store_products!A:A,fashion_store_products!C:C)</f>
        <v>Sleepwear</v>
      </c>
    </row>
    <row r="416" spans="1:16" x14ac:dyDescent="0.45">
      <c r="A416">
        <v>2853</v>
      </c>
      <c r="B416">
        <v>1108</v>
      </c>
      <c r="C416">
        <v>400</v>
      </c>
      <c r="D416">
        <v>1</v>
      </c>
      <c r="E416">
        <v>29.68</v>
      </c>
      <c r="F416">
        <v>29.68</v>
      </c>
      <c r="G416">
        <v>0</v>
      </c>
      <c r="H416" s="2">
        <v>0</v>
      </c>
      <c r="I416">
        <v>0</v>
      </c>
      <c r="J416">
        <v>29.68</v>
      </c>
      <c r="K416" s="1">
        <v>45804</v>
      </c>
      <c r="L416" t="s">
        <v>21</v>
      </c>
      <c r="M416" t="s">
        <v>18</v>
      </c>
      <c r="N416">
        <f>salesitems[[#This Row],[quantity]]*salesitems[[#This Row],[unit_price]]</f>
        <v>29.68</v>
      </c>
      <c r="O416" t="str">
        <f>_xlfn.XLOOKUP(salesitems[[#This Row],[product_id]],products[product_id],products[product_name])</f>
        <v>Essential Silk Trousers</v>
      </c>
      <c r="P416" t="str">
        <f>_xlfn.XLOOKUP(salesitems[[#This Row],[product_id]],fashion_store_products!A:A,fashion_store_products!C:C)</f>
        <v>Pants</v>
      </c>
    </row>
    <row r="417" spans="1:16" x14ac:dyDescent="0.45">
      <c r="A417">
        <v>359</v>
      </c>
      <c r="B417">
        <v>958</v>
      </c>
      <c r="C417">
        <v>81</v>
      </c>
      <c r="D417">
        <v>1</v>
      </c>
      <c r="E417">
        <v>29.63</v>
      </c>
      <c r="F417">
        <v>29.63</v>
      </c>
      <c r="G417">
        <v>0</v>
      </c>
      <c r="H417" s="2">
        <v>0</v>
      </c>
      <c r="I417">
        <v>0</v>
      </c>
      <c r="J417">
        <v>29.63</v>
      </c>
      <c r="K417" s="1">
        <v>45799</v>
      </c>
      <c r="L417" t="s">
        <v>21</v>
      </c>
      <c r="M417" t="s">
        <v>18</v>
      </c>
      <c r="N417">
        <f>salesitems[[#This Row],[quantity]]*salesitems[[#This Row],[unit_price]]</f>
        <v>29.63</v>
      </c>
      <c r="O417" t="str">
        <f>_xlfn.XLOOKUP(salesitems[[#This Row],[product_id]],products[product_id],products[product_name])</f>
        <v>Modern Ribbed Set</v>
      </c>
      <c r="P417" t="str">
        <f>_xlfn.XLOOKUP(salesitems[[#This Row],[product_id]],fashion_store_products!A:A,fashion_store_products!C:C)</f>
        <v>Sleepwear</v>
      </c>
    </row>
    <row r="418" spans="1:16" x14ac:dyDescent="0.45">
      <c r="A418">
        <v>3065</v>
      </c>
      <c r="B418">
        <v>1060</v>
      </c>
      <c r="C418">
        <v>202</v>
      </c>
      <c r="D418">
        <v>1</v>
      </c>
      <c r="E418">
        <v>41.88</v>
      </c>
      <c r="F418">
        <v>29.32</v>
      </c>
      <c r="G418">
        <v>12.56</v>
      </c>
      <c r="H418" s="2">
        <v>0.3</v>
      </c>
      <c r="I418">
        <v>1</v>
      </c>
      <c r="J418">
        <v>29.32</v>
      </c>
      <c r="K418" s="1">
        <v>45795</v>
      </c>
      <c r="L418" t="s">
        <v>15</v>
      </c>
      <c r="M418" t="s">
        <v>11</v>
      </c>
      <c r="N418">
        <f>salesitems[[#This Row],[quantity]]*salesitems[[#This Row],[unit_price]]</f>
        <v>29.32</v>
      </c>
      <c r="O418" t="str">
        <f>_xlfn.XLOOKUP(salesitems[[#This Row],[product_id]],products[product_id],products[product_name])</f>
        <v>Vintage High-Waist Tee</v>
      </c>
      <c r="P418" t="str">
        <f>_xlfn.XLOOKUP(salesitems[[#This Row],[product_id]],fashion_store_products!A:A,fashion_store_products!C:C)</f>
        <v>T-Shirts</v>
      </c>
    </row>
    <row r="419" spans="1:16" x14ac:dyDescent="0.45">
      <c r="A419">
        <v>864</v>
      </c>
      <c r="B419">
        <v>319</v>
      </c>
      <c r="C419">
        <v>246</v>
      </c>
      <c r="D419">
        <v>1</v>
      </c>
      <c r="E419">
        <v>28.98</v>
      </c>
      <c r="F419">
        <v>28.98</v>
      </c>
      <c r="G419">
        <v>0</v>
      </c>
      <c r="H419" s="2">
        <v>0</v>
      </c>
      <c r="I419">
        <v>0</v>
      </c>
      <c r="J419">
        <v>28.98</v>
      </c>
      <c r="K419" s="1">
        <v>45808</v>
      </c>
      <c r="L419" t="s">
        <v>15</v>
      </c>
      <c r="M419" t="s">
        <v>15</v>
      </c>
      <c r="N419">
        <f>salesitems[[#This Row],[quantity]]*salesitems[[#This Row],[unit_price]]</f>
        <v>28.98</v>
      </c>
      <c r="O419" t="str">
        <f>_xlfn.XLOOKUP(salesitems[[#This Row],[product_id]],products[product_id],products[product_name])</f>
        <v>Relaxed Satin Dress</v>
      </c>
      <c r="P419" t="str">
        <f>_xlfn.XLOOKUP(salesitems[[#This Row],[product_id]],fashion_store_products!A:A,fashion_store_products!C:C)</f>
        <v>Dresses</v>
      </c>
    </row>
    <row r="420" spans="1:16" x14ac:dyDescent="0.45">
      <c r="A420">
        <v>1134</v>
      </c>
      <c r="B420">
        <v>253</v>
      </c>
      <c r="C420">
        <v>246</v>
      </c>
      <c r="D420">
        <v>1</v>
      </c>
      <c r="E420">
        <v>28.98</v>
      </c>
      <c r="F420">
        <v>28.98</v>
      </c>
      <c r="G420">
        <v>0</v>
      </c>
      <c r="H420" s="2">
        <v>0</v>
      </c>
      <c r="I420">
        <v>0</v>
      </c>
      <c r="J420">
        <v>28.98</v>
      </c>
      <c r="K420" s="1">
        <v>45774</v>
      </c>
      <c r="L420" t="s">
        <v>15</v>
      </c>
      <c r="M420" t="s">
        <v>15</v>
      </c>
      <c r="N420">
        <f>salesitems[[#This Row],[quantity]]*salesitems[[#This Row],[unit_price]]</f>
        <v>28.98</v>
      </c>
      <c r="O420" t="str">
        <f>_xlfn.XLOOKUP(salesitems[[#This Row],[product_id]],products[product_id],products[product_name])</f>
        <v>Relaxed Satin Dress</v>
      </c>
      <c r="P420" t="str">
        <f>_xlfn.XLOOKUP(salesitems[[#This Row],[product_id]],fashion_store_products!A:A,fashion_store_products!C:C)</f>
        <v>Dresses</v>
      </c>
    </row>
    <row r="421" spans="1:16" x14ac:dyDescent="0.45">
      <c r="A421">
        <v>1520</v>
      </c>
      <c r="B421">
        <v>1311</v>
      </c>
      <c r="C421">
        <v>415</v>
      </c>
      <c r="D421">
        <v>1</v>
      </c>
      <c r="E421">
        <v>28.73</v>
      </c>
      <c r="F421">
        <v>28.73</v>
      </c>
      <c r="G421">
        <v>0</v>
      </c>
      <c r="H421" s="2">
        <v>0</v>
      </c>
      <c r="I421">
        <v>0</v>
      </c>
      <c r="J421">
        <v>28.73</v>
      </c>
      <c r="K421" s="1">
        <v>45808</v>
      </c>
      <c r="L421" t="s">
        <v>21</v>
      </c>
      <c r="M421" t="s">
        <v>18</v>
      </c>
      <c r="N421">
        <f>salesitems[[#This Row],[quantity]]*salesitems[[#This Row],[unit_price]]</f>
        <v>28.73</v>
      </c>
      <c r="O421" t="str">
        <f>_xlfn.XLOOKUP(salesitems[[#This Row],[product_id]],products[product_id],products[product_name])</f>
        <v>Essential Sleeveless Trousers</v>
      </c>
      <c r="P421" t="str">
        <f>_xlfn.XLOOKUP(salesitems[[#This Row],[product_id]],fashion_store_products!A:A,fashion_store_products!C:C)</f>
        <v>Pants</v>
      </c>
    </row>
    <row r="422" spans="1:16" x14ac:dyDescent="0.45">
      <c r="A422">
        <v>504</v>
      </c>
      <c r="B422">
        <v>473</v>
      </c>
      <c r="C422">
        <v>249</v>
      </c>
      <c r="D422">
        <v>1</v>
      </c>
      <c r="E422">
        <v>28.42</v>
      </c>
      <c r="F422">
        <v>28.42</v>
      </c>
      <c r="G422">
        <v>0</v>
      </c>
      <c r="H422" s="2">
        <v>0</v>
      </c>
      <c r="I422">
        <v>0</v>
      </c>
      <c r="J422">
        <v>28.42</v>
      </c>
      <c r="K422" s="1">
        <v>45777</v>
      </c>
      <c r="L422" t="s">
        <v>21</v>
      </c>
      <c r="M422" t="s">
        <v>18</v>
      </c>
      <c r="N422">
        <f>salesitems[[#This Row],[quantity]]*salesitems[[#This Row],[unit_price]]</f>
        <v>28.42</v>
      </c>
      <c r="O422" t="str">
        <f>_xlfn.XLOOKUP(salesitems[[#This Row],[product_id]],products[product_id],products[product_name])</f>
        <v>Polished Silk Set</v>
      </c>
      <c r="P422" t="str">
        <f>_xlfn.XLOOKUP(salesitems[[#This Row],[product_id]],fashion_store_products!A:A,fashion_store_products!C:C)</f>
        <v>Sleepwear</v>
      </c>
    </row>
    <row r="423" spans="1:16" x14ac:dyDescent="0.45">
      <c r="A423">
        <v>3356</v>
      </c>
      <c r="B423">
        <v>1133</v>
      </c>
      <c r="C423">
        <v>249</v>
      </c>
      <c r="D423">
        <v>1</v>
      </c>
      <c r="E423">
        <v>28.42</v>
      </c>
      <c r="F423">
        <v>28.42</v>
      </c>
      <c r="G423">
        <v>0</v>
      </c>
      <c r="H423" s="2">
        <v>0</v>
      </c>
      <c r="I423">
        <v>0</v>
      </c>
      <c r="J423">
        <v>28.42</v>
      </c>
      <c r="K423" s="1">
        <v>45772</v>
      </c>
      <c r="L423" t="s">
        <v>21</v>
      </c>
      <c r="M423" t="s">
        <v>18</v>
      </c>
      <c r="N423">
        <f>salesitems[[#This Row],[quantity]]*salesitems[[#This Row],[unit_price]]</f>
        <v>28.42</v>
      </c>
      <c r="O423" t="str">
        <f>_xlfn.XLOOKUP(salesitems[[#This Row],[product_id]],products[product_id],products[product_name])</f>
        <v>Polished Silk Set</v>
      </c>
      <c r="P423" t="str">
        <f>_xlfn.XLOOKUP(salesitems[[#This Row],[product_id]],fashion_store_products!A:A,fashion_store_products!C:C)</f>
        <v>Sleepwear</v>
      </c>
    </row>
    <row r="424" spans="1:16" x14ac:dyDescent="0.45">
      <c r="A424">
        <v>2415</v>
      </c>
      <c r="B424">
        <v>817</v>
      </c>
      <c r="C424">
        <v>30</v>
      </c>
      <c r="D424">
        <v>1</v>
      </c>
      <c r="E424">
        <v>31.09</v>
      </c>
      <c r="F424">
        <v>27.98</v>
      </c>
      <c r="G424">
        <v>3.11</v>
      </c>
      <c r="H424" s="2">
        <v>0.1</v>
      </c>
      <c r="I424">
        <v>1</v>
      </c>
      <c r="J424">
        <v>27.98</v>
      </c>
      <c r="K424" s="1">
        <v>45813</v>
      </c>
      <c r="L424" t="s">
        <v>21</v>
      </c>
      <c r="M424" t="s">
        <v>8</v>
      </c>
      <c r="N424">
        <f>salesitems[[#This Row],[quantity]]*salesitems[[#This Row],[unit_price]]</f>
        <v>27.98</v>
      </c>
      <c r="O424" t="str">
        <f>_xlfn.XLOOKUP(salesitems[[#This Row],[product_id]],products[product_id],products[product_name])</f>
        <v>Soft Satin Trousers</v>
      </c>
      <c r="P424" t="str">
        <f>_xlfn.XLOOKUP(salesitems[[#This Row],[product_id]],fashion_store_products!A:A,fashion_store_products!C:C)</f>
        <v>Pants</v>
      </c>
    </row>
    <row r="425" spans="1:16" x14ac:dyDescent="0.45">
      <c r="A425">
        <v>293</v>
      </c>
      <c r="B425">
        <v>1316</v>
      </c>
      <c r="C425">
        <v>328</v>
      </c>
      <c r="D425">
        <v>1</v>
      </c>
      <c r="E425">
        <v>39.83</v>
      </c>
      <c r="F425">
        <v>27.88</v>
      </c>
      <c r="G425">
        <v>11.95</v>
      </c>
      <c r="H425" s="2">
        <v>0.3</v>
      </c>
      <c r="I425">
        <v>1</v>
      </c>
      <c r="J425">
        <v>27.88</v>
      </c>
      <c r="K425" s="1">
        <v>45792</v>
      </c>
      <c r="L425" t="s">
        <v>15</v>
      </c>
      <c r="M425" t="s">
        <v>11</v>
      </c>
      <c r="N425">
        <f>salesitems[[#This Row],[quantity]]*salesitems[[#This Row],[unit_price]]</f>
        <v>27.88</v>
      </c>
      <c r="O425" t="str">
        <f>_xlfn.XLOOKUP(salesitems[[#This Row],[product_id]],products[product_id],products[product_name])</f>
        <v>Tailored Wrap Dress</v>
      </c>
      <c r="P425" t="str">
        <f>_xlfn.XLOOKUP(salesitems[[#This Row],[product_id]],fashion_store_products!A:A,fashion_store_products!C:C)</f>
        <v>Dresses</v>
      </c>
    </row>
    <row r="426" spans="1:16" x14ac:dyDescent="0.45">
      <c r="A426">
        <v>1436</v>
      </c>
      <c r="B426">
        <v>895</v>
      </c>
      <c r="C426">
        <v>23</v>
      </c>
      <c r="D426">
        <v>1</v>
      </c>
      <c r="E426">
        <v>27.5</v>
      </c>
      <c r="F426">
        <v>27.5</v>
      </c>
      <c r="G426">
        <v>0</v>
      </c>
      <c r="H426" s="2">
        <v>0</v>
      </c>
      <c r="I426">
        <v>0</v>
      </c>
      <c r="J426">
        <v>27.5</v>
      </c>
      <c r="K426" s="1">
        <v>45808</v>
      </c>
      <c r="L426" t="s">
        <v>15</v>
      </c>
      <c r="M426" t="s">
        <v>15</v>
      </c>
      <c r="N426">
        <f>salesitems[[#This Row],[quantity]]*salesitems[[#This Row],[unit_price]]</f>
        <v>27.5</v>
      </c>
      <c r="O426" t="str">
        <f>_xlfn.XLOOKUP(salesitems[[#This Row],[product_id]],products[product_id],products[product_name])</f>
        <v>Soft Sleeveless Dress</v>
      </c>
      <c r="P426" t="str">
        <f>_xlfn.XLOOKUP(salesitems[[#This Row],[product_id]],fashion_store_products!A:A,fashion_store_products!C:C)</f>
        <v>Dresses</v>
      </c>
    </row>
    <row r="427" spans="1:16" x14ac:dyDescent="0.45">
      <c r="A427">
        <v>3288</v>
      </c>
      <c r="B427">
        <v>926</v>
      </c>
      <c r="C427">
        <v>23</v>
      </c>
      <c r="D427">
        <v>1</v>
      </c>
      <c r="E427">
        <v>27.5</v>
      </c>
      <c r="F427">
        <v>27.5</v>
      </c>
      <c r="G427">
        <v>0</v>
      </c>
      <c r="H427" s="2">
        <v>0</v>
      </c>
      <c r="I427">
        <v>0</v>
      </c>
      <c r="J427">
        <v>27.5</v>
      </c>
      <c r="K427" s="1">
        <v>45806</v>
      </c>
      <c r="L427" t="s">
        <v>21</v>
      </c>
      <c r="M427" t="s">
        <v>18</v>
      </c>
      <c r="N427">
        <f>salesitems[[#This Row],[quantity]]*salesitems[[#This Row],[unit_price]]</f>
        <v>27.5</v>
      </c>
      <c r="O427" t="str">
        <f>_xlfn.XLOOKUP(salesitems[[#This Row],[product_id]],products[product_id],products[product_name])</f>
        <v>Soft Sleeveless Dress</v>
      </c>
      <c r="P427" t="str">
        <f>_xlfn.XLOOKUP(salesitems[[#This Row],[product_id]],fashion_store_products!A:A,fashion_store_products!C:C)</f>
        <v>Dresses</v>
      </c>
    </row>
    <row r="428" spans="1:16" x14ac:dyDescent="0.45">
      <c r="A428">
        <v>1075</v>
      </c>
      <c r="B428">
        <v>442</v>
      </c>
      <c r="C428">
        <v>431</v>
      </c>
      <c r="D428">
        <v>1</v>
      </c>
      <c r="E428">
        <v>30.41</v>
      </c>
      <c r="F428">
        <v>27.37</v>
      </c>
      <c r="G428">
        <v>3.04</v>
      </c>
      <c r="H428" s="2">
        <v>0.1</v>
      </c>
      <c r="I428">
        <v>1</v>
      </c>
      <c r="J428">
        <v>27.37</v>
      </c>
      <c r="K428" s="1">
        <v>45814</v>
      </c>
      <c r="L428" t="s">
        <v>21</v>
      </c>
      <c r="M428" t="s">
        <v>8</v>
      </c>
      <c r="N428">
        <f>salesitems[[#This Row],[quantity]]*salesitems[[#This Row],[unit_price]]</f>
        <v>27.37</v>
      </c>
      <c r="O428" t="str">
        <f>_xlfn.XLOOKUP(salesitems[[#This Row],[product_id]],products[product_id],products[product_name])</f>
        <v>Elegant Boxy Shoes</v>
      </c>
      <c r="P428" t="str">
        <f>_xlfn.XLOOKUP(salesitems[[#This Row],[product_id]],fashion_store_products!A:A,fashion_store_products!C:C)</f>
        <v>Shoes</v>
      </c>
    </row>
    <row r="429" spans="1:16" x14ac:dyDescent="0.45">
      <c r="A429">
        <v>3229</v>
      </c>
      <c r="B429">
        <v>1083</v>
      </c>
      <c r="C429">
        <v>119</v>
      </c>
      <c r="D429">
        <v>1</v>
      </c>
      <c r="E429">
        <v>27.34</v>
      </c>
      <c r="F429">
        <v>27.34</v>
      </c>
      <c r="G429">
        <v>0</v>
      </c>
      <c r="H429" s="2">
        <v>0</v>
      </c>
      <c r="I429">
        <v>0</v>
      </c>
      <c r="J429">
        <v>27.34</v>
      </c>
      <c r="K429" s="1">
        <v>45792</v>
      </c>
      <c r="L429" t="s">
        <v>21</v>
      </c>
      <c r="M429" t="s">
        <v>18</v>
      </c>
      <c r="N429">
        <f>salesitems[[#This Row],[quantity]]*salesitems[[#This Row],[unit_price]]</f>
        <v>27.34</v>
      </c>
      <c r="O429" t="str">
        <f>_xlfn.XLOOKUP(salesitems[[#This Row],[product_id]],products[product_id],products[product_name])</f>
        <v>Vintage Linen Dress</v>
      </c>
      <c r="P429" t="str">
        <f>_xlfn.XLOOKUP(salesitems[[#This Row],[product_id]],fashion_store_products!A:A,fashion_store_products!C:C)</f>
        <v>Dresses</v>
      </c>
    </row>
    <row r="430" spans="1:16" x14ac:dyDescent="0.45">
      <c r="A430">
        <v>1784</v>
      </c>
      <c r="B430">
        <v>1198</v>
      </c>
      <c r="C430">
        <v>241</v>
      </c>
      <c r="D430">
        <v>1</v>
      </c>
      <c r="E430">
        <v>29.82</v>
      </c>
      <c r="F430">
        <v>26.84</v>
      </c>
      <c r="G430">
        <v>2.98</v>
      </c>
      <c r="H430" s="2">
        <v>0.1</v>
      </c>
      <c r="I430">
        <v>1</v>
      </c>
      <c r="J430">
        <v>26.84</v>
      </c>
      <c r="K430" s="1">
        <v>45813</v>
      </c>
      <c r="L430" t="s">
        <v>21</v>
      </c>
      <c r="M430" t="s">
        <v>8</v>
      </c>
      <c r="N430">
        <f>salesitems[[#This Row],[quantity]]*salesitems[[#This Row],[unit_price]]</f>
        <v>26.84</v>
      </c>
      <c r="O430" t="str">
        <f>_xlfn.XLOOKUP(salesitems[[#This Row],[product_id]],products[product_id],products[product_name])</f>
        <v>Polished Ribbed Trousers</v>
      </c>
      <c r="P430" t="str">
        <f>_xlfn.XLOOKUP(salesitems[[#This Row],[product_id]],fashion_store_products!A:A,fashion_store_products!C:C)</f>
        <v>Pants</v>
      </c>
    </row>
    <row r="431" spans="1:16" x14ac:dyDescent="0.45">
      <c r="A431">
        <v>2636</v>
      </c>
      <c r="B431">
        <v>615</v>
      </c>
      <c r="C431">
        <v>451</v>
      </c>
      <c r="D431">
        <v>1</v>
      </c>
      <c r="E431">
        <v>37.799999999999997</v>
      </c>
      <c r="F431">
        <v>26.46</v>
      </c>
      <c r="G431">
        <v>11.34</v>
      </c>
      <c r="H431" s="2">
        <v>0.3</v>
      </c>
      <c r="I431">
        <v>1</v>
      </c>
      <c r="J431">
        <v>26.46</v>
      </c>
      <c r="K431" s="1">
        <v>45793</v>
      </c>
      <c r="L431" t="s">
        <v>15</v>
      </c>
      <c r="M431" t="s">
        <v>11</v>
      </c>
      <c r="N431">
        <f>salesitems[[#This Row],[quantity]]*salesitems[[#This Row],[unit_price]]</f>
        <v>26.46</v>
      </c>
      <c r="O431" t="str">
        <f>_xlfn.XLOOKUP(salesitems[[#This Row],[product_id]],products[product_id],products[product_name])</f>
        <v>Bold Satin Tee</v>
      </c>
      <c r="P431" t="str">
        <f>_xlfn.XLOOKUP(salesitems[[#This Row],[product_id]],fashion_store_products!A:A,fashion_store_products!C:C)</f>
        <v>T-Shirts</v>
      </c>
    </row>
    <row r="432" spans="1:16" x14ac:dyDescent="0.45">
      <c r="A432">
        <v>2878</v>
      </c>
      <c r="B432">
        <v>1253</v>
      </c>
      <c r="C432">
        <v>174</v>
      </c>
      <c r="D432">
        <v>1</v>
      </c>
      <c r="E432">
        <v>26.41</v>
      </c>
      <c r="F432">
        <v>26.41</v>
      </c>
      <c r="G432">
        <v>0</v>
      </c>
      <c r="H432" s="2">
        <v>0</v>
      </c>
      <c r="I432">
        <v>0</v>
      </c>
      <c r="J432">
        <v>26.41</v>
      </c>
      <c r="K432" s="1">
        <v>45771</v>
      </c>
      <c r="L432" t="s">
        <v>21</v>
      </c>
      <c r="M432" t="s">
        <v>18</v>
      </c>
      <c r="N432">
        <f>salesitems[[#This Row],[quantity]]*salesitems[[#This Row],[unit_price]]</f>
        <v>26.41</v>
      </c>
      <c r="O432" t="str">
        <f>_xlfn.XLOOKUP(salesitems[[#This Row],[product_id]],products[product_id],products[product_name])</f>
        <v>Vintage Ribbed Set</v>
      </c>
      <c r="P432" t="str">
        <f>_xlfn.XLOOKUP(salesitems[[#This Row],[product_id]],fashion_store_products!A:A,fashion_store_products!C:C)</f>
        <v>Sleepwear</v>
      </c>
    </row>
    <row r="433" spans="1:16" x14ac:dyDescent="0.45">
      <c r="A433">
        <v>2062</v>
      </c>
      <c r="B433">
        <v>420</v>
      </c>
      <c r="C433">
        <v>120</v>
      </c>
      <c r="D433">
        <v>1</v>
      </c>
      <c r="E433">
        <v>25.7</v>
      </c>
      <c r="F433">
        <v>25.7</v>
      </c>
      <c r="G433">
        <v>0</v>
      </c>
      <c r="H433" s="2">
        <v>0</v>
      </c>
      <c r="I433">
        <v>0</v>
      </c>
      <c r="J433">
        <v>25.7</v>
      </c>
      <c r="K433" s="1">
        <v>45824</v>
      </c>
      <c r="L433" t="s">
        <v>15</v>
      </c>
      <c r="M433" t="s">
        <v>15</v>
      </c>
      <c r="N433">
        <f>salesitems[[#This Row],[quantity]]*salesitems[[#This Row],[unit_price]]</f>
        <v>25.7</v>
      </c>
      <c r="O433" t="str">
        <f>_xlfn.XLOOKUP(salesitems[[#This Row],[product_id]],products[product_id],products[product_name])</f>
        <v>Modern Boxy Set</v>
      </c>
      <c r="P433" t="str">
        <f>_xlfn.XLOOKUP(salesitems[[#This Row],[product_id]],fashion_store_products!A:A,fashion_store_products!C:C)</f>
        <v>Sleepwear</v>
      </c>
    </row>
    <row r="434" spans="1:16" x14ac:dyDescent="0.45">
      <c r="A434">
        <v>2130</v>
      </c>
      <c r="B434">
        <v>46</v>
      </c>
      <c r="C434">
        <v>120</v>
      </c>
      <c r="D434">
        <v>1</v>
      </c>
      <c r="E434">
        <v>25.7</v>
      </c>
      <c r="F434">
        <v>25.7</v>
      </c>
      <c r="G434">
        <v>0</v>
      </c>
      <c r="H434" s="2">
        <v>0</v>
      </c>
      <c r="I434">
        <v>0</v>
      </c>
      <c r="J434">
        <v>25.7</v>
      </c>
      <c r="K434" s="1">
        <v>45822</v>
      </c>
      <c r="L434" t="s">
        <v>15</v>
      </c>
      <c r="M434" t="s">
        <v>15</v>
      </c>
      <c r="N434">
        <f>salesitems[[#This Row],[quantity]]*salesitems[[#This Row],[unit_price]]</f>
        <v>25.7</v>
      </c>
      <c r="O434" t="str">
        <f>_xlfn.XLOOKUP(salesitems[[#This Row],[product_id]],products[product_id],products[product_name])</f>
        <v>Modern Boxy Set</v>
      </c>
      <c r="P434" t="str">
        <f>_xlfn.XLOOKUP(salesitems[[#This Row],[product_id]],fashion_store_products!A:A,fashion_store_products!C:C)</f>
        <v>Sleepwear</v>
      </c>
    </row>
    <row r="435" spans="1:16" x14ac:dyDescent="0.45">
      <c r="A435">
        <v>989</v>
      </c>
      <c r="B435">
        <v>445</v>
      </c>
      <c r="C435">
        <v>176</v>
      </c>
      <c r="D435">
        <v>1</v>
      </c>
      <c r="E435">
        <v>27.94</v>
      </c>
      <c r="F435">
        <v>25.15</v>
      </c>
      <c r="G435">
        <v>2.79</v>
      </c>
      <c r="H435" s="2">
        <v>0.1</v>
      </c>
      <c r="I435">
        <v>1</v>
      </c>
      <c r="J435">
        <v>25.15</v>
      </c>
      <c r="K435" s="1">
        <v>45813</v>
      </c>
      <c r="L435" t="s">
        <v>21</v>
      </c>
      <c r="M435" t="s">
        <v>8</v>
      </c>
      <c r="N435">
        <f>salesitems[[#This Row],[quantity]]*salesitems[[#This Row],[unit_price]]</f>
        <v>25.15</v>
      </c>
      <c r="O435" t="str">
        <f>_xlfn.XLOOKUP(salesitems[[#This Row],[product_id]],products[product_id],products[product_name])</f>
        <v>Polished Ribbed Dress</v>
      </c>
      <c r="P435" t="str">
        <f>_xlfn.XLOOKUP(salesitems[[#This Row],[product_id]],fashion_store_products!A:A,fashion_store_products!C:C)</f>
        <v>Dresses</v>
      </c>
    </row>
    <row r="436" spans="1:16" x14ac:dyDescent="0.45">
      <c r="A436">
        <v>3196</v>
      </c>
      <c r="B436">
        <v>622</v>
      </c>
      <c r="C436">
        <v>46</v>
      </c>
      <c r="D436">
        <v>1</v>
      </c>
      <c r="E436">
        <v>25.15</v>
      </c>
      <c r="F436">
        <v>25.15</v>
      </c>
      <c r="G436">
        <v>0</v>
      </c>
      <c r="H436" s="2">
        <v>0</v>
      </c>
      <c r="I436">
        <v>0</v>
      </c>
      <c r="J436">
        <v>25.15</v>
      </c>
      <c r="K436" s="1">
        <v>45773</v>
      </c>
      <c r="L436" t="s">
        <v>21</v>
      </c>
      <c r="M436" t="s">
        <v>18</v>
      </c>
      <c r="N436">
        <f>salesitems[[#This Row],[quantity]]*salesitems[[#This Row],[unit_price]]</f>
        <v>25.15</v>
      </c>
      <c r="O436" t="str">
        <f>_xlfn.XLOOKUP(salesitems[[#This Row],[product_id]],products[product_id],products[product_name])</f>
        <v>Soft Cotton Set</v>
      </c>
      <c r="P436" t="str">
        <f>_xlfn.XLOOKUP(salesitems[[#This Row],[product_id]],fashion_store_products!A:A,fashion_store_products!C:C)</f>
        <v>Sleepwear</v>
      </c>
    </row>
    <row r="437" spans="1:16" x14ac:dyDescent="0.45">
      <c r="A437">
        <v>3160</v>
      </c>
      <c r="B437">
        <v>216</v>
      </c>
      <c r="C437">
        <v>122</v>
      </c>
      <c r="D437">
        <v>1</v>
      </c>
      <c r="E437">
        <v>24.8</v>
      </c>
      <c r="F437">
        <v>24.8</v>
      </c>
      <c r="G437">
        <v>0</v>
      </c>
      <c r="H437" s="2">
        <v>0</v>
      </c>
      <c r="I437">
        <v>0</v>
      </c>
      <c r="J437">
        <v>24.8</v>
      </c>
      <c r="K437" s="1">
        <v>45799</v>
      </c>
      <c r="L437" t="s">
        <v>21</v>
      </c>
      <c r="M437" t="s">
        <v>18</v>
      </c>
      <c r="N437">
        <f>salesitems[[#This Row],[quantity]]*salesitems[[#This Row],[unit_price]]</f>
        <v>24.8</v>
      </c>
      <c r="O437" t="str">
        <f>_xlfn.XLOOKUP(salesitems[[#This Row],[product_id]],products[product_id],products[product_name])</f>
        <v>Modern Boxy Trousers</v>
      </c>
      <c r="P437" t="str">
        <f>_xlfn.XLOOKUP(salesitems[[#This Row],[product_id]],fashion_store_products!A:A,fashion_store_products!C:C)</f>
        <v>Pants</v>
      </c>
    </row>
    <row r="438" spans="1:16" x14ac:dyDescent="0.45">
      <c r="A438">
        <v>3216</v>
      </c>
      <c r="B438">
        <v>235</v>
      </c>
      <c r="C438">
        <v>122</v>
      </c>
      <c r="D438">
        <v>1</v>
      </c>
      <c r="E438">
        <v>24.8</v>
      </c>
      <c r="F438">
        <v>24.8</v>
      </c>
      <c r="G438">
        <v>0</v>
      </c>
      <c r="H438" s="2">
        <v>0</v>
      </c>
      <c r="I438">
        <v>0</v>
      </c>
      <c r="J438">
        <v>24.8</v>
      </c>
      <c r="K438" s="1">
        <v>45753</v>
      </c>
      <c r="L438" t="s">
        <v>21</v>
      </c>
      <c r="M438" t="s">
        <v>18</v>
      </c>
      <c r="N438">
        <f>salesitems[[#This Row],[quantity]]*salesitems[[#This Row],[unit_price]]</f>
        <v>24.8</v>
      </c>
      <c r="O438" t="str">
        <f>_xlfn.XLOOKUP(salesitems[[#This Row],[product_id]],products[product_id],products[product_name])</f>
        <v>Modern Boxy Trousers</v>
      </c>
      <c r="P438" t="str">
        <f>_xlfn.XLOOKUP(salesitems[[#This Row],[product_id]],fashion_store_products!A:A,fashion_store_products!C:C)</f>
        <v>Pants</v>
      </c>
    </row>
    <row r="439" spans="1:16" x14ac:dyDescent="0.45">
      <c r="A439">
        <v>1478</v>
      </c>
      <c r="B439">
        <v>1255</v>
      </c>
      <c r="C439">
        <v>319</v>
      </c>
      <c r="D439">
        <v>1</v>
      </c>
      <c r="E439">
        <v>24.05</v>
      </c>
      <c r="F439">
        <v>24.05</v>
      </c>
      <c r="G439">
        <v>0</v>
      </c>
      <c r="H439" s="2">
        <v>0</v>
      </c>
      <c r="I439">
        <v>0</v>
      </c>
      <c r="J439">
        <v>24.05</v>
      </c>
      <c r="K439" s="1">
        <v>45763</v>
      </c>
      <c r="L439" t="s">
        <v>15</v>
      </c>
      <c r="M439" t="s">
        <v>15</v>
      </c>
      <c r="N439">
        <f>salesitems[[#This Row],[quantity]]*salesitems[[#This Row],[unit_price]]</f>
        <v>24.05</v>
      </c>
      <c r="O439" t="str">
        <f>_xlfn.XLOOKUP(salesitems[[#This Row],[product_id]],products[product_id],products[product_name])</f>
        <v>Essential Silk Dress</v>
      </c>
      <c r="P439" t="str">
        <f>_xlfn.XLOOKUP(salesitems[[#This Row],[product_id]],fashion_store_products!A:A,fashion_store_products!C:C)</f>
        <v>Dresses</v>
      </c>
    </row>
    <row r="440" spans="1:16" x14ac:dyDescent="0.45">
      <c r="A440">
        <v>3047</v>
      </c>
      <c r="B440">
        <v>1175</v>
      </c>
      <c r="C440">
        <v>319</v>
      </c>
      <c r="D440">
        <v>1</v>
      </c>
      <c r="E440">
        <v>24.05</v>
      </c>
      <c r="F440">
        <v>24.05</v>
      </c>
      <c r="G440">
        <v>0</v>
      </c>
      <c r="H440" s="2">
        <v>0</v>
      </c>
      <c r="I440">
        <v>0</v>
      </c>
      <c r="J440">
        <v>24.05</v>
      </c>
      <c r="K440" s="1">
        <v>45782</v>
      </c>
      <c r="L440" t="s">
        <v>21</v>
      </c>
      <c r="M440" t="s">
        <v>18</v>
      </c>
      <c r="N440">
        <f>salesitems[[#This Row],[quantity]]*salesitems[[#This Row],[unit_price]]</f>
        <v>24.05</v>
      </c>
      <c r="O440" t="str">
        <f>_xlfn.XLOOKUP(salesitems[[#This Row],[product_id]],products[product_id],products[product_name])</f>
        <v>Essential Silk Dress</v>
      </c>
      <c r="P440" t="str">
        <f>_xlfn.XLOOKUP(salesitems[[#This Row],[product_id]],fashion_store_products!A:A,fashion_store_products!C:C)</f>
        <v>Dresses</v>
      </c>
    </row>
    <row r="441" spans="1:16" x14ac:dyDescent="0.45">
      <c r="A441">
        <v>2138</v>
      </c>
      <c r="B441">
        <v>199</v>
      </c>
      <c r="C441">
        <v>330</v>
      </c>
      <c r="D441">
        <v>1</v>
      </c>
      <c r="E441">
        <v>33.94</v>
      </c>
      <c r="F441">
        <v>23.76</v>
      </c>
      <c r="G441">
        <v>10.18</v>
      </c>
      <c r="H441" s="2">
        <v>0.3</v>
      </c>
      <c r="I441">
        <v>1</v>
      </c>
      <c r="J441">
        <v>23.76</v>
      </c>
      <c r="K441" s="1">
        <v>45796</v>
      </c>
      <c r="L441" t="s">
        <v>15</v>
      </c>
      <c r="M441" t="s">
        <v>11</v>
      </c>
      <c r="N441">
        <f>salesitems[[#This Row],[quantity]]*salesitems[[#This Row],[unit_price]]</f>
        <v>23.76</v>
      </c>
      <c r="O441" t="str">
        <f>_xlfn.XLOOKUP(salesitems[[#This Row],[product_id]],products[product_id],products[product_name])</f>
        <v>Essential Wrap Set</v>
      </c>
      <c r="P441" t="str">
        <f>_xlfn.XLOOKUP(salesitems[[#This Row],[product_id]],fashion_store_products!A:A,fashion_store_products!C:C)</f>
        <v>Sleepwear</v>
      </c>
    </row>
    <row r="442" spans="1:16" x14ac:dyDescent="0.45">
      <c r="A442">
        <v>2359</v>
      </c>
      <c r="B442">
        <v>269</v>
      </c>
      <c r="C442">
        <v>443</v>
      </c>
      <c r="D442">
        <v>1</v>
      </c>
      <c r="E442">
        <v>23.13</v>
      </c>
      <c r="F442">
        <v>23.13</v>
      </c>
      <c r="G442">
        <v>0</v>
      </c>
      <c r="H442" s="2">
        <v>0</v>
      </c>
      <c r="I442">
        <v>0</v>
      </c>
      <c r="J442">
        <v>23.13</v>
      </c>
      <c r="K442" s="1">
        <v>45801</v>
      </c>
      <c r="L442" t="s">
        <v>15</v>
      </c>
      <c r="M442" t="s">
        <v>15</v>
      </c>
      <c r="N442">
        <f>salesitems[[#This Row],[quantity]]*salesitems[[#This Row],[unit_price]]</f>
        <v>23.13</v>
      </c>
      <c r="O442" t="str">
        <f>_xlfn.XLOOKUP(salesitems[[#This Row],[product_id]],products[product_id],products[product_name])</f>
        <v>Bold Ribbed Set</v>
      </c>
      <c r="P442" t="str">
        <f>_xlfn.XLOOKUP(salesitems[[#This Row],[product_id]],fashion_store_products!A:A,fashion_store_products!C:C)</f>
        <v>Sleepwear</v>
      </c>
    </row>
    <row r="443" spans="1:16" x14ac:dyDescent="0.45">
      <c r="A443">
        <v>2360</v>
      </c>
      <c r="B443">
        <v>546</v>
      </c>
      <c r="C443">
        <v>164</v>
      </c>
      <c r="D443">
        <v>1</v>
      </c>
      <c r="E443">
        <v>22.96</v>
      </c>
      <c r="F443">
        <v>22.96</v>
      </c>
      <c r="G443">
        <v>0</v>
      </c>
      <c r="H443" s="2">
        <v>0</v>
      </c>
      <c r="I443">
        <v>0</v>
      </c>
      <c r="J443">
        <v>22.96</v>
      </c>
      <c r="K443" s="1">
        <v>45775</v>
      </c>
      <c r="L443" t="s">
        <v>21</v>
      </c>
      <c r="M443" t="s">
        <v>18</v>
      </c>
      <c r="N443">
        <f>salesitems[[#This Row],[quantity]]*salesitems[[#This Row],[unit_price]]</f>
        <v>22.96</v>
      </c>
      <c r="O443" t="str">
        <f>_xlfn.XLOOKUP(salesitems[[#This Row],[product_id]],products[product_id],products[product_name])</f>
        <v>Vintage High-Waist Dress</v>
      </c>
      <c r="P443" t="str">
        <f>_xlfn.XLOOKUP(salesitems[[#This Row],[product_id]],fashion_store_products!A:A,fashion_store_products!C:C)</f>
        <v>Dresses</v>
      </c>
    </row>
    <row r="444" spans="1:16" x14ac:dyDescent="0.45">
      <c r="A444">
        <v>3238</v>
      </c>
      <c r="B444">
        <v>912</v>
      </c>
      <c r="C444">
        <v>14</v>
      </c>
      <c r="D444">
        <v>1</v>
      </c>
      <c r="E444">
        <v>24.96</v>
      </c>
      <c r="F444">
        <v>22.46</v>
      </c>
      <c r="G444">
        <v>2.5</v>
      </c>
      <c r="H444" s="2">
        <v>0.1</v>
      </c>
      <c r="I444">
        <v>1</v>
      </c>
      <c r="J444">
        <v>22.46</v>
      </c>
      <c r="K444" s="1">
        <v>45812</v>
      </c>
      <c r="L444" t="s">
        <v>21</v>
      </c>
      <c r="M444" t="s">
        <v>8</v>
      </c>
      <c r="N444">
        <f>salesitems[[#This Row],[quantity]]*salesitems[[#This Row],[unit_price]]</f>
        <v>22.46</v>
      </c>
      <c r="O444" t="str">
        <f>_xlfn.XLOOKUP(salesitems[[#This Row],[product_id]],products[product_id],products[product_name])</f>
        <v>Soft Cotton Dress</v>
      </c>
      <c r="P444" t="str">
        <f>_xlfn.XLOOKUP(salesitems[[#This Row],[product_id]],fashion_store_products!A:A,fashion_store_products!C:C)</f>
        <v>Dresses</v>
      </c>
    </row>
    <row r="445" spans="1:16" x14ac:dyDescent="0.45">
      <c r="A445">
        <v>1235</v>
      </c>
      <c r="B445">
        <v>1042</v>
      </c>
      <c r="C445">
        <v>457</v>
      </c>
      <c r="D445">
        <v>1</v>
      </c>
      <c r="E445">
        <v>31.61</v>
      </c>
      <c r="F445">
        <v>22.13</v>
      </c>
      <c r="G445">
        <v>9.48</v>
      </c>
      <c r="H445" s="2">
        <v>0.3</v>
      </c>
      <c r="I445">
        <v>1</v>
      </c>
      <c r="J445">
        <v>22.13</v>
      </c>
      <c r="K445" s="1">
        <v>45790</v>
      </c>
      <c r="L445" t="s">
        <v>15</v>
      </c>
      <c r="M445" t="s">
        <v>11</v>
      </c>
      <c r="N445">
        <f>salesitems[[#This Row],[quantity]]*salesitems[[#This Row],[unit_price]]</f>
        <v>22.13</v>
      </c>
      <c r="O445" t="str">
        <f>_xlfn.XLOOKUP(salesitems[[#This Row],[product_id]],products[product_id],products[product_name])</f>
        <v>Bold Crew Tee</v>
      </c>
      <c r="P445" t="str">
        <f>_xlfn.XLOOKUP(salesitems[[#This Row],[product_id]],fashion_store_products!A:A,fashion_store_products!C:C)</f>
        <v>T-Shirts</v>
      </c>
    </row>
    <row r="446" spans="1:16" x14ac:dyDescent="0.45">
      <c r="A446">
        <v>89</v>
      </c>
      <c r="B446">
        <v>114</v>
      </c>
      <c r="C446">
        <v>114</v>
      </c>
      <c r="D446">
        <v>1</v>
      </c>
      <c r="E446">
        <v>21.53</v>
      </c>
      <c r="F446">
        <v>21.53</v>
      </c>
      <c r="G446">
        <v>0</v>
      </c>
      <c r="H446" s="2">
        <v>0</v>
      </c>
      <c r="I446">
        <v>0</v>
      </c>
      <c r="J446">
        <v>21.53</v>
      </c>
      <c r="K446" s="1">
        <v>45772</v>
      </c>
      <c r="L446" t="s">
        <v>15</v>
      </c>
      <c r="M446" t="s">
        <v>15</v>
      </c>
      <c r="N446">
        <f>salesitems[[#This Row],[quantity]]*salesitems[[#This Row],[unit_price]]</f>
        <v>21.53</v>
      </c>
      <c r="O446" t="str">
        <f>_xlfn.XLOOKUP(salesitems[[#This Row],[product_id]],products[product_id],products[product_name])</f>
        <v>Classic Ribbed Shoes</v>
      </c>
      <c r="P446" t="str">
        <f>_xlfn.XLOOKUP(salesitems[[#This Row],[product_id]],fashion_store_products!A:A,fashion_store_products!C:C)</f>
        <v>Shoes</v>
      </c>
    </row>
    <row r="447" spans="1:16" x14ac:dyDescent="0.45">
      <c r="A447">
        <v>362</v>
      </c>
      <c r="B447">
        <v>868</v>
      </c>
      <c r="C447">
        <v>334</v>
      </c>
      <c r="D447">
        <v>1</v>
      </c>
      <c r="E447">
        <v>20.82</v>
      </c>
      <c r="F447">
        <v>20.82</v>
      </c>
      <c r="G447">
        <v>0</v>
      </c>
      <c r="H447" s="2">
        <v>0</v>
      </c>
      <c r="I447">
        <v>0</v>
      </c>
      <c r="J447">
        <v>20.82</v>
      </c>
      <c r="K447" s="1">
        <v>45801</v>
      </c>
      <c r="L447" t="s">
        <v>15</v>
      </c>
      <c r="M447" t="s">
        <v>15</v>
      </c>
      <c r="N447">
        <f>salesitems[[#This Row],[quantity]]*salesitems[[#This Row],[unit_price]]</f>
        <v>20.82</v>
      </c>
      <c r="O447" t="str">
        <f>_xlfn.XLOOKUP(salesitems[[#This Row],[product_id]],products[product_id],products[product_name])</f>
        <v>Tailored Ribbed Dress</v>
      </c>
      <c r="P447" t="str">
        <f>_xlfn.XLOOKUP(salesitems[[#This Row],[product_id]],fashion_store_products!A:A,fashion_store_products!C:C)</f>
        <v>Dresses</v>
      </c>
    </row>
    <row r="448" spans="1:16" x14ac:dyDescent="0.45">
      <c r="A448">
        <v>1068</v>
      </c>
      <c r="B448">
        <v>428</v>
      </c>
      <c r="C448">
        <v>51</v>
      </c>
      <c r="D448">
        <v>1</v>
      </c>
      <c r="E448">
        <v>25.38</v>
      </c>
      <c r="F448">
        <v>17.77</v>
      </c>
      <c r="G448">
        <v>7.61</v>
      </c>
      <c r="H448" s="2">
        <v>0.3</v>
      </c>
      <c r="I448">
        <v>1</v>
      </c>
      <c r="J448">
        <v>17.77</v>
      </c>
      <c r="K448" s="1">
        <v>45791</v>
      </c>
      <c r="L448" t="s">
        <v>15</v>
      </c>
      <c r="M448" t="s">
        <v>11</v>
      </c>
      <c r="N448">
        <f>salesitems[[#This Row],[quantity]]*salesitems[[#This Row],[unit_price]]</f>
        <v>17.77</v>
      </c>
      <c r="O448" t="str">
        <f>_xlfn.XLOOKUP(salesitems[[#This Row],[product_id]],products[product_id],products[product_name])</f>
        <v>Soft Satin Set</v>
      </c>
      <c r="P448" t="str">
        <f>_xlfn.XLOOKUP(salesitems[[#This Row],[product_id]],fashion_store_products!A:A,fashion_store_products!C:C)</f>
        <v>Sleepwear</v>
      </c>
    </row>
    <row r="449" spans="1:16" x14ac:dyDescent="0.45">
      <c r="A449">
        <v>2405</v>
      </c>
      <c r="B449">
        <v>588</v>
      </c>
      <c r="C449">
        <v>14</v>
      </c>
      <c r="D449">
        <v>1</v>
      </c>
      <c r="E449">
        <v>24.96</v>
      </c>
      <c r="F449">
        <v>17.47</v>
      </c>
      <c r="G449">
        <v>7.49</v>
      </c>
      <c r="H449" s="2">
        <v>0.3</v>
      </c>
      <c r="I449">
        <v>1</v>
      </c>
      <c r="J449">
        <v>17.47</v>
      </c>
      <c r="K449" s="1">
        <v>45791</v>
      </c>
      <c r="L449" t="s">
        <v>15</v>
      </c>
      <c r="M449" t="s">
        <v>11</v>
      </c>
      <c r="N449">
        <f>salesitems[[#This Row],[quantity]]*salesitems[[#This Row],[unit_price]]</f>
        <v>17.47</v>
      </c>
      <c r="O449" t="str">
        <f>_xlfn.XLOOKUP(salesitems[[#This Row],[product_id]],products[product_id],products[product_name])</f>
        <v>Soft Cotton Dress</v>
      </c>
      <c r="P449" t="str">
        <f>_xlfn.XLOOKUP(salesitems[[#This Row],[product_id]],fashion_store_products!A:A,fashion_store_products!C:C)</f>
        <v>Dresses</v>
      </c>
    </row>
    <row r="450" spans="1:16" x14ac:dyDescent="0.45">
      <c r="A450">
        <v>1340</v>
      </c>
      <c r="B450">
        <v>24</v>
      </c>
      <c r="C450">
        <v>205</v>
      </c>
      <c r="D450">
        <v>1</v>
      </c>
      <c r="E450">
        <v>24.05</v>
      </c>
      <c r="F450">
        <v>16.84</v>
      </c>
      <c r="G450">
        <v>7.22</v>
      </c>
      <c r="H450" s="2">
        <v>0.3</v>
      </c>
      <c r="I450">
        <v>1</v>
      </c>
      <c r="J450">
        <v>16.84</v>
      </c>
      <c r="K450" s="1">
        <v>45790</v>
      </c>
      <c r="L450" t="s">
        <v>15</v>
      </c>
      <c r="M450" t="s">
        <v>11</v>
      </c>
      <c r="N450">
        <f>salesitems[[#This Row],[quantity]]*salesitems[[#This Row],[unit_price]]</f>
        <v>16.84</v>
      </c>
      <c r="O450" t="str">
        <f>_xlfn.XLOOKUP(salesitems[[#This Row],[product_id]],products[product_id],products[product_name])</f>
        <v>Vintage Satin Trousers</v>
      </c>
      <c r="P450" t="str">
        <f>_xlfn.XLOOKUP(salesitems[[#This Row],[product_id]],fashion_store_products!A:A,fashion_store_products!C:C)</f>
        <v>Pants</v>
      </c>
    </row>
    <row r="451" spans="1:16" x14ac:dyDescent="0.45">
      <c r="A451">
        <v>2382</v>
      </c>
      <c r="B451">
        <v>172</v>
      </c>
      <c r="C451">
        <v>443</v>
      </c>
      <c r="D451">
        <v>1</v>
      </c>
      <c r="E451">
        <v>23.13</v>
      </c>
      <c r="F451">
        <v>16.190000000000001</v>
      </c>
      <c r="G451">
        <v>6.94</v>
      </c>
      <c r="H451" s="2">
        <v>0.3</v>
      </c>
      <c r="I451">
        <v>1</v>
      </c>
      <c r="J451">
        <v>16.190000000000001</v>
      </c>
      <c r="K451" s="1">
        <v>45790</v>
      </c>
      <c r="L451" t="s">
        <v>15</v>
      </c>
      <c r="M451" t="s">
        <v>11</v>
      </c>
      <c r="N451">
        <f>salesitems[[#This Row],[quantity]]*salesitems[[#This Row],[unit_price]]</f>
        <v>16.190000000000001</v>
      </c>
      <c r="O451" t="str">
        <f>_xlfn.XLOOKUP(salesitems[[#This Row],[product_id]],products[product_id],products[product_name])</f>
        <v>Bold Ribbed Set</v>
      </c>
      <c r="P451" t="str">
        <f>_xlfn.XLOOKUP(salesitems[[#This Row],[product_id]],fashion_store_products!A:A,fashion_store_products!C:C)</f>
        <v>Sleepwear</v>
      </c>
    </row>
    <row r="452" spans="1:16" x14ac:dyDescent="0.45">
      <c r="A452">
        <v>1102</v>
      </c>
      <c r="B452">
        <v>558</v>
      </c>
      <c r="C452">
        <v>164</v>
      </c>
      <c r="D452">
        <v>1</v>
      </c>
      <c r="E452">
        <v>22.96</v>
      </c>
      <c r="F452">
        <v>16.07</v>
      </c>
      <c r="G452">
        <v>6.89</v>
      </c>
      <c r="H452" s="2">
        <v>0.3</v>
      </c>
      <c r="I452">
        <v>1</v>
      </c>
      <c r="J452">
        <v>16.07</v>
      </c>
      <c r="K452" s="1">
        <v>45794</v>
      </c>
      <c r="L452" t="s">
        <v>15</v>
      </c>
      <c r="M452" t="s">
        <v>11</v>
      </c>
      <c r="N452">
        <f>salesitems[[#This Row],[quantity]]*salesitems[[#This Row],[unit_price]]</f>
        <v>16.07</v>
      </c>
      <c r="O452" t="str">
        <f>_xlfn.XLOOKUP(salesitems[[#This Row],[product_id]],products[product_id],products[product_name])</f>
        <v>Vintage High-Waist Dress</v>
      </c>
      <c r="P452" t="str">
        <f>_xlfn.XLOOKUP(salesitems[[#This Row],[product_id]],fashion_store_products!A:A,fashion_store_products!C:C)</f>
        <v>Dresses</v>
      </c>
    </row>
    <row r="453" spans="1:16" x14ac:dyDescent="0.45">
      <c r="A453">
        <v>433</v>
      </c>
      <c r="B453">
        <v>428</v>
      </c>
      <c r="C453">
        <v>491</v>
      </c>
      <c r="D453">
        <v>1</v>
      </c>
      <c r="E453">
        <v>22.66</v>
      </c>
      <c r="F453">
        <v>15.86</v>
      </c>
      <c r="G453">
        <v>6.8</v>
      </c>
      <c r="H453" s="2">
        <v>0.3</v>
      </c>
      <c r="I453">
        <v>1</v>
      </c>
      <c r="J453">
        <v>15.86</v>
      </c>
      <c r="K453" s="1">
        <v>45791</v>
      </c>
      <c r="L453" t="s">
        <v>15</v>
      </c>
      <c r="M453" t="s">
        <v>11</v>
      </c>
      <c r="N453">
        <f>salesitems[[#This Row],[quantity]]*salesitems[[#This Row],[unit_price]]</f>
        <v>15.86</v>
      </c>
      <c r="O453" t="str">
        <f>_xlfn.XLOOKUP(salesitems[[#This Row],[product_id]],products[product_id],products[product_name])</f>
        <v>T-Shirts Drop 6</v>
      </c>
      <c r="P453" t="str">
        <f>_xlfn.XLOOKUP(salesitems[[#This Row],[product_id]],fashion_store_products!A:A,fashion_store_products!C:C)</f>
        <v>T-Shirts</v>
      </c>
    </row>
    <row r="454" spans="1:16" x14ac:dyDescent="0.45">
      <c r="A454">
        <v>406</v>
      </c>
      <c r="B454">
        <v>376</v>
      </c>
      <c r="C454">
        <v>114</v>
      </c>
      <c r="D454">
        <v>1</v>
      </c>
      <c r="E454">
        <v>21.53</v>
      </c>
      <c r="F454">
        <v>15.07</v>
      </c>
      <c r="G454">
        <v>6.46</v>
      </c>
      <c r="H454" s="2">
        <v>0.3</v>
      </c>
      <c r="I454">
        <v>1</v>
      </c>
      <c r="J454">
        <v>15.07</v>
      </c>
      <c r="K454" s="1">
        <v>45796</v>
      </c>
      <c r="L454" t="s">
        <v>15</v>
      </c>
      <c r="M454" t="s">
        <v>11</v>
      </c>
      <c r="N454">
        <f>salesitems[[#This Row],[quantity]]*salesitems[[#This Row],[unit_price]]</f>
        <v>15.07</v>
      </c>
      <c r="O454" t="str">
        <f>_xlfn.XLOOKUP(salesitems[[#This Row],[product_id]],products[product_id],products[product_name])</f>
        <v>Classic Ribbed Shoes</v>
      </c>
      <c r="P454" t="str">
        <f>_xlfn.XLOOKUP(salesitems[[#This Row],[product_id]],fashion_store_products!A:A,fashion_store_products!C:C)</f>
        <v>Shoes</v>
      </c>
    </row>
    <row r="455" spans="1:16" x14ac:dyDescent="0.45">
      <c r="A455">
        <v>813</v>
      </c>
      <c r="B455">
        <v>1116</v>
      </c>
      <c r="C455">
        <v>198</v>
      </c>
      <c r="D455">
        <v>1</v>
      </c>
      <c r="E455">
        <v>14.64</v>
      </c>
      <c r="F455">
        <v>14.64</v>
      </c>
      <c r="G455">
        <v>0</v>
      </c>
      <c r="H455" s="2">
        <v>0</v>
      </c>
      <c r="I455">
        <v>0</v>
      </c>
      <c r="J455">
        <v>14.64</v>
      </c>
      <c r="K455" s="1">
        <v>45798</v>
      </c>
      <c r="L455" t="s">
        <v>21</v>
      </c>
      <c r="M455" t="s">
        <v>18</v>
      </c>
      <c r="N455">
        <f>salesitems[[#This Row],[quantity]]*salesitems[[#This Row],[unit_price]]</f>
        <v>14.64</v>
      </c>
      <c r="O455" t="str">
        <f>_xlfn.XLOOKUP(salesitems[[#This Row],[product_id]],products[product_id],products[product_name])</f>
        <v>Polished Crew Dress</v>
      </c>
      <c r="P455" t="str">
        <f>_xlfn.XLOOKUP(salesitems[[#This Row],[product_id]],fashion_store_products!A:A,fashion_store_products!C:C)</f>
        <v>Dresses</v>
      </c>
    </row>
    <row r="456" spans="1:16" x14ac:dyDescent="0.45">
      <c r="A456">
        <v>1913</v>
      </c>
      <c r="B456">
        <v>237</v>
      </c>
      <c r="C456">
        <v>64</v>
      </c>
      <c r="D456">
        <v>1</v>
      </c>
      <c r="E456">
        <v>13.51</v>
      </c>
      <c r="F456">
        <v>13.51</v>
      </c>
      <c r="G456">
        <v>0</v>
      </c>
      <c r="H456" s="2">
        <v>0</v>
      </c>
      <c r="I456">
        <v>0</v>
      </c>
      <c r="J456">
        <v>13.51</v>
      </c>
      <c r="K456" s="1">
        <v>45793</v>
      </c>
      <c r="L456" t="s">
        <v>21</v>
      </c>
      <c r="M456" t="s">
        <v>18</v>
      </c>
      <c r="N456">
        <f>salesitems[[#This Row],[quantity]]*salesitems[[#This Row],[unit_price]]</f>
        <v>13.51</v>
      </c>
      <c r="O456" t="str">
        <f>_xlfn.XLOOKUP(salesitems[[#This Row],[product_id]],products[product_id],products[product_name])</f>
        <v>Soft Sleeveless Set</v>
      </c>
      <c r="P456" t="str">
        <f>_xlfn.XLOOKUP(salesitems[[#This Row],[product_id]],fashion_store_products!A:A,fashion_store_products!C:C)</f>
        <v>Sleepwear</v>
      </c>
    </row>
    <row r="457" spans="1:16" x14ac:dyDescent="0.45">
      <c r="A457">
        <v>3141</v>
      </c>
      <c r="B457">
        <v>59</v>
      </c>
      <c r="C457">
        <v>284</v>
      </c>
      <c r="D457">
        <v>2</v>
      </c>
      <c r="E457">
        <v>81.790000000000006</v>
      </c>
      <c r="F457">
        <v>81.790000000000006</v>
      </c>
      <c r="G457">
        <v>0</v>
      </c>
      <c r="H457" s="2">
        <v>0</v>
      </c>
      <c r="I457">
        <v>0</v>
      </c>
      <c r="J457">
        <v>163.58000000000001</v>
      </c>
      <c r="K457" s="1">
        <v>45791</v>
      </c>
      <c r="L457" t="s">
        <v>21</v>
      </c>
      <c r="M457" t="s">
        <v>18</v>
      </c>
      <c r="N457">
        <f>salesitems[[#This Row],[quantity]]*salesitems[[#This Row],[unit_price]]</f>
        <v>163.58000000000001</v>
      </c>
      <c r="O457" t="str">
        <f>_xlfn.XLOOKUP(salesitems[[#This Row],[product_id]],products[product_id],products[product_name])</f>
        <v>Essential Cotton Shoes</v>
      </c>
      <c r="P457" t="str">
        <f>_xlfn.XLOOKUP(salesitems[[#This Row],[product_id]],fashion_store_products!A:A,fashion_store_products!C:C)</f>
        <v>Shoes</v>
      </c>
    </row>
    <row r="458" spans="1:16" x14ac:dyDescent="0.45">
      <c r="A458">
        <v>2715</v>
      </c>
      <c r="B458">
        <v>175</v>
      </c>
      <c r="C458">
        <v>60</v>
      </c>
      <c r="D458">
        <v>2</v>
      </c>
      <c r="E458">
        <v>81.7</v>
      </c>
      <c r="F458">
        <v>81.7</v>
      </c>
      <c r="G458">
        <v>0</v>
      </c>
      <c r="H458" s="2">
        <v>0</v>
      </c>
      <c r="I458">
        <v>0</v>
      </c>
      <c r="J458">
        <v>163.4</v>
      </c>
      <c r="K458" s="1">
        <v>45765</v>
      </c>
      <c r="L458" t="s">
        <v>15</v>
      </c>
      <c r="M458" t="s">
        <v>15</v>
      </c>
      <c r="N458">
        <f>salesitems[[#This Row],[quantity]]*salesitems[[#This Row],[unit_price]]</f>
        <v>163.4</v>
      </c>
      <c r="O458" t="str">
        <f>_xlfn.XLOOKUP(salesitems[[#This Row],[product_id]],products[product_id],products[product_name])</f>
        <v>Modern Cotton Tee</v>
      </c>
      <c r="P458" t="str">
        <f>_xlfn.XLOOKUP(salesitems[[#This Row],[product_id]],fashion_store_products!A:A,fashion_store_products!C:C)</f>
        <v>T-Shirts</v>
      </c>
    </row>
    <row r="459" spans="1:16" x14ac:dyDescent="0.45">
      <c r="A459">
        <v>203</v>
      </c>
      <c r="B459">
        <v>1152</v>
      </c>
      <c r="C459">
        <v>146</v>
      </c>
      <c r="D459">
        <v>2</v>
      </c>
      <c r="E459">
        <v>81.06</v>
      </c>
      <c r="F459">
        <v>81.06</v>
      </c>
      <c r="G459">
        <v>0</v>
      </c>
      <c r="H459" s="2">
        <v>0</v>
      </c>
      <c r="I459">
        <v>0</v>
      </c>
      <c r="J459">
        <v>162.12</v>
      </c>
      <c r="K459" s="1">
        <v>45769</v>
      </c>
      <c r="L459" t="s">
        <v>21</v>
      </c>
      <c r="M459" t="s">
        <v>18</v>
      </c>
      <c r="N459">
        <f>salesitems[[#This Row],[quantity]]*salesitems[[#This Row],[unit_price]]</f>
        <v>162.12</v>
      </c>
      <c r="O459" t="str">
        <f>_xlfn.XLOOKUP(salesitems[[#This Row],[product_id]],products[product_id],products[product_name])</f>
        <v>Vintage Wrap Shoes</v>
      </c>
      <c r="P459" t="str">
        <f>_xlfn.XLOOKUP(salesitems[[#This Row],[product_id]],fashion_store_products!A:A,fashion_store_products!C:C)</f>
        <v>Shoes</v>
      </c>
    </row>
    <row r="460" spans="1:16" x14ac:dyDescent="0.45">
      <c r="A460">
        <v>425</v>
      </c>
      <c r="B460">
        <v>545</v>
      </c>
      <c r="C460">
        <v>146</v>
      </c>
      <c r="D460">
        <v>2</v>
      </c>
      <c r="E460">
        <v>81.06</v>
      </c>
      <c r="F460">
        <v>81.06</v>
      </c>
      <c r="G460">
        <v>0</v>
      </c>
      <c r="H460" s="2">
        <v>0</v>
      </c>
      <c r="I460">
        <v>0</v>
      </c>
      <c r="J460">
        <v>162.12</v>
      </c>
      <c r="K460" s="1">
        <v>45781</v>
      </c>
      <c r="L460" t="s">
        <v>21</v>
      </c>
      <c r="M460" t="s">
        <v>18</v>
      </c>
      <c r="N460">
        <f>salesitems[[#This Row],[quantity]]*salesitems[[#This Row],[unit_price]]</f>
        <v>162.12</v>
      </c>
      <c r="O460" t="str">
        <f>_xlfn.XLOOKUP(salesitems[[#This Row],[product_id]],products[product_id],products[product_name])</f>
        <v>Vintage Wrap Shoes</v>
      </c>
      <c r="P460" t="str">
        <f>_xlfn.XLOOKUP(salesitems[[#This Row],[product_id]],fashion_store_products!A:A,fashion_store_products!C:C)</f>
        <v>Shoes</v>
      </c>
    </row>
    <row r="461" spans="1:16" x14ac:dyDescent="0.45">
      <c r="A461">
        <v>757</v>
      </c>
      <c r="B461">
        <v>846</v>
      </c>
      <c r="C461">
        <v>146</v>
      </c>
      <c r="D461">
        <v>2</v>
      </c>
      <c r="E461">
        <v>81.06</v>
      </c>
      <c r="F461">
        <v>81.06</v>
      </c>
      <c r="G461">
        <v>0</v>
      </c>
      <c r="H461" s="2">
        <v>0</v>
      </c>
      <c r="I461">
        <v>0</v>
      </c>
      <c r="J461">
        <v>162.12</v>
      </c>
      <c r="K461" s="1">
        <v>45764</v>
      </c>
      <c r="L461" t="s">
        <v>15</v>
      </c>
      <c r="M461" t="s">
        <v>15</v>
      </c>
      <c r="N461">
        <f>salesitems[[#This Row],[quantity]]*salesitems[[#This Row],[unit_price]]</f>
        <v>162.12</v>
      </c>
      <c r="O461" t="str">
        <f>_xlfn.XLOOKUP(salesitems[[#This Row],[product_id]],products[product_id],products[product_name])</f>
        <v>Vintage Wrap Shoes</v>
      </c>
      <c r="P461" t="str">
        <f>_xlfn.XLOOKUP(salesitems[[#This Row],[product_id]],fashion_store_products!A:A,fashion_store_products!C:C)</f>
        <v>Shoes</v>
      </c>
    </row>
    <row r="462" spans="1:16" x14ac:dyDescent="0.45">
      <c r="A462">
        <v>951</v>
      </c>
      <c r="B462">
        <v>1058</v>
      </c>
      <c r="C462">
        <v>146</v>
      </c>
      <c r="D462">
        <v>2</v>
      </c>
      <c r="E462">
        <v>81.06</v>
      </c>
      <c r="F462">
        <v>81.06</v>
      </c>
      <c r="G462">
        <v>0</v>
      </c>
      <c r="H462" s="2">
        <v>0</v>
      </c>
      <c r="I462">
        <v>0</v>
      </c>
      <c r="J462">
        <v>162.12</v>
      </c>
      <c r="K462" s="1">
        <v>45803</v>
      </c>
      <c r="L462" t="s">
        <v>21</v>
      </c>
      <c r="M462" t="s">
        <v>18</v>
      </c>
      <c r="N462">
        <f>salesitems[[#This Row],[quantity]]*salesitems[[#This Row],[unit_price]]</f>
        <v>162.12</v>
      </c>
      <c r="O462" t="str">
        <f>_xlfn.XLOOKUP(salesitems[[#This Row],[product_id]],products[product_id],products[product_name])</f>
        <v>Vintage Wrap Shoes</v>
      </c>
      <c r="P462" t="str">
        <f>_xlfn.XLOOKUP(salesitems[[#This Row],[product_id]],fashion_store_products!A:A,fashion_store_products!C:C)</f>
        <v>Shoes</v>
      </c>
    </row>
    <row r="463" spans="1:16" x14ac:dyDescent="0.45">
      <c r="A463">
        <v>2023</v>
      </c>
      <c r="B463">
        <v>314</v>
      </c>
      <c r="C463">
        <v>71</v>
      </c>
      <c r="D463">
        <v>2</v>
      </c>
      <c r="E463">
        <v>80.760000000000005</v>
      </c>
      <c r="F463">
        <v>80.760000000000005</v>
      </c>
      <c r="G463">
        <v>0</v>
      </c>
      <c r="H463" s="2">
        <v>0</v>
      </c>
      <c r="I463">
        <v>0</v>
      </c>
      <c r="J463">
        <v>161.52000000000001</v>
      </c>
      <c r="K463" s="1">
        <v>45795</v>
      </c>
      <c r="L463" t="s">
        <v>21</v>
      </c>
      <c r="M463" t="s">
        <v>18</v>
      </c>
      <c r="N463">
        <f>salesitems[[#This Row],[quantity]]*salesitems[[#This Row],[unit_price]]</f>
        <v>161.52000000000001</v>
      </c>
      <c r="O463" t="str">
        <f>_xlfn.XLOOKUP(salesitems[[#This Row],[product_id]],products[product_id],products[product_name])</f>
        <v>Modern Ribbed Trousers</v>
      </c>
      <c r="P463" t="str">
        <f>_xlfn.XLOOKUP(salesitems[[#This Row],[product_id]],fashion_store_products!A:A,fashion_store_products!C:C)</f>
        <v>Pants</v>
      </c>
    </row>
    <row r="464" spans="1:16" x14ac:dyDescent="0.45">
      <c r="A464">
        <v>2755</v>
      </c>
      <c r="B464">
        <v>265</v>
      </c>
      <c r="C464">
        <v>182</v>
      </c>
      <c r="D464">
        <v>2</v>
      </c>
      <c r="E464">
        <v>78.63</v>
      </c>
      <c r="F464">
        <v>78.63</v>
      </c>
      <c r="G464">
        <v>0</v>
      </c>
      <c r="H464" s="2">
        <v>0</v>
      </c>
      <c r="I464">
        <v>0</v>
      </c>
      <c r="J464">
        <v>157.26</v>
      </c>
      <c r="K464" s="1">
        <v>45803</v>
      </c>
      <c r="L464" t="s">
        <v>15</v>
      </c>
      <c r="M464" t="s">
        <v>15</v>
      </c>
      <c r="N464">
        <f>salesitems[[#This Row],[quantity]]*salesitems[[#This Row],[unit_price]]</f>
        <v>157.26</v>
      </c>
      <c r="O464" t="str">
        <f>_xlfn.XLOOKUP(salesitems[[#This Row],[product_id]],products[product_id],products[product_name])</f>
        <v>Vintage Satin Set</v>
      </c>
      <c r="P464" t="str">
        <f>_xlfn.XLOOKUP(salesitems[[#This Row],[product_id]],fashion_store_products!A:A,fashion_store_products!C:C)</f>
        <v>Sleepwear</v>
      </c>
    </row>
    <row r="465" spans="1:16" x14ac:dyDescent="0.45">
      <c r="A465">
        <v>680</v>
      </c>
      <c r="B465">
        <v>800</v>
      </c>
      <c r="C465">
        <v>2</v>
      </c>
      <c r="D465">
        <v>2</v>
      </c>
      <c r="E465">
        <v>78.45</v>
      </c>
      <c r="F465">
        <v>78.45</v>
      </c>
      <c r="G465">
        <v>0</v>
      </c>
      <c r="H465" s="2">
        <v>0</v>
      </c>
      <c r="I465">
        <v>0</v>
      </c>
      <c r="J465">
        <v>156.9</v>
      </c>
      <c r="K465" s="1">
        <v>45801</v>
      </c>
      <c r="L465" t="s">
        <v>21</v>
      </c>
      <c r="M465" t="s">
        <v>18</v>
      </c>
      <c r="N465">
        <f>salesitems[[#This Row],[quantity]]*salesitems[[#This Row],[unit_price]]</f>
        <v>156.9</v>
      </c>
      <c r="O465" t="str">
        <f>_xlfn.XLOOKUP(salesitems[[#This Row],[product_id]],products[product_id],products[product_name])</f>
        <v>Soft Wrap Tee</v>
      </c>
      <c r="P465" t="str">
        <f>_xlfn.XLOOKUP(salesitems[[#This Row],[product_id]],fashion_store_products!A:A,fashion_store_products!C:C)</f>
        <v>T-Shirts</v>
      </c>
    </row>
    <row r="466" spans="1:16" x14ac:dyDescent="0.45">
      <c r="A466">
        <v>970</v>
      </c>
      <c r="B466">
        <v>1158</v>
      </c>
      <c r="C466">
        <v>163</v>
      </c>
      <c r="D466">
        <v>2</v>
      </c>
      <c r="E466">
        <v>76.959999999999994</v>
      </c>
      <c r="F466">
        <v>76.959999999999994</v>
      </c>
      <c r="G466">
        <v>0</v>
      </c>
      <c r="H466" s="2">
        <v>0</v>
      </c>
      <c r="I466">
        <v>0</v>
      </c>
      <c r="J466">
        <v>153.91999999999999</v>
      </c>
      <c r="K466" s="1">
        <v>45776</v>
      </c>
      <c r="L466" t="s">
        <v>21</v>
      </c>
      <c r="M466" t="s">
        <v>18</v>
      </c>
      <c r="N466">
        <f>salesitems[[#This Row],[quantity]]*salesitems[[#This Row],[unit_price]]</f>
        <v>153.91999999999999</v>
      </c>
      <c r="O466" t="str">
        <f>_xlfn.XLOOKUP(salesitems[[#This Row],[product_id]],products[product_id],products[product_name])</f>
        <v>Vintage Wrap Set</v>
      </c>
      <c r="P466" t="str">
        <f>_xlfn.XLOOKUP(salesitems[[#This Row],[product_id]],fashion_store_products!A:A,fashion_store_products!C:C)</f>
        <v>Sleepwear</v>
      </c>
    </row>
    <row r="467" spans="1:16" x14ac:dyDescent="0.45">
      <c r="A467">
        <v>1533</v>
      </c>
      <c r="B467">
        <v>654</v>
      </c>
      <c r="C467">
        <v>163</v>
      </c>
      <c r="D467">
        <v>2</v>
      </c>
      <c r="E467">
        <v>76.959999999999994</v>
      </c>
      <c r="F467">
        <v>76.959999999999994</v>
      </c>
      <c r="G467">
        <v>0</v>
      </c>
      <c r="H467" s="2">
        <v>0</v>
      </c>
      <c r="I467">
        <v>0</v>
      </c>
      <c r="J467">
        <v>153.91999999999999</v>
      </c>
      <c r="K467" s="1">
        <v>45781</v>
      </c>
      <c r="L467" t="s">
        <v>15</v>
      </c>
      <c r="M467" t="s">
        <v>15</v>
      </c>
      <c r="N467">
        <f>salesitems[[#This Row],[quantity]]*salesitems[[#This Row],[unit_price]]</f>
        <v>153.91999999999999</v>
      </c>
      <c r="O467" t="str">
        <f>_xlfn.XLOOKUP(salesitems[[#This Row],[product_id]],products[product_id],products[product_name])</f>
        <v>Vintage Wrap Set</v>
      </c>
      <c r="P467" t="str">
        <f>_xlfn.XLOOKUP(salesitems[[#This Row],[product_id]],fashion_store_products!A:A,fashion_store_products!C:C)</f>
        <v>Sleepwear</v>
      </c>
    </row>
    <row r="468" spans="1:16" x14ac:dyDescent="0.45">
      <c r="A468">
        <v>2146</v>
      </c>
      <c r="B468">
        <v>1314</v>
      </c>
      <c r="C468">
        <v>448</v>
      </c>
      <c r="D468">
        <v>2</v>
      </c>
      <c r="E468">
        <v>75.62</v>
      </c>
      <c r="F468">
        <v>75.62</v>
      </c>
      <c r="G468">
        <v>0</v>
      </c>
      <c r="H468" s="2">
        <v>0</v>
      </c>
      <c r="I468">
        <v>0</v>
      </c>
      <c r="J468">
        <v>151.24</v>
      </c>
      <c r="K468" s="1">
        <v>45812</v>
      </c>
      <c r="L468" t="s">
        <v>15</v>
      </c>
      <c r="M468" t="s">
        <v>15</v>
      </c>
      <c r="N468">
        <f>salesitems[[#This Row],[quantity]]*salesitems[[#This Row],[unit_price]]</f>
        <v>151.24</v>
      </c>
      <c r="O468" t="str">
        <f>_xlfn.XLOOKUP(salesitems[[#This Row],[product_id]],products[product_id],products[product_name])</f>
        <v>Bold Silk Dress</v>
      </c>
      <c r="P468" t="str">
        <f>_xlfn.XLOOKUP(salesitems[[#This Row],[product_id]],fashion_store_products!A:A,fashion_store_products!C:C)</f>
        <v>Dresses</v>
      </c>
    </row>
    <row r="469" spans="1:16" x14ac:dyDescent="0.45">
      <c r="A469">
        <v>3254</v>
      </c>
      <c r="B469">
        <v>171</v>
      </c>
      <c r="C469">
        <v>459</v>
      </c>
      <c r="D469">
        <v>2</v>
      </c>
      <c r="E469">
        <v>75.17</v>
      </c>
      <c r="F469">
        <v>75.17</v>
      </c>
      <c r="G469">
        <v>0</v>
      </c>
      <c r="H469" s="2">
        <v>0</v>
      </c>
      <c r="I469">
        <v>0</v>
      </c>
      <c r="J469">
        <v>150.34</v>
      </c>
      <c r="K469" s="1">
        <v>45762</v>
      </c>
      <c r="L469" t="s">
        <v>21</v>
      </c>
      <c r="M469" t="s">
        <v>18</v>
      </c>
      <c r="N469">
        <f>salesitems[[#This Row],[quantity]]*salesitems[[#This Row],[unit_price]]</f>
        <v>150.34</v>
      </c>
      <c r="O469" t="str">
        <f>_xlfn.XLOOKUP(salesitems[[#This Row],[product_id]],products[product_id],products[product_name])</f>
        <v>Bold High-Waist Dress</v>
      </c>
      <c r="P469" t="str">
        <f>_xlfn.XLOOKUP(salesitems[[#This Row],[product_id]],fashion_store_products!A:A,fashion_store_products!C:C)</f>
        <v>Dresses</v>
      </c>
    </row>
    <row r="470" spans="1:16" x14ac:dyDescent="0.45">
      <c r="A470">
        <v>2859</v>
      </c>
      <c r="B470">
        <v>181</v>
      </c>
      <c r="C470">
        <v>116</v>
      </c>
      <c r="D470">
        <v>2</v>
      </c>
      <c r="E470">
        <v>74.81</v>
      </c>
      <c r="F470">
        <v>74.81</v>
      </c>
      <c r="G470">
        <v>0</v>
      </c>
      <c r="H470" s="2">
        <v>0</v>
      </c>
      <c r="I470">
        <v>0</v>
      </c>
      <c r="J470">
        <v>149.62</v>
      </c>
      <c r="K470" s="1">
        <v>45813</v>
      </c>
      <c r="L470" t="s">
        <v>15</v>
      </c>
      <c r="M470" t="s">
        <v>15</v>
      </c>
      <c r="N470">
        <f>salesitems[[#This Row],[quantity]]*salesitems[[#This Row],[unit_price]]</f>
        <v>149.62</v>
      </c>
      <c r="O470" t="str">
        <f>_xlfn.XLOOKUP(salesitems[[#This Row],[product_id]],products[product_id],products[product_name])</f>
        <v>Modern High-Waist Trousers</v>
      </c>
      <c r="P470" t="str">
        <f>_xlfn.XLOOKUP(salesitems[[#This Row],[product_id]],fashion_store_products!A:A,fashion_store_products!C:C)</f>
        <v>Pants</v>
      </c>
    </row>
    <row r="471" spans="1:16" x14ac:dyDescent="0.45">
      <c r="A471">
        <v>2957</v>
      </c>
      <c r="B471">
        <v>284</v>
      </c>
      <c r="C471">
        <v>116</v>
      </c>
      <c r="D471">
        <v>2</v>
      </c>
      <c r="E471">
        <v>74.81</v>
      </c>
      <c r="F471">
        <v>74.81</v>
      </c>
      <c r="G471">
        <v>0</v>
      </c>
      <c r="H471" s="2">
        <v>0</v>
      </c>
      <c r="I471">
        <v>0</v>
      </c>
      <c r="J471">
        <v>149.62</v>
      </c>
      <c r="K471" s="1">
        <v>45776</v>
      </c>
      <c r="L471" t="s">
        <v>15</v>
      </c>
      <c r="M471" t="s">
        <v>15</v>
      </c>
      <c r="N471">
        <f>salesitems[[#This Row],[quantity]]*salesitems[[#This Row],[unit_price]]</f>
        <v>149.62</v>
      </c>
      <c r="O471" t="str">
        <f>_xlfn.XLOOKUP(salesitems[[#This Row],[product_id]],products[product_id],products[product_name])</f>
        <v>Modern High-Waist Trousers</v>
      </c>
      <c r="P471" t="str">
        <f>_xlfn.XLOOKUP(salesitems[[#This Row],[product_id]],fashion_store_products!A:A,fashion_store_products!C:C)</f>
        <v>Pants</v>
      </c>
    </row>
    <row r="472" spans="1:16" x14ac:dyDescent="0.45">
      <c r="A472">
        <v>792</v>
      </c>
      <c r="B472">
        <v>555</v>
      </c>
      <c r="C472">
        <v>359</v>
      </c>
      <c r="D472">
        <v>2</v>
      </c>
      <c r="E472">
        <v>74.28</v>
      </c>
      <c r="F472">
        <v>74.28</v>
      </c>
      <c r="G472">
        <v>0</v>
      </c>
      <c r="H472" s="2">
        <v>0</v>
      </c>
      <c r="I472">
        <v>0</v>
      </c>
      <c r="J472">
        <v>148.56</v>
      </c>
      <c r="K472" s="1">
        <v>45802</v>
      </c>
      <c r="L472" t="s">
        <v>15</v>
      </c>
      <c r="M472" t="s">
        <v>15</v>
      </c>
      <c r="N472">
        <f>salesitems[[#This Row],[quantity]]*salesitems[[#This Row],[unit_price]]</f>
        <v>148.56</v>
      </c>
      <c r="O472" t="str">
        <f>_xlfn.XLOOKUP(salesitems[[#This Row],[product_id]],products[product_id],products[product_name])</f>
        <v>Tailored Silk Shoes</v>
      </c>
      <c r="P472" t="str">
        <f>_xlfn.XLOOKUP(salesitems[[#This Row],[product_id]],fashion_store_products!A:A,fashion_store_products!C:C)</f>
        <v>Shoes</v>
      </c>
    </row>
    <row r="473" spans="1:16" x14ac:dyDescent="0.45">
      <c r="A473">
        <v>3154</v>
      </c>
      <c r="B473">
        <v>856</v>
      </c>
      <c r="C473">
        <v>359</v>
      </c>
      <c r="D473">
        <v>2</v>
      </c>
      <c r="E473">
        <v>74.28</v>
      </c>
      <c r="F473">
        <v>74.28</v>
      </c>
      <c r="G473">
        <v>0</v>
      </c>
      <c r="H473" s="2">
        <v>0</v>
      </c>
      <c r="I473">
        <v>0</v>
      </c>
      <c r="J473">
        <v>148.56</v>
      </c>
      <c r="K473" s="1">
        <v>45764</v>
      </c>
      <c r="L473" t="s">
        <v>21</v>
      </c>
      <c r="M473" t="s">
        <v>18</v>
      </c>
      <c r="N473">
        <f>salesitems[[#This Row],[quantity]]*salesitems[[#This Row],[unit_price]]</f>
        <v>148.56</v>
      </c>
      <c r="O473" t="str">
        <f>_xlfn.XLOOKUP(salesitems[[#This Row],[product_id]],products[product_id],products[product_name])</f>
        <v>Tailored Silk Shoes</v>
      </c>
      <c r="P473" t="str">
        <f>_xlfn.XLOOKUP(salesitems[[#This Row],[product_id]],fashion_store_products!A:A,fashion_store_products!C:C)</f>
        <v>Shoes</v>
      </c>
    </row>
    <row r="474" spans="1:16" x14ac:dyDescent="0.45">
      <c r="A474">
        <v>888</v>
      </c>
      <c r="B474">
        <v>1100</v>
      </c>
      <c r="C474">
        <v>327</v>
      </c>
      <c r="D474">
        <v>2</v>
      </c>
      <c r="E474">
        <v>74.239999999999995</v>
      </c>
      <c r="F474">
        <v>74.239999999999995</v>
      </c>
      <c r="G474">
        <v>0</v>
      </c>
      <c r="H474" s="2">
        <v>0</v>
      </c>
      <c r="I474">
        <v>0</v>
      </c>
      <c r="J474">
        <v>148.47999999999999</v>
      </c>
      <c r="K474" s="1">
        <v>45825</v>
      </c>
      <c r="L474" t="s">
        <v>21</v>
      </c>
      <c r="M474" t="s">
        <v>18</v>
      </c>
      <c r="N474">
        <f>salesitems[[#This Row],[quantity]]*salesitems[[#This Row],[unit_price]]</f>
        <v>148.47999999999999</v>
      </c>
      <c r="O474" t="str">
        <f>_xlfn.XLOOKUP(salesitems[[#This Row],[product_id]],products[product_id],products[product_name])</f>
        <v>Essential Boxy Dress</v>
      </c>
      <c r="P474" t="str">
        <f>_xlfn.XLOOKUP(salesitems[[#This Row],[product_id]],fashion_store_products!A:A,fashion_store_products!C:C)</f>
        <v>Dresses</v>
      </c>
    </row>
    <row r="475" spans="1:16" x14ac:dyDescent="0.45">
      <c r="A475">
        <v>764</v>
      </c>
      <c r="B475">
        <v>8</v>
      </c>
      <c r="C475">
        <v>420</v>
      </c>
      <c r="D475">
        <v>2</v>
      </c>
      <c r="E475">
        <v>72.58</v>
      </c>
      <c r="F475">
        <v>72.58</v>
      </c>
      <c r="G475">
        <v>0</v>
      </c>
      <c r="H475" s="2">
        <v>0</v>
      </c>
      <c r="I475">
        <v>0</v>
      </c>
      <c r="J475">
        <v>145.16</v>
      </c>
      <c r="K475" s="1">
        <v>45803</v>
      </c>
      <c r="L475" t="s">
        <v>15</v>
      </c>
      <c r="M475" t="s">
        <v>15</v>
      </c>
      <c r="N475">
        <f>salesitems[[#This Row],[quantity]]*salesitems[[#This Row],[unit_price]]</f>
        <v>145.16</v>
      </c>
      <c r="O475" t="str">
        <f>_xlfn.XLOOKUP(salesitems[[#This Row],[product_id]],products[product_id],products[product_name])</f>
        <v>Elegant Sleeveless Shoes</v>
      </c>
      <c r="P475" t="str">
        <f>_xlfn.XLOOKUP(salesitems[[#This Row],[product_id]],fashion_store_products!A:A,fashion_store_products!C:C)</f>
        <v>Shoes</v>
      </c>
    </row>
    <row r="476" spans="1:16" x14ac:dyDescent="0.45">
      <c r="A476">
        <v>1946</v>
      </c>
      <c r="B476">
        <v>927</v>
      </c>
      <c r="C476">
        <v>420</v>
      </c>
      <c r="D476">
        <v>2</v>
      </c>
      <c r="E476">
        <v>72.58</v>
      </c>
      <c r="F476">
        <v>72.58</v>
      </c>
      <c r="G476">
        <v>0</v>
      </c>
      <c r="H476" s="2">
        <v>0</v>
      </c>
      <c r="I476">
        <v>0</v>
      </c>
      <c r="J476">
        <v>145.16</v>
      </c>
      <c r="K476" s="1">
        <v>45823</v>
      </c>
      <c r="L476" t="s">
        <v>15</v>
      </c>
      <c r="M476" t="s">
        <v>15</v>
      </c>
      <c r="N476">
        <f>salesitems[[#This Row],[quantity]]*salesitems[[#This Row],[unit_price]]</f>
        <v>145.16</v>
      </c>
      <c r="O476" t="str">
        <f>_xlfn.XLOOKUP(salesitems[[#This Row],[product_id]],products[product_id],products[product_name])</f>
        <v>Elegant Sleeveless Shoes</v>
      </c>
      <c r="P476" t="str">
        <f>_xlfn.XLOOKUP(salesitems[[#This Row],[product_id]],fashion_store_products!A:A,fashion_store_products!C:C)</f>
        <v>Shoes</v>
      </c>
    </row>
    <row r="477" spans="1:16" x14ac:dyDescent="0.45">
      <c r="A477">
        <v>560</v>
      </c>
      <c r="B477">
        <v>978</v>
      </c>
      <c r="C477">
        <v>358</v>
      </c>
      <c r="D477">
        <v>2</v>
      </c>
      <c r="E477">
        <v>71.86</v>
      </c>
      <c r="F477">
        <v>71.86</v>
      </c>
      <c r="G477">
        <v>0</v>
      </c>
      <c r="H477" s="2">
        <v>0</v>
      </c>
      <c r="I477">
        <v>0</v>
      </c>
      <c r="J477">
        <v>143.72</v>
      </c>
      <c r="K477" s="1">
        <v>45767</v>
      </c>
      <c r="L477" t="s">
        <v>21</v>
      </c>
      <c r="M477" t="s">
        <v>18</v>
      </c>
      <c r="N477">
        <f>salesitems[[#This Row],[quantity]]*salesitems[[#This Row],[unit_price]]</f>
        <v>143.72</v>
      </c>
      <c r="O477" t="str">
        <f>_xlfn.XLOOKUP(salesitems[[#This Row],[product_id]],products[product_id],products[product_name])</f>
        <v>Tailored Wrap Set</v>
      </c>
      <c r="P477" t="str">
        <f>_xlfn.XLOOKUP(salesitems[[#This Row],[product_id]],fashion_store_products!A:A,fashion_store_products!C:C)</f>
        <v>Sleepwear</v>
      </c>
    </row>
    <row r="478" spans="1:16" x14ac:dyDescent="0.45">
      <c r="A478">
        <v>930</v>
      </c>
      <c r="B478">
        <v>852</v>
      </c>
      <c r="C478">
        <v>337</v>
      </c>
      <c r="D478">
        <v>2</v>
      </c>
      <c r="E478">
        <v>71.72</v>
      </c>
      <c r="F478">
        <v>71.72</v>
      </c>
      <c r="G478">
        <v>0</v>
      </c>
      <c r="H478" s="2">
        <v>0</v>
      </c>
      <c r="I478">
        <v>0</v>
      </c>
      <c r="J478">
        <v>143.44</v>
      </c>
      <c r="K478" s="1">
        <v>45770</v>
      </c>
      <c r="L478" t="s">
        <v>15</v>
      </c>
      <c r="M478" t="s">
        <v>15</v>
      </c>
      <c r="N478">
        <f>salesitems[[#This Row],[quantity]]*salesitems[[#This Row],[unit_price]]</f>
        <v>143.44</v>
      </c>
      <c r="O478" t="str">
        <f>_xlfn.XLOOKUP(salesitems[[#This Row],[product_id]],products[product_id],products[product_name])</f>
        <v>Essential Linen Set</v>
      </c>
      <c r="P478" t="str">
        <f>_xlfn.XLOOKUP(salesitems[[#This Row],[product_id]],fashion_store_products!A:A,fashion_store_products!C:C)</f>
        <v>Sleepwear</v>
      </c>
    </row>
    <row r="479" spans="1:16" x14ac:dyDescent="0.45">
      <c r="A479">
        <v>496</v>
      </c>
      <c r="B479">
        <v>32</v>
      </c>
      <c r="C479">
        <v>6</v>
      </c>
      <c r="D479">
        <v>2</v>
      </c>
      <c r="E479">
        <v>70.86</v>
      </c>
      <c r="F479">
        <v>70.86</v>
      </c>
      <c r="G479">
        <v>0</v>
      </c>
      <c r="H479" s="2">
        <v>0</v>
      </c>
      <c r="I479">
        <v>0</v>
      </c>
      <c r="J479">
        <v>141.72</v>
      </c>
      <c r="K479" s="1">
        <v>45768</v>
      </c>
      <c r="L479" t="s">
        <v>15</v>
      </c>
      <c r="M479" t="s">
        <v>15</v>
      </c>
      <c r="N479">
        <f>salesitems[[#This Row],[quantity]]*salesitems[[#This Row],[unit_price]]</f>
        <v>141.72</v>
      </c>
      <c r="O479" t="str">
        <f>_xlfn.XLOOKUP(salesitems[[#This Row],[product_id]],products[product_id],products[product_name])</f>
        <v>Soft Wrap Shoes</v>
      </c>
      <c r="P479" t="str">
        <f>_xlfn.XLOOKUP(salesitems[[#This Row],[product_id]],fashion_store_products!A:A,fashion_store_products!C:C)</f>
        <v>Shoes</v>
      </c>
    </row>
    <row r="480" spans="1:16" x14ac:dyDescent="0.45">
      <c r="A480">
        <v>1881</v>
      </c>
      <c r="B480">
        <v>531</v>
      </c>
      <c r="C480">
        <v>463</v>
      </c>
      <c r="D480">
        <v>2</v>
      </c>
      <c r="E480">
        <v>70.56</v>
      </c>
      <c r="F480">
        <v>70.56</v>
      </c>
      <c r="G480">
        <v>0</v>
      </c>
      <c r="H480" s="2">
        <v>0</v>
      </c>
      <c r="I480">
        <v>0</v>
      </c>
      <c r="J480">
        <v>141.12</v>
      </c>
      <c r="K480" s="1">
        <v>45807</v>
      </c>
      <c r="L480" t="s">
        <v>15</v>
      </c>
      <c r="M480" t="s">
        <v>15</v>
      </c>
      <c r="N480">
        <f>salesitems[[#This Row],[quantity]]*salesitems[[#This Row],[unit_price]]</f>
        <v>141.12</v>
      </c>
      <c r="O480" t="str">
        <f>_xlfn.XLOOKUP(salesitems[[#This Row],[product_id]],products[product_id],products[product_name])</f>
        <v>Bold Boxy Dress</v>
      </c>
      <c r="P480" t="str">
        <f>_xlfn.XLOOKUP(salesitems[[#This Row],[product_id]],fashion_store_products!A:A,fashion_store_products!C:C)</f>
        <v>Dresses</v>
      </c>
    </row>
    <row r="481" spans="1:16" x14ac:dyDescent="0.45">
      <c r="A481">
        <v>2433</v>
      </c>
      <c r="B481">
        <v>142</v>
      </c>
      <c r="C481">
        <v>207</v>
      </c>
      <c r="D481">
        <v>2</v>
      </c>
      <c r="E481">
        <v>67.98</v>
      </c>
      <c r="F481">
        <v>67.98</v>
      </c>
      <c r="G481">
        <v>0</v>
      </c>
      <c r="H481" s="2">
        <v>0</v>
      </c>
      <c r="I481">
        <v>0</v>
      </c>
      <c r="J481">
        <v>135.96</v>
      </c>
      <c r="K481" s="1">
        <v>45802</v>
      </c>
      <c r="L481" t="s">
        <v>21</v>
      </c>
      <c r="M481" t="s">
        <v>18</v>
      </c>
      <c r="N481">
        <f>salesitems[[#This Row],[quantity]]*salesitems[[#This Row],[unit_price]]</f>
        <v>135.96</v>
      </c>
      <c r="O481" t="str">
        <f>_xlfn.XLOOKUP(salesitems[[#This Row],[product_id]],products[product_id],products[product_name])</f>
        <v>Vintage Boxy Tee</v>
      </c>
      <c r="P481" t="str">
        <f>_xlfn.XLOOKUP(salesitems[[#This Row],[product_id]],fashion_store_products!A:A,fashion_store_products!C:C)</f>
        <v>T-Shirts</v>
      </c>
    </row>
    <row r="482" spans="1:16" x14ac:dyDescent="0.45">
      <c r="A482">
        <v>3194</v>
      </c>
      <c r="B482">
        <v>1028</v>
      </c>
      <c r="C482">
        <v>207</v>
      </c>
      <c r="D482">
        <v>2</v>
      </c>
      <c r="E482">
        <v>67.98</v>
      </c>
      <c r="F482">
        <v>67.98</v>
      </c>
      <c r="G482">
        <v>0</v>
      </c>
      <c r="H482" s="2">
        <v>0</v>
      </c>
      <c r="I482">
        <v>0</v>
      </c>
      <c r="J482">
        <v>135.96</v>
      </c>
      <c r="K482" s="1">
        <v>45802</v>
      </c>
      <c r="L482" t="s">
        <v>21</v>
      </c>
      <c r="M482" t="s">
        <v>18</v>
      </c>
      <c r="N482">
        <f>salesitems[[#This Row],[quantity]]*salesitems[[#This Row],[unit_price]]</f>
        <v>135.96</v>
      </c>
      <c r="O482" t="str">
        <f>_xlfn.XLOOKUP(salesitems[[#This Row],[product_id]],products[product_id],products[product_name])</f>
        <v>Vintage Boxy Tee</v>
      </c>
      <c r="P482" t="str">
        <f>_xlfn.XLOOKUP(salesitems[[#This Row],[product_id]],fashion_store_products!A:A,fashion_store_products!C:C)</f>
        <v>T-Shirts</v>
      </c>
    </row>
    <row r="483" spans="1:16" x14ac:dyDescent="0.45">
      <c r="A483">
        <v>1750</v>
      </c>
      <c r="B483">
        <v>1047</v>
      </c>
      <c r="C483">
        <v>365</v>
      </c>
      <c r="D483">
        <v>2</v>
      </c>
      <c r="E483">
        <v>67.760000000000005</v>
      </c>
      <c r="F483">
        <v>67.760000000000005</v>
      </c>
      <c r="G483">
        <v>0</v>
      </c>
      <c r="H483" s="2">
        <v>0</v>
      </c>
      <c r="I483">
        <v>0</v>
      </c>
      <c r="J483">
        <v>135.52000000000001</v>
      </c>
      <c r="K483" s="1">
        <v>45764</v>
      </c>
      <c r="L483" t="s">
        <v>21</v>
      </c>
      <c r="M483" t="s">
        <v>18</v>
      </c>
      <c r="N483">
        <f>salesitems[[#This Row],[quantity]]*salesitems[[#This Row],[unit_price]]</f>
        <v>135.52000000000001</v>
      </c>
      <c r="O483" t="str">
        <f>_xlfn.XLOOKUP(salesitems[[#This Row],[product_id]],products[product_id],products[product_name])</f>
        <v>Elegant Wrap Tee</v>
      </c>
      <c r="P483" t="str">
        <f>_xlfn.XLOOKUP(salesitems[[#This Row],[product_id]],fashion_store_products!A:A,fashion_store_products!C:C)</f>
        <v>T-Shirts</v>
      </c>
    </row>
    <row r="484" spans="1:16" x14ac:dyDescent="0.45">
      <c r="A484">
        <v>1849</v>
      </c>
      <c r="B484">
        <v>6</v>
      </c>
      <c r="C484">
        <v>365</v>
      </c>
      <c r="D484">
        <v>2</v>
      </c>
      <c r="E484">
        <v>67.760000000000005</v>
      </c>
      <c r="F484">
        <v>67.760000000000005</v>
      </c>
      <c r="G484">
        <v>0</v>
      </c>
      <c r="H484" s="2">
        <v>0</v>
      </c>
      <c r="I484">
        <v>0</v>
      </c>
      <c r="J484">
        <v>135.52000000000001</v>
      </c>
      <c r="K484" s="1">
        <v>45822</v>
      </c>
      <c r="L484" t="s">
        <v>21</v>
      </c>
      <c r="M484" t="s">
        <v>18</v>
      </c>
      <c r="N484">
        <f>salesitems[[#This Row],[quantity]]*salesitems[[#This Row],[unit_price]]</f>
        <v>135.52000000000001</v>
      </c>
      <c r="O484" t="str">
        <f>_xlfn.XLOOKUP(salesitems[[#This Row],[product_id]],products[product_id],products[product_name])</f>
        <v>Elegant Wrap Tee</v>
      </c>
      <c r="P484" t="str">
        <f>_xlfn.XLOOKUP(salesitems[[#This Row],[product_id]],fashion_store_products!A:A,fashion_store_products!C:C)</f>
        <v>T-Shirts</v>
      </c>
    </row>
    <row r="485" spans="1:16" x14ac:dyDescent="0.45">
      <c r="A485">
        <v>170</v>
      </c>
      <c r="B485">
        <v>92</v>
      </c>
      <c r="C485">
        <v>142</v>
      </c>
      <c r="D485">
        <v>2</v>
      </c>
      <c r="E485">
        <v>67.290000000000006</v>
      </c>
      <c r="F485">
        <v>67.290000000000006</v>
      </c>
      <c r="G485">
        <v>0</v>
      </c>
      <c r="H485" s="2">
        <v>0</v>
      </c>
      <c r="I485">
        <v>0</v>
      </c>
      <c r="J485">
        <v>134.58000000000001</v>
      </c>
      <c r="K485" s="1">
        <v>45807</v>
      </c>
      <c r="L485" t="s">
        <v>15</v>
      </c>
      <c r="M485" t="s">
        <v>15</v>
      </c>
      <c r="N485">
        <f>salesitems[[#This Row],[quantity]]*salesitems[[#This Row],[unit_price]]</f>
        <v>134.58000000000001</v>
      </c>
      <c r="O485" t="str">
        <f>_xlfn.XLOOKUP(salesitems[[#This Row],[product_id]],products[product_id],products[product_name])</f>
        <v>Vintage Satin Dress</v>
      </c>
      <c r="P485" t="str">
        <f>_xlfn.XLOOKUP(salesitems[[#This Row],[product_id]],fashion_store_products!A:A,fashion_store_products!C:C)</f>
        <v>Dresses</v>
      </c>
    </row>
    <row r="486" spans="1:16" x14ac:dyDescent="0.45">
      <c r="A486">
        <v>451</v>
      </c>
      <c r="B486">
        <v>38</v>
      </c>
      <c r="C486">
        <v>142</v>
      </c>
      <c r="D486">
        <v>2</v>
      </c>
      <c r="E486">
        <v>67.290000000000006</v>
      </c>
      <c r="F486">
        <v>67.290000000000006</v>
      </c>
      <c r="G486">
        <v>0</v>
      </c>
      <c r="H486" s="2">
        <v>0</v>
      </c>
      <c r="I486">
        <v>0</v>
      </c>
      <c r="J486">
        <v>134.58000000000001</v>
      </c>
      <c r="K486" s="1">
        <v>45803</v>
      </c>
      <c r="L486" t="s">
        <v>21</v>
      </c>
      <c r="M486" t="s">
        <v>18</v>
      </c>
      <c r="N486">
        <f>salesitems[[#This Row],[quantity]]*salesitems[[#This Row],[unit_price]]</f>
        <v>134.58000000000001</v>
      </c>
      <c r="O486" t="str">
        <f>_xlfn.XLOOKUP(salesitems[[#This Row],[product_id]],products[product_id],products[product_name])</f>
        <v>Vintage Satin Dress</v>
      </c>
      <c r="P486" t="str">
        <f>_xlfn.XLOOKUP(salesitems[[#This Row],[product_id]],fashion_store_products!A:A,fashion_store_products!C:C)</f>
        <v>Dresses</v>
      </c>
    </row>
    <row r="487" spans="1:16" x14ac:dyDescent="0.45">
      <c r="A487">
        <v>1942</v>
      </c>
      <c r="B487">
        <v>802</v>
      </c>
      <c r="C487">
        <v>239</v>
      </c>
      <c r="D487">
        <v>2</v>
      </c>
      <c r="E487">
        <v>66.989999999999995</v>
      </c>
      <c r="F487">
        <v>66.989999999999995</v>
      </c>
      <c r="G487">
        <v>0</v>
      </c>
      <c r="H487" s="2">
        <v>0</v>
      </c>
      <c r="I487">
        <v>0</v>
      </c>
      <c r="J487">
        <v>133.97999999999999</v>
      </c>
      <c r="K487" s="1">
        <v>45777</v>
      </c>
      <c r="L487" t="s">
        <v>15</v>
      </c>
      <c r="M487" t="s">
        <v>15</v>
      </c>
      <c r="N487">
        <f>salesitems[[#This Row],[quantity]]*salesitems[[#This Row],[unit_price]]</f>
        <v>133.97999999999999</v>
      </c>
      <c r="O487" t="str">
        <f>_xlfn.XLOOKUP(salesitems[[#This Row],[product_id]],products[product_id],products[product_name])</f>
        <v>Polished Wrap Trousers</v>
      </c>
      <c r="P487" t="str">
        <f>_xlfn.XLOOKUP(salesitems[[#This Row],[product_id]],fashion_store_products!A:A,fashion_store_products!C:C)</f>
        <v>Pants</v>
      </c>
    </row>
    <row r="488" spans="1:16" x14ac:dyDescent="0.45">
      <c r="A488">
        <v>1979</v>
      </c>
      <c r="B488">
        <v>989</v>
      </c>
      <c r="C488">
        <v>239</v>
      </c>
      <c r="D488">
        <v>2</v>
      </c>
      <c r="E488">
        <v>66.989999999999995</v>
      </c>
      <c r="F488">
        <v>66.989999999999995</v>
      </c>
      <c r="G488">
        <v>0</v>
      </c>
      <c r="H488" s="2">
        <v>0</v>
      </c>
      <c r="I488">
        <v>0</v>
      </c>
      <c r="J488">
        <v>133.97999999999999</v>
      </c>
      <c r="K488" s="1">
        <v>45804</v>
      </c>
      <c r="L488" t="s">
        <v>21</v>
      </c>
      <c r="M488" t="s">
        <v>18</v>
      </c>
      <c r="N488">
        <f>salesitems[[#This Row],[quantity]]*salesitems[[#This Row],[unit_price]]</f>
        <v>133.97999999999999</v>
      </c>
      <c r="O488" t="str">
        <f>_xlfn.XLOOKUP(salesitems[[#This Row],[product_id]],products[product_id],products[product_name])</f>
        <v>Polished Wrap Trousers</v>
      </c>
      <c r="P488" t="str">
        <f>_xlfn.XLOOKUP(salesitems[[#This Row],[product_id]],fashion_store_products!A:A,fashion_store_products!C:C)</f>
        <v>Pants</v>
      </c>
    </row>
    <row r="489" spans="1:16" x14ac:dyDescent="0.45">
      <c r="A489">
        <v>32</v>
      </c>
      <c r="B489">
        <v>654</v>
      </c>
      <c r="C489">
        <v>197</v>
      </c>
      <c r="D489">
        <v>2</v>
      </c>
      <c r="E489">
        <v>66.680000000000007</v>
      </c>
      <c r="F489">
        <v>66.680000000000007</v>
      </c>
      <c r="G489">
        <v>0</v>
      </c>
      <c r="H489" s="2">
        <v>0</v>
      </c>
      <c r="I489">
        <v>0</v>
      </c>
      <c r="J489">
        <v>133.36000000000001</v>
      </c>
      <c r="K489" s="1">
        <v>45781</v>
      </c>
      <c r="L489" t="s">
        <v>15</v>
      </c>
      <c r="M489" t="s">
        <v>15</v>
      </c>
      <c r="N489">
        <f>salesitems[[#This Row],[quantity]]*salesitems[[#This Row],[unit_price]]</f>
        <v>133.36000000000001</v>
      </c>
      <c r="O489" t="str">
        <f>_xlfn.XLOOKUP(salesitems[[#This Row],[product_id]],products[product_id],products[product_name])</f>
        <v>Polished Linen Shoes</v>
      </c>
      <c r="P489" t="str">
        <f>_xlfn.XLOOKUP(salesitems[[#This Row],[product_id]],fashion_store_products!A:A,fashion_store_products!C:C)</f>
        <v>Shoes</v>
      </c>
    </row>
    <row r="490" spans="1:16" x14ac:dyDescent="0.45">
      <c r="A490">
        <v>1437</v>
      </c>
      <c r="B490">
        <v>899</v>
      </c>
      <c r="C490">
        <v>197</v>
      </c>
      <c r="D490">
        <v>2</v>
      </c>
      <c r="E490">
        <v>66.680000000000007</v>
      </c>
      <c r="F490">
        <v>66.680000000000007</v>
      </c>
      <c r="G490">
        <v>0</v>
      </c>
      <c r="H490" s="2">
        <v>0</v>
      </c>
      <c r="I490">
        <v>0</v>
      </c>
      <c r="J490">
        <v>133.36000000000001</v>
      </c>
      <c r="K490" s="1">
        <v>45801</v>
      </c>
      <c r="L490" t="s">
        <v>15</v>
      </c>
      <c r="M490" t="s">
        <v>15</v>
      </c>
      <c r="N490">
        <f>salesitems[[#This Row],[quantity]]*salesitems[[#This Row],[unit_price]]</f>
        <v>133.36000000000001</v>
      </c>
      <c r="O490" t="str">
        <f>_xlfn.XLOOKUP(salesitems[[#This Row],[product_id]],products[product_id],products[product_name])</f>
        <v>Polished Linen Shoes</v>
      </c>
      <c r="P490" t="str">
        <f>_xlfn.XLOOKUP(salesitems[[#This Row],[product_id]],fashion_store_products!A:A,fashion_store_products!C:C)</f>
        <v>Shoes</v>
      </c>
    </row>
    <row r="491" spans="1:16" x14ac:dyDescent="0.45">
      <c r="A491">
        <v>2231</v>
      </c>
      <c r="B491">
        <v>450</v>
      </c>
      <c r="C491">
        <v>197</v>
      </c>
      <c r="D491">
        <v>2</v>
      </c>
      <c r="E491">
        <v>66.680000000000007</v>
      </c>
      <c r="F491">
        <v>66.680000000000007</v>
      </c>
      <c r="G491">
        <v>0</v>
      </c>
      <c r="H491" s="2">
        <v>0</v>
      </c>
      <c r="I491">
        <v>0</v>
      </c>
      <c r="J491">
        <v>133.36000000000001</v>
      </c>
      <c r="K491" s="1">
        <v>45777</v>
      </c>
      <c r="L491" t="s">
        <v>15</v>
      </c>
      <c r="M491" t="s">
        <v>15</v>
      </c>
      <c r="N491">
        <f>salesitems[[#This Row],[quantity]]*salesitems[[#This Row],[unit_price]]</f>
        <v>133.36000000000001</v>
      </c>
      <c r="O491" t="str">
        <f>_xlfn.XLOOKUP(salesitems[[#This Row],[product_id]],products[product_id],products[product_name])</f>
        <v>Polished Linen Shoes</v>
      </c>
      <c r="P491" t="str">
        <f>_xlfn.XLOOKUP(salesitems[[#This Row],[product_id]],fashion_store_products!A:A,fashion_store_products!C:C)</f>
        <v>Shoes</v>
      </c>
    </row>
    <row r="492" spans="1:16" x14ac:dyDescent="0.45">
      <c r="A492">
        <v>2224</v>
      </c>
      <c r="B492">
        <v>485</v>
      </c>
      <c r="C492">
        <v>383</v>
      </c>
      <c r="D492">
        <v>2</v>
      </c>
      <c r="E492">
        <v>66.38</v>
      </c>
      <c r="F492">
        <v>66.38</v>
      </c>
      <c r="G492">
        <v>0</v>
      </c>
      <c r="H492" s="2">
        <v>0</v>
      </c>
      <c r="I492">
        <v>0</v>
      </c>
      <c r="J492">
        <v>132.76</v>
      </c>
      <c r="K492" s="1">
        <v>45821</v>
      </c>
      <c r="L492" t="s">
        <v>21</v>
      </c>
      <c r="M492" t="s">
        <v>18</v>
      </c>
      <c r="N492">
        <f>salesitems[[#This Row],[quantity]]*salesitems[[#This Row],[unit_price]]</f>
        <v>132.76</v>
      </c>
      <c r="O492" t="str">
        <f>_xlfn.XLOOKUP(salesitems[[#This Row],[product_id]],products[product_id],products[product_name])</f>
        <v>Tailored Crew Set</v>
      </c>
      <c r="P492" t="str">
        <f>_xlfn.XLOOKUP(salesitems[[#This Row],[product_id]],fashion_store_products!A:A,fashion_store_products!C:C)</f>
        <v>Sleepwear</v>
      </c>
    </row>
    <row r="493" spans="1:16" x14ac:dyDescent="0.45">
      <c r="A493">
        <v>2244</v>
      </c>
      <c r="B493">
        <v>780</v>
      </c>
      <c r="C493">
        <v>383</v>
      </c>
      <c r="D493">
        <v>2</v>
      </c>
      <c r="E493">
        <v>66.38</v>
      </c>
      <c r="F493">
        <v>66.38</v>
      </c>
      <c r="G493">
        <v>0</v>
      </c>
      <c r="H493" s="2">
        <v>0</v>
      </c>
      <c r="I493">
        <v>0</v>
      </c>
      <c r="J493">
        <v>132.76</v>
      </c>
      <c r="K493" s="1">
        <v>45760</v>
      </c>
      <c r="L493" t="s">
        <v>15</v>
      </c>
      <c r="M493" t="s">
        <v>15</v>
      </c>
      <c r="N493">
        <f>salesitems[[#This Row],[quantity]]*salesitems[[#This Row],[unit_price]]</f>
        <v>132.76</v>
      </c>
      <c r="O493" t="str">
        <f>_xlfn.XLOOKUP(salesitems[[#This Row],[product_id]],products[product_id],products[product_name])</f>
        <v>Tailored Crew Set</v>
      </c>
      <c r="P493" t="str">
        <f>_xlfn.XLOOKUP(salesitems[[#This Row],[product_id]],fashion_store_products!A:A,fashion_store_products!C:C)</f>
        <v>Sleepwear</v>
      </c>
    </row>
    <row r="494" spans="1:16" x14ac:dyDescent="0.45">
      <c r="A494">
        <v>3069</v>
      </c>
      <c r="B494">
        <v>843</v>
      </c>
      <c r="C494">
        <v>70</v>
      </c>
      <c r="D494">
        <v>2</v>
      </c>
      <c r="E494">
        <v>66.33</v>
      </c>
      <c r="F494">
        <v>66.33</v>
      </c>
      <c r="G494">
        <v>0</v>
      </c>
      <c r="H494" s="2">
        <v>0</v>
      </c>
      <c r="I494">
        <v>0</v>
      </c>
      <c r="J494">
        <v>132.66</v>
      </c>
      <c r="K494" s="1">
        <v>45814</v>
      </c>
      <c r="L494" t="s">
        <v>15</v>
      </c>
      <c r="M494" t="s">
        <v>15</v>
      </c>
      <c r="N494">
        <f>salesitems[[#This Row],[quantity]]*salesitems[[#This Row],[unit_price]]</f>
        <v>132.66</v>
      </c>
      <c r="O494" t="str">
        <f>_xlfn.XLOOKUP(salesitems[[#This Row],[product_id]],products[product_id],products[product_name])</f>
        <v>Modern Boxy Dress</v>
      </c>
      <c r="P494" t="str">
        <f>_xlfn.XLOOKUP(salesitems[[#This Row],[product_id]],fashion_store_products!A:A,fashion_store_products!C:C)</f>
        <v>Dresses</v>
      </c>
    </row>
    <row r="495" spans="1:16" x14ac:dyDescent="0.45">
      <c r="A495">
        <v>530</v>
      </c>
      <c r="B495">
        <v>878</v>
      </c>
      <c r="C495">
        <v>19</v>
      </c>
      <c r="D495">
        <v>2</v>
      </c>
      <c r="E495">
        <v>65.260000000000005</v>
      </c>
      <c r="F495">
        <v>65.260000000000005</v>
      </c>
      <c r="G495">
        <v>0</v>
      </c>
      <c r="H495" s="2">
        <v>0</v>
      </c>
      <c r="I495">
        <v>0</v>
      </c>
      <c r="J495">
        <v>130.52000000000001</v>
      </c>
      <c r="K495" s="1">
        <v>45763</v>
      </c>
      <c r="L495" t="s">
        <v>21</v>
      </c>
      <c r="M495" t="s">
        <v>18</v>
      </c>
      <c r="N495">
        <f>salesitems[[#This Row],[quantity]]*salesitems[[#This Row],[unit_price]]</f>
        <v>130.52000000000001</v>
      </c>
      <c r="O495" t="str">
        <f>_xlfn.XLOOKUP(salesitems[[#This Row],[product_id]],products[product_id],products[product_name])</f>
        <v>Soft Silk Dress</v>
      </c>
      <c r="P495" t="str">
        <f>_xlfn.XLOOKUP(salesitems[[#This Row],[product_id]],fashion_store_products!A:A,fashion_store_products!C:C)</f>
        <v>Dresses</v>
      </c>
    </row>
    <row r="496" spans="1:16" x14ac:dyDescent="0.45">
      <c r="A496">
        <v>1293</v>
      </c>
      <c r="B496">
        <v>1138</v>
      </c>
      <c r="C496">
        <v>19</v>
      </c>
      <c r="D496">
        <v>2</v>
      </c>
      <c r="E496">
        <v>65.260000000000005</v>
      </c>
      <c r="F496">
        <v>65.260000000000005</v>
      </c>
      <c r="G496">
        <v>0</v>
      </c>
      <c r="H496" s="2">
        <v>0</v>
      </c>
      <c r="I496">
        <v>0</v>
      </c>
      <c r="J496">
        <v>130.52000000000001</v>
      </c>
      <c r="K496" s="1">
        <v>45774</v>
      </c>
      <c r="L496" t="s">
        <v>21</v>
      </c>
      <c r="M496" t="s">
        <v>18</v>
      </c>
      <c r="N496">
        <f>salesitems[[#This Row],[quantity]]*salesitems[[#This Row],[unit_price]]</f>
        <v>130.52000000000001</v>
      </c>
      <c r="O496" t="str">
        <f>_xlfn.XLOOKUP(salesitems[[#This Row],[product_id]],products[product_id],products[product_name])</f>
        <v>Soft Silk Dress</v>
      </c>
      <c r="P496" t="str">
        <f>_xlfn.XLOOKUP(salesitems[[#This Row],[product_id]],fashion_store_products!A:A,fashion_store_products!C:C)</f>
        <v>Dresses</v>
      </c>
    </row>
    <row r="497" spans="1:16" x14ac:dyDescent="0.45">
      <c r="A497">
        <v>1429</v>
      </c>
      <c r="B497">
        <v>844</v>
      </c>
      <c r="C497">
        <v>19</v>
      </c>
      <c r="D497">
        <v>2</v>
      </c>
      <c r="E497">
        <v>65.260000000000005</v>
      </c>
      <c r="F497">
        <v>65.260000000000005</v>
      </c>
      <c r="G497">
        <v>0</v>
      </c>
      <c r="H497" s="2">
        <v>0</v>
      </c>
      <c r="I497">
        <v>0</v>
      </c>
      <c r="J497">
        <v>130.52000000000001</v>
      </c>
      <c r="K497" s="1">
        <v>45802</v>
      </c>
      <c r="L497" t="s">
        <v>21</v>
      </c>
      <c r="M497" t="s">
        <v>18</v>
      </c>
      <c r="N497">
        <f>salesitems[[#This Row],[quantity]]*salesitems[[#This Row],[unit_price]]</f>
        <v>130.52000000000001</v>
      </c>
      <c r="O497" t="str">
        <f>_xlfn.XLOOKUP(salesitems[[#This Row],[product_id]],products[product_id],products[product_name])</f>
        <v>Soft Silk Dress</v>
      </c>
      <c r="P497" t="str">
        <f>_xlfn.XLOOKUP(salesitems[[#This Row],[product_id]],fashion_store_products!A:A,fashion_store_products!C:C)</f>
        <v>Dresses</v>
      </c>
    </row>
    <row r="498" spans="1:16" x14ac:dyDescent="0.45">
      <c r="A498">
        <v>2890</v>
      </c>
      <c r="B498">
        <v>1185</v>
      </c>
      <c r="C498">
        <v>166</v>
      </c>
      <c r="D498">
        <v>2</v>
      </c>
      <c r="E498">
        <v>65.260000000000005</v>
      </c>
      <c r="F498">
        <v>65.260000000000005</v>
      </c>
      <c r="G498">
        <v>0</v>
      </c>
      <c r="H498" s="2">
        <v>0</v>
      </c>
      <c r="I498">
        <v>0</v>
      </c>
      <c r="J498">
        <v>130.52000000000001</v>
      </c>
      <c r="K498" s="1">
        <v>45782</v>
      </c>
      <c r="L498" t="s">
        <v>21</v>
      </c>
      <c r="M498" t="s">
        <v>18</v>
      </c>
      <c r="N498">
        <f>salesitems[[#This Row],[quantity]]*salesitems[[#This Row],[unit_price]]</f>
        <v>130.52000000000001</v>
      </c>
      <c r="O498" t="str">
        <f>_xlfn.XLOOKUP(salesitems[[#This Row],[product_id]],products[product_id],products[product_name])</f>
        <v>Vintage Satin Shoes</v>
      </c>
      <c r="P498" t="str">
        <f>_xlfn.XLOOKUP(salesitems[[#This Row],[product_id]],fashion_store_products!A:A,fashion_store_products!C:C)</f>
        <v>Shoes</v>
      </c>
    </row>
    <row r="499" spans="1:16" x14ac:dyDescent="0.45">
      <c r="A499">
        <v>168</v>
      </c>
      <c r="B499">
        <v>686</v>
      </c>
      <c r="C499">
        <v>44</v>
      </c>
      <c r="D499">
        <v>2</v>
      </c>
      <c r="E499">
        <v>64.84</v>
      </c>
      <c r="F499">
        <v>64.84</v>
      </c>
      <c r="G499">
        <v>0</v>
      </c>
      <c r="H499" s="2">
        <v>0</v>
      </c>
      <c r="I499">
        <v>0</v>
      </c>
      <c r="J499">
        <v>129.68</v>
      </c>
      <c r="K499" s="1">
        <v>45807</v>
      </c>
      <c r="L499" t="s">
        <v>21</v>
      </c>
      <c r="M499" t="s">
        <v>18</v>
      </c>
      <c r="N499">
        <f>salesitems[[#This Row],[quantity]]*salesitems[[#This Row],[unit_price]]</f>
        <v>129.68</v>
      </c>
      <c r="O499" t="str">
        <f>_xlfn.XLOOKUP(salesitems[[#This Row],[product_id]],products[product_id],products[product_name])</f>
        <v>Modern Wrap Trousers</v>
      </c>
      <c r="P499" t="str">
        <f>_xlfn.XLOOKUP(salesitems[[#This Row],[product_id]],fashion_store_products!A:A,fashion_store_products!C:C)</f>
        <v>Pants</v>
      </c>
    </row>
    <row r="500" spans="1:16" x14ac:dyDescent="0.45">
      <c r="A500">
        <v>3149</v>
      </c>
      <c r="B500">
        <v>772</v>
      </c>
      <c r="C500">
        <v>44</v>
      </c>
      <c r="D500">
        <v>2</v>
      </c>
      <c r="E500">
        <v>64.84</v>
      </c>
      <c r="F500">
        <v>64.84</v>
      </c>
      <c r="G500">
        <v>0</v>
      </c>
      <c r="H500" s="2">
        <v>0</v>
      </c>
      <c r="I500">
        <v>0</v>
      </c>
      <c r="J500">
        <v>129.68</v>
      </c>
      <c r="K500" s="1">
        <v>45775</v>
      </c>
      <c r="L500" t="s">
        <v>21</v>
      </c>
      <c r="M500" t="s">
        <v>18</v>
      </c>
      <c r="N500">
        <f>salesitems[[#This Row],[quantity]]*salesitems[[#This Row],[unit_price]]</f>
        <v>129.68</v>
      </c>
      <c r="O500" t="str">
        <f>_xlfn.XLOOKUP(salesitems[[#This Row],[product_id]],products[product_id],products[product_name])</f>
        <v>Modern Wrap Trousers</v>
      </c>
      <c r="P500" t="str">
        <f>_xlfn.XLOOKUP(salesitems[[#This Row],[product_id]],fashion_store_products!A:A,fashion_store_products!C:C)</f>
        <v>Pants</v>
      </c>
    </row>
    <row r="501" spans="1:16" x14ac:dyDescent="0.45">
      <c r="A501">
        <v>2234</v>
      </c>
      <c r="B501">
        <v>969</v>
      </c>
      <c r="C501">
        <v>260</v>
      </c>
      <c r="D501">
        <v>2</v>
      </c>
      <c r="E501">
        <v>64.28</v>
      </c>
      <c r="F501">
        <v>64.28</v>
      </c>
      <c r="G501">
        <v>0</v>
      </c>
      <c r="H501" s="2">
        <v>0</v>
      </c>
      <c r="I501">
        <v>0</v>
      </c>
      <c r="J501">
        <v>128.56</v>
      </c>
      <c r="K501" s="1">
        <v>45799</v>
      </c>
      <c r="L501" t="s">
        <v>21</v>
      </c>
      <c r="M501" t="s">
        <v>18</v>
      </c>
      <c r="N501">
        <f>salesitems[[#This Row],[quantity]]*salesitems[[#This Row],[unit_price]]</f>
        <v>128.56</v>
      </c>
      <c r="O501" t="str">
        <f>_xlfn.XLOOKUP(salesitems[[#This Row],[product_id]],products[product_id],products[product_name])</f>
        <v>Relaxed Silk Dress</v>
      </c>
      <c r="P501" t="str">
        <f>_xlfn.XLOOKUP(salesitems[[#This Row],[product_id]],fashion_store_products!A:A,fashion_store_products!C:C)</f>
        <v>Dresses</v>
      </c>
    </row>
    <row r="502" spans="1:16" x14ac:dyDescent="0.45">
      <c r="A502">
        <v>880</v>
      </c>
      <c r="B502">
        <v>53</v>
      </c>
      <c r="C502">
        <v>194</v>
      </c>
      <c r="D502">
        <v>2</v>
      </c>
      <c r="E502">
        <v>64.11</v>
      </c>
      <c r="F502">
        <v>64.11</v>
      </c>
      <c r="G502">
        <v>0</v>
      </c>
      <c r="H502" s="2">
        <v>0</v>
      </c>
      <c r="I502">
        <v>0</v>
      </c>
      <c r="J502">
        <v>128.22</v>
      </c>
      <c r="K502" s="1">
        <v>45761</v>
      </c>
      <c r="L502" t="s">
        <v>21</v>
      </c>
      <c r="M502" t="s">
        <v>18</v>
      </c>
      <c r="N502">
        <f>salesitems[[#This Row],[quantity]]*salesitems[[#This Row],[unit_price]]</f>
        <v>128.22</v>
      </c>
      <c r="O502" t="str">
        <f>_xlfn.XLOOKUP(salesitems[[#This Row],[product_id]],products[product_id],products[product_name])</f>
        <v>Vintage Sleeveless Set</v>
      </c>
      <c r="P502" t="str">
        <f>_xlfn.XLOOKUP(salesitems[[#This Row],[product_id]],fashion_store_products!A:A,fashion_store_products!C:C)</f>
        <v>Sleepwear</v>
      </c>
    </row>
    <row r="503" spans="1:16" x14ac:dyDescent="0.45">
      <c r="A503">
        <v>1188</v>
      </c>
      <c r="B503">
        <v>220</v>
      </c>
      <c r="C503">
        <v>469</v>
      </c>
      <c r="D503">
        <v>2</v>
      </c>
      <c r="E503">
        <v>64.08</v>
      </c>
      <c r="F503">
        <v>64.08</v>
      </c>
      <c r="G503">
        <v>0</v>
      </c>
      <c r="H503" s="2">
        <v>0</v>
      </c>
      <c r="I503">
        <v>0</v>
      </c>
      <c r="J503">
        <v>128.16</v>
      </c>
      <c r="K503" s="1">
        <v>45765</v>
      </c>
      <c r="L503" t="s">
        <v>21</v>
      </c>
      <c r="M503" t="s">
        <v>18</v>
      </c>
      <c r="N503">
        <f>salesitems[[#This Row],[quantity]]*salesitems[[#This Row],[unit_price]]</f>
        <v>128.16</v>
      </c>
      <c r="O503" t="str">
        <f>_xlfn.XLOOKUP(salesitems[[#This Row],[product_id]],products[product_id],products[product_name])</f>
        <v>Dresses Drop 1</v>
      </c>
      <c r="P503" t="str">
        <f>_xlfn.XLOOKUP(salesitems[[#This Row],[product_id]],fashion_store_products!A:A,fashion_store_products!C:C)</f>
        <v>Dresses</v>
      </c>
    </row>
    <row r="504" spans="1:16" x14ac:dyDescent="0.45">
      <c r="A504">
        <v>3239</v>
      </c>
      <c r="B504">
        <v>627</v>
      </c>
      <c r="C504">
        <v>469</v>
      </c>
      <c r="D504">
        <v>2</v>
      </c>
      <c r="E504">
        <v>64.08</v>
      </c>
      <c r="F504">
        <v>64.08</v>
      </c>
      <c r="G504">
        <v>0</v>
      </c>
      <c r="H504" s="2">
        <v>0</v>
      </c>
      <c r="I504">
        <v>0</v>
      </c>
      <c r="J504">
        <v>128.16</v>
      </c>
      <c r="K504" s="1">
        <v>45800</v>
      </c>
      <c r="L504" t="s">
        <v>15</v>
      </c>
      <c r="M504" t="s">
        <v>15</v>
      </c>
      <c r="N504">
        <f>salesitems[[#This Row],[quantity]]*salesitems[[#This Row],[unit_price]]</f>
        <v>128.16</v>
      </c>
      <c r="O504" t="str">
        <f>_xlfn.XLOOKUP(salesitems[[#This Row],[product_id]],products[product_id],products[product_name])</f>
        <v>Dresses Drop 1</v>
      </c>
      <c r="P504" t="str">
        <f>_xlfn.XLOOKUP(salesitems[[#This Row],[product_id]],fashion_store_products!A:A,fashion_store_products!C:C)</f>
        <v>Dresses</v>
      </c>
    </row>
    <row r="505" spans="1:16" x14ac:dyDescent="0.45">
      <c r="A505">
        <v>1402</v>
      </c>
      <c r="B505">
        <v>1097</v>
      </c>
      <c r="C505">
        <v>371</v>
      </c>
      <c r="D505">
        <v>2</v>
      </c>
      <c r="E505">
        <v>63.82</v>
      </c>
      <c r="F505">
        <v>63.82</v>
      </c>
      <c r="G505">
        <v>0</v>
      </c>
      <c r="H505" s="2">
        <v>0</v>
      </c>
      <c r="I505">
        <v>0</v>
      </c>
      <c r="J505">
        <v>127.64</v>
      </c>
      <c r="K505" s="1">
        <v>45823</v>
      </c>
      <c r="L505" t="s">
        <v>15</v>
      </c>
      <c r="M505" t="s">
        <v>15</v>
      </c>
      <c r="N505">
        <f>salesitems[[#This Row],[quantity]]*salesitems[[#This Row],[unit_price]]</f>
        <v>127.64</v>
      </c>
      <c r="O505" t="str">
        <f>_xlfn.XLOOKUP(salesitems[[#This Row],[product_id]],products[product_id],products[product_name])</f>
        <v>Elegant Cotton Tee</v>
      </c>
      <c r="P505" t="str">
        <f>_xlfn.XLOOKUP(salesitems[[#This Row],[product_id]],fashion_store_products!A:A,fashion_store_products!C:C)</f>
        <v>T-Shirts</v>
      </c>
    </row>
    <row r="506" spans="1:16" x14ac:dyDescent="0.45">
      <c r="A506">
        <v>468</v>
      </c>
      <c r="B506">
        <v>963</v>
      </c>
      <c r="C506">
        <v>372</v>
      </c>
      <c r="D506">
        <v>2</v>
      </c>
      <c r="E506">
        <v>63.79</v>
      </c>
      <c r="F506">
        <v>63.79</v>
      </c>
      <c r="G506">
        <v>0</v>
      </c>
      <c r="H506" s="2">
        <v>0</v>
      </c>
      <c r="I506">
        <v>0</v>
      </c>
      <c r="J506">
        <v>127.58</v>
      </c>
      <c r="K506" s="1">
        <v>45753</v>
      </c>
      <c r="L506" t="s">
        <v>21</v>
      </c>
      <c r="M506" t="s">
        <v>18</v>
      </c>
      <c r="N506">
        <f>salesitems[[#This Row],[quantity]]*salesitems[[#This Row],[unit_price]]</f>
        <v>127.58</v>
      </c>
      <c r="O506" t="str">
        <f>_xlfn.XLOOKUP(salesitems[[#This Row],[product_id]],products[product_id],products[product_name])</f>
        <v>Essential Linen Trousers</v>
      </c>
      <c r="P506" t="str">
        <f>_xlfn.XLOOKUP(salesitems[[#This Row],[product_id]],fashion_store_products!A:A,fashion_store_products!C:C)</f>
        <v>Pants</v>
      </c>
    </row>
    <row r="507" spans="1:16" x14ac:dyDescent="0.45">
      <c r="A507">
        <v>1035</v>
      </c>
      <c r="B507">
        <v>1117</v>
      </c>
      <c r="C507">
        <v>385</v>
      </c>
      <c r="D507">
        <v>2</v>
      </c>
      <c r="E507">
        <v>63.23</v>
      </c>
      <c r="F507">
        <v>63.23</v>
      </c>
      <c r="G507">
        <v>0</v>
      </c>
      <c r="H507" s="2">
        <v>0</v>
      </c>
      <c r="I507">
        <v>0</v>
      </c>
      <c r="J507">
        <v>126.46</v>
      </c>
      <c r="K507" s="1">
        <v>45823</v>
      </c>
      <c r="L507" t="s">
        <v>21</v>
      </c>
      <c r="M507" t="s">
        <v>18</v>
      </c>
      <c r="N507">
        <f>salesitems[[#This Row],[quantity]]*salesitems[[#This Row],[unit_price]]</f>
        <v>126.46</v>
      </c>
      <c r="O507" t="str">
        <f>_xlfn.XLOOKUP(salesitems[[#This Row],[product_id]],products[product_id],products[product_name])</f>
        <v>Essential Satin Trousers</v>
      </c>
      <c r="P507" t="str">
        <f>_xlfn.XLOOKUP(salesitems[[#This Row],[product_id]],fashion_store_products!A:A,fashion_store_products!C:C)</f>
        <v>Pants</v>
      </c>
    </row>
    <row r="508" spans="1:16" x14ac:dyDescent="0.45">
      <c r="A508">
        <v>1041</v>
      </c>
      <c r="B508">
        <v>977</v>
      </c>
      <c r="C508">
        <v>206</v>
      </c>
      <c r="D508">
        <v>2</v>
      </c>
      <c r="E508">
        <v>63.03</v>
      </c>
      <c r="F508">
        <v>63.03</v>
      </c>
      <c r="G508">
        <v>0</v>
      </c>
      <c r="H508" s="2">
        <v>0</v>
      </c>
      <c r="I508">
        <v>0</v>
      </c>
      <c r="J508">
        <v>126.06</v>
      </c>
      <c r="K508" s="1">
        <v>45769</v>
      </c>
      <c r="L508" t="s">
        <v>15</v>
      </c>
      <c r="M508" t="s">
        <v>15</v>
      </c>
      <c r="N508">
        <f>salesitems[[#This Row],[quantity]]*salesitems[[#This Row],[unit_price]]</f>
        <v>126.06</v>
      </c>
      <c r="O508" t="str">
        <f>_xlfn.XLOOKUP(salesitems[[#This Row],[product_id]],products[product_id],products[product_name])</f>
        <v>Vintage Silk Trousers</v>
      </c>
      <c r="P508" t="str">
        <f>_xlfn.XLOOKUP(salesitems[[#This Row],[product_id]],fashion_store_products!A:A,fashion_store_products!C:C)</f>
        <v>Pants</v>
      </c>
    </row>
    <row r="509" spans="1:16" x14ac:dyDescent="0.45">
      <c r="A509">
        <v>1562</v>
      </c>
      <c r="B509">
        <v>1113</v>
      </c>
      <c r="C509">
        <v>206</v>
      </c>
      <c r="D509">
        <v>2</v>
      </c>
      <c r="E509">
        <v>63.03</v>
      </c>
      <c r="F509">
        <v>63.03</v>
      </c>
      <c r="G509">
        <v>0</v>
      </c>
      <c r="H509" s="2">
        <v>0</v>
      </c>
      <c r="I509">
        <v>0</v>
      </c>
      <c r="J509">
        <v>126.06</v>
      </c>
      <c r="K509" s="1">
        <v>45766</v>
      </c>
      <c r="L509" t="s">
        <v>15</v>
      </c>
      <c r="M509" t="s">
        <v>15</v>
      </c>
      <c r="N509">
        <f>salesitems[[#This Row],[quantity]]*salesitems[[#This Row],[unit_price]]</f>
        <v>126.06</v>
      </c>
      <c r="O509" t="str">
        <f>_xlfn.XLOOKUP(salesitems[[#This Row],[product_id]],products[product_id],products[product_name])</f>
        <v>Vintage Silk Trousers</v>
      </c>
      <c r="P509" t="str">
        <f>_xlfn.XLOOKUP(salesitems[[#This Row],[product_id]],fashion_store_products!A:A,fashion_store_products!C:C)</f>
        <v>Pants</v>
      </c>
    </row>
    <row r="510" spans="1:16" x14ac:dyDescent="0.45">
      <c r="A510">
        <v>2849</v>
      </c>
      <c r="B510">
        <v>710</v>
      </c>
      <c r="C510">
        <v>206</v>
      </c>
      <c r="D510">
        <v>2</v>
      </c>
      <c r="E510">
        <v>63.03</v>
      </c>
      <c r="F510">
        <v>63.03</v>
      </c>
      <c r="G510">
        <v>0</v>
      </c>
      <c r="H510" s="2">
        <v>0</v>
      </c>
      <c r="I510">
        <v>0</v>
      </c>
      <c r="J510">
        <v>126.06</v>
      </c>
      <c r="K510" s="1">
        <v>45825</v>
      </c>
      <c r="L510" t="s">
        <v>21</v>
      </c>
      <c r="M510" t="s">
        <v>18</v>
      </c>
      <c r="N510">
        <f>salesitems[[#This Row],[quantity]]*salesitems[[#This Row],[unit_price]]</f>
        <v>126.06</v>
      </c>
      <c r="O510" t="str">
        <f>_xlfn.XLOOKUP(salesitems[[#This Row],[product_id]],products[product_id],products[product_name])</f>
        <v>Vintage Silk Trousers</v>
      </c>
      <c r="P510" t="str">
        <f>_xlfn.XLOOKUP(salesitems[[#This Row],[product_id]],fashion_store_products!A:A,fashion_store_products!C:C)</f>
        <v>Pants</v>
      </c>
    </row>
    <row r="511" spans="1:16" x14ac:dyDescent="0.45">
      <c r="A511">
        <v>3067</v>
      </c>
      <c r="B511">
        <v>848</v>
      </c>
      <c r="C511">
        <v>56</v>
      </c>
      <c r="D511">
        <v>2</v>
      </c>
      <c r="E511">
        <v>62.92</v>
      </c>
      <c r="F511">
        <v>62.92</v>
      </c>
      <c r="G511">
        <v>0</v>
      </c>
      <c r="H511" s="2">
        <v>0</v>
      </c>
      <c r="I511">
        <v>0</v>
      </c>
      <c r="J511">
        <v>125.84</v>
      </c>
      <c r="K511" s="1">
        <v>45814</v>
      </c>
      <c r="L511" t="s">
        <v>15</v>
      </c>
      <c r="M511" t="s">
        <v>15</v>
      </c>
      <c r="N511">
        <f>salesitems[[#This Row],[quantity]]*salesitems[[#This Row],[unit_price]]</f>
        <v>125.84</v>
      </c>
      <c r="O511" t="str">
        <f>_xlfn.XLOOKUP(salesitems[[#This Row],[product_id]],products[product_id],products[product_name])</f>
        <v>Modern Wrap Shoes</v>
      </c>
      <c r="P511" t="str">
        <f>_xlfn.XLOOKUP(salesitems[[#This Row],[product_id]],fashion_store_products!A:A,fashion_store_products!C:C)</f>
        <v>Shoes</v>
      </c>
    </row>
    <row r="512" spans="1:16" x14ac:dyDescent="0.45">
      <c r="A512">
        <v>1772</v>
      </c>
      <c r="B512">
        <v>237</v>
      </c>
      <c r="C512">
        <v>38</v>
      </c>
      <c r="D512">
        <v>2</v>
      </c>
      <c r="E512">
        <v>62.8</v>
      </c>
      <c r="F512">
        <v>62.8</v>
      </c>
      <c r="G512">
        <v>0</v>
      </c>
      <c r="H512" s="2">
        <v>0</v>
      </c>
      <c r="I512">
        <v>0</v>
      </c>
      <c r="J512">
        <v>125.6</v>
      </c>
      <c r="K512" s="1">
        <v>45793</v>
      </c>
      <c r="L512" t="s">
        <v>21</v>
      </c>
      <c r="M512" t="s">
        <v>18</v>
      </c>
      <c r="N512">
        <f>salesitems[[#This Row],[quantity]]*salesitems[[#This Row],[unit_price]]</f>
        <v>125.6</v>
      </c>
      <c r="O512" t="str">
        <f>_xlfn.XLOOKUP(salesitems[[#This Row],[product_id]],products[product_id],products[product_name])</f>
        <v>Soft Crew Tee</v>
      </c>
      <c r="P512" t="str">
        <f>_xlfn.XLOOKUP(salesitems[[#This Row],[product_id]],fashion_store_products!A:A,fashion_store_products!C:C)</f>
        <v>T-Shirts</v>
      </c>
    </row>
    <row r="513" spans="1:16" x14ac:dyDescent="0.45">
      <c r="A513">
        <v>1223</v>
      </c>
      <c r="B513">
        <v>98</v>
      </c>
      <c r="C513">
        <v>192</v>
      </c>
      <c r="D513">
        <v>2</v>
      </c>
      <c r="E513">
        <v>62.48</v>
      </c>
      <c r="F513">
        <v>62.48</v>
      </c>
      <c r="G513">
        <v>0</v>
      </c>
      <c r="H513" s="2">
        <v>0</v>
      </c>
      <c r="I513">
        <v>0</v>
      </c>
      <c r="J513">
        <v>124.96</v>
      </c>
      <c r="K513" s="1">
        <v>45797</v>
      </c>
      <c r="L513" t="s">
        <v>21</v>
      </c>
      <c r="M513" t="s">
        <v>18</v>
      </c>
      <c r="N513">
        <f>salesitems[[#This Row],[quantity]]*salesitems[[#This Row],[unit_price]]</f>
        <v>124.96</v>
      </c>
      <c r="O513" t="str">
        <f>_xlfn.XLOOKUP(salesitems[[#This Row],[product_id]],products[product_id],products[product_name])</f>
        <v>Polished Silk Dress</v>
      </c>
      <c r="P513" t="str">
        <f>_xlfn.XLOOKUP(salesitems[[#This Row],[product_id]],fashion_store_products!A:A,fashion_store_products!C:C)</f>
        <v>Dresses</v>
      </c>
    </row>
    <row r="514" spans="1:16" x14ac:dyDescent="0.45">
      <c r="A514">
        <v>377</v>
      </c>
      <c r="B514">
        <v>1124</v>
      </c>
      <c r="C514">
        <v>378</v>
      </c>
      <c r="D514">
        <v>2</v>
      </c>
      <c r="E514">
        <v>62.39</v>
      </c>
      <c r="F514">
        <v>62.39</v>
      </c>
      <c r="G514">
        <v>0</v>
      </c>
      <c r="H514" s="2">
        <v>0</v>
      </c>
      <c r="I514">
        <v>0</v>
      </c>
      <c r="J514">
        <v>124.78</v>
      </c>
      <c r="K514" s="1">
        <v>45776</v>
      </c>
      <c r="L514" t="s">
        <v>21</v>
      </c>
      <c r="M514" t="s">
        <v>18</v>
      </c>
      <c r="N514">
        <f>salesitems[[#This Row],[quantity]]*salesitems[[#This Row],[unit_price]]</f>
        <v>124.78</v>
      </c>
      <c r="O514" t="str">
        <f>_xlfn.XLOOKUP(salesitems[[#This Row],[product_id]],products[product_id],products[product_name])</f>
        <v>Essential Ribbed Trousers</v>
      </c>
      <c r="P514" t="str">
        <f>_xlfn.XLOOKUP(salesitems[[#This Row],[product_id]],fashion_store_products!A:A,fashion_store_products!C:C)</f>
        <v>Pants</v>
      </c>
    </row>
    <row r="515" spans="1:16" x14ac:dyDescent="0.45">
      <c r="A515">
        <v>2376</v>
      </c>
      <c r="B515">
        <v>991</v>
      </c>
      <c r="C515">
        <v>323</v>
      </c>
      <c r="D515">
        <v>2</v>
      </c>
      <c r="E515">
        <v>62.34</v>
      </c>
      <c r="F515">
        <v>62.34</v>
      </c>
      <c r="G515">
        <v>0</v>
      </c>
      <c r="H515" s="2">
        <v>0</v>
      </c>
      <c r="I515">
        <v>0</v>
      </c>
      <c r="J515">
        <v>124.68</v>
      </c>
      <c r="K515" s="1">
        <v>45767</v>
      </c>
      <c r="L515" t="s">
        <v>15</v>
      </c>
      <c r="M515" t="s">
        <v>15</v>
      </c>
      <c r="N515">
        <f>salesitems[[#This Row],[quantity]]*salesitems[[#This Row],[unit_price]]</f>
        <v>124.68</v>
      </c>
      <c r="O515" t="str">
        <f>_xlfn.XLOOKUP(salesitems[[#This Row],[product_id]],products[product_id],products[product_name])</f>
        <v>Tailored Wrap Tee</v>
      </c>
      <c r="P515" t="str">
        <f>_xlfn.XLOOKUP(salesitems[[#This Row],[product_id]],fashion_store_products!A:A,fashion_store_products!C:C)</f>
        <v>T-Shirts</v>
      </c>
    </row>
    <row r="516" spans="1:16" x14ac:dyDescent="0.45">
      <c r="A516">
        <v>473</v>
      </c>
      <c r="B516">
        <v>580</v>
      </c>
      <c r="C516">
        <v>115</v>
      </c>
      <c r="D516">
        <v>2</v>
      </c>
      <c r="E516">
        <v>62.27</v>
      </c>
      <c r="F516">
        <v>62.27</v>
      </c>
      <c r="G516">
        <v>0</v>
      </c>
      <c r="H516" s="2">
        <v>0</v>
      </c>
      <c r="I516">
        <v>0</v>
      </c>
      <c r="J516">
        <v>124.54</v>
      </c>
      <c r="K516" s="1">
        <v>45808</v>
      </c>
      <c r="L516" t="s">
        <v>15</v>
      </c>
      <c r="M516" t="s">
        <v>15</v>
      </c>
      <c r="N516">
        <f>salesitems[[#This Row],[quantity]]*salesitems[[#This Row],[unit_price]]</f>
        <v>124.54</v>
      </c>
      <c r="O516" t="str">
        <f>_xlfn.XLOOKUP(salesitems[[#This Row],[product_id]],products[product_id],products[product_name])</f>
        <v>Modern High-Waist Set</v>
      </c>
      <c r="P516" t="str">
        <f>_xlfn.XLOOKUP(salesitems[[#This Row],[product_id]],fashion_store_products!A:A,fashion_store_products!C:C)</f>
        <v>Sleepwear</v>
      </c>
    </row>
    <row r="517" spans="1:16" x14ac:dyDescent="0.45">
      <c r="A517">
        <v>737</v>
      </c>
      <c r="B517">
        <v>344</v>
      </c>
      <c r="C517">
        <v>115</v>
      </c>
      <c r="D517">
        <v>2</v>
      </c>
      <c r="E517">
        <v>62.27</v>
      </c>
      <c r="F517">
        <v>62.27</v>
      </c>
      <c r="G517">
        <v>0</v>
      </c>
      <c r="H517" s="2">
        <v>0</v>
      </c>
      <c r="I517">
        <v>0</v>
      </c>
      <c r="J517">
        <v>124.54</v>
      </c>
      <c r="K517" s="1">
        <v>45822</v>
      </c>
      <c r="L517" t="s">
        <v>15</v>
      </c>
      <c r="M517" t="s">
        <v>15</v>
      </c>
      <c r="N517">
        <f>salesitems[[#This Row],[quantity]]*salesitems[[#This Row],[unit_price]]</f>
        <v>124.54</v>
      </c>
      <c r="O517" t="str">
        <f>_xlfn.XLOOKUP(salesitems[[#This Row],[product_id]],products[product_id],products[product_name])</f>
        <v>Modern High-Waist Set</v>
      </c>
      <c r="P517" t="str">
        <f>_xlfn.XLOOKUP(salesitems[[#This Row],[product_id]],fashion_store_products!A:A,fashion_store_products!C:C)</f>
        <v>Sleepwear</v>
      </c>
    </row>
    <row r="518" spans="1:16" x14ac:dyDescent="0.45">
      <c r="A518">
        <v>978</v>
      </c>
      <c r="B518">
        <v>369</v>
      </c>
      <c r="C518">
        <v>437</v>
      </c>
      <c r="D518">
        <v>2</v>
      </c>
      <c r="E518">
        <v>62.17</v>
      </c>
      <c r="F518">
        <v>62.17</v>
      </c>
      <c r="G518">
        <v>0</v>
      </c>
      <c r="H518" s="2">
        <v>0</v>
      </c>
      <c r="I518">
        <v>0</v>
      </c>
      <c r="J518">
        <v>124.34</v>
      </c>
      <c r="K518" s="1">
        <v>45776</v>
      </c>
      <c r="L518" t="s">
        <v>21</v>
      </c>
      <c r="M518" t="s">
        <v>18</v>
      </c>
      <c r="N518">
        <f>salesitems[[#This Row],[quantity]]*salesitems[[#This Row],[unit_price]]</f>
        <v>124.34</v>
      </c>
      <c r="O518" t="str">
        <f>_xlfn.XLOOKUP(salesitems[[#This Row],[product_id]],products[product_id],products[product_name])</f>
        <v>Elegant Boxy Dress</v>
      </c>
      <c r="P518" t="str">
        <f>_xlfn.XLOOKUP(salesitems[[#This Row],[product_id]],fashion_store_products!A:A,fashion_store_products!C:C)</f>
        <v>Dresses</v>
      </c>
    </row>
    <row r="519" spans="1:16" x14ac:dyDescent="0.45">
      <c r="A519">
        <v>979</v>
      </c>
      <c r="B519">
        <v>530</v>
      </c>
      <c r="C519">
        <v>152</v>
      </c>
      <c r="D519">
        <v>2</v>
      </c>
      <c r="E519">
        <v>61.7</v>
      </c>
      <c r="F519">
        <v>61.7</v>
      </c>
      <c r="G519">
        <v>0</v>
      </c>
      <c r="H519" s="2">
        <v>0</v>
      </c>
      <c r="I519">
        <v>0</v>
      </c>
      <c r="J519">
        <v>123.4</v>
      </c>
      <c r="K519" s="1">
        <v>45766</v>
      </c>
      <c r="L519" t="s">
        <v>15</v>
      </c>
      <c r="M519" t="s">
        <v>15</v>
      </c>
      <c r="N519">
        <f>salesitems[[#This Row],[quantity]]*salesitems[[#This Row],[unit_price]]</f>
        <v>123.4</v>
      </c>
      <c r="O519" t="str">
        <f>_xlfn.XLOOKUP(salesitems[[#This Row],[product_id]],products[product_id],products[product_name])</f>
        <v>Classic Silk Set</v>
      </c>
      <c r="P519" t="str">
        <f>_xlfn.XLOOKUP(salesitems[[#This Row],[product_id]],fashion_store_products!A:A,fashion_store_products!C:C)</f>
        <v>Sleepwear</v>
      </c>
    </row>
    <row r="520" spans="1:16" x14ac:dyDescent="0.45">
      <c r="A520">
        <v>1998</v>
      </c>
      <c r="B520">
        <v>637</v>
      </c>
      <c r="C520">
        <v>152</v>
      </c>
      <c r="D520">
        <v>2</v>
      </c>
      <c r="E520">
        <v>61.7</v>
      </c>
      <c r="F520">
        <v>61.7</v>
      </c>
      <c r="G520">
        <v>0</v>
      </c>
      <c r="H520" s="2">
        <v>0</v>
      </c>
      <c r="I520">
        <v>0</v>
      </c>
      <c r="J520">
        <v>123.4</v>
      </c>
      <c r="K520" s="1">
        <v>45765</v>
      </c>
      <c r="L520" t="s">
        <v>15</v>
      </c>
      <c r="M520" t="s">
        <v>15</v>
      </c>
      <c r="N520">
        <f>salesitems[[#This Row],[quantity]]*salesitems[[#This Row],[unit_price]]</f>
        <v>123.4</v>
      </c>
      <c r="O520" t="str">
        <f>_xlfn.XLOOKUP(salesitems[[#This Row],[product_id]],products[product_id],products[product_name])</f>
        <v>Classic Silk Set</v>
      </c>
      <c r="P520" t="str">
        <f>_xlfn.XLOOKUP(salesitems[[#This Row],[product_id]],fashion_store_products!A:A,fashion_store_products!C:C)</f>
        <v>Sleepwear</v>
      </c>
    </row>
    <row r="521" spans="1:16" x14ac:dyDescent="0.45">
      <c r="A521">
        <v>2302</v>
      </c>
      <c r="B521">
        <v>1295</v>
      </c>
      <c r="C521">
        <v>266</v>
      </c>
      <c r="D521">
        <v>2</v>
      </c>
      <c r="E521">
        <v>61.67</v>
      </c>
      <c r="F521">
        <v>61.67</v>
      </c>
      <c r="G521">
        <v>0</v>
      </c>
      <c r="H521" s="2">
        <v>0</v>
      </c>
      <c r="I521">
        <v>0</v>
      </c>
      <c r="J521">
        <v>123.34</v>
      </c>
      <c r="K521" s="1">
        <v>45794</v>
      </c>
      <c r="L521" t="s">
        <v>21</v>
      </c>
      <c r="M521" t="s">
        <v>18</v>
      </c>
      <c r="N521">
        <f>salesitems[[#This Row],[quantity]]*salesitems[[#This Row],[unit_price]]</f>
        <v>123.34</v>
      </c>
      <c r="O521" t="str">
        <f>_xlfn.XLOOKUP(salesitems[[#This Row],[product_id]],products[product_id],products[product_name])</f>
        <v>Polished Crew Trousers</v>
      </c>
      <c r="P521" t="str">
        <f>_xlfn.XLOOKUP(salesitems[[#This Row],[product_id]],fashion_store_products!A:A,fashion_store_products!C:C)</f>
        <v>Pants</v>
      </c>
    </row>
    <row r="522" spans="1:16" x14ac:dyDescent="0.45">
      <c r="A522">
        <v>776</v>
      </c>
      <c r="B522">
        <v>781</v>
      </c>
      <c r="C522">
        <v>399</v>
      </c>
      <c r="D522">
        <v>2</v>
      </c>
      <c r="E522">
        <v>61.6</v>
      </c>
      <c r="F522">
        <v>61.6</v>
      </c>
      <c r="G522">
        <v>0</v>
      </c>
      <c r="H522" s="2">
        <v>0</v>
      </c>
      <c r="I522">
        <v>0</v>
      </c>
      <c r="J522">
        <v>123.2</v>
      </c>
      <c r="K522" s="1">
        <v>45770</v>
      </c>
      <c r="L522" t="s">
        <v>15</v>
      </c>
      <c r="M522" t="s">
        <v>15</v>
      </c>
      <c r="N522">
        <f>salesitems[[#This Row],[quantity]]*salesitems[[#This Row],[unit_price]]</f>
        <v>123.2</v>
      </c>
      <c r="O522" t="str">
        <f>_xlfn.XLOOKUP(salesitems[[#This Row],[product_id]],products[product_id],products[product_name])</f>
        <v>Elegant Linen Shoes</v>
      </c>
      <c r="P522" t="str">
        <f>_xlfn.XLOOKUP(salesitems[[#This Row],[product_id]],fashion_store_products!A:A,fashion_store_products!C:C)</f>
        <v>Shoes</v>
      </c>
    </row>
    <row r="523" spans="1:16" x14ac:dyDescent="0.45">
      <c r="A523">
        <v>2066</v>
      </c>
      <c r="B523">
        <v>1088</v>
      </c>
      <c r="C523">
        <v>399</v>
      </c>
      <c r="D523">
        <v>2</v>
      </c>
      <c r="E523">
        <v>61.6</v>
      </c>
      <c r="F523">
        <v>61.6</v>
      </c>
      <c r="G523">
        <v>0</v>
      </c>
      <c r="H523" s="2">
        <v>0</v>
      </c>
      <c r="I523">
        <v>0</v>
      </c>
      <c r="J523">
        <v>123.2</v>
      </c>
      <c r="K523" s="1">
        <v>45760</v>
      </c>
      <c r="L523" t="s">
        <v>15</v>
      </c>
      <c r="M523" t="s">
        <v>15</v>
      </c>
      <c r="N523">
        <f>salesitems[[#This Row],[quantity]]*salesitems[[#This Row],[unit_price]]</f>
        <v>123.2</v>
      </c>
      <c r="O523" t="str">
        <f>_xlfn.XLOOKUP(salesitems[[#This Row],[product_id]],products[product_id],products[product_name])</f>
        <v>Elegant Linen Shoes</v>
      </c>
      <c r="P523" t="str">
        <f>_xlfn.XLOOKUP(salesitems[[#This Row],[product_id]],fashion_store_products!A:A,fashion_store_products!C:C)</f>
        <v>Shoes</v>
      </c>
    </row>
    <row r="524" spans="1:16" x14ac:dyDescent="0.45">
      <c r="A524">
        <v>338</v>
      </c>
      <c r="B524">
        <v>1078</v>
      </c>
      <c r="C524">
        <v>125</v>
      </c>
      <c r="D524">
        <v>2</v>
      </c>
      <c r="E524">
        <v>61.27</v>
      </c>
      <c r="F524">
        <v>61.27</v>
      </c>
      <c r="G524">
        <v>0</v>
      </c>
      <c r="H524" s="2">
        <v>0</v>
      </c>
      <c r="I524">
        <v>0</v>
      </c>
      <c r="J524">
        <v>122.54</v>
      </c>
      <c r="K524" s="1">
        <v>45824</v>
      </c>
      <c r="L524" t="s">
        <v>21</v>
      </c>
      <c r="M524" t="s">
        <v>18</v>
      </c>
      <c r="N524">
        <f>salesitems[[#This Row],[quantity]]*salesitems[[#This Row],[unit_price]]</f>
        <v>122.54</v>
      </c>
      <c r="O524" t="str">
        <f>_xlfn.XLOOKUP(salesitems[[#This Row],[product_id]],products[product_id],products[product_name])</f>
        <v>Classic Satin Shoes</v>
      </c>
      <c r="P524" t="str">
        <f>_xlfn.XLOOKUP(salesitems[[#This Row],[product_id]],fashion_store_products!A:A,fashion_store_products!C:C)</f>
        <v>Shoes</v>
      </c>
    </row>
    <row r="525" spans="1:16" x14ac:dyDescent="0.45">
      <c r="A525">
        <v>2758</v>
      </c>
      <c r="B525">
        <v>797</v>
      </c>
      <c r="C525">
        <v>125</v>
      </c>
      <c r="D525">
        <v>2</v>
      </c>
      <c r="E525">
        <v>61.27</v>
      </c>
      <c r="F525">
        <v>61.27</v>
      </c>
      <c r="G525">
        <v>0</v>
      </c>
      <c r="H525" s="2">
        <v>0</v>
      </c>
      <c r="I525">
        <v>0</v>
      </c>
      <c r="J525">
        <v>122.54</v>
      </c>
      <c r="K525" s="1">
        <v>45798</v>
      </c>
      <c r="L525" t="s">
        <v>21</v>
      </c>
      <c r="M525" t="s">
        <v>18</v>
      </c>
      <c r="N525">
        <f>salesitems[[#This Row],[quantity]]*salesitems[[#This Row],[unit_price]]</f>
        <v>122.54</v>
      </c>
      <c r="O525" t="str">
        <f>_xlfn.XLOOKUP(salesitems[[#This Row],[product_id]],products[product_id],products[product_name])</f>
        <v>Classic Satin Shoes</v>
      </c>
      <c r="P525" t="str">
        <f>_xlfn.XLOOKUP(salesitems[[#This Row],[product_id]],fashion_store_products!A:A,fashion_store_products!C:C)</f>
        <v>Shoes</v>
      </c>
    </row>
    <row r="526" spans="1:16" x14ac:dyDescent="0.45">
      <c r="A526">
        <v>3044</v>
      </c>
      <c r="B526">
        <v>767</v>
      </c>
      <c r="C526">
        <v>15</v>
      </c>
      <c r="D526">
        <v>2</v>
      </c>
      <c r="E526">
        <v>61.26</v>
      </c>
      <c r="F526">
        <v>61.26</v>
      </c>
      <c r="G526">
        <v>0</v>
      </c>
      <c r="H526" s="2">
        <v>0</v>
      </c>
      <c r="I526">
        <v>0</v>
      </c>
      <c r="J526">
        <v>122.52</v>
      </c>
      <c r="K526" s="1">
        <v>45766</v>
      </c>
      <c r="L526" t="s">
        <v>15</v>
      </c>
      <c r="M526" t="s">
        <v>15</v>
      </c>
      <c r="N526">
        <f>salesitems[[#This Row],[quantity]]*salesitems[[#This Row],[unit_price]]</f>
        <v>122.52</v>
      </c>
      <c r="O526" t="str">
        <f>_xlfn.XLOOKUP(salesitems[[#This Row],[product_id]],products[product_id],products[product_name])</f>
        <v>Soft Cotton Tee</v>
      </c>
      <c r="P526" t="str">
        <f>_xlfn.XLOOKUP(salesitems[[#This Row],[product_id]],fashion_store_products!A:A,fashion_store_products!C:C)</f>
        <v>T-Shirts</v>
      </c>
    </row>
    <row r="527" spans="1:16" x14ac:dyDescent="0.45">
      <c r="A527">
        <v>1299</v>
      </c>
      <c r="B527">
        <v>590</v>
      </c>
      <c r="C527">
        <v>352</v>
      </c>
      <c r="D527">
        <v>2</v>
      </c>
      <c r="E527">
        <v>61.12</v>
      </c>
      <c r="F527">
        <v>61.12</v>
      </c>
      <c r="G527">
        <v>0</v>
      </c>
      <c r="H527" s="2">
        <v>0</v>
      </c>
      <c r="I527">
        <v>0</v>
      </c>
      <c r="J527">
        <v>122.24</v>
      </c>
      <c r="K527" s="1">
        <v>45760</v>
      </c>
      <c r="L527" t="s">
        <v>21</v>
      </c>
      <c r="M527" t="s">
        <v>18</v>
      </c>
      <c r="N527">
        <f>salesitems[[#This Row],[quantity]]*salesitems[[#This Row],[unit_price]]</f>
        <v>122.24</v>
      </c>
      <c r="O527" t="str">
        <f>_xlfn.XLOOKUP(salesitems[[#This Row],[product_id]],products[product_id],products[product_name])</f>
        <v>Essential Sleeveless Set</v>
      </c>
      <c r="P527" t="str">
        <f>_xlfn.XLOOKUP(salesitems[[#This Row],[product_id]],fashion_store_products!A:A,fashion_store_products!C:C)</f>
        <v>Sleepwear</v>
      </c>
    </row>
    <row r="528" spans="1:16" x14ac:dyDescent="0.45">
      <c r="A528">
        <v>2225</v>
      </c>
      <c r="B528">
        <v>915</v>
      </c>
      <c r="C528">
        <v>352</v>
      </c>
      <c r="D528">
        <v>2</v>
      </c>
      <c r="E528">
        <v>61.12</v>
      </c>
      <c r="F528">
        <v>61.12</v>
      </c>
      <c r="G528">
        <v>0</v>
      </c>
      <c r="H528" s="2">
        <v>0</v>
      </c>
      <c r="I528">
        <v>0</v>
      </c>
      <c r="J528">
        <v>122.24</v>
      </c>
      <c r="K528" s="1">
        <v>45767</v>
      </c>
      <c r="L528" t="s">
        <v>21</v>
      </c>
      <c r="M528" t="s">
        <v>18</v>
      </c>
      <c r="N528">
        <f>salesitems[[#This Row],[quantity]]*salesitems[[#This Row],[unit_price]]</f>
        <v>122.24</v>
      </c>
      <c r="O528" t="str">
        <f>_xlfn.XLOOKUP(salesitems[[#This Row],[product_id]],products[product_id],products[product_name])</f>
        <v>Essential Sleeveless Set</v>
      </c>
      <c r="P528" t="str">
        <f>_xlfn.XLOOKUP(salesitems[[#This Row],[product_id]],fashion_store_products!A:A,fashion_store_products!C:C)</f>
        <v>Sleepwear</v>
      </c>
    </row>
    <row r="529" spans="1:16" x14ac:dyDescent="0.45">
      <c r="A529">
        <v>223</v>
      </c>
      <c r="B529">
        <v>113</v>
      </c>
      <c r="C529">
        <v>483</v>
      </c>
      <c r="D529">
        <v>2</v>
      </c>
      <c r="E529">
        <v>60.89</v>
      </c>
      <c r="F529">
        <v>60.89</v>
      </c>
      <c r="G529">
        <v>0</v>
      </c>
      <c r="H529" s="2">
        <v>0</v>
      </c>
      <c r="I529">
        <v>0</v>
      </c>
      <c r="J529">
        <v>121.78</v>
      </c>
      <c r="K529" s="1">
        <v>45802</v>
      </c>
      <c r="L529" t="s">
        <v>15</v>
      </c>
      <c r="M529" t="s">
        <v>15</v>
      </c>
      <c r="N529">
        <f>salesitems[[#This Row],[quantity]]*salesitems[[#This Row],[unit_price]]</f>
        <v>121.78</v>
      </c>
      <c r="O529" t="str">
        <f>_xlfn.XLOOKUP(salesitems[[#This Row],[product_id]],products[product_id],products[product_name])</f>
        <v>T-Shirts Drop 3</v>
      </c>
      <c r="P529" t="str">
        <f>_xlfn.XLOOKUP(salesitems[[#This Row],[product_id]],fashion_store_products!A:A,fashion_store_products!C:C)</f>
        <v>T-Shirts</v>
      </c>
    </row>
    <row r="530" spans="1:16" x14ac:dyDescent="0.45">
      <c r="A530">
        <v>3257</v>
      </c>
      <c r="B530">
        <v>1272</v>
      </c>
      <c r="C530">
        <v>305</v>
      </c>
      <c r="D530">
        <v>2</v>
      </c>
      <c r="E530">
        <v>60.79</v>
      </c>
      <c r="F530">
        <v>60.79</v>
      </c>
      <c r="G530">
        <v>0</v>
      </c>
      <c r="H530" s="2">
        <v>0</v>
      </c>
      <c r="I530">
        <v>0</v>
      </c>
      <c r="J530">
        <v>121.58</v>
      </c>
      <c r="K530" s="1">
        <v>45762</v>
      </c>
      <c r="L530" t="s">
        <v>15</v>
      </c>
      <c r="M530" t="s">
        <v>15</v>
      </c>
      <c r="N530">
        <f>salesitems[[#This Row],[quantity]]*salesitems[[#This Row],[unit_price]]</f>
        <v>121.58</v>
      </c>
      <c r="O530" t="str">
        <f>_xlfn.XLOOKUP(salesitems[[#This Row],[product_id]],products[product_id],products[product_name])</f>
        <v>Relaxed Wrap Trousers</v>
      </c>
      <c r="P530" t="str">
        <f>_xlfn.XLOOKUP(salesitems[[#This Row],[product_id]],fashion_store_products!A:A,fashion_store_products!C:C)</f>
        <v>Pants</v>
      </c>
    </row>
    <row r="531" spans="1:16" x14ac:dyDescent="0.45">
      <c r="A531">
        <v>2492</v>
      </c>
      <c r="B531">
        <v>880</v>
      </c>
      <c r="C531">
        <v>129</v>
      </c>
      <c r="D531">
        <v>2</v>
      </c>
      <c r="E531">
        <v>60.68</v>
      </c>
      <c r="F531">
        <v>60.68</v>
      </c>
      <c r="G531">
        <v>0</v>
      </c>
      <c r="H531" s="2">
        <v>0</v>
      </c>
      <c r="I531">
        <v>0</v>
      </c>
      <c r="J531">
        <v>121.36</v>
      </c>
      <c r="K531" s="1">
        <v>45766</v>
      </c>
      <c r="L531" t="s">
        <v>15</v>
      </c>
      <c r="M531" t="s">
        <v>15</v>
      </c>
      <c r="N531">
        <f>salesitems[[#This Row],[quantity]]*salesitems[[#This Row],[unit_price]]</f>
        <v>121.36</v>
      </c>
      <c r="O531" t="str">
        <f>_xlfn.XLOOKUP(salesitems[[#This Row],[product_id]],products[product_id],products[product_name])</f>
        <v>Classic Linen Trousers</v>
      </c>
      <c r="P531" t="str">
        <f>_xlfn.XLOOKUP(salesitems[[#This Row],[product_id]],fashion_store_products!A:A,fashion_store_products!C:C)</f>
        <v>Pants</v>
      </c>
    </row>
    <row r="532" spans="1:16" x14ac:dyDescent="0.45">
      <c r="A532">
        <v>1129</v>
      </c>
      <c r="B532">
        <v>354</v>
      </c>
      <c r="C532">
        <v>191</v>
      </c>
      <c r="D532">
        <v>2</v>
      </c>
      <c r="E532">
        <v>60.52</v>
      </c>
      <c r="F532">
        <v>60.52</v>
      </c>
      <c r="G532">
        <v>0</v>
      </c>
      <c r="H532" s="2">
        <v>0</v>
      </c>
      <c r="I532">
        <v>0</v>
      </c>
      <c r="J532">
        <v>121.04</v>
      </c>
      <c r="K532" s="1">
        <v>45751</v>
      </c>
      <c r="L532" t="s">
        <v>15</v>
      </c>
      <c r="M532" t="s">
        <v>15</v>
      </c>
      <c r="N532">
        <f>salesitems[[#This Row],[quantity]]*salesitems[[#This Row],[unit_price]]</f>
        <v>121.04</v>
      </c>
      <c r="O532" t="str">
        <f>_xlfn.XLOOKUP(salesitems[[#This Row],[product_id]],products[product_id],products[product_name])</f>
        <v>Polished Satin Dress</v>
      </c>
      <c r="P532" t="str">
        <f>_xlfn.XLOOKUP(salesitems[[#This Row],[product_id]],fashion_store_products!A:A,fashion_store_products!C:C)</f>
        <v>Dresses</v>
      </c>
    </row>
    <row r="533" spans="1:16" x14ac:dyDescent="0.45">
      <c r="A533">
        <v>2450</v>
      </c>
      <c r="B533">
        <v>529</v>
      </c>
      <c r="C533">
        <v>111</v>
      </c>
      <c r="D533">
        <v>2</v>
      </c>
      <c r="E533">
        <v>60.36</v>
      </c>
      <c r="F533">
        <v>60.36</v>
      </c>
      <c r="G533">
        <v>0</v>
      </c>
      <c r="H533" s="2">
        <v>0</v>
      </c>
      <c r="I533">
        <v>0</v>
      </c>
      <c r="J533">
        <v>120.72</v>
      </c>
      <c r="K533" s="1">
        <v>45761</v>
      </c>
      <c r="L533" t="s">
        <v>15</v>
      </c>
      <c r="M533" t="s">
        <v>15</v>
      </c>
      <c r="N533">
        <f>salesitems[[#This Row],[quantity]]*salesitems[[#This Row],[unit_price]]</f>
        <v>120.72</v>
      </c>
      <c r="O533" t="str">
        <f>_xlfn.XLOOKUP(salesitems[[#This Row],[product_id]],products[product_id],products[product_name])</f>
        <v>Modern Sleeveless Trousers</v>
      </c>
      <c r="P533" t="str">
        <f>_xlfn.XLOOKUP(salesitems[[#This Row],[product_id]],fashion_store_products!A:A,fashion_store_products!C:C)</f>
        <v>Pants</v>
      </c>
    </row>
    <row r="534" spans="1:16" x14ac:dyDescent="0.45">
      <c r="A534">
        <v>828</v>
      </c>
      <c r="B534">
        <v>202</v>
      </c>
      <c r="C534">
        <v>54</v>
      </c>
      <c r="D534">
        <v>2</v>
      </c>
      <c r="E534">
        <v>60.33</v>
      </c>
      <c r="F534">
        <v>60.33</v>
      </c>
      <c r="G534">
        <v>0</v>
      </c>
      <c r="H534" s="2">
        <v>0</v>
      </c>
      <c r="I534">
        <v>0</v>
      </c>
      <c r="J534">
        <v>120.66</v>
      </c>
      <c r="K534" s="1">
        <v>45805</v>
      </c>
      <c r="L534" t="s">
        <v>15</v>
      </c>
      <c r="M534" t="s">
        <v>15</v>
      </c>
      <c r="N534">
        <f>salesitems[[#This Row],[quantity]]*salesitems[[#This Row],[unit_price]]</f>
        <v>120.66</v>
      </c>
      <c r="O534" t="str">
        <f>_xlfn.XLOOKUP(salesitems[[#This Row],[product_id]],products[product_id],products[product_name])</f>
        <v>Modern Silk Dress</v>
      </c>
      <c r="P534" t="str">
        <f>_xlfn.XLOOKUP(salesitems[[#This Row],[product_id]],fashion_store_products!A:A,fashion_store_products!C:C)</f>
        <v>Dresses</v>
      </c>
    </row>
    <row r="535" spans="1:16" x14ac:dyDescent="0.45">
      <c r="A535">
        <v>2703</v>
      </c>
      <c r="B535">
        <v>13</v>
      </c>
      <c r="C535">
        <v>54</v>
      </c>
      <c r="D535">
        <v>2</v>
      </c>
      <c r="E535">
        <v>60.33</v>
      </c>
      <c r="F535">
        <v>60.33</v>
      </c>
      <c r="G535">
        <v>0</v>
      </c>
      <c r="H535" s="2">
        <v>0</v>
      </c>
      <c r="I535">
        <v>0</v>
      </c>
      <c r="J535">
        <v>120.66</v>
      </c>
      <c r="K535" s="1">
        <v>45763</v>
      </c>
      <c r="L535" t="s">
        <v>15</v>
      </c>
      <c r="M535" t="s">
        <v>15</v>
      </c>
      <c r="N535">
        <f>salesitems[[#This Row],[quantity]]*salesitems[[#This Row],[unit_price]]</f>
        <v>120.66</v>
      </c>
      <c r="O535" t="str">
        <f>_xlfn.XLOOKUP(salesitems[[#This Row],[product_id]],products[product_id],products[product_name])</f>
        <v>Modern Silk Dress</v>
      </c>
      <c r="P535" t="str">
        <f>_xlfn.XLOOKUP(salesitems[[#This Row],[product_id]],fashion_store_products!A:A,fashion_store_products!C:C)</f>
        <v>Dresses</v>
      </c>
    </row>
    <row r="536" spans="1:16" x14ac:dyDescent="0.45">
      <c r="A536">
        <v>1261</v>
      </c>
      <c r="B536">
        <v>238</v>
      </c>
      <c r="C536">
        <v>433</v>
      </c>
      <c r="D536">
        <v>2</v>
      </c>
      <c r="E536">
        <v>60.12</v>
      </c>
      <c r="F536">
        <v>60.12</v>
      </c>
      <c r="G536">
        <v>0</v>
      </c>
      <c r="H536" s="2">
        <v>0</v>
      </c>
      <c r="I536">
        <v>0</v>
      </c>
      <c r="J536">
        <v>120.24</v>
      </c>
      <c r="K536" s="1">
        <v>45796</v>
      </c>
      <c r="L536" t="s">
        <v>21</v>
      </c>
      <c r="M536" t="s">
        <v>18</v>
      </c>
      <c r="N536">
        <f>salesitems[[#This Row],[quantity]]*salesitems[[#This Row],[unit_price]]</f>
        <v>120.24</v>
      </c>
      <c r="O536" t="str">
        <f>_xlfn.XLOOKUP(salesitems[[#This Row],[product_id]],products[product_id],products[product_name])</f>
        <v>Essential Boxy Trousers</v>
      </c>
      <c r="P536" t="str">
        <f>_xlfn.XLOOKUP(salesitems[[#This Row],[product_id]],fashion_store_products!A:A,fashion_store_products!C:C)</f>
        <v>Pants</v>
      </c>
    </row>
    <row r="537" spans="1:16" x14ac:dyDescent="0.45">
      <c r="A537">
        <v>825</v>
      </c>
      <c r="B537">
        <v>513</v>
      </c>
      <c r="C537">
        <v>347</v>
      </c>
      <c r="D537">
        <v>2</v>
      </c>
      <c r="E537">
        <v>59.92</v>
      </c>
      <c r="F537">
        <v>59.92</v>
      </c>
      <c r="G537">
        <v>0</v>
      </c>
      <c r="H537" s="2">
        <v>0</v>
      </c>
      <c r="I537">
        <v>0</v>
      </c>
      <c r="J537">
        <v>119.84</v>
      </c>
      <c r="K537" s="1">
        <v>45822</v>
      </c>
      <c r="L537" t="s">
        <v>21</v>
      </c>
      <c r="M537" t="s">
        <v>18</v>
      </c>
      <c r="N537">
        <f>salesitems[[#This Row],[quantity]]*salesitems[[#This Row],[unit_price]]</f>
        <v>119.84</v>
      </c>
      <c r="O537" t="str">
        <f>_xlfn.XLOOKUP(salesitems[[#This Row],[product_id]],products[product_id],products[product_name])</f>
        <v>Tailored Sleeveless Tee</v>
      </c>
      <c r="P537" t="str">
        <f>_xlfn.XLOOKUP(salesitems[[#This Row],[product_id]],fashion_store_products!A:A,fashion_store_products!C:C)</f>
        <v>T-Shirts</v>
      </c>
    </row>
    <row r="538" spans="1:16" x14ac:dyDescent="0.45">
      <c r="A538">
        <v>1523</v>
      </c>
      <c r="B538">
        <v>292</v>
      </c>
      <c r="C538">
        <v>347</v>
      </c>
      <c r="D538">
        <v>2</v>
      </c>
      <c r="E538">
        <v>59.92</v>
      </c>
      <c r="F538">
        <v>59.92</v>
      </c>
      <c r="G538">
        <v>0</v>
      </c>
      <c r="H538" s="2">
        <v>0</v>
      </c>
      <c r="I538">
        <v>0</v>
      </c>
      <c r="J538">
        <v>119.84</v>
      </c>
      <c r="K538" s="1">
        <v>45777</v>
      </c>
      <c r="L538" t="s">
        <v>15</v>
      </c>
      <c r="M538" t="s">
        <v>15</v>
      </c>
      <c r="N538">
        <f>salesitems[[#This Row],[quantity]]*salesitems[[#This Row],[unit_price]]</f>
        <v>119.84</v>
      </c>
      <c r="O538" t="str">
        <f>_xlfn.XLOOKUP(salesitems[[#This Row],[product_id]],products[product_id],products[product_name])</f>
        <v>Tailored Sleeveless Tee</v>
      </c>
      <c r="P538" t="str">
        <f>_xlfn.XLOOKUP(salesitems[[#This Row],[product_id]],fashion_store_products!A:A,fashion_store_products!C:C)</f>
        <v>T-Shirts</v>
      </c>
    </row>
    <row r="539" spans="1:16" x14ac:dyDescent="0.45">
      <c r="A539">
        <v>1245</v>
      </c>
      <c r="B539">
        <v>378</v>
      </c>
      <c r="C539">
        <v>472</v>
      </c>
      <c r="D539">
        <v>2</v>
      </c>
      <c r="E539">
        <v>59.9</v>
      </c>
      <c r="F539">
        <v>59.9</v>
      </c>
      <c r="G539">
        <v>0</v>
      </c>
      <c r="H539" s="2">
        <v>0</v>
      </c>
      <c r="I539">
        <v>0</v>
      </c>
      <c r="J539">
        <v>119.8</v>
      </c>
      <c r="K539" s="1">
        <v>45764</v>
      </c>
      <c r="L539" t="s">
        <v>15</v>
      </c>
      <c r="M539" t="s">
        <v>15</v>
      </c>
      <c r="N539">
        <f>salesitems[[#This Row],[quantity]]*salesitems[[#This Row],[unit_price]]</f>
        <v>119.8</v>
      </c>
      <c r="O539" t="str">
        <f>_xlfn.XLOOKUP(salesitems[[#This Row],[product_id]],products[product_id],products[product_name])</f>
        <v>Tailored Satin Trousers</v>
      </c>
      <c r="P539" t="str">
        <f>_xlfn.XLOOKUP(salesitems[[#This Row],[product_id]],fashion_store_products!A:A,fashion_store_products!C:C)</f>
        <v>Pants</v>
      </c>
    </row>
    <row r="540" spans="1:16" x14ac:dyDescent="0.45">
      <c r="A540">
        <v>1667</v>
      </c>
      <c r="B540">
        <v>1239</v>
      </c>
      <c r="C540">
        <v>472</v>
      </c>
      <c r="D540">
        <v>2</v>
      </c>
      <c r="E540">
        <v>59.9</v>
      </c>
      <c r="F540">
        <v>59.9</v>
      </c>
      <c r="G540">
        <v>0</v>
      </c>
      <c r="H540" s="2">
        <v>0</v>
      </c>
      <c r="I540">
        <v>0</v>
      </c>
      <c r="J540">
        <v>119.8</v>
      </c>
      <c r="K540" s="1">
        <v>45805</v>
      </c>
      <c r="L540" t="s">
        <v>21</v>
      </c>
      <c r="M540" t="s">
        <v>18</v>
      </c>
      <c r="N540">
        <f>salesitems[[#This Row],[quantity]]*salesitems[[#This Row],[unit_price]]</f>
        <v>119.8</v>
      </c>
      <c r="O540" t="str">
        <f>_xlfn.XLOOKUP(salesitems[[#This Row],[product_id]],products[product_id],products[product_name])</f>
        <v>Tailored Satin Trousers</v>
      </c>
      <c r="P540" t="str">
        <f>_xlfn.XLOOKUP(salesitems[[#This Row],[product_id]],fashion_store_products!A:A,fashion_store_products!C:C)</f>
        <v>Pants</v>
      </c>
    </row>
    <row r="541" spans="1:16" x14ac:dyDescent="0.45">
      <c r="A541">
        <v>1439</v>
      </c>
      <c r="B541">
        <v>1039</v>
      </c>
      <c r="C541">
        <v>380</v>
      </c>
      <c r="D541">
        <v>2</v>
      </c>
      <c r="E541">
        <v>59.84</v>
      </c>
      <c r="F541">
        <v>59.84</v>
      </c>
      <c r="G541">
        <v>0</v>
      </c>
      <c r="H541" s="2">
        <v>0</v>
      </c>
      <c r="I541">
        <v>0</v>
      </c>
      <c r="J541">
        <v>119.68</v>
      </c>
      <c r="K541" s="1">
        <v>45821</v>
      </c>
      <c r="L541" t="s">
        <v>15</v>
      </c>
      <c r="M541" t="s">
        <v>15</v>
      </c>
      <c r="N541">
        <f>salesitems[[#This Row],[quantity]]*salesitems[[#This Row],[unit_price]]</f>
        <v>119.68</v>
      </c>
      <c r="O541" t="str">
        <f>_xlfn.XLOOKUP(salesitems[[#This Row],[product_id]],products[product_id],products[product_name])</f>
        <v>Tailored Silk Set</v>
      </c>
      <c r="P541" t="str">
        <f>_xlfn.XLOOKUP(salesitems[[#This Row],[product_id]],fashion_store_products!A:A,fashion_store_products!C:C)</f>
        <v>Sleepwear</v>
      </c>
    </row>
    <row r="542" spans="1:16" x14ac:dyDescent="0.45">
      <c r="A542">
        <v>2261</v>
      </c>
      <c r="B542">
        <v>1224</v>
      </c>
      <c r="C542">
        <v>391</v>
      </c>
      <c r="D542">
        <v>2</v>
      </c>
      <c r="E542">
        <v>59.77</v>
      </c>
      <c r="F542">
        <v>59.77</v>
      </c>
      <c r="G542">
        <v>0</v>
      </c>
      <c r="H542" s="2">
        <v>0</v>
      </c>
      <c r="I542">
        <v>0</v>
      </c>
      <c r="J542">
        <v>119.54</v>
      </c>
      <c r="K542" s="1">
        <v>45766</v>
      </c>
      <c r="L542" t="s">
        <v>21</v>
      </c>
      <c r="M542" t="s">
        <v>18</v>
      </c>
      <c r="N542">
        <f>salesitems[[#This Row],[quantity]]*salesitems[[#This Row],[unit_price]]</f>
        <v>119.54</v>
      </c>
      <c r="O542" t="str">
        <f>_xlfn.XLOOKUP(salesitems[[#This Row],[product_id]],products[product_id],products[product_name])</f>
        <v>Elegant Wrap Dress</v>
      </c>
      <c r="P542" t="str">
        <f>_xlfn.XLOOKUP(salesitems[[#This Row],[product_id]],fashion_store_products!A:A,fashion_store_products!C:C)</f>
        <v>Dresses</v>
      </c>
    </row>
    <row r="543" spans="1:16" x14ac:dyDescent="0.45">
      <c r="A543">
        <v>2700</v>
      </c>
      <c r="B543">
        <v>768</v>
      </c>
      <c r="C543">
        <v>244</v>
      </c>
      <c r="D543">
        <v>2</v>
      </c>
      <c r="E543">
        <v>59.32</v>
      </c>
      <c r="F543">
        <v>59.32</v>
      </c>
      <c r="G543">
        <v>0</v>
      </c>
      <c r="H543" s="2">
        <v>0</v>
      </c>
      <c r="I543">
        <v>0</v>
      </c>
      <c r="J543">
        <v>118.64</v>
      </c>
      <c r="K543" s="1">
        <v>45805</v>
      </c>
      <c r="L543" t="s">
        <v>21</v>
      </c>
      <c r="M543" t="s">
        <v>18</v>
      </c>
      <c r="N543">
        <f>salesitems[[#This Row],[quantity]]*salesitems[[#This Row],[unit_price]]</f>
        <v>118.64</v>
      </c>
      <c r="O543" t="str">
        <f>_xlfn.XLOOKUP(salesitems[[#This Row],[product_id]],products[product_id],products[product_name])</f>
        <v>Relaxed Cotton Shoes</v>
      </c>
      <c r="P543" t="str">
        <f>_xlfn.XLOOKUP(salesitems[[#This Row],[product_id]],fashion_store_products!A:A,fashion_store_products!C:C)</f>
        <v>Shoes</v>
      </c>
    </row>
    <row r="544" spans="1:16" x14ac:dyDescent="0.45">
      <c r="A544">
        <v>1317</v>
      </c>
      <c r="B544">
        <v>358</v>
      </c>
      <c r="C544">
        <v>78</v>
      </c>
      <c r="D544">
        <v>2</v>
      </c>
      <c r="E544">
        <v>59.21</v>
      </c>
      <c r="F544">
        <v>59.21</v>
      </c>
      <c r="G544">
        <v>0</v>
      </c>
      <c r="H544" s="2">
        <v>0</v>
      </c>
      <c r="I544">
        <v>0</v>
      </c>
      <c r="J544">
        <v>118.42</v>
      </c>
      <c r="K544" s="1">
        <v>45812</v>
      </c>
      <c r="L544" t="s">
        <v>15</v>
      </c>
      <c r="M544" t="s">
        <v>15</v>
      </c>
      <c r="N544">
        <f>salesitems[[#This Row],[quantity]]*salesitems[[#This Row],[unit_price]]</f>
        <v>118.42</v>
      </c>
      <c r="O544" t="str">
        <f>_xlfn.XLOOKUP(salesitems[[#This Row],[product_id]],products[product_id],products[product_name])</f>
        <v>Modern Ribbed Shoes</v>
      </c>
      <c r="P544" t="str">
        <f>_xlfn.XLOOKUP(salesitems[[#This Row],[product_id]],fashion_store_products!A:A,fashion_store_products!C:C)</f>
        <v>Shoes</v>
      </c>
    </row>
    <row r="545" spans="1:16" x14ac:dyDescent="0.45">
      <c r="A545">
        <v>2395</v>
      </c>
      <c r="B545">
        <v>622</v>
      </c>
      <c r="C545">
        <v>78</v>
      </c>
      <c r="D545">
        <v>2</v>
      </c>
      <c r="E545">
        <v>59.21</v>
      </c>
      <c r="F545">
        <v>59.21</v>
      </c>
      <c r="G545">
        <v>0</v>
      </c>
      <c r="H545" s="2">
        <v>0</v>
      </c>
      <c r="I545">
        <v>0</v>
      </c>
      <c r="J545">
        <v>118.42</v>
      </c>
      <c r="K545" s="1">
        <v>45773</v>
      </c>
      <c r="L545" t="s">
        <v>21</v>
      </c>
      <c r="M545" t="s">
        <v>18</v>
      </c>
      <c r="N545">
        <f>salesitems[[#This Row],[quantity]]*salesitems[[#This Row],[unit_price]]</f>
        <v>118.42</v>
      </c>
      <c r="O545" t="str">
        <f>_xlfn.XLOOKUP(salesitems[[#This Row],[product_id]],products[product_id],products[product_name])</f>
        <v>Modern Ribbed Shoes</v>
      </c>
      <c r="P545" t="str">
        <f>_xlfn.XLOOKUP(salesitems[[#This Row],[product_id]],fashion_store_products!A:A,fashion_store_products!C:C)</f>
        <v>Shoes</v>
      </c>
    </row>
    <row r="546" spans="1:16" x14ac:dyDescent="0.45">
      <c r="A546">
        <v>3311</v>
      </c>
      <c r="B546">
        <v>113</v>
      </c>
      <c r="C546">
        <v>78</v>
      </c>
      <c r="D546">
        <v>2</v>
      </c>
      <c r="E546">
        <v>59.21</v>
      </c>
      <c r="F546">
        <v>59.21</v>
      </c>
      <c r="G546">
        <v>0</v>
      </c>
      <c r="H546" s="2">
        <v>0</v>
      </c>
      <c r="I546">
        <v>0</v>
      </c>
      <c r="J546">
        <v>118.42</v>
      </c>
      <c r="K546" s="1">
        <v>45802</v>
      </c>
      <c r="L546" t="s">
        <v>15</v>
      </c>
      <c r="M546" t="s">
        <v>15</v>
      </c>
      <c r="N546">
        <f>salesitems[[#This Row],[quantity]]*salesitems[[#This Row],[unit_price]]</f>
        <v>118.42</v>
      </c>
      <c r="O546" t="str">
        <f>_xlfn.XLOOKUP(salesitems[[#This Row],[product_id]],products[product_id],products[product_name])</f>
        <v>Modern Ribbed Shoes</v>
      </c>
      <c r="P546" t="str">
        <f>_xlfn.XLOOKUP(salesitems[[#This Row],[product_id]],fashion_store_products!A:A,fashion_store_products!C:C)</f>
        <v>Shoes</v>
      </c>
    </row>
    <row r="547" spans="1:16" x14ac:dyDescent="0.45">
      <c r="A547">
        <v>2251</v>
      </c>
      <c r="B547">
        <v>120</v>
      </c>
      <c r="C547">
        <v>166</v>
      </c>
      <c r="D547">
        <v>2</v>
      </c>
      <c r="E547">
        <v>65.260000000000005</v>
      </c>
      <c r="F547">
        <v>58.73</v>
      </c>
      <c r="G547">
        <v>6.53</v>
      </c>
      <c r="H547" s="2">
        <v>0.1</v>
      </c>
      <c r="I547">
        <v>1</v>
      </c>
      <c r="J547">
        <v>117.47</v>
      </c>
      <c r="K547" s="1">
        <v>45814</v>
      </c>
      <c r="L547" t="s">
        <v>21</v>
      </c>
      <c r="M547" t="s">
        <v>8</v>
      </c>
      <c r="N547">
        <f>salesitems[[#This Row],[quantity]]*salesitems[[#This Row],[unit_price]]</f>
        <v>117.46</v>
      </c>
      <c r="O547" t="str">
        <f>_xlfn.XLOOKUP(salesitems[[#This Row],[product_id]],products[product_id],products[product_name])</f>
        <v>Vintage Satin Shoes</v>
      </c>
      <c r="P547" t="str">
        <f>_xlfn.XLOOKUP(salesitems[[#This Row],[product_id]],fashion_store_products!A:A,fashion_store_products!C:C)</f>
        <v>Shoes</v>
      </c>
    </row>
    <row r="548" spans="1:16" x14ac:dyDescent="0.45">
      <c r="A548">
        <v>1209</v>
      </c>
      <c r="B548">
        <v>262</v>
      </c>
      <c r="C548">
        <v>63</v>
      </c>
      <c r="D548">
        <v>2</v>
      </c>
      <c r="E548">
        <v>58.67</v>
      </c>
      <c r="F548">
        <v>58.67</v>
      </c>
      <c r="G548">
        <v>0</v>
      </c>
      <c r="H548" s="2">
        <v>0</v>
      </c>
      <c r="I548">
        <v>0</v>
      </c>
      <c r="J548">
        <v>117.34</v>
      </c>
      <c r="K548" s="1">
        <v>45776</v>
      </c>
      <c r="L548" t="s">
        <v>15</v>
      </c>
      <c r="M548" t="s">
        <v>15</v>
      </c>
      <c r="N548">
        <f>salesitems[[#This Row],[quantity]]*salesitems[[#This Row],[unit_price]]</f>
        <v>117.34</v>
      </c>
      <c r="O548" t="str">
        <f>_xlfn.XLOOKUP(salesitems[[#This Row],[product_id]],products[product_id],products[product_name])</f>
        <v>Soft Crew Set</v>
      </c>
      <c r="P548" t="str">
        <f>_xlfn.XLOOKUP(salesitems[[#This Row],[product_id]],fashion_store_products!A:A,fashion_store_products!C:C)</f>
        <v>Sleepwear</v>
      </c>
    </row>
    <row r="549" spans="1:16" x14ac:dyDescent="0.45">
      <c r="A549">
        <v>1553</v>
      </c>
      <c r="B549">
        <v>1290</v>
      </c>
      <c r="C549">
        <v>63</v>
      </c>
      <c r="D549">
        <v>2</v>
      </c>
      <c r="E549">
        <v>58.67</v>
      </c>
      <c r="F549">
        <v>58.67</v>
      </c>
      <c r="G549">
        <v>0</v>
      </c>
      <c r="H549" s="2">
        <v>0</v>
      </c>
      <c r="I549">
        <v>0</v>
      </c>
      <c r="J549">
        <v>117.34</v>
      </c>
      <c r="K549" s="1">
        <v>45769</v>
      </c>
      <c r="L549" t="s">
        <v>21</v>
      </c>
      <c r="M549" t="s">
        <v>18</v>
      </c>
      <c r="N549">
        <f>salesitems[[#This Row],[quantity]]*salesitems[[#This Row],[unit_price]]</f>
        <v>117.34</v>
      </c>
      <c r="O549" t="str">
        <f>_xlfn.XLOOKUP(salesitems[[#This Row],[product_id]],products[product_id],products[product_name])</f>
        <v>Soft Crew Set</v>
      </c>
      <c r="P549" t="str">
        <f>_xlfn.XLOOKUP(salesitems[[#This Row],[product_id]],fashion_store_products!A:A,fashion_store_products!C:C)</f>
        <v>Sleepwear</v>
      </c>
    </row>
    <row r="550" spans="1:16" x14ac:dyDescent="0.45">
      <c r="A550">
        <v>605</v>
      </c>
      <c r="B550">
        <v>667</v>
      </c>
      <c r="C550">
        <v>366</v>
      </c>
      <c r="D550">
        <v>2</v>
      </c>
      <c r="E550">
        <v>58.34</v>
      </c>
      <c r="F550">
        <v>58.34</v>
      </c>
      <c r="G550">
        <v>0</v>
      </c>
      <c r="H550" s="2">
        <v>0</v>
      </c>
      <c r="I550">
        <v>0</v>
      </c>
      <c r="J550">
        <v>116.68</v>
      </c>
      <c r="K550" s="1">
        <v>45762</v>
      </c>
      <c r="L550" t="s">
        <v>15</v>
      </c>
      <c r="M550" t="s">
        <v>15</v>
      </c>
      <c r="N550">
        <f>salesitems[[#This Row],[quantity]]*salesitems[[#This Row],[unit_price]]</f>
        <v>116.68</v>
      </c>
      <c r="O550" t="str">
        <f>_xlfn.XLOOKUP(salesitems[[#This Row],[product_id]],products[product_id],products[product_name])</f>
        <v>Essential Wrap Trousers</v>
      </c>
      <c r="P550" t="str">
        <f>_xlfn.XLOOKUP(salesitems[[#This Row],[product_id]],fashion_store_products!A:A,fashion_store_products!C:C)</f>
        <v>Pants</v>
      </c>
    </row>
    <row r="551" spans="1:16" x14ac:dyDescent="0.45">
      <c r="A551">
        <v>1110</v>
      </c>
      <c r="B551">
        <v>1348</v>
      </c>
      <c r="C551">
        <v>366</v>
      </c>
      <c r="D551">
        <v>2</v>
      </c>
      <c r="E551">
        <v>58.34</v>
      </c>
      <c r="F551">
        <v>58.34</v>
      </c>
      <c r="G551">
        <v>0</v>
      </c>
      <c r="H551" s="2">
        <v>0</v>
      </c>
      <c r="I551">
        <v>0</v>
      </c>
      <c r="J551">
        <v>116.68</v>
      </c>
      <c r="K551" s="1">
        <v>45797</v>
      </c>
      <c r="L551" t="s">
        <v>21</v>
      </c>
      <c r="M551" t="s">
        <v>18</v>
      </c>
      <c r="N551">
        <f>salesitems[[#This Row],[quantity]]*salesitems[[#This Row],[unit_price]]</f>
        <v>116.68</v>
      </c>
      <c r="O551" t="str">
        <f>_xlfn.XLOOKUP(salesitems[[#This Row],[product_id]],products[product_id],products[product_name])</f>
        <v>Essential Wrap Trousers</v>
      </c>
      <c r="P551" t="str">
        <f>_xlfn.XLOOKUP(salesitems[[#This Row],[product_id]],fashion_store_products!A:A,fashion_store_products!C:C)</f>
        <v>Pants</v>
      </c>
    </row>
    <row r="552" spans="1:16" x14ac:dyDescent="0.45">
      <c r="A552">
        <v>2706</v>
      </c>
      <c r="B552">
        <v>753</v>
      </c>
      <c r="C552">
        <v>22</v>
      </c>
      <c r="D552">
        <v>2</v>
      </c>
      <c r="E552">
        <v>58.26</v>
      </c>
      <c r="F552">
        <v>58.26</v>
      </c>
      <c r="G552">
        <v>0</v>
      </c>
      <c r="H552" s="2">
        <v>0</v>
      </c>
      <c r="I552">
        <v>0</v>
      </c>
      <c r="J552">
        <v>116.52</v>
      </c>
      <c r="K552" s="1">
        <v>45781</v>
      </c>
      <c r="L552" t="s">
        <v>15</v>
      </c>
      <c r="M552" t="s">
        <v>15</v>
      </c>
      <c r="N552">
        <f>salesitems[[#This Row],[quantity]]*salesitems[[#This Row],[unit_price]]</f>
        <v>116.52</v>
      </c>
      <c r="O552" t="str">
        <f>_xlfn.XLOOKUP(salesitems[[#This Row],[product_id]],products[product_id],products[product_name])</f>
        <v>Soft Satin Tee</v>
      </c>
      <c r="P552" t="str">
        <f>_xlfn.XLOOKUP(salesitems[[#This Row],[product_id]],fashion_store_products!A:A,fashion_store_products!C:C)</f>
        <v>T-Shirts</v>
      </c>
    </row>
    <row r="553" spans="1:16" x14ac:dyDescent="0.45">
      <c r="A553">
        <v>2898</v>
      </c>
      <c r="B553">
        <v>956</v>
      </c>
      <c r="C553">
        <v>22</v>
      </c>
      <c r="D553">
        <v>2</v>
      </c>
      <c r="E553">
        <v>58.26</v>
      </c>
      <c r="F553">
        <v>58.26</v>
      </c>
      <c r="G553">
        <v>0</v>
      </c>
      <c r="H553" s="2">
        <v>0</v>
      </c>
      <c r="I553">
        <v>0</v>
      </c>
      <c r="J553">
        <v>116.52</v>
      </c>
      <c r="K553" s="1">
        <v>45808</v>
      </c>
      <c r="L553" t="s">
        <v>15</v>
      </c>
      <c r="M553" t="s">
        <v>15</v>
      </c>
      <c r="N553">
        <f>salesitems[[#This Row],[quantity]]*salesitems[[#This Row],[unit_price]]</f>
        <v>116.52</v>
      </c>
      <c r="O553" t="str">
        <f>_xlfn.XLOOKUP(salesitems[[#This Row],[product_id]],products[product_id],products[product_name])</f>
        <v>Soft Satin Tee</v>
      </c>
      <c r="P553" t="str">
        <f>_xlfn.XLOOKUP(salesitems[[#This Row],[product_id]],fashion_store_products!A:A,fashion_store_products!C:C)</f>
        <v>T-Shirts</v>
      </c>
    </row>
    <row r="554" spans="1:16" x14ac:dyDescent="0.45">
      <c r="A554">
        <v>3258</v>
      </c>
      <c r="B554">
        <v>505</v>
      </c>
      <c r="C554">
        <v>145</v>
      </c>
      <c r="D554">
        <v>2</v>
      </c>
      <c r="E554">
        <v>58.25</v>
      </c>
      <c r="F554">
        <v>58.25</v>
      </c>
      <c r="G554">
        <v>0</v>
      </c>
      <c r="H554" s="2">
        <v>0</v>
      </c>
      <c r="I554">
        <v>0</v>
      </c>
      <c r="J554">
        <v>116.5</v>
      </c>
      <c r="K554" s="1">
        <v>45800</v>
      </c>
      <c r="L554" t="s">
        <v>15</v>
      </c>
      <c r="M554" t="s">
        <v>15</v>
      </c>
      <c r="N554">
        <f>salesitems[[#This Row],[quantity]]*salesitems[[#This Row],[unit_price]]</f>
        <v>116.5</v>
      </c>
      <c r="O554" t="str">
        <f>_xlfn.XLOOKUP(salesitems[[#This Row],[product_id]],products[product_id],products[product_name])</f>
        <v>Classic Boxy Shoes</v>
      </c>
      <c r="P554" t="str">
        <f>_xlfn.XLOOKUP(salesitems[[#This Row],[product_id]],fashion_store_products!A:A,fashion_store_products!C:C)</f>
        <v>Shoes</v>
      </c>
    </row>
    <row r="555" spans="1:16" x14ac:dyDescent="0.45">
      <c r="A555">
        <v>2325</v>
      </c>
      <c r="B555">
        <v>1322</v>
      </c>
      <c r="C555">
        <v>321</v>
      </c>
      <c r="D555">
        <v>2</v>
      </c>
      <c r="E555">
        <v>58.09</v>
      </c>
      <c r="F555">
        <v>58.09</v>
      </c>
      <c r="G555">
        <v>0</v>
      </c>
      <c r="H555" s="2">
        <v>0</v>
      </c>
      <c r="I555">
        <v>0</v>
      </c>
      <c r="J555">
        <v>116.18</v>
      </c>
      <c r="K555" s="1">
        <v>45804</v>
      </c>
      <c r="L555" t="s">
        <v>21</v>
      </c>
      <c r="M555" t="s">
        <v>18</v>
      </c>
      <c r="N555">
        <f>salesitems[[#This Row],[quantity]]*salesitems[[#This Row],[unit_price]]</f>
        <v>116.18</v>
      </c>
      <c r="O555" t="str">
        <f>_xlfn.XLOOKUP(salesitems[[#This Row],[product_id]],products[product_id],products[product_name])</f>
        <v>Relaxed Cotton Trousers</v>
      </c>
      <c r="P555" t="str">
        <f>_xlfn.XLOOKUP(salesitems[[#This Row],[product_id]],fashion_store_products!A:A,fashion_store_products!C:C)</f>
        <v>Pants</v>
      </c>
    </row>
    <row r="556" spans="1:16" x14ac:dyDescent="0.45">
      <c r="A556">
        <v>2448</v>
      </c>
      <c r="B556">
        <v>294</v>
      </c>
      <c r="C556">
        <v>321</v>
      </c>
      <c r="D556">
        <v>2</v>
      </c>
      <c r="E556">
        <v>58.09</v>
      </c>
      <c r="F556">
        <v>58.09</v>
      </c>
      <c r="G556">
        <v>0</v>
      </c>
      <c r="H556" s="2">
        <v>0</v>
      </c>
      <c r="I556">
        <v>0</v>
      </c>
      <c r="J556">
        <v>116.18</v>
      </c>
      <c r="K556" s="1">
        <v>45825</v>
      </c>
      <c r="L556" t="s">
        <v>21</v>
      </c>
      <c r="M556" t="s">
        <v>18</v>
      </c>
      <c r="N556">
        <f>salesitems[[#This Row],[quantity]]*salesitems[[#This Row],[unit_price]]</f>
        <v>116.18</v>
      </c>
      <c r="O556" t="str">
        <f>_xlfn.XLOOKUP(salesitems[[#This Row],[product_id]],products[product_id],products[product_name])</f>
        <v>Relaxed Cotton Trousers</v>
      </c>
      <c r="P556" t="str">
        <f>_xlfn.XLOOKUP(salesitems[[#This Row],[product_id]],fashion_store_products!A:A,fashion_store_products!C:C)</f>
        <v>Pants</v>
      </c>
    </row>
    <row r="557" spans="1:16" x14ac:dyDescent="0.45">
      <c r="A557">
        <v>1609</v>
      </c>
      <c r="B557">
        <v>444</v>
      </c>
      <c r="C557">
        <v>473</v>
      </c>
      <c r="D557">
        <v>2</v>
      </c>
      <c r="E557">
        <v>57.98</v>
      </c>
      <c r="F557">
        <v>57.98</v>
      </c>
      <c r="G557">
        <v>0</v>
      </c>
      <c r="H557" s="2">
        <v>0</v>
      </c>
      <c r="I557">
        <v>0</v>
      </c>
      <c r="J557">
        <v>115.96</v>
      </c>
      <c r="K557" s="1">
        <v>45796</v>
      </c>
      <c r="L557" t="s">
        <v>21</v>
      </c>
      <c r="M557" t="s">
        <v>18</v>
      </c>
      <c r="N557">
        <f>salesitems[[#This Row],[quantity]]*salesitems[[#This Row],[unit_price]]</f>
        <v>115.96</v>
      </c>
      <c r="O557" t="str">
        <f>_xlfn.XLOOKUP(salesitems[[#This Row],[product_id]],products[product_id],products[product_name])</f>
        <v>Dresses Drop 2</v>
      </c>
      <c r="P557" t="str">
        <f>_xlfn.XLOOKUP(salesitems[[#This Row],[product_id]],fashion_store_products!A:A,fashion_store_products!C:C)</f>
        <v>Dresses</v>
      </c>
    </row>
    <row r="558" spans="1:16" x14ac:dyDescent="0.45">
      <c r="A558">
        <v>2807</v>
      </c>
      <c r="B558">
        <v>1313</v>
      </c>
      <c r="C558">
        <v>473</v>
      </c>
      <c r="D558">
        <v>2</v>
      </c>
      <c r="E558">
        <v>57.98</v>
      </c>
      <c r="F558">
        <v>57.98</v>
      </c>
      <c r="G558">
        <v>0</v>
      </c>
      <c r="H558" s="2">
        <v>0</v>
      </c>
      <c r="I558">
        <v>0</v>
      </c>
      <c r="J558">
        <v>115.96</v>
      </c>
      <c r="K558" s="1">
        <v>45801</v>
      </c>
      <c r="L558" t="s">
        <v>15</v>
      </c>
      <c r="M558" t="s">
        <v>15</v>
      </c>
      <c r="N558">
        <f>salesitems[[#This Row],[quantity]]*salesitems[[#This Row],[unit_price]]</f>
        <v>115.96</v>
      </c>
      <c r="O558" t="str">
        <f>_xlfn.XLOOKUP(salesitems[[#This Row],[product_id]],products[product_id],products[product_name])</f>
        <v>Dresses Drop 2</v>
      </c>
      <c r="P558" t="str">
        <f>_xlfn.XLOOKUP(salesitems[[#This Row],[product_id]],fashion_store_products!A:A,fashion_store_products!C:C)</f>
        <v>Dresses</v>
      </c>
    </row>
    <row r="559" spans="1:16" x14ac:dyDescent="0.45">
      <c r="A559">
        <v>1292</v>
      </c>
      <c r="B559">
        <v>616</v>
      </c>
      <c r="C559">
        <v>7</v>
      </c>
      <c r="D559">
        <v>2</v>
      </c>
      <c r="E559">
        <v>57.66</v>
      </c>
      <c r="F559">
        <v>57.66</v>
      </c>
      <c r="G559">
        <v>0</v>
      </c>
      <c r="H559" s="2">
        <v>0</v>
      </c>
      <c r="I559">
        <v>0</v>
      </c>
      <c r="J559">
        <v>115.32</v>
      </c>
      <c r="K559" s="1">
        <v>45770</v>
      </c>
      <c r="L559" t="s">
        <v>21</v>
      </c>
      <c r="M559" t="s">
        <v>18</v>
      </c>
      <c r="N559">
        <f>salesitems[[#This Row],[quantity]]*salesitems[[#This Row],[unit_price]]</f>
        <v>115.32</v>
      </c>
      <c r="O559" t="str">
        <f>_xlfn.XLOOKUP(salesitems[[#This Row],[product_id]],products[product_id],products[product_name])</f>
        <v>Soft Linen Dress</v>
      </c>
      <c r="P559" t="str">
        <f>_xlfn.XLOOKUP(salesitems[[#This Row],[product_id]],fashion_store_products!A:A,fashion_store_products!C:C)</f>
        <v>Dresses</v>
      </c>
    </row>
    <row r="560" spans="1:16" x14ac:dyDescent="0.45">
      <c r="A560">
        <v>2105</v>
      </c>
      <c r="B560">
        <v>1122</v>
      </c>
      <c r="C560">
        <v>227</v>
      </c>
      <c r="D560">
        <v>2</v>
      </c>
      <c r="E560">
        <v>57.51</v>
      </c>
      <c r="F560">
        <v>57.51</v>
      </c>
      <c r="G560">
        <v>0</v>
      </c>
      <c r="H560" s="2">
        <v>0</v>
      </c>
      <c r="I560">
        <v>0</v>
      </c>
      <c r="J560">
        <v>115.02</v>
      </c>
      <c r="K560" s="1">
        <v>45824</v>
      </c>
      <c r="L560" t="s">
        <v>21</v>
      </c>
      <c r="M560" t="s">
        <v>18</v>
      </c>
      <c r="N560">
        <f>salesitems[[#This Row],[quantity]]*salesitems[[#This Row],[unit_price]]</f>
        <v>115.02</v>
      </c>
      <c r="O560" t="str">
        <f>_xlfn.XLOOKUP(salesitems[[#This Row],[product_id]],products[product_id],products[product_name])</f>
        <v>Polished Crew Tee</v>
      </c>
      <c r="P560" t="str">
        <f>_xlfn.XLOOKUP(salesitems[[#This Row],[product_id]],fashion_store_products!A:A,fashion_store_products!C:C)</f>
        <v>T-Shirts</v>
      </c>
    </row>
    <row r="561" spans="1:16" x14ac:dyDescent="0.45">
      <c r="A561">
        <v>2154</v>
      </c>
      <c r="B561">
        <v>416</v>
      </c>
      <c r="C561">
        <v>227</v>
      </c>
      <c r="D561">
        <v>2</v>
      </c>
      <c r="E561">
        <v>57.51</v>
      </c>
      <c r="F561">
        <v>57.51</v>
      </c>
      <c r="G561">
        <v>0</v>
      </c>
      <c r="H561" s="2">
        <v>0</v>
      </c>
      <c r="I561">
        <v>0</v>
      </c>
      <c r="J561">
        <v>115.02</v>
      </c>
      <c r="K561" s="1">
        <v>45812</v>
      </c>
      <c r="L561" t="s">
        <v>15</v>
      </c>
      <c r="M561" t="s">
        <v>15</v>
      </c>
      <c r="N561">
        <f>salesitems[[#This Row],[quantity]]*salesitems[[#This Row],[unit_price]]</f>
        <v>115.02</v>
      </c>
      <c r="O561" t="str">
        <f>_xlfn.XLOOKUP(salesitems[[#This Row],[product_id]],products[product_id],products[product_name])</f>
        <v>Polished Crew Tee</v>
      </c>
      <c r="P561" t="str">
        <f>_xlfn.XLOOKUP(salesitems[[#This Row],[product_id]],fashion_store_products!A:A,fashion_store_products!C:C)</f>
        <v>T-Shirts</v>
      </c>
    </row>
    <row r="562" spans="1:16" x14ac:dyDescent="0.45">
      <c r="A562">
        <v>630</v>
      </c>
      <c r="B562">
        <v>967</v>
      </c>
      <c r="C562">
        <v>493</v>
      </c>
      <c r="D562">
        <v>2</v>
      </c>
      <c r="E562">
        <v>57.37</v>
      </c>
      <c r="F562">
        <v>57.37</v>
      </c>
      <c r="G562">
        <v>0</v>
      </c>
      <c r="H562" s="2">
        <v>0</v>
      </c>
      <c r="I562">
        <v>0</v>
      </c>
      <c r="J562">
        <v>114.74</v>
      </c>
      <c r="K562" s="1">
        <v>45773</v>
      </c>
      <c r="L562" t="s">
        <v>15</v>
      </c>
      <c r="M562" t="s">
        <v>15</v>
      </c>
      <c r="N562">
        <f>salesitems[[#This Row],[quantity]]*salesitems[[#This Row],[unit_price]]</f>
        <v>114.74</v>
      </c>
      <c r="O562" t="str">
        <f>_xlfn.XLOOKUP(salesitems[[#This Row],[product_id]],products[product_id],products[product_name])</f>
        <v>Tailored Sleeveless Trousers</v>
      </c>
      <c r="P562" t="str">
        <f>_xlfn.XLOOKUP(salesitems[[#This Row],[product_id]],fashion_store_products!A:A,fashion_store_products!C:C)</f>
        <v>Pants</v>
      </c>
    </row>
    <row r="563" spans="1:16" x14ac:dyDescent="0.45">
      <c r="A563">
        <v>1483</v>
      </c>
      <c r="B563">
        <v>346</v>
      </c>
      <c r="C563">
        <v>493</v>
      </c>
      <c r="D563">
        <v>2</v>
      </c>
      <c r="E563">
        <v>57.37</v>
      </c>
      <c r="F563">
        <v>57.37</v>
      </c>
      <c r="G563">
        <v>0</v>
      </c>
      <c r="H563" s="2">
        <v>0</v>
      </c>
      <c r="I563">
        <v>0</v>
      </c>
      <c r="J563">
        <v>114.74</v>
      </c>
      <c r="K563" s="1">
        <v>45803</v>
      </c>
      <c r="L563" t="s">
        <v>15</v>
      </c>
      <c r="M563" t="s">
        <v>15</v>
      </c>
      <c r="N563">
        <f>salesitems[[#This Row],[quantity]]*salesitems[[#This Row],[unit_price]]</f>
        <v>114.74</v>
      </c>
      <c r="O563" t="str">
        <f>_xlfn.XLOOKUP(salesitems[[#This Row],[product_id]],products[product_id],products[product_name])</f>
        <v>Tailored Sleeveless Trousers</v>
      </c>
      <c r="P563" t="str">
        <f>_xlfn.XLOOKUP(salesitems[[#This Row],[product_id]],fashion_store_products!A:A,fashion_store_products!C:C)</f>
        <v>Pants</v>
      </c>
    </row>
    <row r="564" spans="1:16" x14ac:dyDescent="0.45">
      <c r="A564">
        <v>3318</v>
      </c>
      <c r="B564">
        <v>175</v>
      </c>
      <c r="C564">
        <v>223</v>
      </c>
      <c r="D564">
        <v>2</v>
      </c>
      <c r="E564">
        <v>57.36</v>
      </c>
      <c r="F564">
        <v>57.36</v>
      </c>
      <c r="G564">
        <v>0</v>
      </c>
      <c r="H564" s="2">
        <v>0</v>
      </c>
      <c r="I564">
        <v>0</v>
      </c>
      <c r="J564">
        <v>114.72</v>
      </c>
      <c r="K564" s="1">
        <v>45765</v>
      </c>
      <c r="L564" t="s">
        <v>15</v>
      </c>
      <c r="M564" t="s">
        <v>15</v>
      </c>
      <c r="N564">
        <f>salesitems[[#This Row],[quantity]]*salesitems[[#This Row],[unit_price]]</f>
        <v>114.72</v>
      </c>
      <c r="O564" t="str">
        <f>_xlfn.XLOOKUP(salesitems[[#This Row],[product_id]],products[product_id],products[product_name])</f>
        <v>Vintage High-Waist Trousers</v>
      </c>
      <c r="P564" t="str">
        <f>_xlfn.XLOOKUP(salesitems[[#This Row],[product_id]],fashion_store_products!A:A,fashion_store_products!C:C)</f>
        <v>Pants</v>
      </c>
    </row>
    <row r="565" spans="1:16" x14ac:dyDescent="0.45">
      <c r="A565">
        <v>3098</v>
      </c>
      <c r="B565">
        <v>1170</v>
      </c>
      <c r="C565">
        <v>49</v>
      </c>
      <c r="D565">
        <v>2</v>
      </c>
      <c r="E565">
        <v>57.35</v>
      </c>
      <c r="F565">
        <v>57.35</v>
      </c>
      <c r="G565">
        <v>0</v>
      </c>
      <c r="H565" s="2">
        <v>0</v>
      </c>
      <c r="I565">
        <v>0</v>
      </c>
      <c r="J565">
        <v>114.7</v>
      </c>
      <c r="K565" s="1">
        <v>45753</v>
      </c>
      <c r="L565" t="s">
        <v>15</v>
      </c>
      <c r="M565" t="s">
        <v>15</v>
      </c>
      <c r="N565">
        <f>salesitems[[#This Row],[quantity]]*salesitems[[#This Row],[unit_price]]</f>
        <v>114.7</v>
      </c>
      <c r="O565" t="str">
        <f>_xlfn.XLOOKUP(salesitems[[#This Row],[product_id]],products[product_id],products[product_name])</f>
        <v>Soft Boxy Tee</v>
      </c>
      <c r="P565" t="str">
        <f>_xlfn.XLOOKUP(salesitems[[#This Row],[product_id]],fashion_store_products!A:A,fashion_store_products!C:C)</f>
        <v>T-Shirts</v>
      </c>
    </row>
    <row r="566" spans="1:16" x14ac:dyDescent="0.45">
      <c r="A566">
        <v>3212</v>
      </c>
      <c r="B566">
        <v>1318</v>
      </c>
      <c r="C566">
        <v>49</v>
      </c>
      <c r="D566">
        <v>2</v>
      </c>
      <c r="E566">
        <v>57.35</v>
      </c>
      <c r="F566">
        <v>57.35</v>
      </c>
      <c r="G566">
        <v>0</v>
      </c>
      <c r="H566" s="2">
        <v>0</v>
      </c>
      <c r="I566">
        <v>0</v>
      </c>
      <c r="J566">
        <v>114.7</v>
      </c>
      <c r="K566" s="1">
        <v>45795</v>
      </c>
      <c r="L566" t="s">
        <v>21</v>
      </c>
      <c r="M566" t="s">
        <v>18</v>
      </c>
      <c r="N566">
        <f>salesitems[[#This Row],[quantity]]*salesitems[[#This Row],[unit_price]]</f>
        <v>114.7</v>
      </c>
      <c r="O566" t="str">
        <f>_xlfn.XLOOKUP(salesitems[[#This Row],[product_id]],products[product_id],products[product_name])</f>
        <v>Soft Boxy Tee</v>
      </c>
      <c r="P566" t="str">
        <f>_xlfn.XLOOKUP(salesitems[[#This Row],[product_id]],fashion_store_products!A:A,fashion_store_products!C:C)</f>
        <v>T-Shirts</v>
      </c>
    </row>
    <row r="567" spans="1:16" x14ac:dyDescent="0.45">
      <c r="A567">
        <v>133</v>
      </c>
      <c r="B567">
        <v>407</v>
      </c>
      <c r="C567">
        <v>213</v>
      </c>
      <c r="D567">
        <v>2</v>
      </c>
      <c r="E567">
        <v>57.31</v>
      </c>
      <c r="F567">
        <v>57.31</v>
      </c>
      <c r="G567">
        <v>0</v>
      </c>
      <c r="H567" s="2">
        <v>0</v>
      </c>
      <c r="I567">
        <v>0</v>
      </c>
      <c r="J567">
        <v>114.62</v>
      </c>
      <c r="K567" s="1">
        <v>45768</v>
      </c>
      <c r="L567" t="s">
        <v>15</v>
      </c>
      <c r="M567" t="s">
        <v>15</v>
      </c>
      <c r="N567">
        <f>salesitems[[#This Row],[quantity]]*salesitems[[#This Row],[unit_price]]</f>
        <v>114.62</v>
      </c>
      <c r="O567" t="str">
        <f>_xlfn.XLOOKUP(salesitems[[#This Row],[product_id]],products[product_id],products[product_name])</f>
        <v>Polished Ribbed Tee</v>
      </c>
      <c r="P567" t="str">
        <f>_xlfn.XLOOKUP(salesitems[[#This Row],[product_id]],fashion_store_products!A:A,fashion_store_products!C:C)</f>
        <v>T-Shirts</v>
      </c>
    </row>
    <row r="568" spans="1:16" x14ac:dyDescent="0.45">
      <c r="A568">
        <v>2462</v>
      </c>
      <c r="B568">
        <v>1100</v>
      </c>
      <c r="C568">
        <v>222</v>
      </c>
      <c r="D568">
        <v>2</v>
      </c>
      <c r="E568">
        <v>57.19</v>
      </c>
      <c r="F568">
        <v>57.19</v>
      </c>
      <c r="G568">
        <v>0</v>
      </c>
      <c r="H568" s="2">
        <v>0</v>
      </c>
      <c r="I568">
        <v>0</v>
      </c>
      <c r="J568">
        <v>114.38</v>
      </c>
      <c r="K568" s="1">
        <v>45825</v>
      </c>
      <c r="L568" t="s">
        <v>21</v>
      </c>
      <c r="M568" t="s">
        <v>18</v>
      </c>
      <c r="N568">
        <f>salesitems[[#This Row],[quantity]]*salesitems[[#This Row],[unit_price]]</f>
        <v>114.38</v>
      </c>
      <c r="O568" t="str">
        <f>_xlfn.XLOOKUP(salesitems[[#This Row],[product_id]],products[product_id],products[product_name])</f>
        <v>Relaxed Wrap Dress</v>
      </c>
      <c r="P568" t="str">
        <f>_xlfn.XLOOKUP(salesitems[[#This Row],[product_id]],fashion_store_products!A:A,fashion_store_products!C:C)</f>
        <v>Dresses</v>
      </c>
    </row>
    <row r="569" spans="1:16" x14ac:dyDescent="0.45">
      <c r="A569">
        <v>107</v>
      </c>
      <c r="B569">
        <v>1096</v>
      </c>
      <c r="C569">
        <v>288</v>
      </c>
      <c r="D569">
        <v>2</v>
      </c>
      <c r="E569">
        <v>57.11</v>
      </c>
      <c r="F569">
        <v>57.11</v>
      </c>
      <c r="G569">
        <v>0</v>
      </c>
      <c r="H569" s="2">
        <v>0</v>
      </c>
      <c r="I569">
        <v>0</v>
      </c>
      <c r="J569">
        <v>114.22</v>
      </c>
      <c r="K569" s="1">
        <v>45781</v>
      </c>
      <c r="L569" t="s">
        <v>21</v>
      </c>
      <c r="M569" t="s">
        <v>18</v>
      </c>
      <c r="N569">
        <f>salesitems[[#This Row],[quantity]]*salesitems[[#This Row],[unit_price]]</f>
        <v>114.22</v>
      </c>
      <c r="O569" t="str">
        <f>_xlfn.XLOOKUP(salesitems[[#This Row],[product_id]],products[product_id],products[product_name])</f>
        <v>Essential Ribbed Tee</v>
      </c>
      <c r="P569" t="str">
        <f>_xlfn.XLOOKUP(salesitems[[#This Row],[product_id]],fashion_store_products!A:A,fashion_store_products!C:C)</f>
        <v>T-Shirts</v>
      </c>
    </row>
    <row r="570" spans="1:16" x14ac:dyDescent="0.45">
      <c r="A570">
        <v>1752</v>
      </c>
      <c r="B570">
        <v>146</v>
      </c>
      <c r="C570">
        <v>288</v>
      </c>
      <c r="D570">
        <v>2</v>
      </c>
      <c r="E570">
        <v>57.11</v>
      </c>
      <c r="F570">
        <v>57.11</v>
      </c>
      <c r="G570">
        <v>0</v>
      </c>
      <c r="H570" s="2">
        <v>0</v>
      </c>
      <c r="I570">
        <v>0</v>
      </c>
      <c r="J570">
        <v>114.22</v>
      </c>
      <c r="K570" s="1">
        <v>45762</v>
      </c>
      <c r="L570" t="s">
        <v>21</v>
      </c>
      <c r="M570" t="s">
        <v>18</v>
      </c>
      <c r="N570">
        <f>salesitems[[#This Row],[quantity]]*salesitems[[#This Row],[unit_price]]</f>
        <v>114.22</v>
      </c>
      <c r="O570" t="str">
        <f>_xlfn.XLOOKUP(salesitems[[#This Row],[product_id]],products[product_id],products[product_name])</f>
        <v>Essential Ribbed Tee</v>
      </c>
      <c r="P570" t="str">
        <f>_xlfn.XLOOKUP(salesitems[[#This Row],[product_id]],fashion_store_products!A:A,fashion_store_products!C:C)</f>
        <v>T-Shirts</v>
      </c>
    </row>
    <row r="571" spans="1:16" x14ac:dyDescent="0.45">
      <c r="A571">
        <v>2222</v>
      </c>
      <c r="B571">
        <v>1160</v>
      </c>
      <c r="C571">
        <v>103</v>
      </c>
      <c r="D571">
        <v>2</v>
      </c>
      <c r="E571">
        <v>57</v>
      </c>
      <c r="F571">
        <v>57</v>
      </c>
      <c r="G571">
        <v>0</v>
      </c>
      <c r="H571" s="2">
        <v>0</v>
      </c>
      <c r="I571">
        <v>0</v>
      </c>
      <c r="J571">
        <v>114</v>
      </c>
      <c r="K571" s="1">
        <v>45766</v>
      </c>
      <c r="L571" t="s">
        <v>21</v>
      </c>
      <c r="M571" t="s">
        <v>18</v>
      </c>
      <c r="N571">
        <f>salesitems[[#This Row],[quantity]]*salesitems[[#This Row],[unit_price]]</f>
        <v>114</v>
      </c>
      <c r="O571" t="str">
        <f>_xlfn.XLOOKUP(salesitems[[#This Row],[product_id]],products[product_id],products[product_name])</f>
        <v>Classic Ribbed Tee</v>
      </c>
      <c r="P571" t="str">
        <f>_xlfn.XLOOKUP(salesitems[[#This Row],[product_id]],fashion_store_products!A:A,fashion_store_products!C:C)</f>
        <v>T-Shirts</v>
      </c>
    </row>
    <row r="572" spans="1:16" x14ac:dyDescent="0.45">
      <c r="A572">
        <v>2233</v>
      </c>
      <c r="B572">
        <v>447</v>
      </c>
      <c r="C572">
        <v>103</v>
      </c>
      <c r="D572">
        <v>2</v>
      </c>
      <c r="E572">
        <v>57</v>
      </c>
      <c r="F572">
        <v>57</v>
      </c>
      <c r="G572">
        <v>0</v>
      </c>
      <c r="H572" s="2">
        <v>0</v>
      </c>
      <c r="I572">
        <v>0</v>
      </c>
      <c r="J572">
        <v>114</v>
      </c>
      <c r="K572" s="1">
        <v>45766</v>
      </c>
      <c r="L572" t="s">
        <v>15</v>
      </c>
      <c r="M572" t="s">
        <v>15</v>
      </c>
      <c r="N572">
        <f>salesitems[[#This Row],[quantity]]*salesitems[[#This Row],[unit_price]]</f>
        <v>114</v>
      </c>
      <c r="O572" t="str">
        <f>_xlfn.XLOOKUP(salesitems[[#This Row],[product_id]],products[product_id],products[product_name])</f>
        <v>Classic Ribbed Tee</v>
      </c>
      <c r="P572" t="str">
        <f>_xlfn.XLOOKUP(salesitems[[#This Row],[product_id]],fashion_store_products!A:A,fashion_store_products!C:C)</f>
        <v>T-Shirts</v>
      </c>
    </row>
    <row r="573" spans="1:16" x14ac:dyDescent="0.45">
      <c r="A573">
        <v>1499</v>
      </c>
      <c r="B573">
        <v>601</v>
      </c>
      <c r="C573">
        <v>357</v>
      </c>
      <c r="D573">
        <v>2</v>
      </c>
      <c r="E573">
        <v>56.91</v>
      </c>
      <c r="F573">
        <v>56.91</v>
      </c>
      <c r="G573">
        <v>0</v>
      </c>
      <c r="H573" s="2">
        <v>0</v>
      </c>
      <c r="I573">
        <v>0</v>
      </c>
      <c r="J573">
        <v>113.82</v>
      </c>
      <c r="K573" s="1">
        <v>45808</v>
      </c>
      <c r="L573" t="s">
        <v>21</v>
      </c>
      <c r="M573" t="s">
        <v>18</v>
      </c>
      <c r="N573">
        <f>salesitems[[#This Row],[quantity]]*salesitems[[#This Row],[unit_price]]</f>
        <v>113.82</v>
      </c>
      <c r="O573" t="str">
        <f>_xlfn.XLOOKUP(salesitems[[#This Row],[product_id]],products[product_id],products[product_name])</f>
        <v>Essential Boxy Set</v>
      </c>
      <c r="P573" t="str">
        <f>_xlfn.XLOOKUP(salesitems[[#This Row],[product_id]],fashion_store_products!A:A,fashion_store_products!C:C)</f>
        <v>Sleepwear</v>
      </c>
    </row>
    <row r="574" spans="1:16" x14ac:dyDescent="0.45">
      <c r="A574">
        <v>2406</v>
      </c>
      <c r="B574">
        <v>1061</v>
      </c>
      <c r="C574">
        <v>357</v>
      </c>
      <c r="D574">
        <v>2</v>
      </c>
      <c r="E574">
        <v>56.91</v>
      </c>
      <c r="F574">
        <v>56.91</v>
      </c>
      <c r="G574">
        <v>0</v>
      </c>
      <c r="H574" s="2">
        <v>0</v>
      </c>
      <c r="I574">
        <v>0</v>
      </c>
      <c r="J574">
        <v>113.82</v>
      </c>
      <c r="K574" s="1">
        <v>45781</v>
      </c>
      <c r="L574" t="s">
        <v>15</v>
      </c>
      <c r="M574" t="s">
        <v>15</v>
      </c>
      <c r="N574">
        <f>salesitems[[#This Row],[quantity]]*salesitems[[#This Row],[unit_price]]</f>
        <v>113.82</v>
      </c>
      <c r="O574" t="str">
        <f>_xlfn.XLOOKUP(salesitems[[#This Row],[product_id]],products[product_id],products[product_name])</f>
        <v>Essential Boxy Set</v>
      </c>
      <c r="P574" t="str">
        <f>_xlfn.XLOOKUP(salesitems[[#This Row],[product_id]],fashion_store_products!A:A,fashion_store_products!C:C)</f>
        <v>Sleepwear</v>
      </c>
    </row>
    <row r="575" spans="1:16" x14ac:dyDescent="0.45">
      <c r="A575">
        <v>238</v>
      </c>
      <c r="B575">
        <v>711</v>
      </c>
      <c r="C575">
        <v>407</v>
      </c>
      <c r="D575">
        <v>2</v>
      </c>
      <c r="E575">
        <v>56.84</v>
      </c>
      <c r="F575">
        <v>56.84</v>
      </c>
      <c r="G575">
        <v>0</v>
      </c>
      <c r="H575" s="2">
        <v>0</v>
      </c>
      <c r="I575">
        <v>0</v>
      </c>
      <c r="J575">
        <v>113.68</v>
      </c>
      <c r="K575" s="1">
        <v>45801</v>
      </c>
      <c r="L575" t="s">
        <v>15</v>
      </c>
      <c r="M575" t="s">
        <v>15</v>
      </c>
      <c r="N575">
        <f>salesitems[[#This Row],[quantity]]*salesitems[[#This Row],[unit_price]]</f>
        <v>113.68</v>
      </c>
      <c r="O575" t="str">
        <f>_xlfn.XLOOKUP(salesitems[[#This Row],[product_id]],products[product_id],products[product_name])</f>
        <v>Elegant Sleeveless Tee</v>
      </c>
      <c r="P575" t="str">
        <f>_xlfn.XLOOKUP(salesitems[[#This Row],[product_id]],fashion_store_products!A:A,fashion_store_products!C:C)</f>
        <v>T-Shirts</v>
      </c>
    </row>
    <row r="576" spans="1:16" x14ac:dyDescent="0.45">
      <c r="A576">
        <v>13</v>
      </c>
      <c r="B576">
        <v>1326</v>
      </c>
      <c r="C576">
        <v>294</v>
      </c>
      <c r="D576">
        <v>2</v>
      </c>
      <c r="E576">
        <v>56.69</v>
      </c>
      <c r="F576">
        <v>56.69</v>
      </c>
      <c r="G576">
        <v>0</v>
      </c>
      <c r="H576" s="2">
        <v>0</v>
      </c>
      <c r="I576">
        <v>0</v>
      </c>
      <c r="J576">
        <v>113.38</v>
      </c>
      <c r="K576" s="1">
        <v>45795</v>
      </c>
      <c r="L576" t="s">
        <v>21</v>
      </c>
      <c r="M576" t="s">
        <v>18</v>
      </c>
      <c r="N576">
        <f>salesitems[[#This Row],[quantity]]*salesitems[[#This Row],[unit_price]]</f>
        <v>113.38</v>
      </c>
      <c r="O576" t="str">
        <f>_xlfn.XLOOKUP(salesitems[[#This Row],[product_id]],products[product_id],products[product_name])</f>
        <v>Essential Sleeveless Shoes</v>
      </c>
      <c r="P576" t="str">
        <f>_xlfn.XLOOKUP(salesitems[[#This Row],[product_id]],fashion_store_products!A:A,fashion_store_products!C:C)</f>
        <v>Shoes</v>
      </c>
    </row>
    <row r="577" spans="1:16" x14ac:dyDescent="0.45">
      <c r="A577">
        <v>2221</v>
      </c>
      <c r="B577">
        <v>1038</v>
      </c>
      <c r="C577">
        <v>303</v>
      </c>
      <c r="D577">
        <v>2</v>
      </c>
      <c r="E577">
        <v>56.58</v>
      </c>
      <c r="F577">
        <v>56.58</v>
      </c>
      <c r="G577">
        <v>0</v>
      </c>
      <c r="H577" s="2">
        <v>0</v>
      </c>
      <c r="I577">
        <v>0</v>
      </c>
      <c r="J577">
        <v>113.16</v>
      </c>
      <c r="K577" s="1">
        <v>45752</v>
      </c>
      <c r="L577" t="s">
        <v>21</v>
      </c>
      <c r="M577" t="s">
        <v>18</v>
      </c>
      <c r="N577">
        <f>salesitems[[#This Row],[quantity]]*salesitems[[#This Row],[unit_price]]</f>
        <v>113.16</v>
      </c>
      <c r="O577" t="str">
        <f>_xlfn.XLOOKUP(salesitems[[#This Row],[product_id]],products[product_id],products[product_name])</f>
        <v>Relaxed Satin Set</v>
      </c>
      <c r="P577" t="str">
        <f>_xlfn.XLOOKUP(salesitems[[#This Row],[product_id]],fashion_store_products!A:A,fashion_store_products!C:C)</f>
        <v>Sleepwear</v>
      </c>
    </row>
    <row r="578" spans="1:16" x14ac:dyDescent="0.45">
      <c r="A578">
        <v>268</v>
      </c>
      <c r="B578">
        <v>644</v>
      </c>
      <c r="C578">
        <v>100</v>
      </c>
      <c r="D578">
        <v>2</v>
      </c>
      <c r="E578">
        <v>56.44</v>
      </c>
      <c r="F578">
        <v>56.44</v>
      </c>
      <c r="G578">
        <v>0</v>
      </c>
      <c r="H578" s="2">
        <v>0</v>
      </c>
      <c r="I578">
        <v>0</v>
      </c>
      <c r="J578">
        <v>112.88</v>
      </c>
      <c r="K578" s="1">
        <v>45751</v>
      </c>
      <c r="L578" t="s">
        <v>21</v>
      </c>
      <c r="M578" t="s">
        <v>18</v>
      </c>
      <c r="N578">
        <f>salesitems[[#This Row],[quantity]]*salesitems[[#This Row],[unit_price]]</f>
        <v>112.88</v>
      </c>
      <c r="O578" t="str">
        <f>_xlfn.XLOOKUP(salesitems[[#This Row],[product_id]],products[product_id],products[product_name])</f>
        <v>Classic Crew Dress</v>
      </c>
      <c r="P578" t="str">
        <f>_xlfn.XLOOKUP(salesitems[[#This Row],[product_id]],fashion_store_products!A:A,fashion_store_products!C:C)</f>
        <v>Dresses</v>
      </c>
    </row>
    <row r="579" spans="1:16" x14ac:dyDescent="0.45">
      <c r="A579">
        <v>396</v>
      </c>
      <c r="B579">
        <v>711</v>
      </c>
      <c r="C579">
        <v>100</v>
      </c>
      <c r="D579">
        <v>2</v>
      </c>
      <c r="E579">
        <v>56.44</v>
      </c>
      <c r="F579">
        <v>56.44</v>
      </c>
      <c r="G579">
        <v>0</v>
      </c>
      <c r="H579" s="2">
        <v>0</v>
      </c>
      <c r="I579">
        <v>0</v>
      </c>
      <c r="J579">
        <v>112.88</v>
      </c>
      <c r="K579" s="1">
        <v>45801</v>
      </c>
      <c r="L579" t="s">
        <v>15</v>
      </c>
      <c r="M579" t="s">
        <v>15</v>
      </c>
      <c r="N579">
        <f>salesitems[[#This Row],[quantity]]*salesitems[[#This Row],[unit_price]]</f>
        <v>112.88</v>
      </c>
      <c r="O579" t="str">
        <f>_xlfn.XLOOKUP(salesitems[[#This Row],[product_id]],products[product_id],products[product_name])</f>
        <v>Classic Crew Dress</v>
      </c>
      <c r="P579" t="str">
        <f>_xlfn.XLOOKUP(salesitems[[#This Row],[product_id]],fashion_store_products!A:A,fashion_store_products!C:C)</f>
        <v>Dresses</v>
      </c>
    </row>
    <row r="580" spans="1:16" x14ac:dyDescent="0.45">
      <c r="A580">
        <v>868</v>
      </c>
      <c r="B580">
        <v>582</v>
      </c>
      <c r="C580">
        <v>117</v>
      </c>
      <c r="D580">
        <v>2</v>
      </c>
      <c r="E580">
        <v>56.06</v>
      </c>
      <c r="F580">
        <v>56.06</v>
      </c>
      <c r="G580">
        <v>0</v>
      </c>
      <c r="H580" s="2">
        <v>0</v>
      </c>
      <c r="I580">
        <v>0</v>
      </c>
      <c r="J580">
        <v>112.12</v>
      </c>
      <c r="K580" s="1">
        <v>45753</v>
      </c>
      <c r="L580" t="s">
        <v>21</v>
      </c>
      <c r="M580" t="s">
        <v>18</v>
      </c>
      <c r="N580">
        <f>salesitems[[#This Row],[quantity]]*salesitems[[#This Row],[unit_price]]</f>
        <v>112.12</v>
      </c>
      <c r="O580" t="str">
        <f>_xlfn.XLOOKUP(salesitems[[#This Row],[product_id]],products[product_id],products[product_name])</f>
        <v>Vintage Wrap Dress</v>
      </c>
      <c r="P580" t="str">
        <f>_xlfn.XLOOKUP(salesitems[[#This Row],[product_id]],fashion_store_products!A:A,fashion_store_products!C:C)</f>
        <v>Dresses</v>
      </c>
    </row>
    <row r="581" spans="1:16" x14ac:dyDescent="0.45">
      <c r="A581">
        <v>2330</v>
      </c>
      <c r="B581">
        <v>124</v>
      </c>
      <c r="C581">
        <v>117</v>
      </c>
      <c r="D581">
        <v>2</v>
      </c>
      <c r="E581">
        <v>56.06</v>
      </c>
      <c r="F581">
        <v>56.06</v>
      </c>
      <c r="G581">
        <v>0</v>
      </c>
      <c r="H581" s="2">
        <v>0</v>
      </c>
      <c r="I581">
        <v>0</v>
      </c>
      <c r="J581">
        <v>112.12</v>
      </c>
      <c r="K581" s="1">
        <v>45766</v>
      </c>
      <c r="L581" t="s">
        <v>21</v>
      </c>
      <c r="M581" t="s">
        <v>18</v>
      </c>
      <c r="N581">
        <f>salesitems[[#This Row],[quantity]]*salesitems[[#This Row],[unit_price]]</f>
        <v>112.12</v>
      </c>
      <c r="O581" t="str">
        <f>_xlfn.XLOOKUP(salesitems[[#This Row],[product_id]],products[product_id],products[product_name])</f>
        <v>Vintage Wrap Dress</v>
      </c>
      <c r="P581" t="str">
        <f>_xlfn.XLOOKUP(salesitems[[#This Row],[product_id]],fashion_store_products!A:A,fashion_store_products!C:C)</f>
        <v>Dresses</v>
      </c>
    </row>
    <row r="582" spans="1:16" x14ac:dyDescent="0.45">
      <c r="A582">
        <v>568</v>
      </c>
      <c r="B582">
        <v>730</v>
      </c>
      <c r="C582">
        <v>422</v>
      </c>
      <c r="D582">
        <v>2</v>
      </c>
      <c r="E582">
        <v>55.91</v>
      </c>
      <c r="F582">
        <v>55.91</v>
      </c>
      <c r="G582">
        <v>0</v>
      </c>
      <c r="H582" s="2">
        <v>0</v>
      </c>
      <c r="I582">
        <v>0</v>
      </c>
      <c r="J582">
        <v>111.82</v>
      </c>
      <c r="K582" s="1">
        <v>45796</v>
      </c>
      <c r="L582" t="s">
        <v>21</v>
      </c>
      <c r="M582" t="s">
        <v>18</v>
      </c>
      <c r="N582">
        <f>salesitems[[#This Row],[quantity]]*salesitems[[#This Row],[unit_price]]</f>
        <v>111.82</v>
      </c>
      <c r="O582" t="str">
        <f>_xlfn.XLOOKUP(salesitems[[#This Row],[product_id]],products[product_id],products[product_name])</f>
        <v>Elegant High-Waist Set</v>
      </c>
      <c r="P582" t="str">
        <f>_xlfn.XLOOKUP(salesitems[[#This Row],[product_id]],fashion_store_products!A:A,fashion_store_products!C:C)</f>
        <v>Sleepwear</v>
      </c>
    </row>
    <row r="583" spans="1:16" x14ac:dyDescent="0.45">
      <c r="A583">
        <v>2343</v>
      </c>
      <c r="B583">
        <v>1038</v>
      </c>
      <c r="C583">
        <v>156</v>
      </c>
      <c r="D583">
        <v>2</v>
      </c>
      <c r="E583">
        <v>55.52</v>
      </c>
      <c r="F583">
        <v>55.52</v>
      </c>
      <c r="G583">
        <v>0</v>
      </c>
      <c r="H583" s="2">
        <v>0</v>
      </c>
      <c r="I583">
        <v>0</v>
      </c>
      <c r="J583">
        <v>111.04</v>
      </c>
      <c r="K583" s="1">
        <v>45752</v>
      </c>
      <c r="L583" t="s">
        <v>21</v>
      </c>
      <c r="M583" t="s">
        <v>18</v>
      </c>
      <c r="N583">
        <f>salesitems[[#This Row],[quantity]]*salesitems[[#This Row],[unit_price]]</f>
        <v>111.04</v>
      </c>
      <c r="O583" t="str">
        <f>_xlfn.XLOOKUP(salesitems[[#This Row],[product_id]],products[product_id],products[product_name])</f>
        <v>Vintage Crew Dress</v>
      </c>
      <c r="P583" t="str">
        <f>_xlfn.XLOOKUP(salesitems[[#This Row],[product_id]],fashion_store_products!A:A,fashion_store_products!C:C)</f>
        <v>Dresses</v>
      </c>
    </row>
    <row r="584" spans="1:16" x14ac:dyDescent="0.45">
      <c r="A584">
        <v>1527</v>
      </c>
      <c r="B584">
        <v>238</v>
      </c>
      <c r="C584">
        <v>265</v>
      </c>
      <c r="D584">
        <v>2</v>
      </c>
      <c r="E584">
        <v>55.25</v>
      </c>
      <c r="F584">
        <v>55.25</v>
      </c>
      <c r="G584">
        <v>0</v>
      </c>
      <c r="H584" s="2">
        <v>0</v>
      </c>
      <c r="I584">
        <v>0</v>
      </c>
      <c r="J584">
        <v>110.5</v>
      </c>
      <c r="K584" s="1">
        <v>45796</v>
      </c>
      <c r="L584" t="s">
        <v>21</v>
      </c>
      <c r="M584" t="s">
        <v>18</v>
      </c>
      <c r="N584">
        <f>salesitems[[#This Row],[quantity]]*salesitems[[#This Row],[unit_price]]</f>
        <v>110.5</v>
      </c>
      <c r="O584" t="str">
        <f>_xlfn.XLOOKUP(salesitems[[#This Row],[product_id]],products[product_id],products[product_name])</f>
        <v>Relaxed Boxy Shoes</v>
      </c>
      <c r="P584" t="str">
        <f>_xlfn.XLOOKUP(salesitems[[#This Row],[product_id]],fashion_store_products!A:A,fashion_store_products!C:C)</f>
        <v>Shoes</v>
      </c>
    </row>
    <row r="585" spans="1:16" x14ac:dyDescent="0.45">
      <c r="A585">
        <v>75</v>
      </c>
      <c r="B585">
        <v>264</v>
      </c>
      <c r="C585">
        <v>124</v>
      </c>
      <c r="D585">
        <v>2</v>
      </c>
      <c r="E585">
        <v>55.04</v>
      </c>
      <c r="F585">
        <v>55.04</v>
      </c>
      <c r="G585">
        <v>0</v>
      </c>
      <c r="H585" s="2">
        <v>0</v>
      </c>
      <c r="I585">
        <v>0</v>
      </c>
      <c r="J585">
        <v>110.08</v>
      </c>
      <c r="K585" s="1">
        <v>45808</v>
      </c>
      <c r="L585" t="s">
        <v>15</v>
      </c>
      <c r="M585" t="s">
        <v>15</v>
      </c>
      <c r="N585">
        <f>salesitems[[#This Row],[quantity]]*salesitems[[#This Row],[unit_price]]</f>
        <v>110.08</v>
      </c>
      <c r="O585" t="str">
        <f>_xlfn.XLOOKUP(salesitems[[#This Row],[product_id]],products[product_id],products[product_name])</f>
        <v>Classic Linen Set</v>
      </c>
      <c r="P585" t="str">
        <f>_xlfn.XLOOKUP(salesitems[[#This Row],[product_id]],fashion_store_products!A:A,fashion_store_products!C:C)</f>
        <v>Sleepwear</v>
      </c>
    </row>
    <row r="586" spans="1:16" x14ac:dyDescent="0.45">
      <c r="A586">
        <v>2468</v>
      </c>
      <c r="B586">
        <v>165</v>
      </c>
      <c r="C586">
        <v>124</v>
      </c>
      <c r="D586">
        <v>2</v>
      </c>
      <c r="E586">
        <v>55.04</v>
      </c>
      <c r="F586">
        <v>55.04</v>
      </c>
      <c r="G586">
        <v>0</v>
      </c>
      <c r="H586" s="2">
        <v>0</v>
      </c>
      <c r="I586">
        <v>0</v>
      </c>
      <c r="J586">
        <v>110.08</v>
      </c>
      <c r="K586" s="1">
        <v>45805</v>
      </c>
      <c r="L586" t="s">
        <v>21</v>
      </c>
      <c r="M586" t="s">
        <v>18</v>
      </c>
      <c r="N586">
        <f>salesitems[[#This Row],[quantity]]*salesitems[[#This Row],[unit_price]]</f>
        <v>110.08</v>
      </c>
      <c r="O586" t="str">
        <f>_xlfn.XLOOKUP(salesitems[[#This Row],[product_id]],products[product_id],products[product_name])</f>
        <v>Classic Linen Set</v>
      </c>
      <c r="P586" t="str">
        <f>_xlfn.XLOOKUP(salesitems[[#This Row],[product_id]],fashion_store_products!A:A,fashion_store_products!C:C)</f>
        <v>Sleepwear</v>
      </c>
    </row>
    <row r="587" spans="1:16" x14ac:dyDescent="0.45">
      <c r="A587">
        <v>536</v>
      </c>
      <c r="B587">
        <v>934</v>
      </c>
      <c r="C587">
        <v>188</v>
      </c>
      <c r="D587">
        <v>2</v>
      </c>
      <c r="E587">
        <v>55.01</v>
      </c>
      <c r="F587">
        <v>55.01</v>
      </c>
      <c r="G587">
        <v>0</v>
      </c>
      <c r="H587" s="2">
        <v>0</v>
      </c>
      <c r="I587">
        <v>0</v>
      </c>
      <c r="J587">
        <v>110.02</v>
      </c>
      <c r="K587" s="1">
        <v>45793</v>
      </c>
      <c r="L587" t="s">
        <v>21</v>
      </c>
      <c r="M587" t="s">
        <v>18</v>
      </c>
      <c r="N587">
        <f>salesitems[[#This Row],[quantity]]*salesitems[[#This Row],[unit_price]]</f>
        <v>110.02</v>
      </c>
      <c r="O587" t="str">
        <f>_xlfn.XLOOKUP(salesitems[[#This Row],[product_id]],products[product_id],products[product_name])</f>
        <v>Polished Wrap Shoes</v>
      </c>
      <c r="P587" t="str">
        <f>_xlfn.XLOOKUP(salesitems[[#This Row],[product_id]],fashion_store_products!A:A,fashion_store_products!C:C)</f>
        <v>Shoes</v>
      </c>
    </row>
    <row r="588" spans="1:16" x14ac:dyDescent="0.45">
      <c r="A588">
        <v>1221</v>
      </c>
      <c r="B588">
        <v>396</v>
      </c>
      <c r="C588">
        <v>188</v>
      </c>
      <c r="D588">
        <v>2</v>
      </c>
      <c r="E588">
        <v>55.01</v>
      </c>
      <c r="F588">
        <v>55.01</v>
      </c>
      <c r="G588">
        <v>0</v>
      </c>
      <c r="H588" s="2">
        <v>0</v>
      </c>
      <c r="I588">
        <v>0</v>
      </c>
      <c r="J588">
        <v>110.02</v>
      </c>
      <c r="K588" s="1">
        <v>45805</v>
      </c>
      <c r="L588" t="s">
        <v>21</v>
      </c>
      <c r="M588" t="s">
        <v>18</v>
      </c>
      <c r="N588">
        <f>salesitems[[#This Row],[quantity]]*salesitems[[#This Row],[unit_price]]</f>
        <v>110.02</v>
      </c>
      <c r="O588" t="str">
        <f>_xlfn.XLOOKUP(salesitems[[#This Row],[product_id]],products[product_id],products[product_name])</f>
        <v>Polished Wrap Shoes</v>
      </c>
      <c r="P588" t="str">
        <f>_xlfn.XLOOKUP(salesitems[[#This Row],[product_id]],fashion_store_products!A:A,fashion_store_products!C:C)</f>
        <v>Shoes</v>
      </c>
    </row>
    <row r="589" spans="1:16" x14ac:dyDescent="0.45">
      <c r="A589">
        <v>1283</v>
      </c>
      <c r="B589">
        <v>1187</v>
      </c>
      <c r="C589">
        <v>188</v>
      </c>
      <c r="D589">
        <v>2</v>
      </c>
      <c r="E589">
        <v>55.01</v>
      </c>
      <c r="F589">
        <v>55.01</v>
      </c>
      <c r="G589">
        <v>0</v>
      </c>
      <c r="H589" s="2">
        <v>0</v>
      </c>
      <c r="I589">
        <v>0</v>
      </c>
      <c r="J589">
        <v>110.02</v>
      </c>
      <c r="K589" s="1">
        <v>45761</v>
      </c>
      <c r="L589" t="s">
        <v>21</v>
      </c>
      <c r="M589" t="s">
        <v>18</v>
      </c>
      <c r="N589">
        <f>salesitems[[#This Row],[quantity]]*salesitems[[#This Row],[unit_price]]</f>
        <v>110.02</v>
      </c>
      <c r="O589" t="str">
        <f>_xlfn.XLOOKUP(salesitems[[#This Row],[product_id]],products[product_id],products[product_name])</f>
        <v>Polished Wrap Shoes</v>
      </c>
      <c r="P589" t="str">
        <f>_xlfn.XLOOKUP(salesitems[[#This Row],[product_id]],fashion_store_products!A:A,fashion_store_products!C:C)</f>
        <v>Shoes</v>
      </c>
    </row>
    <row r="590" spans="1:16" x14ac:dyDescent="0.45">
      <c r="A590">
        <v>3025</v>
      </c>
      <c r="B590">
        <v>333</v>
      </c>
      <c r="C590">
        <v>461</v>
      </c>
      <c r="D590">
        <v>2</v>
      </c>
      <c r="E590">
        <v>54.91</v>
      </c>
      <c r="F590">
        <v>54.91</v>
      </c>
      <c r="G590">
        <v>0</v>
      </c>
      <c r="H590" s="2">
        <v>0</v>
      </c>
      <c r="I590">
        <v>0</v>
      </c>
      <c r="J590">
        <v>109.82</v>
      </c>
      <c r="K590" s="1">
        <v>45799</v>
      </c>
      <c r="L590" t="s">
        <v>21</v>
      </c>
      <c r="M590" t="s">
        <v>18</v>
      </c>
      <c r="N590">
        <f>salesitems[[#This Row],[quantity]]*salesitems[[#This Row],[unit_price]]</f>
        <v>109.82</v>
      </c>
      <c r="O590" t="str">
        <f>_xlfn.XLOOKUP(salesitems[[#This Row],[product_id]],products[product_id],products[product_name])</f>
        <v>Bold High-Waist Tee</v>
      </c>
      <c r="P590" t="str">
        <f>_xlfn.XLOOKUP(salesitems[[#This Row],[product_id]],fashion_store_products!A:A,fashion_store_products!C:C)</f>
        <v>T-Shirts</v>
      </c>
    </row>
    <row r="591" spans="1:16" x14ac:dyDescent="0.45">
      <c r="A591">
        <v>926</v>
      </c>
      <c r="B591">
        <v>521</v>
      </c>
      <c r="C591">
        <v>481</v>
      </c>
      <c r="D591">
        <v>2</v>
      </c>
      <c r="E591">
        <v>54.87</v>
      </c>
      <c r="F591">
        <v>54.87</v>
      </c>
      <c r="G591">
        <v>0</v>
      </c>
      <c r="H591" s="2">
        <v>0</v>
      </c>
      <c r="I591">
        <v>0</v>
      </c>
      <c r="J591">
        <v>109.74</v>
      </c>
      <c r="K591" s="1">
        <v>45752</v>
      </c>
      <c r="L591" t="s">
        <v>15</v>
      </c>
      <c r="M591" t="s">
        <v>15</v>
      </c>
      <c r="N591">
        <f>salesitems[[#This Row],[quantity]]*salesitems[[#This Row],[unit_price]]</f>
        <v>109.74</v>
      </c>
      <c r="O591" t="str">
        <f>_xlfn.XLOOKUP(salesitems[[#This Row],[product_id]],products[product_id],products[product_name])</f>
        <v>Bold Crew Shoes</v>
      </c>
      <c r="P591" t="str">
        <f>_xlfn.XLOOKUP(salesitems[[#This Row],[product_id]],fashion_store_products!A:A,fashion_store_products!C:C)</f>
        <v>Shoes</v>
      </c>
    </row>
    <row r="592" spans="1:16" x14ac:dyDescent="0.45">
      <c r="A592">
        <v>1967</v>
      </c>
      <c r="B592">
        <v>1269</v>
      </c>
      <c r="C592">
        <v>481</v>
      </c>
      <c r="D592">
        <v>2</v>
      </c>
      <c r="E592">
        <v>54.87</v>
      </c>
      <c r="F592">
        <v>54.87</v>
      </c>
      <c r="G592">
        <v>0</v>
      </c>
      <c r="H592" s="2">
        <v>0</v>
      </c>
      <c r="I592">
        <v>0</v>
      </c>
      <c r="J592">
        <v>109.74</v>
      </c>
      <c r="K592" s="1">
        <v>45822</v>
      </c>
      <c r="L592" t="s">
        <v>15</v>
      </c>
      <c r="M592" t="s">
        <v>15</v>
      </c>
      <c r="N592">
        <f>salesitems[[#This Row],[quantity]]*salesitems[[#This Row],[unit_price]]</f>
        <v>109.74</v>
      </c>
      <c r="O592" t="str">
        <f>_xlfn.XLOOKUP(salesitems[[#This Row],[product_id]],products[product_id],products[product_name])</f>
        <v>Bold Crew Shoes</v>
      </c>
      <c r="P592" t="str">
        <f>_xlfn.XLOOKUP(salesitems[[#This Row],[product_id]],fashion_store_products!A:A,fashion_store_products!C:C)</f>
        <v>Shoes</v>
      </c>
    </row>
    <row r="593" spans="1:16" x14ac:dyDescent="0.45">
      <c r="A593">
        <v>3014</v>
      </c>
      <c r="B593">
        <v>780</v>
      </c>
      <c r="C593">
        <v>481</v>
      </c>
      <c r="D593">
        <v>2</v>
      </c>
      <c r="E593">
        <v>54.87</v>
      </c>
      <c r="F593">
        <v>54.87</v>
      </c>
      <c r="G593">
        <v>0</v>
      </c>
      <c r="H593" s="2">
        <v>0</v>
      </c>
      <c r="I593">
        <v>0</v>
      </c>
      <c r="J593">
        <v>109.74</v>
      </c>
      <c r="K593" s="1">
        <v>45760</v>
      </c>
      <c r="L593" t="s">
        <v>15</v>
      </c>
      <c r="M593" t="s">
        <v>15</v>
      </c>
      <c r="N593">
        <f>salesitems[[#This Row],[quantity]]*salesitems[[#This Row],[unit_price]]</f>
        <v>109.74</v>
      </c>
      <c r="O593" t="str">
        <f>_xlfn.XLOOKUP(salesitems[[#This Row],[product_id]],products[product_id],products[product_name])</f>
        <v>Bold Crew Shoes</v>
      </c>
      <c r="P593" t="str">
        <f>_xlfn.XLOOKUP(salesitems[[#This Row],[product_id]],fashion_store_products!A:A,fashion_store_products!C:C)</f>
        <v>Shoes</v>
      </c>
    </row>
    <row r="594" spans="1:16" x14ac:dyDescent="0.45">
      <c r="A594">
        <v>1177</v>
      </c>
      <c r="B594">
        <v>6</v>
      </c>
      <c r="C594">
        <v>32</v>
      </c>
      <c r="D594">
        <v>2</v>
      </c>
      <c r="E594">
        <v>54.83</v>
      </c>
      <c r="F594">
        <v>54.83</v>
      </c>
      <c r="G594">
        <v>0</v>
      </c>
      <c r="H594" s="2">
        <v>0</v>
      </c>
      <c r="I594">
        <v>0</v>
      </c>
      <c r="J594">
        <v>109.66</v>
      </c>
      <c r="K594" s="1">
        <v>45822</v>
      </c>
      <c r="L594" t="s">
        <v>21</v>
      </c>
      <c r="M594" t="s">
        <v>18</v>
      </c>
      <c r="N594">
        <f>salesitems[[#This Row],[quantity]]*salesitems[[#This Row],[unit_price]]</f>
        <v>109.66</v>
      </c>
      <c r="O594" t="str">
        <f>_xlfn.XLOOKUP(salesitems[[#This Row],[product_id]],products[product_id],products[product_name])</f>
        <v>Soft Silk Tee</v>
      </c>
      <c r="P594" t="str">
        <f>_xlfn.XLOOKUP(salesitems[[#This Row],[product_id]],fashion_store_products!A:A,fashion_store_products!C:C)</f>
        <v>T-Shirts</v>
      </c>
    </row>
    <row r="595" spans="1:16" x14ac:dyDescent="0.45">
      <c r="A595">
        <v>2431</v>
      </c>
      <c r="B595">
        <v>38</v>
      </c>
      <c r="C595">
        <v>168</v>
      </c>
      <c r="D595">
        <v>2</v>
      </c>
      <c r="E595">
        <v>54.74</v>
      </c>
      <c r="F595">
        <v>54.74</v>
      </c>
      <c r="G595">
        <v>0</v>
      </c>
      <c r="H595" s="2">
        <v>0</v>
      </c>
      <c r="I595">
        <v>0</v>
      </c>
      <c r="J595">
        <v>109.48</v>
      </c>
      <c r="K595" s="1">
        <v>45803</v>
      </c>
      <c r="L595" t="s">
        <v>21</v>
      </c>
      <c r="M595" t="s">
        <v>18</v>
      </c>
      <c r="N595">
        <f>salesitems[[#This Row],[quantity]]*salesitems[[#This Row],[unit_price]]</f>
        <v>109.48</v>
      </c>
      <c r="O595" t="str">
        <f>_xlfn.XLOOKUP(salesitems[[#This Row],[product_id]],products[product_id],products[product_name])</f>
        <v>Vintage Ribbed Tee</v>
      </c>
      <c r="P595" t="str">
        <f>_xlfn.XLOOKUP(salesitems[[#This Row],[product_id]],fashion_store_products!A:A,fashion_store_products!C:C)</f>
        <v>T-Shirts</v>
      </c>
    </row>
    <row r="596" spans="1:16" x14ac:dyDescent="0.45">
      <c r="A596">
        <v>2506</v>
      </c>
      <c r="B596">
        <v>1317</v>
      </c>
      <c r="C596">
        <v>168</v>
      </c>
      <c r="D596">
        <v>2</v>
      </c>
      <c r="E596">
        <v>54.74</v>
      </c>
      <c r="F596">
        <v>54.74</v>
      </c>
      <c r="G596">
        <v>0</v>
      </c>
      <c r="H596" s="2">
        <v>0</v>
      </c>
      <c r="I596">
        <v>0</v>
      </c>
      <c r="J596">
        <v>109.48</v>
      </c>
      <c r="K596" s="1">
        <v>45753</v>
      </c>
      <c r="L596" t="s">
        <v>21</v>
      </c>
      <c r="M596" t="s">
        <v>18</v>
      </c>
      <c r="N596">
        <f>salesitems[[#This Row],[quantity]]*salesitems[[#This Row],[unit_price]]</f>
        <v>109.48</v>
      </c>
      <c r="O596" t="str">
        <f>_xlfn.XLOOKUP(salesitems[[#This Row],[product_id]],products[product_id],products[product_name])</f>
        <v>Vintage Ribbed Tee</v>
      </c>
      <c r="P596" t="str">
        <f>_xlfn.XLOOKUP(salesitems[[#This Row],[product_id]],fashion_store_products!A:A,fashion_store_products!C:C)</f>
        <v>T-Shirts</v>
      </c>
    </row>
    <row r="597" spans="1:16" x14ac:dyDescent="0.45">
      <c r="A597">
        <v>954</v>
      </c>
      <c r="B597">
        <v>65</v>
      </c>
      <c r="C597">
        <v>496</v>
      </c>
      <c r="D597">
        <v>2</v>
      </c>
      <c r="E597">
        <v>54.61</v>
      </c>
      <c r="F597">
        <v>54.61</v>
      </c>
      <c r="G597">
        <v>0</v>
      </c>
      <c r="H597" s="2">
        <v>0</v>
      </c>
      <c r="I597">
        <v>0</v>
      </c>
      <c r="J597">
        <v>109.22</v>
      </c>
      <c r="K597" s="1">
        <v>45783</v>
      </c>
      <c r="L597" t="s">
        <v>21</v>
      </c>
      <c r="M597" t="s">
        <v>18</v>
      </c>
      <c r="N597">
        <f>salesitems[[#This Row],[quantity]]*salesitems[[#This Row],[unit_price]]</f>
        <v>109.22</v>
      </c>
      <c r="O597" t="str">
        <f>_xlfn.XLOOKUP(salesitems[[#This Row],[product_id]],products[product_id],products[product_name])</f>
        <v>Tailored High-Waist Trousers</v>
      </c>
      <c r="P597" t="str">
        <f>_xlfn.XLOOKUP(salesitems[[#This Row],[product_id]],fashion_store_products!A:A,fashion_store_products!C:C)</f>
        <v>Pants</v>
      </c>
    </row>
    <row r="598" spans="1:16" x14ac:dyDescent="0.45">
      <c r="A598">
        <v>2369</v>
      </c>
      <c r="B598">
        <v>781</v>
      </c>
      <c r="C598">
        <v>496</v>
      </c>
      <c r="D598">
        <v>2</v>
      </c>
      <c r="E598">
        <v>54.61</v>
      </c>
      <c r="F598">
        <v>54.61</v>
      </c>
      <c r="G598">
        <v>0</v>
      </c>
      <c r="H598" s="2">
        <v>0</v>
      </c>
      <c r="I598">
        <v>0</v>
      </c>
      <c r="J598">
        <v>109.22</v>
      </c>
      <c r="K598" s="1">
        <v>45770</v>
      </c>
      <c r="L598" t="s">
        <v>15</v>
      </c>
      <c r="M598" t="s">
        <v>15</v>
      </c>
      <c r="N598">
        <f>salesitems[[#This Row],[quantity]]*salesitems[[#This Row],[unit_price]]</f>
        <v>109.22</v>
      </c>
      <c r="O598" t="str">
        <f>_xlfn.XLOOKUP(salesitems[[#This Row],[product_id]],products[product_id],products[product_name])</f>
        <v>Tailored High-Waist Trousers</v>
      </c>
      <c r="P598" t="str">
        <f>_xlfn.XLOOKUP(salesitems[[#This Row],[product_id]],fashion_store_products!A:A,fashion_store_products!C:C)</f>
        <v>Pants</v>
      </c>
    </row>
    <row r="599" spans="1:16" x14ac:dyDescent="0.45">
      <c r="A599">
        <v>3064</v>
      </c>
      <c r="B599">
        <v>430</v>
      </c>
      <c r="C599">
        <v>45</v>
      </c>
      <c r="D599">
        <v>2</v>
      </c>
      <c r="E599">
        <v>54.16</v>
      </c>
      <c r="F599">
        <v>54.16</v>
      </c>
      <c r="G599">
        <v>0</v>
      </c>
      <c r="H599" s="2">
        <v>0</v>
      </c>
      <c r="I599">
        <v>0</v>
      </c>
      <c r="J599">
        <v>108.32</v>
      </c>
      <c r="K599" s="1">
        <v>45765</v>
      </c>
      <c r="L599" t="s">
        <v>21</v>
      </c>
      <c r="M599" t="s">
        <v>18</v>
      </c>
      <c r="N599">
        <f>salesitems[[#This Row],[quantity]]*salesitems[[#This Row],[unit_price]]</f>
        <v>108.32</v>
      </c>
      <c r="O599" t="str">
        <f>_xlfn.XLOOKUP(salesitems[[#This Row],[product_id]],products[product_id],products[product_name])</f>
        <v>Soft Sleeveless Tee</v>
      </c>
      <c r="P599" t="str">
        <f>_xlfn.XLOOKUP(salesitems[[#This Row],[product_id]],fashion_store_products!A:A,fashion_store_products!C:C)</f>
        <v>T-Shirts</v>
      </c>
    </row>
    <row r="600" spans="1:16" x14ac:dyDescent="0.45">
      <c r="A600">
        <v>2449</v>
      </c>
      <c r="B600">
        <v>1143</v>
      </c>
      <c r="C600">
        <v>433</v>
      </c>
      <c r="D600">
        <v>2</v>
      </c>
      <c r="E600">
        <v>60.12</v>
      </c>
      <c r="F600">
        <v>54.11</v>
      </c>
      <c r="G600">
        <v>6.01</v>
      </c>
      <c r="H600" s="2">
        <v>0.1</v>
      </c>
      <c r="I600">
        <v>1</v>
      </c>
      <c r="J600">
        <v>108.22</v>
      </c>
      <c r="K600" s="1">
        <v>45812</v>
      </c>
      <c r="L600" t="s">
        <v>21</v>
      </c>
      <c r="M600" t="s">
        <v>8</v>
      </c>
      <c r="N600">
        <f>salesitems[[#This Row],[quantity]]*salesitems[[#This Row],[unit_price]]</f>
        <v>108.22</v>
      </c>
      <c r="O600" t="str">
        <f>_xlfn.XLOOKUP(salesitems[[#This Row],[product_id]],products[product_id],products[product_name])</f>
        <v>Essential Boxy Trousers</v>
      </c>
      <c r="P600" t="str">
        <f>_xlfn.XLOOKUP(salesitems[[#This Row],[product_id]],fashion_store_products!A:A,fashion_store_products!C:C)</f>
        <v>Pants</v>
      </c>
    </row>
    <row r="601" spans="1:16" x14ac:dyDescent="0.45">
      <c r="A601">
        <v>2638</v>
      </c>
      <c r="B601">
        <v>251</v>
      </c>
      <c r="C601">
        <v>472</v>
      </c>
      <c r="D601">
        <v>2</v>
      </c>
      <c r="E601">
        <v>59.9</v>
      </c>
      <c r="F601">
        <v>53.91</v>
      </c>
      <c r="G601">
        <v>5.99</v>
      </c>
      <c r="H601" s="2">
        <v>0.1</v>
      </c>
      <c r="I601">
        <v>1</v>
      </c>
      <c r="J601">
        <v>107.82</v>
      </c>
      <c r="K601" s="1">
        <v>45812</v>
      </c>
      <c r="L601" t="s">
        <v>21</v>
      </c>
      <c r="M601" t="s">
        <v>8</v>
      </c>
      <c r="N601">
        <f>salesitems[[#This Row],[quantity]]*salesitems[[#This Row],[unit_price]]</f>
        <v>107.82</v>
      </c>
      <c r="O601" t="str">
        <f>_xlfn.XLOOKUP(salesitems[[#This Row],[product_id]],products[product_id],products[product_name])</f>
        <v>Tailored Satin Trousers</v>
      </c>
      <c r="P601" t="str">
        <f>_xlfn.XLOOKUP(salesitems[[#This Row],[product_id]],fashion_store_products!A:A,fashion_store_products!C:C)</f>
        <v>Pants</v>
      </c>
    </row>
    <row r="602" spans="1:16" x14ac:dyDescent="0.45">
      <c r="A602">
        <v>61</v>
      </c>
      <c r="B602">
        <v>537</v>
      </c>
      <c r="C602">
        <v>154</v>
      </c>
      <c r="D602">
        <v>2</v>
      </c>
      <c r="E602">
        <v>53.74</v>
      </c>
      <c r="F602">
        <v>53.74</v>
      </c>
      <c r="G602">
        <v>0</v>
      </c>
      <c r="H602" s="2">
        <v>0</v>
      </c>
      <c r="I602">
        <v>0</v>
      </c>
      <c r="J602">
        <v>107.48</v>
      </c>
      <c r="K602" s="1">
        <v>45777</v>
      </c>
      <c r="L602" t="s">
        <v>21</v>
      </c>
      <c r="M602" t="s">
        <v>18</v>
      </c>
      <c r="N602">
        <f>salesitems[[#This Row],[quantity]]*salesitems[[#This Row],[unit_price]]</f>
        <v>107.48</v>
      </c>
      <c r="O602" t="str">
        <f>_xlfn.XLOOKUP(salesitems[[#This Row],[product_id]],products[product_id],products[product_name])</f>
        <v>Classic Crew Set</v>
      </c>
      <c r="P602" t="str">
        <f>_xlfn.XLOOKUP(salesitems[[#This Row],[product_id]],fashion_store_products!A:A,fashion_store_products!C:C)</f>
        <v>Sleepwear</v>
      </c>
    </row>
    <row r="603" spans="1:16" x14ac:dyDescent="0.45">
      <c r="A603">
        <v>3263</v>
      </c>
      <c r="B603">
        <v>512</v>
      </c>
      <c r="C603">
        <v>406</v>
      </c>
      <c r="D603">
        <v>2</v>
      </c>
      <c r="E603">
        <v>53.74</v>
      </c>
      <c r="F603">
        <v>53.74</v>
      </c>
      <c r="G603">
        <v>0</v>
      </c>
      <c r="H603" s="2">
        <v>0</v>
      </c>
      <c r="I603">
        <v>0</v>
      </c>
      <c r="J603">
        <v>107.48</v>
      </c>
      <c r="K603" s="1">
        <v>45812</v>
      </c>
      <c r="L603" t="s">
        <v>15</v>
      </c>
      <c r="M603" t="s">
        <v>15</v>
      </c>
      <c r="N603">
        <f>salesitems[[#This Row],[quantity]]*salesitems[[#This Row],[unit_price]]</f>
        <v>107.48</v>
      </c>
      <c r="O603" t="str">
        <f>_xlfn.XLOOKUP(salesitems[[#This Row],[product_id]],products[product_id],products[product_name])</f>
        <v>Essential Crew Trousers</v>
      </c>
      <c r="P603" t="str">
        <f>_xlfn.XLOOKUP(salesitems[[#This Row],[product_id]],fashion_store_products!A:A,fashion_store_products!C:C)</f>
        <v>Pants</v>
      </c>
    </row>
    <row r="604" spans="1:16" x14ac:dyDescent="0.45">
      <c r="A604">
        <v>1162</v>
      </c>
      <c r="B604">
        <v>1249</v>
      </c>
      <c r="C604">
        <v>221</v>
      </c>
      <c r="D604">
        <v>2</v>
      </c>
      <c r="E604">
        <v>53.7</v>
      </c>
      <c r="F604">
        <v>53.7</v>
      </c>
      <c r="G604">
        <v>0</v>
      </c>
      <c r="H604" s="2">
        <v>0</v>
      </c>
      <c r="I604">
        <v>0</v>
      </c>
      <c r="J604">
        <v>107.4</v>
      </c>
      <c r="K604" s="1">
        <v>45821</v>
      </c>
      <c r="L604" t="s">
        <v>21</v>
      </c>
      <c r="M604" t="s">
        <v>18</v>
      </c>
      <c r="N604">
        <f>salesitems[[#This Row],[quantity]]*salesitems[[#This Row],[unit_price]]</f>
        <v>107.4</v>
      </c>
      <c r="O604" t="str">
        <f>_xlfn.XLOOKUP(salesitems[[#This Row],[product_id]],products[product_id],products[product_name])</f>
        <v>Polished Silk Tee</v>
      </c>
      <c r="P604" t="str">
        <f>_xlfn.XLOOKUP(salesitems[[#This Row],[product_id]],fashion_store_products!A:A,fashion_store_products!C:C)</f>
        <v>T-Shirts</v>
      </c>
    </row>
    <row r="605" spans="1:16" x14ac:dyDescent="0.45">
      <c r="A605">
        <v>2886</v>
      </c>
      <c r="B605">
        <v>165</v>
      </c>
      <c r="C605">
        <v>221</v>
      </c>
      <c r="D605">
        <v>2</v>
      </c>
      <c r="E605">
        <v>53.7</v>
      </c>
      <c r="F605">
        <v>53.7</v>
      </c>
      <c r="G605">
        <v>0</v>
      </c>
      <c r="H605" s="2">
        <v>0</v>
      </c>
      <c r="I605">
        <v>0</v>
      </c>
      <c r="J605">
        <v>107.4</v>
      </c>
      <c r="K605" s="1">
        <v>45805</v>
      </c>
      <c r="L605" t="s">
        <v>21</v>
      </c>
      <c r="M605" t="s">
        <v>18</v>
      </c>
      <c r="N605">
        <f>salesitems[[#This Row],[quantity]]*salesitems[[#This Row],[unit_price]]</f>
        <v>107.4</v>
      </c>
      <c r="O605" t="str">
        <f>_xlfn.XLOOKUP(salesitems[[#This Row],[product_id]],products[product_id],products[product_name])</f>
        <v>Polished Silk Tee</v>
      </c>
      <c r="P605" t="str">
        <f>_xlfn.XLOOKUP(salesitems[[#This Row],[product_id]],fashion_store_products!A:A,fashion_store_products!C:C)</f>
        <v>T-Shirts</v>
      </c>
    </row>
    <row r="606" spans="1:16" x14ac:dyDescent="0.45">
      <c r="A606">
        <v>1331</v>
      </c>
      <c r="B606">
        <v>541</v>
      </c>
      <c r="C606">
        <v>127</v>
      </c>
      <c r="D606">
        <v>2</v>
      </c>
      <c r="E606">
        <v>53.67</v>
      </c>
      <c r="F606">
        <v>53.67</v>
      </c>
      <c r="G606">
        <v>0</v>
      </c>
      <c r="H606" s="2">
        <v>0</v>
      </c>
      <c r="I606">
        <v>0</v>
      </c>
      <c r="J606">
        <v>107.34</v>
      </c>
      <c r="K606" s="1">
        <v>45774</v>
      </c>
      <c r="L606" t="s">
        <v>15</v>
      </c>
      <c r="M606" t="s">
        <v>15</v>
      </c>
      <c r="N606">
        <f>salesitems[[#This Row],[quantity]]*salesitems[[#This Row],[unit_price]]</f>
        <v>107.34</v>
      </c>
      <c r="O606" t="str">
        <f>_xlfn.XLOOKUP(salesitems[[#This Row],[product_id]],products[product_id],products[product_name])</f>
        <v>Classic Wrap Trousers</v>
      </c>
      <c r="P606" t="str">
        <f>_xlfn.XLOOKUP(salesitems[[#This Row],[product_id]],fashion_store_products!A:A,fashion_store_products!C:C)</f>
        <v>Pants</v>
      </c>
    </row>
    <row r="607" spans="1:16" x14ac:dyDescent="0.45">
      <c r="A607">
        <v>1897</v>
      </c>
      <c r="B607">
        <v>212</v>
      </c>
      <c r="C607">
        <v>127</v>
      </c>
      <c r="D607">
        <v>2</v>
      </c>
      <c r="E607">
        <v>53.67</v>
      </c>
      <c r="F607">
        <v>53.67</v>
      </c>
      <c r="G607">
        <v>0</v>
      </c>
      <c r="H607" s="2">
        <v>0</v>
      </c>
      <c r="I607">
        <v>0</v>
      </c>
      <c r="J607">
        <v>107.34</v>
      </c>
      <c r="K607" s="1">
        <v>45782</v>
      </c>
      <c r="L607" t="s">
        <v>15</v>
      </c>
      <c r="M607" t="s">
        <v>15</v>
      </c>
      <c r="N607">
        <f>salesitems[[#This Row],[quantity]]*salesitems[[#This Row],[unit_price]]</f>
        <v>107.34</v>
      </c>
      <c r="O607" t="str">
        <f>_xlfn.XLOOKUP(salesitems[[#This Row],[product_id]],products[product_id],products[product_name])</f>
        <v>Classic Wrap Trousers</v>
      </c>
      <c r="P607" t="str">
        <f>_xlfn.XLOOKUP(salesitems[[#This Row],[product_id]],fashion_store_products!A:A,fashion_store_products!C:C)</f>
        <v>Pants</v>
      </c>
    </row>
    <row r="608" spans="1:16" x14ac:dyDescent="0.45">
      <c r="A608">
        <v>817</v>
      </c>
      <c r="B608">
        <v>566</v>
      </c>
      <c r="C608">
        <v>52</v>
      </c>
      <c r="D608">
        <v>2</v>
      </c>
      <c r="E608">
        <v>53.61</v>
      </c>
      <c r="F608">
        <v>53.61</v>
      </c>
      <c r="G608">
        <v>0</v>
      </c>
      <c r="H608" s="2">
        <v>0</v>
      </c>
      <c r="I608">
        <v>0</v>
      </c>
      <c r="J608">
        <v>107.22</v>
      </c>
      <c r="K608" s="1">
        <v>45768</v>
      </c>
      <c r="L608" t="s">
        <v>21</v>
      </c>
      <c r="M608" t="s">
        <v>18</v>
      </c>
      <c r="N608">
        <f>salesitems[[#This Row],[quantity]]*salesitems[[#This Row],[unit_price]]</f>
        <v>107.22</v>
      </c>
      <c r="O608" t="str">
        <f>_xlfn.XLOOKUP(salesitems[[#This Row],[product_id]],products[product_id],products[product_name])</f>
        <v>Modern Linen Tee</v>
      </c>
      <c r="P608" t="str">
        <f>_xlfn.XLOOKUP(salesitems[[#This Row],[product_id]],fashion_store_products!A:A,fashion_store_products!C:C)</f>
        <v>T-Shirts</v>
      </c>
    </row>
    <row r="609" spans="1:16" x14ac:dyDescent="0.45">
      <c r="A609">
        <v>2337</v>
      </c>
      <c r="B609">
        <v>104</v>
      </c>
      <c r="C609">
        <v>52</v>
      </c>
      <c r="D609">
        <v>2</v>
      </c>
      <c r="E609">
        <v>53.61</v>
      </c>
      <c r="F609">
        <v>53.61</v>
      </c>
      <c r="G609">
        <v>0</v>
      </c>
      <c r="H609" s="2">
        <v>0</v>
      </c>
      <c r="I609">
        <v>0</v>
      </c>
      <c r="J609">
        <v>107.22</v>
      </c>
      <c r="K609" s="1">
        <v>45767</v>
      </c>
      <c r="L609" t="s">
        <v>15</v>
      </c>
      <c r="M609" t="s">
        <v>15</v>
      </c>
      <c r="N609">
        <f>salesitems[[#This Row],[quantity]]*salesitems[[#This Row],[unit_price]]</f>
        <v>107.22</v>
      </c>
      <c r="O609" t="str">
        <f>_xlfn.XLOOKUP(salesitems[[#This Row],[product_id]],products[product_id],products[product_name])</f>
        <v>Modern Linen Tee</v>
      </c>
      <c r="P609" t="str">
        <f>_xlfn.XLOOKUP(salesitems[[#This Row],[product_id]],fashion_store_products!A:A,fashion_store_products!C:C)</f>
        <v>T-Shirts</v>
      </c>
    </row>
    <row r="610" spans="1:16" x14ac:dyDescent="0.45">
      <c r="A610">
        <v>744</v>
      </c>
      <c r="B610">
        <v>354</v>
      </c>
      <c r="C610">
        <v>368</v>
      </c>
      <c r="D610">
        <v>2</v>
      </c>
      <c r="E610">
        <v>53.48</v>
      </c>
      <c r="F610">
        <v>53.48</v>
      </c>
      <c r="G610">
        <v>0</v>
      </c>
      <c r="H610" s="2">
        <v>0</v>
      </c>
      <c r="I610">
        <v>0</v>
      </c>
      <c r="J610">
        <v>106.96</v>
      </c>
      <c r="K610" s="1">
        <v>45751</v>
      </c>
      <c r="L610" t="s">
        <v>15</v>
      </c>
      <c r="M610" t="s">
        <v>15</v>
      </c>
      <c r="N610">
        <f>salesitems[[#This Row],[quantity]]*salesitems[[#This Row],[unit_price]]</f>
        <v>106.96</v>
      </c>
      <c r="O610" t="str">
        <f>_xlfn.XLOOKUP(salesitems[[#This Row],[product_id]],products[product_id],products[product_name])</f>
        <v>Elegant Linen Tee</v>
      </c>
      <c r="P610" t="str">
        <f>_xlfn.XLOOKUP(salesitems[[#This Row],[product_id]],fashion_store_products!A:A,fashion_store_products!C:C)</f>
        <v>T-Shirts</v>
      </c>
    </row>
    <row r="611" spans="1:16" x14ac:dyDescent="0.45">
      <c r="A611">
        <v>786</v>
      </c>
      <c r="B611">
        <v>1155</v>
      </c>
      <c r="C611">
        <v>458</v>
      </c>
      <c r="D611">
        <v>2</v>
      </c>
      <c r="E611">
        <v>53.35</v>
      </c>
      <c r="F611">
        <v>53.35</v>
      </c>
      <c r="G611">
        <v>0</v>
      </c>
      <c r="H611" s="2">
        <v>0</v>
      </c>
      <c r="I611">
        <v>0</v>
      </c>
      <c r="J611">
        <v>106.7</v>
      </c>
      <c r="K611" s="1">
        <v>45800</v>
      </c>
      <c r="L611" t="s">
        <v>21</v>
      </c>
      <c r="M611" t="s">
        <v>18</v>
      </c>
      <c r="N611">
        <f>salesitems[[#This Row],[quantity]]*salesitems[[#This Row],[unit_price]]</f>
        <v>106.7</v>
      </c>
      <c r="O611" t="str">
        <f>_xlfn.XLOOKUP(salesitems[[#This Row],[product_id]],products[product_id],products[product_name])</f>
        <v>Bold Sleeveless Set</v>
      </c>
      <c r="P611" t="str">
        <f>_xlfn.XLOOKUP(salesitems[[#This Row],[product_id]],fashion_store_products!A:A,fashion_store_products!C:C)</f>
        <v>Sleepwear</v>
      </c>
    </row>
    <row r="612" spans="1:16" x14ac:dyDescent="0.45">
      <c r="A612">
        <v>1795</v>
      </c>
      <c r="B612">
        <v>1335</v>
      </c>
      <c r="C612">
        <v>458</v>
      </c>
      <c r="D612">
        <v>2</v>
      </c>
      <c r="E612">
        <v>53.35</v>
      </c>
      <c r="F612">
        <v>53.35</v>
      </c>
      <c r="G612">
        <v>0</v>
      </c>
      <c r="H612" s="2">
        <v>0</v>
      </c>
      <c r="I612">
        <v>0</v>
      </c>
      <c r="J612">
        <v>106.7</v>
      </c>
      <c r="K612" s="1">
        <v>45771</v>
      </c>
      <c r="L612" t="s">
        <v>15</v>
      </c>
      <c r="M612" t="s">
        <v>15</v>
      </c>
      <c r="N612">
        <f>salesitems[[#This Row],[quantity]]*salesitems[[#This Row],[unit_price]]</f>
        <v>106.7</v>
      </c>
      <c r="O612" t="str">
        <f>_xlfn.XLOOKUP(salesitems[[#This Row],[product_id]],products[product_id],products[product_name])</f>
        <v>Bold Sleeveless Set</v>
      </c>
      <c r="P612" t="str">
        <f>_xlfn.XLOOKUP(salesitems[[#This Row],[product_id]],fashion_store_products!A:A,fashion_store_products!C:C)</f>
        <v>Sleepwear</v>
      </c>
    </row>
    <row r="613" spans="1:16" x14ac:dyDescent="0.45">
      <c r="A613">
        <v>2989</v>
      </c>
      <c r="B613">
        <v>1276</v>
      </c>
      <c r="C613">
        <v>458</v>
      </c>
      <c r="D613">
        <v>2</v>
      </c>
      <c r="E613">
        <v>53.35</v>
      </c>
      <c r="F613">
        <v>53.35</v>
      </c>
      <c r="G613">
        <v>0</v>
      </c>
      <c r="H613" s="2">
        <v>0</v>
      </c>
      <c r="I613">
        <v>0</v>
      </c>
      <c r="J613">
        <v>106.7</v>
      </c>
      <c r="K613" s="1">
        <v>45783</v>
      </c>
      <c r="L613" t="s">
        <v>15</v>
      </c>
      <c r="M613" t="s">
        <v>15</v>
      </c>
      <c r="N613">
        <f>salesitems[[#This Row],[quantity]]*salesitems[[#This Row],[unit_price]]</f>
        <v>106.7</v>
      </c>
      <c r="O613" t="str">
        <f>_xlfn.XLOOKUP(salesitems[[#This Row],[product_id]],products[product_id],products[product_name])</f>
        <v>Bold Sleeveless Set</v>
      </c>
      <c r="P613" t="str">
        <f>_xlfn.XLOOKUP(salesitems[[#This Row],[product_id]],fashion_store_products!A:A,fashion_store_products!C:C)</f>
        <v>Sleepwear</v>
      </c>
    </row>
    <row r="614" spans="1:16" x14ac:dyDescent="0.45">
      <c r="A614">
        <v>1647</v>
      </c>
      <c r="B614">
        <v>488</v>
      </c>
      <c r="C614">
        <v>331</v>
      </c>
      <c r="D614">
        <v>2</v>
      </c>
      <c r="E614">
        <v>53.34</v>
      </c>
      <c r="F614">
        <v>53.34</v>
      </c>
      <c r="G614">
        <v>0</v>
      </c>
      <c r="H614" s="2">
        <v>0</v>
      </c>
      <c r="I614">
        <v>0</v>
      </c>
      <c r="J614">
        <v>106.68</v>
      </c>
      <c r="K614" s="1">
        <v>45792</v>
      </c>
      <c r="L614" t="s">
        <v>21</v>
      </c>
      <c r="M614" t="s">
        <v>18</v>
      </c>
      <c r="N614">
        <f>salesitems[[#This Row],[quantity]]*salesitems[[#This Row],[unit_price]]</f>
        <v>106.68</v>
      </c>
      <c r="O614" t="str">
        <f>_xlfn.XLOOKUP(salesitems[[#This Row],[product_id]],products[product_id],products[product_name])</f>
        <v>Relaxed Satin Trousers</v>
      </c>
      <c r="P614" t="str">
        <f>_xlfn.XLOOKUP(salesitems[[#This Row],[product_id]],fashion_store_products!A:A,fashion_store_products!C:C)</f>
        <v>Pants</v>
      </c>
    </row>
    <row r="615" spans="1:16" x14ac:dyDescent="0.45">
      <c r="A615">
        <v>758</v>
      </c>
      <c r="B615">
        <v>217</v>
      </c>
      <c r="C615">
        <v>442</v>
      </c>
      <c r="D615">
        <v>2</v>
      </c>
      <c r="E615">
        <v>53.27</v>
      </c>
      <c r="F615">
        <v>53.27</v>
      </c>
      <c r="G615">
        <v>0</v>
      </c>
      <c r="H615" s="2">
        <v>0</v>
      </c>
      <c r="I615">
        <v>0</v>
      </c>
      <c r="J615">
        <v>106.54</v>
      </c>
      <c r="K615" s="1">
        <v>45753</v>
      </c>
      <c r="L615" t="s">
        <v>21</v>
      </c>
      <c r="M615" t="s">
        <v>18</v>
      </c>
      <c r="N615">
        <f>salesitems[[#This Row],[quantity]]*salesitems[[#This Row],[unit_price]]</f>
        <v>106.54</v>
      </c>
      <c r="O615" t="str">
        <f>_xlfn.XLOOKUP(salesitems[[#This Row],[product_id]],products[product_id],products[product_name])</f>
        <v>Bold Ribbed Dress</v>
      </c>
      <c r="P615" t="str">
        <f>_xlfn.XLOOKUP(salesitems[[#This Row],[product_id]],fashion_store_products!A:A,fashion_store_products!C:C)</f>
        <v>Dresses</v>
      </c>
    </row>
    <row r="616" spans="1:16" x14ac:dyDescent="0.45">
      <c r="A616">
        <v>485</v>
      </c>
      <c r="B616">
        <v>285</v>
      </c>
      <c r="C616">
        <v>73</v>
      </c>
      <c r="D616">
        <v>2</v>
      </c>
      <c r="E616">
        <v>53.25</v>
      </c>
      <c r="F616">
        <v>53.25</v>
      </c>
      <c r="G616">
        <v>0</v>
      </c>
      <c r="H616" s="2">
        <v>0</v>
      </c>
      <c r="I616">
        <v>0</v>
      </c>
      <c r="J616">
        <v>106.5</v>
      </c>
      <c r="K616" s="1">
        <v>45806</v>
      </c>
      <c r="L616" t="s">
        <v>15</v>
      </c>
      <c r="M616" t="s">
        <v>15</v>
      </c>
      <c r="N616">
        <f>salesitems[[#This Row],[quantity]]*salesitems[[#This Row],[unit_price]]</f>
        <v>106.5</v>
      </c>
      <c r="O616" t="str">
        <f>_xlfn.XLOOKUP(salesitems[[#This Row],[product_id]],products[product_id],products[product_name])</f>
        <v>Soft Boxy Set</v>
      </c>
      <c r="P616" t="str">
        <f>_xlfn.XLOOKUP(salesitems[[#This Row],[product_id]],fashion_store_products!A:A,fashion_store_products!C:C)</f>
        <v>Sleepwear</v>
      </c>
    </row>
    <row r="617" spans="1:16" x14ac:dyDescent="0.45">
      <c r="A617">
        <v>346</v>
      </c>
      <c r="B617">
        <v>1013</v>
      </c>
      <c r="C617">
        <v>133</v>
      </c>
      <c r="D617">
        <v>2</v>
      </c>
      <c r="E617">
        <v>53.05</v>
      </c>
      <c r="F617">
        <v>53.05</v>
      </c>
      <c r="G617">
        <v>0</v>
      </c>
      <c r="H617" s="2">
        <v>0</v>
      </c>
      <c r="I617">
        <v>0</v>
      </c>
      <c r="J617">
        <v>106.1</v>
      </c>
      <c r="K617" s="1">
        <v>45777</v>
      </c>
      <c r="L617" t="s">
        <v>15</v>
      </c>
      <c r="M617" t="s">
        <v>15</v>
      </c>
      <c r="N617">
        <f>salesitems[[#This Row],[quantity]]*salesitems[[#This Row],[unit_price]]</f>
        <v>106.1</v>
      </c>
      <c r="O617" t="str">
        <f>_xlfn.XLOOKUP(salesitems[[#This Row],[product_id]],products[product_id],products[product_name])</f>
        <v>Classic Sleeveless Tee</v>
      </c>
      <c r="P617" t="str">
        <f>_xlfn.XLOOKUP(salesitems[[#This Row],[product_id]],fashion_store_products!A:A,fashion_store_products!C:C)</f>
        <v>T-Shirts</v>
      </c>
    </row>
    <row r="618" spans="1:16" x14ac:dyDescent="0.45">
      <c r="A618">
        <v>679</v>
      </c>
      <c r="B618">
        <v>1195</v>
      </c>
      <c r="C618">
        <v>133</v>
      </c>
      <c r="D618">
        <v>2</v>
      </c>
      <c r="E618">
        <v>53.05</v>
      </c>
      <c r="F618">
        <v>53.05</v>
      </c>
      <c r="G618">
        <v>0</v>
      </c>
      <c r="H618" s="2">
        <v>0</v>
      </c>
      <c r="I618">
        <v>0</v>
      </c>
      <c r="J618">
        <v>106.1</v>
      </c>
      <c r="K618" s="1">
        <v>45769</v>
      </c>
      <c r="L618" t="s">
        <v>15</v>
      </c>
      <c r="M618" t="s">
        <v>15</v>
      </c>
      <c r="N618">
        <f>salesitems[[#This Row],[quantity]]*salesitems[[#This Row],[unit_price]]</f>
        <v>106.1</v>
      </c>
      <c r="O618" t="str">
        <f>_xlfn.XLOOKUP(salesitems[[#This Row],[product_id]],products[product_id],products[product_name])</f>
        <v>Classic Sleeveless Tee</v>
      </c>
      <c r="P618" t="str">
        <f>_xlfn.XLOOKUP(salesitems[[#This Row],[product_id]],fashion_store_products!A:A,fashion_store_products!C:C)</f>
        <v>T-Shirts</v>
      </c>
    </row>
    <row r="619" spans="1:16" x14ac:dyDescent="0.45">
      <c r="A619">
        <v>1532</v>
      </c>
      <c r="B619">
        <v>815</v>
      </c>
      <c r="C619">
        <v>25</v>
      </c>
      <c r="D619">
        <v>2</v>
      </c>
      <c r="E619">
        <v>52.94</v>
      </c>
      <c r="F619">
        <v>52.94</v>
      </c>
      <c r="G619">
        <v>0</v>
      </c>
      <c r="H619" s="2">
        <v>0</v>
      </c>
      <c r="I619">
        <v>0</v>
      </c>
      <c r="J619">
        <v>105.88</v>
      </c>
      <c r="K619" s="1">
        <v>45774</v>
      </c>
      <c r="L619" t="s">
        <v>15</v>
      </c>
      <c r="M619" t="s">
        <v>15</v>
      </c>
      <c r="N619">
        <f>salesitems[[#This Row],[quantity]]*salesitems[[#This Row],[unit_price]]</f>
        <v>105.88</v>
      </c>
      <c r="O619" t="str">
        <f>_xlfn.XLOOKUP(salesitems[[#This Row],[product_id]],products[product_id],products[product_name])</f>
        <v>Soft Wrap Set</v>
      </c>
      <c r="P619" t="str">
        <f>_xlfn.XLOOKUP(salesitems[[#This Row],[product_id]],fashion_store_products!A:A,fashion_store_products!C:C)</f>
        <v>Sleepwear</v>
      </c>
    </row>
    <row r="620" spans="1:16" x14ac:dyDescent="0.45">
      <c r="A620">
        <v>2372</v>
      </c>
      <c r="B620">
        <v>861</v>
      </c>
      <c r="C620">
        <v>25</v>
      </c>
      <c r="D620">
        <v>2</v>
      </c>
      <c r="E620">
        <v>52.94</v>
      </c>
      <c r="F620">
        <v>52.94</v>
      </c>
      <c r="G620">
        <v>0</v>
      </c>
      <c r="H620" s="2">
        <v>0</v>
      </c>
      <c r="I620">
        <v>0</v>
      </c>
      <c r="J620">
        <v>105.88</v>
      </c>
      <c r="K620" s="1">
        <v>45768</v>
      </c>
      <c r="L620" t="s">
        <v>21</v>
      </c>
      <c r="M620" t="s">
        <v>18</v>
      </c>
      <c r="N620">
        <f>salesitems[[#This Row],[quantity]]*salesitems[[#This Row],[unit_price]]</f>
        <v>105.88</v>
      </c>
      <c r="O620" t="str">
        <f>_xlfn.XLOOKUP(salesitems[[#This Row],[product_id]],products[product_id],products[product_name])</f>
        <v>Soft Wrap Set</v>
      </c>
      <c r="P620" t="str">
        <f>_xlfn.XLOOKUP(salesitems[[#This Row],[product_id]],fashion_store_products!A:A,fashion_store_products!C:C)</f>
        <v>Sleepwear</v>
      </c>
    </row>
    <row r="621" spans="1:16" x14ac:dyDescent="0.45">
      <c r="A621">
        <v>2919</v>
      </c>
      <c r="B621">
        <v>516</v>
      </c>
      <c r="C621">
        <v>25</v>
      </c>
      <c r="D621">
        <v>2</v>
      </c>
      <c r="E621">
        <v>52.94</v>
      </c>
      <c r="F621">
        <v>52.94</v>
      </c>
      <c r="G621">
        <v>0</v>
      </c>
      <c r="H621" s="2">
        <v>0</v>
      </c>
      <c r="I621">
        <v>0</v>
      </c>
      <c r="J621">
        <v>105.88</v>
      </c>
      <c r="K621" s="1">
        <v>45752</v>
      </c>
      <c r="L621" t="s">
        <v>21</v>
      </c>
      <c r="M621" t="s">
        <v>18</v>
      </c>
      <c r="N621">
        <f>salesitems[[#This Row],[quantity]]*salesitems[[#This Row],[unit_price]]</f>
        <v>105.88</v>
      </c>
      <c r="O621" t="str">
        <f>_xlfn.XLOOKUP(salesitems[[#This Row],[product_id]],products[product_id],products[product_name])</f>
        <v>Soft Wrap Set</v>
      </c>
      <c r="P621" t="str">
        <f>_xlfn.XLOOKUP(salesitems[[#This Row],[product_id]],fashion_store_products!A:A,fashion_store_products!C:C)</f>
        <v>Sleepwear</v>
      </c>
    </row>
    <row r="622" spans="1:16" x14ac:dyDescent="0.45">
      <c r="A622">
        <v>2082</v>
      </c>
      <c r="B622">
        <v>282</v>
      </c>
      <c r="C622">
        <v>147</v>
      </c>
      <c r="D622">
        <v>2</v>
      </c>
      <c r="E622">
        <v>52.91</v>
      </c>
      <c r="F622">
        <v>52.91</v>
      </c>
      <c r="G622">
        <v>0</v>
      </c>
      <c r="H622" s="2">
        <v>0</v>
      </c>
      <c r="I622">
        <v>0</v>
      </c>
      <c r="J622">
        <v>105.82</v>
      </c>
      <c r="K622" s="1">
        <v>45803</v>
      </c>
      <c r="L622" t="s">
        <v>15</v>
      </c>
      <c r="M622" t="s">
        <v>15</v>
      </c>
      <c r="N622">
        <f>salesitems[[#This Row],[quantity]]*salesitems[[#This Row],[unit_price]]</f>
        <v>105.82</v>
      </c>
      <c r="O622" t="str">
        <f>_xlfn.XLOOKUP(salesitems[[#This Row],[product_id]],products[product_id],products[product_name])</f>
        <v>Vintage Linen Shoes</v>
      </c>
      <c r="P622" t="str">
        <f>_xlfn.XLOOKUP(salesitems[[#This Row],[product_id]],fashion_store_products!A:A,fashion_store_products!C:C)</f>
        <v>Shoes</v>
      </c>
    </row>
    <row r="623" spans="1:16" x14ac:dyDescent="0.45">
      <c r="A623">
        <v>1428</v>
      </c>
      <c r="B623">
        <v>329</v>
      </c>
      <c r="C623">
        <v>299</v>
      </c>
      <c r="D623">
        <v>2</v>
      </c>
      <c r="E623">
        <v>52.65</v>
      </c>
      <c r="F623">
        <v>52.65</v>
      </c>
      <c r="G623">
        <v>0</v>
      </c>
      <c r="H623" s="2">
        <v>0</v>
      </c>
      <c r="I623">
        <v>0</v>
      </c>
      <c r="J623">
        <v>105.3</v>
      </c>
      <c r="K623" s="1">
        <v>45751</v>
      </c>
      <c r="L623" t="s">
        <v>21</v>
      </c>
      <c r="M623" t="s">
        <v>18</v>
      </c>
      <c r="N623">
        <f>salesitems[[#This Row],[quantity]]*salesitems[[#This Row],[unit_price]]</f>
        <v>105.3</v>
      </c>
      <c r="O623" t="str">
        <f>_xlfn.XLOOKUP(salesitems[[#This Row],[product_id]],products[product_id],products[product_name])</f>
        <v>Essential Wrap Dress</v>
      </c>
      <c r="P623" t="str">
        <f>_xlfn.XLOOKUP(salesitems[[#This Row],[product_id]],fashion_store_products!A:A,fashion_store_products!C:C)</f>
        <v>Dresses</v>
      </c>
    </row>
    <row r="624" spans="1:16" x14ac:dyDescent="0.45">
      <c r="A624">
        <v>1746</v>
      </c>
      <c r="B624">
        <v>838</v>
      </c>
      <c r="C624">
        <v>299</v>
      </c>
      <c r="D624">
        <v>2</v>
      </c>
      <c r="E624">
        <v>52.65</v>
      </c>
      <c r="F624">
        <v>52.65</v>
      </c>
      <c r="G624">
        <v>0</v>
      </c>
      <c r="H624" s="2">
        <v>0</v>
      </c>
      <c r="I624">
        <v>0</v>
      </c>
      <c r="J624">
        <v>105.3</v>
      </c>
      <c r="K624" s="1">
        <v>45804</v>
      </c>
      <c r="L624" t="s">
        <v>21</v>
      </c>
      <c r="M624" t="s">
        <v>18</v>
      </c>
      <c r="N624">
        <f>salesitems[[#This Row],[quantity]]*salesitems[[#This Row],[unit_price]]</f>
        <v>105.3</v>
      </c>
      <c r="O624" t="str">
        <f>_xlfn.XLOOKUP(salesitems[[#This Row],[product_id]],products[product_id],products[product_name])</f>
        <v>Essential Wrap Dress</v>
      </c>
      <c r="P624" t="str">
        <f>_xlfn.XLOOKUP(salesitems[[#This Row],[product_id]],fashion_store_products!A:A,fashion_store_products!C:C)</f>
        <v>Dresses</v>
      </c>
    </row>
    <row r="625" spans="1:16" x14ac:dyDescent="0.45">
      <c r="A625">
        <v>26</v>
      </c>
      <c r="B625">
        <v>399</v>
      </c>
      <c r="C625">
        <v>220</v>
      </c>
      <c r="D625">
        <v>2</v>
      </c>
      <c r="E625">
        <v>52.6</v>
      </c>
      <c r="F625">
        <v>52.6</v>
      </c>
      <c r="G625">
        <v>0</v>
      </c>
      <c r="H625" s="2">
        <v>0</v>
      </c>
      <c r="I625">
        <v>0</v>
      </c>
      <c r="J625">
        <v>105.2</v>
      </c>
      <c r="K625" s="1">
        <v>45781</v>
      </c>
      <c r="L625" t="s">
        <v>15</v>
      </c>
      <c r="M625" t="s">
        <v>15</v>
      </c>
      <c r="N625">
        <f>salesitems[[#This Row],[quantity]]*salesitems[[#This Row],[unit_price]]</f>
        <v>105.2</v>
      </c>
      <c r="O625" t="str">
        <f>_xlfn.XLOOKUP(salesitems[[#This Row],[product_id]],products[product_id],products[product_name])</f>
        <v>Polished Wrap Set</v>
      </c>
      <c r="P625" t="str">
        <f>_xlfn.XLOOKUP(salesitems[[#This Row],[product_id]],fashion_store_products!A:A,fashion_store_products!C:C)</f>
        <v>Sleepwear</v>
      </c>
    </row>
    <row r="626" spans="1:16" x14ac:dyDescent="0.45">
      <c r="A626">
        <v>3202</v>
      </c>
      <c r="B626">
        <v>1196</v>
      </c>
      <c r="C626">
        <v>432</v>
      </c>
      <c r="D626">
        <v>2</v>
      </c>
      <c r="E626">
        <v>52.39</v>
      </c>
      <c r="F626">
        <v>52.39</v>
      </c>
      <c r="G626">
        <v>0</v>
      </c>
      <c r="H626" s="2">
        <v>0</v>
      </c>
      <c r="I626">
        <v>0</v>
      </c>
      <c r="J626">
        <v>104.78</v>
      </c>
      <c r="K626" s="1">
        <v>45800</v>
      </c>
      <c r="L626" t="s">
        <v>15</v>
      </c>
      <c r="M626" t="s">
        <v>15</v>
      </c>
      <c r="N626">
        <f>salesitems[[#This Row],[quantity]]*salesitems[[#This Row],[unit_price]]</f>
        <v>104.78</v>
      </c>
      <c r="O626" t="str">
        <f>_xlfn.XLOOKUP(salesitems[[#This Row],[product_id]],products[product_id],products[product_name])</f>
        <v>Bold Linen Tee</v>
      </c>
      <c r="P626" t="str">
        <f>_xlfn.XLOOKUP(salesitems[[#This Row],[product_id]],fashion_store_products!A:A,fashion_store_products!C:C)</f>
        <v>T-Shirts</v>
      </c>
    </row>
    <row r="627" spans="1:16" x14ac:dyDescent="0.45">
      <c r="A627">
        <v>2705</v>
      </c>
      <c r="B627">
        <v>1052</v>
      </c>
      <c r="C627">
        <v>77</v>
      </c>
      <c r="D627">
        <v>2</v>
      </c>
      <c r="E627">
        <v>52.38</v>
      </c>
      <c r="F627">
        <v>52.38</v>
      </c>
      <c r="G627">
        <v>0</v>
      </c>
      <c r="H627" s="2">
        <v>0</v>
      </c>
      <c r="I627">
        <v>0</v>
      </c>
      <c r="J627">
        <v>104.76</v>
      </c>
      <c r="K627" s="1">
        <v>45771</v>
      </c>
      <c r="L627" t="s">
        <v>21</v>
      </c>
      <c r="M627" t="s">
        <v>18</v>
      </c>
      <c r="N627">
        <f>salesitems[[#This Row],[quantity]]*salesitems[[#This Row],[unit_price]]</f>
        <v>104.76</v>
      </c>
      <c r="O627" t="str">
        <f>_xlfn.XLOOKUP(salesitems[[#This Row],[product_id]],products[product_id],products[product_name])</f>
        <v>Classic Linen Dress</v>
      </c>
      <c r="P627" t="str">
        <f>_xlfn.XLOOKUP(salesitems[[#This Row],[product_id]],fashion_store_products!A:A,fashion_store_products!C:C)</f>
        <v>Dresses</v>
      </c>
    </row>
    <row r="628" spans="1:16" x14ac:dyDescent="0.45">
      <c r="A628">
        <v>2716</v>
      </c>
      <c r="B628">
        <v>1096</v>
      </c>
      <c r="C628">
        <v>77</v>
      </c>
      <c r="D628">
        <v>2</v>
      </c>
      <c r="E628">
        <v>52.38</v>
      </c>
      <c r="F628">
        <v>52.38</v>
      </c>
      <c r="G628">
        <v>0</v>
      </c>
      <c r="H628" s="2">
        <v>0</v>
      </c>
      <c r="I628">
        <v>0</v>
      </c>
      <c r="J628">
        <v>104.76</v>
      </c>
      <c r="K628" s="1">
        <v>45781</v>
      </c>
      <c r="L628" t="s">
        <v>21</v>
      </c>
      <c r="M628" t="s">
        <v>18</v>
      </c>
      <c r="N628">
        <f>salesitems[[#This Row],[quantity]]*salesitems[[#This Row],[unit_price]]</f>
        <v>104.76</v>
      </c>
      <c r="O628" t="str">
        <f>_xlfn.XLOOKUP(salesitems[[#This Row],[product_id]],products[product_id],products[product_name])</f>
        <v>Classic Linen Dress</v>
      </c>
      <c r="P628" t="str">
        <f>_xlfn.XLOOKUP(salesitems[[#This Row],[product_id]],fashion_store_products!A:A,fashion_store_products!C:C)</f>
        <v>Dresses</v>
      </c>
    </row>
    <row r="629" spans="1:16" x14ac:dyDescent="0.45">
      <c r="A629">
        <v>330</v>
      </c>
      <c r="B629">
        <v>796</v>
      </c>
      <c r="C629">
        <v>445</v>
      </c>
      <c r="D629">
        <v>2</v>
      </c>
      <c r="E629">
        <v>52.28</v>
      </c>
      <c r="F629">
        <v>52.28</v>
      </c>
      <c r="G629">
        <v>0</v>
      </c>
      <c r="H629" s="2">
        <v>0</v>
      </c>
      <c r="I629">
        <v>0</v>
      </c>
      <c r="J629">
        <v>104.56</v>
      </c>
      <c r="K629" s="1">
        <v>45752</v>
      </c>
      <c r="L629" t="s">
        <v>15</v>
      </c>
      <c r="M629" t="s">
        <v>15</v>
      </c>
      <c r="N629">
        <f>salesitems[[#This Row],[quantity]]*salesitems[[#This Row],[unit_price]]</f>
        <v>104.56</v>
      </c>
      <c r="O629" t="str">
        <f>_xlfn.XLOOKUP(salesitems[[#This Row],[product_id]],products[product_id],products[product_name])</f>
        <v>Bold Cotton Set</v>
      </c>
      <c r="P629" t="str">
        <f>_xlfn.XLOOKUP(salesitems[[#This Row],[product_id]],fashion_store_products!A:A,fashion_store_products!C:C)</f>
        <v>Sleepwear</v>
      </c>
    </row>
    <row r="630" spans="1:16" x14ac:dyDescent="0.45">
      <c r="A630">
        <v>682</v>
      </c>
      <c r="B630">
        <v>787</v>
      </c>
      <c r="C630">
        <v>57</v>
      </c>
      <c r="D630">
        <v>2</v>
      </c>
      <c r="E630">
        <v>52.28</v>
      </c>
      <c r="F630">
        <v>52.28</v>
      </c>
      <c r="G630">
        <v>0</v>
      </c>
      <c r="H630" s="2">
        <v>0</v>
      </c>
      <c r="I630">
        <v>0</v>
      </c>
      <c r="J630">
        <v>104.56</v>
      </c>
      <c r="K630" s="1">
        <v>45825</v>
      </c>
      <c r="L630" t="s">
        <v>21</v>
      </c>
      <c r="M630" t="s">
        <v>18</v>
      </c>
      <c r="N630">
        <f>salesitems[[#This Row],[quantity]]*salesitems[[#This Row],[unit_price]]</f>
        <v>104.56</v>
      </c>
      <c r="O630" t="str">
        <f>_xlfn.XLOOKUP(salesitems[[#This Row],[product_id]],products[product_id],products[product_name])</f>
        <v>Modern Crew Dress</v>
      </c>
      <c r="P630" t="str">
        <f>_xlfn.XLOOKUP(salesitems[[#This Row],[product_id]],fashion_store_products!A:A,fashion_store_products!C:C)</f>
        <v>Dresses</v>
      </c>
    </row>
    <row r="631" spans="1:16" x14ac:dyDescent="0.45">
      <c r="A631">
        <v>1679</v>
      </c>
      <c r="B631">
        <v>824</v>
      </c>
      <c r="C631">
        <v>445</v>
      </c>
      <c r="D631">
        <v>2</v>
      </c>
      <c r="E631">
        <v>52.28</v>
      </c>
      <c r="F631">
        <v>52.28</v>
      </c>
      <c r="G631">
        <v>0</v>
      </c>
      <c r="H631" s="2">
        <v>0</v>
      </c>
      <c r="I631">
        <v>0</v>
      </c>
      <c r="J631">
        <v>104.56</v>
      </c>
      <c r="K631" s="1">
        <v>45782</v>
      </c>
      <c r="L631" t="s">
        <v>21</v>
      </c>
      <c r="M631" t="s">
        <v>18</v>
      </c>
      <c r="N631">
        <f>salesitems[[#This Row],[quantity]]*salesitems[[#This Row],[unit_price]]</f>
        <v>104.56</v>
      </c>
      <c r="O631" t="str">
        <f>_xlfn.XLOOKUP(salesitems[[#This Row],[product_id]],products[product_id],products[product_name])</f>
        <v>Bold Cotton Set</v>
      </c>
      <c r="P631" t="str">
        <f>_xlfn.XLOOKUP(salesitems[[#This Row],[product_id]],fashion_store_products!A:A,fashion_store_products!C:C)</f>
        <v>Sleepwear</v>
      </c>
    </row>
    <row r="632" spans="1:16" x14ac:dyDescent="0.45">
      <c r="A632">
        <v>1869</v>
      </c>
      <c r="B632">
        <v>799</v>
      </c>
      <c r="C632">
        <v>57</v>
      </c>
      <c r="D632">
        <v>2</v>
      </c>
      <c r="E632">
        <v>52.28</v>
      </c>
      <c r="F632">
        <v>52.28</v>
      </c>
      <c r="G632">
        <v>0</v>
      </c>
      <c r="H632" s="2">
        <v>0</v>
      </c>
      <c r="I632">
        <v>0</v>
      </c>
      <c r="J632">
        <v>104.56</v>
      </c>
      <c r="K632" s="1">
        <v>45763</v>
      </c>
      <c r="L632" t="s">
        <v>15</v>
      </c>
      <c r="M632" t="s">
        <v>15</v>
      </c>
      <c r="N632">
        <f>salesitems[[#This Row],[quantity]]*salesitems[[#This Row],[unit_price]]</f>
        <v>104.56</v>
      </c>
      <c r="O632" t="str">
        <f>_xlfn.XLOOKUP(salesitems[[#This Row],[product_id]],products[product_id],products[product_name])</f>
        <v>Modern Crew Dress</v>
      </c>
      <c r="P632" t="str">
        <f>_xlfn.XLOOKUP(salesitems[[#This Row],[product_id]],fashion_store_products!A:A,fashion_store_products!C:C)</f>
        <v>Dresses</v>
      </c>
    </row>
    <row r="633" spans="1:16" x14ac:dyDescent="0.45">
      <c r="A633">
        <v>2171</v>
      </c>
      <c r="B633">
        <v>277</v>
      </c>
      <c r="C633">
        <v>217</v>
      </c>
      <c r="D633">
        <v>2</v>
      </c>
      <c r="E633">
        <v>52.12</v>
      </c>
      <c r="F633">
        <v>52.12</v>
      </c>
      <c r="G633">
        <v>0</v>
      </c>
      <c r="H633" s="2">
        <v>0</v>
      </c>
      <c r="I633">
        <v>0</v>
      </c>
      <c r="J633">
        <v>104.24</v>
      </c>
      <c r="K633" s="1">
        <v>45803</v>
      </c>
      <c r="L633" t="s">
        <v>21</v>
      </c>
      <c r="M633" t="s">
        <v>18</v>
      </c>
      <c r="N633">
        <f>salesitems[[#This Row],[quantity]]*salesitems[[#This Row],[unit_price]]</f>
        <v>104.24</v>
      </c>
      <c r="O633" t="str">
        <f>_xlfn.XLOOKUP(salesitems[[#This Row],[product_id]],products[product_id],products[product_name])</f>
        <v>Polished Cotton Tee</v>
      </c>
      <c r="P633" t="str">
        <f>_xlfn.XLOOKUP(salesitems[[#This Row],[product_id]],fashion_store_products!A:A,fashion_store_products!C:C)</f>
        <v>T-Shirts</v>
      </c>
    </row>
    <row r="634" spans="1:16" x14ac:dyDescent="0.45">
      <c r="A634">
        <v>2748</v>
      </c>
      <c r="B634">
        <v>853</v>
      </c>
      <c r="C634">
        <v>282</v>
      </c>
      <c r="D634">
        <v>2</v>
      </c>
      <c r="E634">
        <v>52.12</v>
      </c>
      <c r="F634">
        <v>52.12</v>
      </c>
      <c r="G634">
        <v>0</v>
      </c>
      <c r="H634" s="2">
        <v>0</v>
      </c>
      <c r="I634">
        <v>0</v>
      </c>
      <c r="J634">
        <v>104.24</v>
      </c>
      <c r="K634" s="1">
        <v>45775</v>
      </c>
      <c r="L634" t="s">
        <v>15</v>
      </c>
      <c r="M634" t="s">
        <v>15</v>
      </c>
      <c r="N634">
        <f>salesitems[[#This Row],[quantity]]*salesitems[[#This Row],[unit_price]]</f>
        <v>104.24</v>
      </c>
      <c r="O634" t="str">
        <f>_xlfn.XLOOKUP(salesitems[[#This Row],[product_id]],products[product_id],products[product_name])</f>
        <v>Polished High-Waist Trousers</v>
      </c>
      <c r="P634" t="str">
        <f>_xlfn.XLOOKUP(salesitems[[#This Row],[product_id]],fashion_store_products!A:A,fashion_store_products!C:C)</f>
        <v>Pants</v>
      </c>
    </row>
    <row r="635" spans="1:16" x14ac:dyDescent="0.45">
      <c r="A635">
        <v>1441</v>
      </c>
      <c r="B635">
        <v>670</v>
      </c>
      <c r="C635">
        <v>275</v>
      </c>
      <c r="D635">
        <v>2</v>
      </c>
      <c r="E635">
        <v>52.11</v>
      </c>
      <c r="F635">
        <v>52.11</v>
      </c>
      <c r="G635">
        <v>0</v>
      </c>
      <c r="H635" s="2">
        <v>0</v>
      </c>
      <c r="I635">
        <v>0</v>
      </c>
      <c r="J635">
        <v>104.22</v>
      </c>
      <c r="K635" s="1">
        <v>45804</v>
      </c>
      <c r="L635" t="s">
        <v>15</v>
      </c>
      <c r="M635" t="s">
        <v>15</v>
      </c>
      <c r="N635">
        <f>salesitems[[#This Row],[quantity]]*salesitems[[#This Row],[unit_price]]</f>
        <v>104.22</v>
      </c>
      <c r="O635" t="str">
        <f>_xlfn.XLOOKUP(salesitems[[#This Row],[product_id]],products[product_id],products[product_name])</f>
        <v>Relaxed Sleeveless Tee</v>
      </c>
      <c r="P635" t="str">
        <f>_xlfn.XLOOKUP(salesitems[[#This Row],[product_id]],fashion_store_products!A:A,fashion_store_products!C:C)</f>
        <v>T-Shirts</v>
      </c>
    </row>
    <row r="636" spans="1:16" x14ac:dyDescent="0.45">
      <c r="A636">
        <v>3225</v>
      </c>
      <c r="B636">
        <v>566</v>
      </c>
      <c r="C636">
        <v>275</v>
      </c>
      <c r="D636">
        <v>2</v>
      </c>
      <c r="E636">
        <v>52.11</v>
      </c>
      <c r="F636">
        <v>52.11</v>
      </c>
      <c r="G636">
        <v>0</v>
      </c>
      <c r="H636" s="2">
        <v>0</v>
      </c>
      <c r="I636">
        <v>0</v>
      </c>
      <c r="J636">
        <v>104.22</v>
      </c>
      <c r="K636" s="1">
        <v>45768</v>
      </c>
      <c r="L636" t="s">
        <v>21</v>
      </c>
      <c r="M636" t="s">
        <v>18</v>
      </c>
      <c r="N636">
        <f>salesitems[[#This Row],[quantity]]*salesitems[[#This Row],[unit_price]]</f>
        <v>104.22</v>
      </c>
      <c r="O636" t="str">
        <f>_xlfn.XLOOKUP(salesitems[[#This Row],[product_id]],products[product_id],products[product_name])</f>
        <v>Relaxed Sleeveless Tee</v>
      </c>
      <c r="P636" t="str">
        <f>_xlfn.XLOOKUP(salesitems[[#This Row],[product_id]],fashion_store_products!A:A,fashion_store_products!C:C)</f>
        <v>T-Shirts</v>
      </c>
    </row>
    <row r="637" spans="1:16" x14ac:dyDescent="0.45">
      <c r="A637">
        <v>882</v>
      </c>
      <c r="B637">
        <v>479</v>
      </c>
      <c r="C637">
        <v>203</v>
      </c>
      <c r="D637">
        <v>2</v>
      </c>
      <c r="E637">
        <v>52.1</v>
      </c>
      <c r="F637">
        <v>52.1</v>
      </c>
      <c r="G637">
        <v>0</v>
      </c>
      <c r="H637" s="2">
        <v>0</v>
      </c>
      <c r="I637">
        <v>0</v>
      </c>
      <c r="J637">
        <v>104.2</v>
      </c>
      <c r="K637" s="1">
        <v>45797</v>
      </c>
      <c r="L637" t="s">
        <v>21</v>
      </c>
      <c r="M637" t="s">
        <v>18</v>
      </c>
      <c r="N637">
        <f>salesitems[[#This Row],[quantity]]*salesitems[[#This Row],[unit_price]]</f>
        <v>104.2</v>
      </c>
      <c r="O637" t="str">
        <f>_xlfn.XLOOKUP(salesitems[[#This Row],[product_id]],products[product_id],products[product_name])</f>
        <v>Polished High-Waist Dress</v>
      </c>
      <c r="P637" t="str">
        <f>_xlfn.XLOOKUP(salesitems[[#This Row],[product_id]],fashion_store_products!A:A,fashion_store_products!C:C)</f>
        <v>Dresses</v>
      </c>
    </row>
    <row r="638" spans="1:16" x14ac:dyDescent="0.45">
      <c r="A638">
        <v>311</v>
      </c>
      <c r="B638">
        <v>146</v>
      </c>
      <c r="C638">
        <v>440</v>
      </c>
      <c r="D638">
        <v>2</v>
      </c>
      <c r="E638">
        <v>52.08</v>
      </c>
      <c r="F638">
        <v>52.08</v>
      </c>
      <c r="G638">
        <v>0</v>
      </c>
      <c r="H638" s="2">
        <v>0</v>
      </c>
      <c r="I638">
        <v>0</v>
      </c>
      <c r="J638">
        <v>104.16</v>
      </c>
      <c r="K638" s="1">
        <v>45762</v>
      </c>
      <c r="L638" t="s">
        <v>21</v>
      </c>
      <c r="M638" t="s">
        <v>18</v>
      </c>
      <c r="N638">
        <f>salesitems[[#This Row],[quantity]]*salesitems[[#This Row],[unit_price]]</f>
        <v>104.16</v>
      </c>
      <c r="O638" t="str">
        <f>_xlfn.XLOOKUP(salesitems[[#This Row],[product_id]],products[product_id],products[product_name])</f>
        <v>Bold Linen Shoes</v>
      </c>
      <c r="P638" t="str">
        <f>_xlfn.XLOOKUP(salesitems[[#This Row],[product_id]],fashion_store_products!A:A,fashion_store_products!C:C)</f>
        <v>Shoes</v>
      </c>
    </row>
    <row r="639" spans="1:16" x14ac:dyDescent="0.45">
      <c r="A639">
        <v>1788</v>
      </c>
      <c r="B639">
        <v>1275</v>
      </c>
      <c r="C639">
        <v>426</v>
      </c>
      <c r="D639">
        <v>2</v>
      </c>
      <c r="E639">
        <v>51.97</v>
      </c>
      <c r="F639">
        <v>51.97</v>
      </c>
      <c r="G639">
        <v>0</v>
      </c>
      <c r="H639" s="2">
        <v>0</v>
      </c>
      <c r="I639">
        <v>0</v>
      </c>
      <c r="J639">
        <v>103.94</v>
      </c>
      <c r="K639" s="1">
        <v>45751</v>
      </c>
      <c r="L639" t="s">
        <v>15</v>
      </c>
      <c r="M639" t="s">
        <v>15</v>
      </c>
      <c r="N639">
        <f>salesitems[[#This Row],[quantity]]*salesitems[[#This Row],[unit_price]]</f>
        <v>103.94</v>
      </c>
      <c r="O639" t="str">
        <f>_xlfn.XLOOKUP(salesitems[[#This Row],[product_id]],products[product_id],products[product_name])</f>
        <v>Elegant High-Waist Dress</v>
      </c>
      <c r="P639" t="str">
        <f>_xlfn.XLOOKUP(salesitems[[#This Row],[product_id]],fashion_store_products!A:A,fashion_store_products!C:C)</f>
        <v>Dresses</v>
      </c>
    </row>
    <row r="640" spans="1:16" x14ac:dyDescent="0.45">
      <c r="A640">
        <v>195</v>
      </c>
      <c r="B640">
        <v>435</v>
      </c>
      <c r="C640">
        <v>17</v>
      </c>
      <c r="D640">
        <v>2</v>
      </c>
      <c r="E640">
        <v>51.9</v>
      </c>
      <c r="F640">
        <v>51.9</v>
      </c>
      <c r="G640">
        <v>0</v>
      </c>
      <c r="H640" s="2">
        <v>0</v>
      </c>
      <c r="I640">
        <v>0</v>
      </c>
      <c r="J640">
        <v>103.8</v>
      </c>
      <c r="K640" s="1">
        <v>45774</v>
      </c>
      <c r="L640" t="s">
        <v>15</v>
      </c>
      <c r="M640" t="s">
        <v>15</v>
      </c>
      <c r="N640">
        <f>salesitems[[#This Row],[quantity]]*salesitems[[#This Row],[unit_price]]</f>
        <v>103.8</v>
      </c>
      <c r="O640" t="str">
        <f>_xlfn.XLOOKUP(salesitems[[#This Row],[product_id]],products[product_id],products[product_name])</f>
        <v>Soft Satin Dress</v>
      </c>
      <c r="P640" t="str">
        <f>_xlfn.XLOOKUP(salesitems[[#This Row],[product_id]],fashion_store_products!A:A,fashion_store_products!C:C)</f>
        <v>Dresses</v>
      </c>
    </row>
    <row r="641" spans="1:16" x14ac:dyDescent="0.45">
      <c r="A641">
        <v>1993</v>
      </c>
      <c r="B641">
        <v>739</v>
      </c>
      <c r="C641">
        <v>468</v>
      </c>
      <c r="D641">
        <v>2</v>
      </c>
      <c r="E641">
        <v>51.8</v>
      </c>
      <c r="F641">
        <v>51.8</v>
      </c>
      <c r="G641">
        <v>0</v>
      </c>
      <c r="H641" s="2">
        <v>0</v>
      </c>
      <c r="I641">
        <v>0</v>
      </c>
      <c r="J641">
        <v>103.6</v>
      </c>
      <c r="K641" s="1">
        <v>45782</v>
      </c>
      <c r="L641" t="s">
        <v>15</v>
      </c>
      <c r="M641" t="s">
        <v>15</v>
      </c>
      <c r="N641">
        <f>salesitems[[#This Row],[quantity]]*salesitems[[#This Row],[unit_price]]</f>
        <v>103.6</v>
      </c>
      <c r="O641" t="str">
        <f>_xlfn.XLOOKUP(salesitems[[#This Row],[product_id]],products[product_id],products[product_name])</f>
        <v>Sleepwear Drop 1</v>
      </c>
      <c r="P641" t="str">
        <f>_xlfn.XLOOKUP(salesitems[[#This Row],[product_id]],fashion_store_products!A:A,fashion_store_products!C:C)</f>
        <v>Sleepwear</v>
      </c>
    </row>
    <row r="642" spans="1:16" x14ac:dyDescent="0.45">
      <c r="A642">
        <v>2684</v>
      </c>
      <c r="B642">
        <v>937</v>
      </c>
      <c r="C642">
        <v>468</v>
      </c>
      <c r="D642">
        <v>2</v>
      </c>
      <c r="E642">
        <v>51.8</v>
      </c>
      <c r="F642">
        <v>51.8</v>
      </c>
      <c r="G642">
        <v>0</v>
      </c>
      <c r="H642" s="2">
        <v>0</v>
      </c>
      <c r="I642">
        <v>0</v>
      </c>
      <c r="J642">
        <v>103.6</v>
      </c>
      <c r="K642" s="1">
        <v>45824</v>
      </c>
      <c r="L642" t="s">
        <v>15</v>
      </c>
      <c r="M642" t="s">
        <v>15</v>
      </c>
      <c r="N642">
        <f>salesitems[[#This Row],[quantity]]*salesitems[[#This Row],[unit_price]]</f>
        <v>103.6</v>
      </c>
      <c r="O642" t="str">
        <f>_xlfn.XLOOKUP(salesitems[[#This Row],[product_id]],products[product_id],products[product_name])</f>
        <v>Sleepwear Drop 1</v>
      </c>
      <c r="P642" t="str">
        <f>_xlfn.XLOOKUP(salesitems[[#This Row],[product_id]],fashion_store_products!A:A,fashion_store_products!C:C)</f>
        <v>Sleepwear</v>
      </c>
    </row>
    <row r="643" spans="1:16" x14ac:dyDescent="0.45">
      <c r="A643">
        <v>2612</v>
      </c>
      <c r="B643">
        <v>158</v>
      </c>
      <c r="C643">
        <v>361</v>
      </c>
      <c r="D643">
        <v>2</v>
      </c>
      <c r="E643">
        <v>51.76</v>
      </c>
      <c r="F643">
        <v>51.76</v>
      </c>
      <c r="G643">
        <v>0</v>
      </c>
      <c r="H643" s="2">
        <v>0</v>
      </c>
      <c r="I643">
        <v>0</v>
      </c>
      <c r="J643">
        <v>103.52</v>
      </c>
      <c r="K643" s="1">
        <v>45760</v>
      </c>
      <c r="L643" t="s">
        <v>21</v>
      </c>
      <c r="M643" t="s">
        <v>18</v>
      </c>
      <c r="N643">
        <f>salesitems[[#This Row],[quantity]]*salesitems[[#This Row],[unit_price]]</f>
        <v>103.52</v>
      </c>
      <c r="O643" t="str">
        <f>_xlfn.XLOOKUP(salesitems[[#This Row],[product_id]],products[product_id],products[product_name])</f>
        <v>Tailored Linen Set</v>
      </c>
      <c r="P643" t="str">
        <f>_xlfn.XLOOKUP(salesitems[[#This Row],[product_id]],fashion_store_products!A:A,fashion_store_products!C:C)</f>
        <v>Sleepwear</v>
      </c>
    </row>
    <row r="644" spans="1:16" x14ac:dyDescent="0.45">
      <c r="A644">
        <v>3183</v>
      </c>
      <c r="B644">
        <v>348</v>
      </c>
      <c r="C644">
        <v>361</v>
      </c>
      <c r="D644">
        <v>2</v>
      </c>
      <c r="E644">
        <v>51.76</v>
      </c>
      <c r="F644">
        <v>51.76</v>
      </c>
      <c r="G644">
        <v>0</v>
      </c>
      <c r="H644" s="2">
        <v>0</v>
      </c>
      <c r="I644">
        <v>0</v>
      </c>
      <c r="J644">
        <v>103.52</v>
      </c>
      <c r="K644" s="1">
        <v>45807</v>
      </c>
      <c r="L644" t="s">
        <v>21</v>
      </c>
      <c r="M644" t="s">
        <v>18</v>
      </c>
      <c r="N644">
        <f>salesitems[[#This Row],[quantity]]*salesitems[[#This Row],[unit_price]]</f>
        <v>103.52</v>
      </c>
      <c r="O644" t="str">
        <f>_xlfn.XLOOKUP(salesitems[[#This Row],[product_id]],products[product_id],products[product_name])</f>
        <v>Tailored Linen Set</v>
      </c>
      <c r="P644" t="str">
        <f>_xlfn.XLOOKUP(salesitems[[#This Row],[product_id]],fashion_store_products!A:A,fashion_store_products!C:C)</f>
        <v>Sleepwear</v>
      </c>
    </row>
    <row r="645" spans="1:16" x14ac:dyDescent="0.45">
      <c r="A645">
        <v>2824</v>
      </c>
      <c r="B645">
        <v>918</v>
      </c>
      <c r="C645">
        <v>341</v>
      </c>
      <c r="D645">
        <v>2</v>
      </c>
      <c r="E645">
        <v>51.4</v>
      </c>
      <c r="F645">
        <v>51.4</v>
      </c>
      <c r="G645">
        <v>0</v>
      </c>
      <c r="H645" s="2">
        <v>0</v>
      </c>
      <c r="I645">
        <v>0</v>
      </c>
      <c r="J645">
        <v>102.8</v>
      </c>
      <c r="K645" s="1">
        <v>45762</v>
      </c>
      <c r="L645" t="s">
        <v>21</v>
      </c>
      <c r="M645" t="s">
        <v>18</v>
      </c>
      <c r="N645">
        <f>salesitems[[#This Row],[quantity]]*salesitems[[#This Row],[unit_price]]</f>
        <v>102.8</v>
      </c>
      <c r="O645" t="str">
        <f>_xlfn.XLOOKUP(salesitems[[#This Row],[product_id]],products[product_id],products[product_name])</f>
        <v>Essential Cotton Set</v>
      </c>
      <c r="P645" t="str">
        <f>_xlfn.XLOOKUP(salesitems[[#This Row],[product_id]],fashion_store_products!A:A,fashion_store_products!C:C)</f>
        <v>Sleepwear</v>
      </c>
    </row>
    <row r="646" spans="1:16" x14ac:dyDescent="0.45">
      <c r="A646">
        <v>85</v>
      </c>
      <c r="B646">
        <v>504</v>
      </c>
      <c r="C646">
        <v>386</v>
      </c>
      <c r="D646">
        <v>2</v>
      </c>
      <c r="E646">
        <v>51.38</v>
      </c>
      <c r="F646">
        <v>51.38</v>
      </c>
      <c r="G646">
        <v>0</v>
      </c>
      <c r="H646" s="2">
        <v>0</v>
      </c>
      <c r="I646">
        <v>0</v>
      </c>
      <c r="J646">
        <v>102.76</v>
      </c>
      <c r="K646" s="1">
        <v>45753</v>
      </c>
      <c r="L646" t="s">
        <v>15</v>
      </c>
      <c r="M646" t="s">
        <v>15</v>
      </c>
      <c r="N646">
        <f>salesitems[[#This Row],[quantity]]*salesitems[[#This Row],[unit_price]]</f>
        <v>102.76</v>
      </c>
      <c r="O646" t="str">
        <f>_xlfn.XLOOKUP(salesitems[[#This Row],[product_id]],products[product_id],products[product_name])</f>
        <v>Tailored High-Waist Dress</v>
      </c>
      <c r="P646" t="str">
        <f>_xlfn.XLOOKUP(salesitems[[#This Row],[product_id]],fashion_store_products!A:A,fashion_store_products!C:C)</f>
        <v>Dresses</v>
      </c>
    </row>
    <row r="647" spans="1:16" x14ac:dyDescent="0.45">
      <c r="A647">
        <v>960</v>
      </c>
      <c r="B647">
        <v>262</v>
      </c>
      <c r="C647">
        <v>170</v>
      </c>
      <c r="D647">
        <v>2</v>
      </c>
      <c r="E647">
        <v>51.27</v>
      </c>
      <c r="F647">
        <v>51.27</v>
      </c>
      <c r="G647">
        <v>0</v>
      </c>
      <c r="H647" s="2">
        <v>0</v>
      </c>
      <c r="I647">
        <v>0</v>
      </c>
      <c r="J647">
        <v>102.54</v>
      </c>
      <c r="K647" s="1">
        <v>45776</v>
      </c>
      <c r="L647" t="s">
        <v>15</v>
      </c>
      <c r="M647" t="s">
        <v>15</v>
      </c>
      <c r="N647">
        <f>salesitems[[#This Row],[quantity]]*salesitems[[#This Row],[unit_price]]</f>
        <v>102.54</v>
      </c>
      <c r="O647" t="str">
        <f>_xlfn.XLOOKUP(salesitems[[#This Row],[product_id]],products[product_id],products[product_name])</f>
        <v>Vintage Boxy Dress</v>
      </c>
      <c r="P647" t="str">
        <f>_xlfn.XLOOKUP(salesitems[[#This Row],[product_id]],fashion_store_products!A:A,fashion_store_products!C:C)</f>
        <v>Dresses</v>
      </c>
    </row>
    <row r="648" spans="1:16" x14ac:dyDescent="0.45">
      <c r="A648">
        <v>709</v>
      </c>
      <c r="B648">
        <v>1031</v>
      </c>
      <c r="C648">
        <v>28</v>
      </c>
      <c r="D648">
        <v>2</v>
      </c>
      <c r="E648">
        <v>51.18</v>
      </c>
      <c r="F648">
        <v>51.18</v>
      </c>
      <c r="G648">
        <v>0</v>
      </c>
      <c r="H648" s="2">
        <v>0</v>
      </c>
      <c r="I648">
        <v>0</v>
      </c>
      <c r="J648">
        <v>102.36</v>
      </c>
      <c r="K648" s="1">
        <v>45812</v>
      </c>
      <c r="L648" t="s">
        <v>15</v>
      </c>
      <c r="M648" t="s">
        <v>15</v>
      </c>
      <c r="N648">
        <f>salesitems[[#This Row],[quantity]]*salesitems[[#This Row],[unit_price]]</f>
        <v>102.36</v>
      </c>
      <c r="O648" t="str">
        <f>_xlfn.XLOOKUP(salesitems[[#This Row],[product_id]],products[product_id],products[product_name])</f>
        <v>Soft Sleeveless Shoes</v>
      </c>
      <c r="P648" t="str">
        <f>_xlfn.XLOOKUP(salesitems[[#This Row],[product_id]],fashion_store_products!A:A,fashion_store_products!C:C)</f>
        <v>Shoes</v>
      </c>
    </row>
    <row r="649" spans="1:16" x14ac:dyDescent="0.45">
      <c r="A649">
        <v>879</v>
      </c>
      <c r="B649">
        <v>885</v>
      </c>
      <c r="C649">
        <v>28</v>
      </c>
      <c r="D649">
        <v>2</v>
      </c>
      <c r="E649">
        <v>51.18</v>
      </c>
      <c r="F649">
        <v>51.18</v>
      </c>
      <c r="G649">
        <v>0</v>
      </c>
      <c r="H649" s="2">
        <v>0</v>
      </c>
      <c r="I649">
        <v>0</v>
      </c>
      <c r="J649">
        <v>102.36</v>
      </c>
      <c r="K649" s="1">
        <v>45769</v>
      </c>
      <c r="L649" t="s">
        <v>15</v>
      </c>
      <c r="M649" t="s">
        <v>15</v>
      </c>
      <c r="N649">
        <f>salesitems[[#This Row],[quantity]]*salesitems[[#This Row],[unit_price]]</f>
        <v>102.36</v>
      </c>
      <c r="O649" t="str">
        <f>_xlfn.XLOOKUP(salesitems[[#This Row],[product_id]],products[product_id],products[product_name])</f>
        <v>Soft Sleeveless Shoes</v>
      </c>
      <c r="P649" t="str">
        <f>_xlfn.XLOOKUP(salesitems[[#This Row],[product_id]],fashion_store_products!A:A,fashion_store_products!C:C)</f>
        <v>Shoes</v>
      </c>
    </row>
    <row r="650" spans="1:16" x14ac:dyDescent="0.45">
      <c r="A650">
        <v>2865</v>
      </c>
      <c r="B650">
        <v>209</v>
      </c>
      <c r="C650">
        <v>252</v>
      </c>
      <c r="D650">
        <v>2</v>
      </c>
      <c r="E650">
        <v>51.17</v>
      </c>
      <c r="F650">
        <v>51.17</v>
      </c>
      <c r="G650">
        <v>0</v>
      </c>
      <c r="H650" s="2">
        <v>0</v>
      </c>
      <c r="I650">
        <v>0</v>
      </c>
      <c r="J650">
        <v>102.34</v>
      </c>
      <c r="K650" s="1">
        <v>45808</v>
      </c>
      <c r="L650" t="s">
        <v>15</v>
      </c>
      <c r="M650" t="s">
        <v>15</v>
      </c>
      <c r="N650">
        <f>salesitems[[#This Row],[quantity]]*salesitems[[#This Row],[unit_price]]</f>
        <v>102.34</v>
      </c>
      <c r="O650" t="str">
        <f>_xlfn.XLOOKUP(salesitems[[#This Row],[product_id]],products[product_id],products[product_name])</f>
        <v>Relaxed Linen Tee</v>
      </c>
      <c r="P650" t="str">
        <f>_xlfn.XLOOKUP(salesitems[[#This Row],[product_id]],fashion_store_products!A:A,fashion_store_products!C:C)</f>
        <v>T-Shirts</v>
      </c>
    </row>
    <row r="651" spans="1:16" x14ac:dyDescent="0.45">
      <c r="A651">
        <v>499</v>
      </c>
      <c r="B651">
        <v>444</v>
      </c>
      <c r="C651">
        <v>396</v>
      </c>
      <c r="D651">
        <v>2</v>
      </c>
      <c r="E651">
        <v>51</v>
      </c>
      <c r="F651">
        <v>51</v>
      </c>
      <c r="G651">
        <v>0</v>
      </c>
      <c r="H651" s="2">
        <v>0</v>
      </c>
      <c r="I651">
        <v>0</v>
      </c>
      <c r="J651">
        <v>102</v>
      </c>
      <c r="K651" s="1">
        <v>45796</v>
      </c>
      <c r="L651" t="s">
        <v>21</v>
      </c>
      <c r="M651" t="s">
        <v>18</v>
      </c>
      <c r="N651">
        <f>salesitems[[#This Row],[quantity]]*salesitems[[#This Row],[unit_price]]</f>
        <v>102</v>
      </c>
      <c r="O651" t="str">
        <f>_xlfn.XLOOKUP(salesitems[[#This Row],[product_id]],products[product_id],products[product_name])</f>
        <v>Elegant Crew Tee</v>
      </c>
      <c r="P651" t="str">
        <f>_xlfn.XLOOKUP(salesitems[[#This Row],[product_id]],fashion_store_products!A:A,fashion_store_products!C:C)</f>
        <v>T-Shirts</v>
      </c>
    </row>
    <row r="652" spans="1:16" x14ac:dyDescent="0.45">
      <c r="A652">
        <v>478</v>
      </c>
      <c r="B652">
        <v>663</v>
      </c>
      <c r="C652">
        <v>421</v>
      </c>
      <c r="D652">
        <v>2</v>
      </c>
      <c r="E652">
        <v>50.89</v>
      </c>
      <c r="F652">
        <v>50.89</v>
      </c>
      <c r="G652">
        <v>0</v>
      </c>
      <c r="H652" s="2">
        <v>0</v>
      </c>
      <c r="I652">
        <v>0</v>
      </c>
      <c r="J652">
        <v>101.78</v>
      </c>
      <c r="K652" s="1">
        <v>45753</v>
      </c>
      <c r="L652" t="s">
        <v>21</v>
      </c>
      <c r="M652" t="s">
        <v>18</v>
      </c>
      <c r="N652">
        <f>salesitems[[#This Row],[quantity]]*salesitems[[#This Row],[unit_price]]</f>
        <v>101.78</v>
      </c>
      <c r="O652" t="str">
        <f>_xlfn.XLOOKUP(salesitems[[#This Row],[product_id]],products[product_id],products[product_name])</f>
        <v>Elegant Sleeveless Set</v>
      </c>
      <c r="P652" t="str">
        <f>_xlfn.XLOOKUP(salesitems[[#This Row],[product_id]],fashion_store_products!A:A,fashion_store_products!C:C)</f>
        <v>Sleepwear</v>
      </c>
    </row>
    <row r="653" spans="1:16" x14ac:dyDescent="0.45">
      <c r="A653">
        <v>1770</v>
      </c>
      <c r="B653">
        <v>768</v>
      </c>
      <c r="C653">
        <v>421</v>
      </c>
      <c r="D653">
        <v>2</v>
      </c>
      <c r="E653">
        <v>50.89</v>
      </c>
      <c r="F653">
        <v>50.89</v>
      </c>
      <c r="G653">
        <v>0</v>
      </c>
      <c r="H653" s="2">
        <v>0</v>
      </c>
      <c r="I653">
        <v>0</v>
      </c>
      <c r="J653">
        <v>101.78</v>
      </c>
      <c r="K653" s="1">
        <v>45805</v>
      </c>
      <c r="L653" t="s">
        <v>21</v>
      </c>
      <c r="M653" t="s">
        <v>18</v>
      </c>
      <c r="N653">
        <f>salesitems[[#This Row],[quantity]]*salesitems[[#This Row],[unit_price]]</f>
        <v>101.78</v>
      </c>
      <c r="O653" t="str">
        <f>_xlfn.XLOOKUP(salesitems[[#This Row],[product_id]],products[product_id],products[product_name])</f>
        <v>Elegant Sleeveless Set</v>
      </c>
      <c r="P653" t="str">
        <f>_xlfn.XLOOKUP(salesitems[[#This Row],[product_id]],fashion_store_products!A:A,fashion_store_products!C:C)</f>
        <v>Sleepwear</v>
      </c>
    </row>
    <row r="654" spans="1:16" x14ac:dyDescent="0.45">
      <c r="A654">
        <v>2053</v>
      </c>
      <c r="B654">
        <v>612</v>
      </c>
      <c r="C654">
        <v>450</v>
      </c>
      <c r="D654">
        <v>2</v>
      </c>
      <c r="E654">
        <v>50.85</v>
      </c>
      <c r="F654">
        <v>50.85</v>
      </c>
      <c r="G654">
        <v>0</v>
      </c>
      <c r="H654" s="2">
        <v>0</v>
      </c>
      <c r="I654">
        <v>0</v>
      </c>
      <c r="J654">
        <v>101.7</v>
      </c>
      <c r="K654" s="1">
        <v>45802</v>
      </c>
      <c r="L654" t="s">
        <v>15</v>
      </c>
      <c r="M654" t="s">
        <v>15</v>
      </c>
      <c r="N654">
        <f>salesitems[[#This Row],[quantity]]*salesitems[[#This Row],[unit_price]]</f>
        <v>101.7</v>
      </c>
      <c r="O654" t="str">
        <f>_xlfn.XLOOKUP(salesitems[[#This Row],[product_id]],products[product_id],products[product_name])</f>
        <v>Bold Silk Set</v>
      </c>
      <c r="P654" t="str">
        <f>_xlfn.XLOOKUP(salesitems[[#This Row],[product_id]],fashion_store_products!A:A,fashion_store_products!C:C)</f>
        <v>Sleepwear</v>
      </c>
    </row>
    <row r="655" spans="1:16" x14ac:dyDescent="0.45">
      <c r="A655">
        <v>2142</v>
      </c>
      <c r="B655">
        <v>156</v>
      </c>
      <c r="C655">
        <v>273</v>
      </c>
      <c r="D655">
        <v>2</v>
      </c>
      <c r="E655">
        <v>50.72</v>
      </c>
      <c r="F655">
        <v>50.72</v>
      </c>
      <c r="G655">
        <v>0</v>
      </c>
      <c r="H655" s="2">
        <v>0</v>
      </c>
      <c r="I655">
        <v>0</v>
      </c>
      <c r="J655">
        <v>101.44</v>
      </c>
      <c r="K655" s="1">
        <v>45801</v>
      </c>
      <c r="L655" t="s">
        <v>21</v>
      </c>
      <c r="M655" t="s">
        <v>18</v>
      </c>
      <c r="N655">
        <f>salesitems[[#This Row],[quantity]]*salesitems[[#This Row],[unit_price]]</f>
        <v>101.44</v>
      </c>
      <c r="O655" t="str">
        <f>_xlfn.XLOOKUP(salesitems[[#This Row],[product_id]],products[product_id],products[product_name])</f>
        <v>Relaxed Crew Tee</v>
      </c>
      <c r="P655" t="str">
        <f>_xlfn.XLOOKUP(salesitems[[#This Row],[product_id]],fashion_store_products!A:A,fashion_store_products!C:C)</f>
        <v>T-Shirts</v>
      </c>
    </row>
    <row r="656" spans="1:16" x14ac:dyDescent="0.45">
      <c r="A656">
        <v>700</v>
      </c>
      <c r="B656">
        <v>318</v>
      </c>
      <c r="C656">
        <v>488</v>
      </c>
      <c r="D656">
        <v>2</v>
      </c>
      <c r="E656">
        <v>50.68</v>
      </c>
      <c r="F656">
        <v>50.68</v>
      </c>
      <c r="G656">
        <v>0</v>
      </c>
      <c r="H656" s="2">
        <v>0</v>
      </c>
      <c r="I656">
        <v>0</v>
      </c>
      <c r="J656">
        <v>101.36</v>
      </c>
      <c r="K656" s="1">
        <v>45764</v>
      </c>
      <c r="L656" t="s">
        <v>21</v>
      </c>
      <c r="M656" t="s">
        <v>18</v>
      </c>
      <c r="N656">
        <f>salesitems[[#This Row],[quantity]]*salesitems[[#This Row],[unit_price]]</f>
        <v>101.36</v>
      </c>
      <c r="O656" t="str">
        <f>_xlfn.XLOOKUP(salesitems[[#This Row],[product_id]],products[product_id],products[product_name])</f>
        <v>Sleepwear Drop 3</v>
      </c>
      <c r="P656" t="str">
        <f>_xlfn.XLOOKUP(salesitems[[#This Row],[product_id]],fashion_store_products!A:A,fashion_store_products!C:C)</f>
        <v>Sleepwear</v>
      </c>
    </row>
    <row r="657" spans="1:16" x14ac:dyDescent="0.45">
      <c r="A657">
        <v>774</v>
      </c>
      <c r="B657">
        <v>1085</v>
      </c>
      <c r="C657">
        <v>488</v>
      </c>
      <c r="D657">
        <v>2</v>
      </c>
      <c r="E657">
        <v>50.68</v>
      </c>
      <c r="F657">
        <v>50.68</v>
      </c>
      <c r="G657">
        <v>0</v>
      </c>
      <c r="H657" s="2">
        <v>0</v>
      </c>
      <c r="I657">
        <v>0</v>
      </c>
      <c r="J657">
        <v>101.36</v>
      </c>
      <c r="K657" s="1">
        <v>45791</v>
      </c>
      <c r="L657" t="s">
        <v>21</v>
      </c>
      <c r="M657" t="s">
        <v>18</v>
      </c>
      <c r="N657">
        <f>salesitems[[#This Row],[quantity]]*salesitems[[#This Row],[unit_price]]</f>
        <v>101.36</v>
      </c>
      <c r="O657" t="str">
        <f>_xlfn.XLOOKUP(salesitems[[#This Row],[product_id]],products[product_id],products[product_name])</f>
        <v>Sleepwear Drop 3</v>
      </c>
      <c r="P657" t="str">
        <f>_xlfn.XLOOKUP(salesitems[[#This Row],[product_id]],fashion_store_products!A:A,fashion_store_products!C:C)</f>
        <v>Sleepwear</v>
      </c>
    </row>
    <row r="658" spans="1:16" x14ac:dyDescent="0.45">
      <c r="A658">
        <v>2289</v>
      </c>
      <c r="B658">
        <v>479</v>
      </c>
      <c r="C658">
        <v>253</v>
      </c>
      <c r="D658">
        <v>2</v>
      </c>
      <c r="E658">
        <v>50.55</v>
      </c>
      <c r="F658">
        <v>50.55</v>
      </c>
      <c r="G658">
        <v>0</v>
      </c>
      <c r="H658" s="2">
        <v>0</v>
      </c>
      <c r="I658">
        <v>0</v>
      </c>
      <c r="J658">
        <v>101.1</v>
      </c>
      <c r="K658" s="1">
        <v>45797</v>
      </c>
      <c r="L658" t="s">
        <v>21</v>
      </c>
      <c r="M658" t="s">
        <v>18</v>
      </c>
      <c r="N658">
        <f>salesitems[[#This Row],[quantity]]*salesitems[[#This Row],[unit_price]]</f>
        <v>101.1</v>
      </c>
      <c r="O658" t="str">
        <f>_xlfn.XLOOKUP(salesitems[[#This Row],[product_id]],products[product_id],products[product_name])</f>
        <v>Relaxed Ribbed Tee</v>
      </c>
      <c r="P658" t="str">
        <f>_xlfn.XLOOKUP(salesitems[[#This Row],[product_id]],fashion_store_products!A:A,fashion_store_products!C:C)</f>
        <v>T-Shirts</v>
      </c>
    </row>
    <row r="659" spans="1:16" x14ac:dyDescent="0.45">
      <c r="A659">
        <v>1285</v>
      </c>
      <c r="B659">
        <v>377</v>
      </c>
      <c r="C659">
        <v>193</v>
      </c>
      <c r="D659">
        <v>2</v>
      </c>
      <c r="E659">
        <v>50.52</v>
      </c>
      <c r="F659">
        <v>50.52</v>
      </c>
      <c r="G659">
        <v>0</v>
      </c>
      <c r="H659" s="2">
        <v>0</v>
      </c>
      <c r="I659">
        <v>0</v>
      </c>
      <c r="J659">
        <v>101.04</v>
      </c>
      <c r="K659" s="1">
        <v>45791</v>
      </c>
      <c r="L659" t="s">
        <v>21</v>
      </c>
      <c r="M659" t="s">
        <v>18</v>
      </c>
      <c r="N659">
        <f>salesitems[[#This Row],[quantity]]*salesitems[[#This Row],[unit_price]]</f>
        <v>101.04</v>
      </c>
      <c r="O659" t="str">
        <f>_xlfn.XLOOKUP(salesitems[[#This Row],[product_id]],products[product_id],products[product_name])</f>
        <v>Vintage Silk Tee</v>
      </c>
      <c r="P659" t="str">
        <f>_xlfn.XLOOKUP(salesitems[[#This Row],[product_id]],fashion_store_products!A:A,fashion_store_products!C:C)</f>
        <v>T-Shirts</v>
      </c>
    </row>
    <row r="660" spans="1:16" x14ac:dyDescent="0.45">
      <c r="A660">
        <v>3153</v>
      </c>
      <c r="B660">
        <v>405</v>
      </c>
      <c r="C660">
        <v>370</v>
      </c>
      <c r="D660">
        <v>2</v>
      </c>
      <c r="E660">
        <v>50.34</v>
      </c>
      <c r="F660">
        <v>50.34</v>
      </c>
      <c r="G660">
        <v>0</v>
      </c>
      <c r="H660" s="2">
        <v>0</v>
      </c>
      <c r="I660">
        <v>0</v>
      </c>
      <c r="J660">
        <v>100.68</v>
      </c>
      <c r="K660" s="1">
        <v>45797</v>
      </c>
      <c r="L660" t="s">
        <v>21</v>
      </c>
      <c r="M660" t="s">
        <v>18</v>
      </c>
      <c r="N660">
        <f>salesitems[[#This Row],[quantity]]*salesitems[[#This Row],[unit_price]]</f>
        <v>100.68</v>
      </c>
      <c r="O660" t="str">
        <f>_xlfn.XLOOKUP(salesitems[[#This Row],[product_id]],products[product_id],products[product_name])</f>
        <v>Elegant Ribbed Tee</v>
      </c>
      <c r="P660" t="str">
        <f>_xlfn.XLOOKUP(salesitems[[#This Row],[product_id]],fashion_store_products!A:A,fashion_store_products!C:C)</f>
        <v>T-Shirts</v>
      </c>
    </row>
    <row r="661" spans="1:16" x14ac:dyDescent="0.45">
      <c r="A661">
        <v>413</v>
      </c>
      <c r="B661">
        <v>1244</v>
      </c>
      <c r="C661">
        <v>150</v>
      </c>
      <c r="D661">
        <v>2</v>
      </c>
      <c r="E661">
        <v>50.04</v>
      </c>
      <c r="F661">
        <v>50.04</v>
      </c>
      <c r="G661">
        <v>0</v>
      </c>
      <c r="H661" s="2">
        <v>0</v>
      </c>
      <c r="I661">
        <v>0</v>
      </c>
      <c r="J661">
        <v>100.08</v>
      </c>
      <c r="K661" s="1">
        <v>45808</v>
      </c>
      <c r="L661" t="s">
        <v>21</v>
      </c>
      <c r="M661" t="s">
        <v>18</v>
      </c>
      <c r="N661">
        <f>salesitems[[#This Row],[quantity]]*salesitems[[#This Row],[unit_price]]</f>
        <v>100.08</v>
      </c>
      <c r="O661" t="str">
        <f>_xlfn.XLOOKUP(salesitems[[#This Row],[product_id]],products[product_id],products[product_name])</f>
        <v>Vintage Wrap Tee</v>
      </c>
      <c r="P661" t="str">
        <f>_xlfn.XLOOKUP(salesitems[[#This Row],[product_id]],fashion_store_products!A:A,fashion_store_products!C:C)</f>
        <v>T-Shirts</v>
      </c>
    </row>
    <row r="662" spans="1:16" x14ac:dyDescent="0.45">
      <c r="A662">
        <v>636</v>
      </c>
      <c r="B662">
        <v>351</v>
      </c>
      <c r="C662">
        <v>150</v>
      </c>
      <c r="D662">
        <v>2</v>
      </c>
      <c r="E662">
        <v>50.04</v>
      </c>
      <c r="F662">
        <v>50.04</v>
      </c>
      <c r="G662">
        <v>0</v>
      </c>
      <c r="H662" s="2">
        <v>0</v>
      </c>
      <c r="I662">
        <v>0</v>
      </c>
      <c r="J662">
        <v>100.08</v>
      </c>
      <c r="K662" s="1">
        <v>45804</v>
      </c>
      <c r="L662" t="s">
        <v>21</v>
      </c>
      <c r="M662" t="s">
        <v>18</v>
      </c>
      <c r="N662">
        <f>salesitems[[#This Row],[quantity]]*salesitems[[#This Row],[unit_price]]</f>
        <v>100.08</v>
      </c>
      <c r="O662" t="str">
        <f>_xlfn.XLOOKUP(salesitems[[#This Row],[product_id]],products[product_id],products[product_name])</f>
        <v>Vintage Wrap Tee</v>
      </c>
      <c r="P662" t="str">
        <f>_xlfn.XLOOKUP(salesitems[[#This Row],[product_id]],fashion_store_products!A:A,fashion_store_products!C:C)</f>
        <v>T-Shirts</v>
      </c>
    </row>
    <row r="663" spans="1:16" x14ac:dyDescent="0.45">
      <c r="A663">
        <v>3366</v>
      </c>
      <c r="B663">
        <v>1205</v>
      </c>
      <c r="C663">
        <v>69</v>
      </c>
      <c r="D663">
        <v>2</v>
      </c>
      <c r="E663">
        <v>49.98</v>
      </c>
      <c r="F663">
        <v>49.98</v>
      </c>
      <c r="G663">
        <v>0</v>
      </c>
      <c r="H663" s="2">
        <v>0</v>
      </c>
      <c r="I663">
        <v>0</v>
      </c>
      <c r="J663">
        <v>99.96</v>
      </c>
      <c r="K663" s="1">
        <v>45805</v>
      </c>
      <c r="L663" t="s">
        <v>21</v>
      </c>
      <c r="M663" t="s">
        <v>18</v>
      </c>
      <c r="N663">
        <f>salesitems[[#This Row],[quantity]]*salesitems[[#This Row],[unit_price]]</f>
        <v>99.96</v>
      </c>
      <c r="O663" t="str">
        <f>_xlfn.XLOOKUP(salesitems[[#This Row],[product_id]],products[product_id],products[product_name])</f>
        <v>Modern Linen Shoes</v>
      </c>
      <c r="P663" t="str">
        <f>_xlfn.XLOOKUP(salesitems[[#This Row],[product_id]],fashion_store_products!A:A,fashion_store_products!C:C)</f>
        <v>Shoes</v>
      </c>
    </row>
    <row r="664" spans="1:16" x14ac:dyDescent="0.45">
      <c r="A664">
        <v>1313</v>
      </c>
      <c r="B664">
        <v>578</v>
      </c>
      <c r="C664">
        <v>487</v>
      </c>
      <c r="D664">
        <v>2</v>
      </c>
      <c r="E664">
        <v>49.84</v>
      </c>
      <c r="F664">
        <v>49.84</v>
      </c>
      <c r="G664">
        <v>0</v>
      </c>
      <c r="H664" s="2">
        <v>0</v>
      </c>
      <c r="I664">
        <v>0</v>
      </c>
      <c r="J664">
        <v>99.68</v>
      </c>
      <c r="K664" s="1">
        <v>45772</v>
      </c>
      <c r="L664" t="s">
        <v>15</v>
      </c>
      <c r="M664" t="s">
        <v>15</v>
      </c>
      <c r="N664">
        <f>salesitems[[#This Row],[quantity]]*salesitems[[#This Row],[unit_price]]</f>
        <v>99.68</v>
      </c>
      <c r="O664" t="str">
        <f>_xlfn.XLOOKUP(salesitems[[#This Row],[product_id]],products[product_id],products[product_name])</f>
        <v>Bold High-Waist Shoes</v>
      </c>
      <c r="P664" t="str">
        <f>_xlfn.XLOOKUP(salesitems[[#This Row],[product_id]],fashion_store_products!A:A,fashion_store_products!C:C)</f>
        <v>Shoes</v>
      </c>
    </row>
    <row r="665" spans="1:16" x14ac:dyDescent="0.45">
      <c r="A665">
        <v>1592</v>
      </c>
      <c r="B665">
        <v>760</v>
      </c>
      <c r="C665">
        <v>487</v>
      </c>
      <c r="D665">
        <v>2</v>
      </c>
      <c r="E665">
        <v>49.84</v>
      </c>
      <c r="F665">
        <v>49.84</v>
      </c>
      <c r="G665">
        <v>0</v>
      </c>
      <c r="H665" s="2">
        <v>0</v>
      </c>
      <c r="I665">
        <v>0</v>
      </c>
      <c r="J665">
        <v>99.68</v>
      </c>
      <c r="K665" s="1">
        <v>45751</v>
      </c>
      <c r="L665" t="s">
        <v>21</v>
      </c>
      <c r="M665" t="s">
        <v>18</v>
      </c>
      <c r="N665">
        <f>salesitems[[#This Row],[quantity]]*salesitems[[#This Row],[unit_price]]</f>
        <v>99.68</v>
      </c>
      <c r="O665" t="str">
        <f>_xlfn.XLOOKUP(salesitems[[#This Row],[product_id]],products[product_id],products[product_name])</f>
        <v>Bold High-Waist Shoes</v>
      </c>
      <c r="P665" t="str">
        <f>_xlfn.XLOOKUP(salesitems[[#This Row],[product_id]],fashion_store_products!A:A,fashion_store_products!C:C)</f>
        <v>Shoes</v>
      </c>
    </row>
    <row r="666" spans="1:16" x14ac:dyDescent="0.45">
      <c r="A666">
        <v>1717</v>
      </c>
      <c r="B666">
        <v>843</v>
      </c>
      <c r="C666">
        <v>487</v>
      </c>
      <c r="D666">
        <v>2</v>
      </c>
      <c r="E666">
        <v>49.84</v>
      </c>
      <c r="F666">
        <v>49.84</v>
      </c>
      <c r="G666">
        <v>0</v>
      </c>
      <c r="H666" s="2">
        <v>0</v>
      </c>
      <c r="I666">
        <v>0</v>
      </c>
      <c r="J666">
        <v>99.68</v>
      </c>
      <c r="K666" s="1">
        <v>45814</v>
      </c>
      <c r="L666" t="s">
        <v>15</v>
      </c>
      <c r="M666" t="s">
        <v>15</v>
      </c>
      <c r="N666">
        <f>salesitems[[#This Row],[quantity]]*salesitems[[#This Row],[unit_price]]</f>
        <v>99.68</v>
      </c>
      <c r="O666" t="str">
        <f>_xlfn.XLOOKUP(salesitems[[#This Row],[product_id]],products[product_id],products[product_name])</f>
        <v>Bold High-Waist Shoes</v>
      </c>
      <c r="P666" t="str">
        <f>_xlfn.XLOOKUP(salesitems[[#This Row],[product_id]],fashion_store_products!A:A,fashion_store_products!C:C)</f>
        <v>Shoes</v>
      </c>
    </row>
    <row r="667" spans="1:16" x14ac:dyDescent="0.45">
      <c r="A667">
        <v>2006</v>
      </c>
      <c r="B667">
        <v>1170</v>
      </c>
      <c r="C667">
        <v>436</v>
      </c>
      <c r="D667">
        <v>2</v>
      </c>
      <c r="E667">
        <v>49.81</v>
      </c>
      <c r="F667">
        <v>49.81</v>
      </c>
      <c r="G667">
        <v>0</v>
      </c>
      <c r="H667" s="2">
        <v>0</v>
      </c>
      <c r="I667">
        <v>0</v>
      </c>
      <c r="J667">
        <v>99.62</v>
      </c>
      <c r="K667" s="1">
        <v>45753</v>
      </c>
      <c r="L667" t="s">
        <v>15</v>
      </c>
      <c r="M667" t="s">
        <v>15</v>
      </c>
      <c r="N667">
        <f>salesitems[[#This Row],[quantity]]*salesitems[[#This Row],[unit_price]]</f>
        <v>99.62</v>
      </c>
      <c r="O667" t="str">
        <f>_xlfn.XLOOKUP(salesitems[[#This Row],[product_id]],products[product_id],products[product_name])</f>
        <v>Bold Wrap Shoes</v>
      </c>
      <c r="P667" t="str">
        <f>_xlfn.XLOOKUP(salesitems[[#This Row],[product_id]],fashion_store_products!A:A,fashion_store_products!C:C)</f>
        <v>Shoes</v>
      </c>
    </row>
    <row r="668" spans="1:16" x14ac:dyDescent="0.45">
      <c r="A668">
        <v>2265</v>
      </c>
      <c r="B668">
        <v>610</v>
      </c>
      <c r="C668">
        <v>436</v>
      </c>
      <c r="D668">
        <v>2</v>
      </c>
      <c r="E668">
        <v>49.81</v>
      </c>
      <c r="F668">
        <v>49.81</v>
      </c>
      <c r="G668">
        <v>0</v>
      </c>
      <c r="H668" s="2">
        <v>0</v>
      </c>
      <c r="I668">
        <v>0</v>
      </c>
      <c r="J668">
        <v>99.62</v>
      </c>
      <c r="K668" s="1">
        <v>45807</v>
      </c>
      <c r="L668" t="s">
        <v>21</v>
      </c>
      <c r="M668" t="s">
        <v>18</v>
      </c>
      <c r="N668">
        <f>salesitems[[#This Row],[quantity]]*salesitems[[#This Row],[unit_price]]</f>
        <v>99.62</v>
      </c>
      <c r="O668" t="str">
        <f>_xlfn.XLOOKUP(salesitems[[#This Row],[product_id]],products[product_id],products[product_name])</f>
        <v>Bold Wrap Shoes</v>
      </c>
      <c r="P668" t="str">
        <f>_xlfn.XLOOKUP(salesitems[[#This Row],[product_id]],fashion_store_products!A:A,fashion_store_products!C:C)</f>
        <v>Shoes</v>
      </c>
    </row>
    <row r="669" spans="1:16" x14ac:dyDescent="0.45">
      <c r="A669">
        <v>1275</v>
      </c>
      <c r="B669">
        <v>1016</v>
      </c>
      <c r="C669">
        <v>219</v>
      </c>
      <c r="D669">
        <v>2</v>
      </c>
      <c r="E669">
        <v>49.76</v>
      </c>
      <c r="F669">
        <v>49.76</v>
      </c>
      <c r="G669">
        <v>0</v>
      </c>
      <c r="H669" s="2">
        <v>0</v>
      </c>
      <c r="I669">
        <v>0</v>
      </c>
      <c r="J669">
        <v>99.52</v>
      </c>
      <c r="K669" s="1">
        <v>45769</v>
      </c>
      <c r="L669" t="s">
        <v>21</v>
      </c>
      <c r="M669" t="s">
        <v>18</v>
      </c>
      <c r="N669">
        <f>salesitems[[#This Row],[quantity]]*salesitems[[#This Row],[unit_price]]</f>
        <v>99.52</v>
      </c>
      <c r="O669" t="str">
        <f>_xlfn.XLOOKUP(salesitems[[#This Row],[product_id]],products[product_id],products[product_name])</f>
        <v>Polished Silk Shoes</v>
      </c>
      <c r="P669" t="str">
        <f>_xlfn.XLOOKUP(salesitems[[#This Row],[product_id]],fashion_store_products!A:A,fashion_store_products!C:C)</f>
        <v>Shoes</v>
      </c>
    </row>
    <row r="670" spans="1:16" x14ac:dyDescent="0.45">
      <c r="A670">
        <v>1362</v>
      </c>
      <c r="B670">
        <v>400</v>
      </c>
      <c r="C670">
        <v>219</v>
      </c>
      <c r="D670">
        <v>2</v>
      </c>
      <c r="E670">
        <v>49.76</v>
      </c>
      <c r="F670">
        <v>49.76</v>
      </c>
      <c r="G670">
        <v>0</v>
      </c>
      <c r="H670" s="2">
        <v>0</v>
      </c>
      <c r="I670">
        <v>0</v>
      </c>
      <c r="J670">
        <v>99.52</v>
      </c>
      <c r="K670" s="1">
        <v>45768</v>
      </c>
      <c r="L670" t="s">
        <v>15</v>
      </c>
      <c r="M670" t="s">
        <v>15</v>
      </c>
      <c r="N670">
        <f>salesitems[[#This Row],[quantity]]*salesitems[[#This Row],[unit_price]]</f>
        <v>99.52</v>
      </c>
      <c r="O670" t="str">
        <f>_xlfn.XLOOKUP(salesitems[[#This Row],[product_id]],products[product_id],products[product_name])</f>
        <v>Polished Silk Shoes</v>
      </c>
      <c r="P670" t="str">
        <f>_xlfn.XLOOKUP(salesitems[[#This Row],[product_id]],fashion_store_products!A:A,fashion_store_products!C:C)</f>
        <v>Shoes</v>
      </c>
    </row>
    <row r="671" spans="1:16" x14ac:dyDescent="0.45">
      <c r="A671">
        <v>1929</v>
      </c>
      <c r="B671">
        <v>489</v>
      </c>
      <c r="C671">
        <v>219</v>
      </c>
      <c r="D671">
        <v>2</v>
      </c>
      <c r="E671">
        <v>49.76</v>
      </c>
      <c r="F671">
        <v>49.76</v>
      </c>
      <c r="G671">
        <v>0</v>
      </c>
      <c r="H671" s="2">
        <v>0</v>
      </c>
      <c r="I671">
        <v>0</v>
      </c>
      <c r="J671">
        <v>99.52</v>
      </c>
      <c r="K671" s="1">
        <v>45821</v>
      </c>
      <c r="L671" t="s">
        <v>21</v>
      </c>
      <c r="M671" t="s">
        <v>18</v>
      </c>
      <c r="N671">
        <f>salesitems[[#This Row],[quantity]]*salesitems[[#This Row],[unit_price]]</f>
        <v>99.52</v>
      </c>
      <c r="O671" t="str">
        <f>_xlfn.XLOOKUP(salesitems[[#This Row],[product_id]],products[product_id],products[product_name])</f>
        <v>Polished Silk Shoes</v>
      </c>
      <c r="P671" t="str">
        <f>_xlfn.XLOOKUP(salesitems[[#This Row],[product_id]],fashion_store_products!A:A,fashion_store_products!C:C)</f>
        <v>Shoes</v>
      </c>
    </row>
    <row r="672" spans="1:16" x14ac:dyDescent="0.45">
      <c r="A672">
        <v>2108</v>
      </c>
      <c r="B672">
        <v>609</v>
      </c>
      <c r="C672">
        <v>219</v>
      </c>
      <c r="D672">
        <v>2</v>
      </c>
      <c r="E672">
        <v>49.76</v>
      </c>
      <c r="F672">
        <v>49.76</v>
      </c>
      <c r="G672">
        <v>0</v>
      </c>
      <c r="H672" s="2">
        <v>0</v>
      </c>
      <c r="I672">
        <v>0</v>
      </c>
      <c r="J672">
        <v>99.52</v>
      </c>
      <c r="K672" s="1">
        <v>45799</v>
      </c>
      <c r="L672" t="s">
        <v>15</v>
      </c>
      <c r="M672" t="s">
        <v>15</v>
      </c>
      <c r="N672">
        <f>salesitems[[#This Row],[quantity]]*salesitems[[#This Row],[unit_price]]</f>
        <v>99.52</v>
      </c>
      <c r="O672" t="str">
        <f>_xlfn.XLOOKUP(salesitems[[#This Row],[product_id]],products[product_id],products[product_name])</f>
        <v>Polished Silk Shoes</v>
      </c>
      <c r="P672" t="str">
        <f>_xlfn.XLOOKUP(salesitems[[#This Row],[product_id]],fashion_store_products!A:A,fashion_store_products!C:C)</f>
        <v>Shoes</v>
      </c>
    </row>
    <row r="673" spans="1:16" x14ac:dyDescent="0.45">
      <c r="A673">
        <v>2924</v>
      </c>
      <c r="B673">
        <v>188</v>
      </c>
      <c r="C673">
        <v>219</v>
      </c>
      <c r="D673">
        <v>2</v>
      </c>
      <c r="E673">
        <v>49.76</v>
      </c>
      <c r="F673">
        <v>49.76</v>
      </c>
      <c r="G673">
        <v>0</v>
      </c>
      <c r="H673" s="2">
        <v>0</v>
      </c>
      <c r="I673">
        <v>0</v>
      </c>
      <c r="J673">
        <v>99.52</v>
      </c>
      <c r="K673" s="1">
        <v>45781</v>
      </c>
      <c r="L673" t="s">
        <v>21</v>
      </c>
      <c r="M673" t="s">
        <v>18</v>
      </c>
      <c r="N673">
        <f>salesitems[[#This Row],[quantity]]*salesitems[[#This Row],[unit_price]]</f>
        <v>99.52</v>
      </c>
      <c r="O673" t="str">
        <f>_xlfn.XLOOKUP(salesitems[[#This Row],[product_id]],products[product_id],products[product_name])</f>
        <v>Polished Silk Shoes</v>
      </c>
      <c r="P673" t="str">
        <f>_xlfn.XLOOKUP(salesitems[[#This Row],[product_id]],fashion_store_products!A:A,fashion_store_products!C:C)</f>
        <v>Shoes</v>
      </c>
    </row>
    <row r="674" spans="1:16" x14ac:dyDescent="0.45">
      <c r="A674">
        <v>3170</v>
      </c>
      <c r="B674">
        <v>637</v>
      </c>
      <c r="C674">
        <v>219</v>
      </c>
      <c r="D674">
        <v>2</v>
      </c>
      <c r="E674">
        <v>49.76</v>
      </c>
      <c r="F674">
        <v>49.76</v>
      </c>
      <c r="G674">
        <v>0</v>
      </c>
      <c r="H674" s="2">
        <v>0</v>
      </c>
      <c r="I674">
        <v>0</v>
      </c>
      <c r="J674">
        <v>99.52</v>
      </c>
      <c r="K674" s="1">
        <v>45765</v>
      </c>
      <c r="L674" t="s">
        <v>15</v>
      </c>
      <c r="M674" t="s">
        <v>15</v>
      </c>
      <c r="N674">
        <f>salesitems[[#This Row],[quantity]]*salesitems[[#This Row],[unit_price]]</f>
        <v>99.52</v>
      </c>
      <c r="O674" t="str">
        <f>_xlfn.XLOOKUP(salesitems[[#This Row],[product_id]],products[product_id],products[product_name])</f>
        <v>Polished Silk Shoes</v>
      </c>
      <c r="P674" t="str">
        <f>_xlfn.XLOOKUP(salesitems[[#This Row],[product_id]],fashion_store_products!A:A,fashion_store_products!C:C)</f>
        <v>Shoes</v>
      </c>
    </row>
    <row r="675" spans="1:16" x14ac:dyDescent="0.45">
      <c r="A675">
        <v>2214</v>
      </c>
      <c r="B675">
        <v>469</v>
      </c>
      <c r="C675">
        <v>268</v>
      </c>
      <c r="D675">
        <v>2</v>
      </c>
      <c r="E675">
        <v>49.59</v>
      </c>
      <c r="F675">
        <v>49.59</v>
      </c>
      <c r="G675">
        <v>0</v>
      </c>
      <c r="H675" s="2">
        <v>0</v>
      </c>
      <c r="I675">
        <v>0</v>
      </c>
      <c r="J675">
        <v>99.18</v>
      </c>
      <c r="K675" s="1">
        <v>45802</v>
      </c>
      <c r="L675" t="s">
        <v>21</v>
      </c>
      <c r="M675" t="s">
        <v>18</v>
      </c>
      <c r="N675">
        <f>salesitems[[#This Row],[quantity]]*salesitems[[#This Row],[unit_price]]</f>
        <v>99.18</v>
      </c>
      <c r="O675" t="str">
        <f>_xlfn.XLOOKUP(salesitems[[#This Row],[product_id]],products[product_id],products[product_name])</f>
        <v>Polished Boxy Set</v>
      </c>
      <c r="P675" t="str">
        <f>_xlfn.XLOOKUP(salesitems[[#This Row],[product_id]],fashion_store_products!A:A,fashion_store_products!C:C)</f>
        <v>Sleepwear</v>
      </c>
    </row>
    <row r="676" spans="1:16" x14ac:dyDescent="0.45">
      <c r="A676">
        <v>1486</v>
      </c>
      <c r="B676">
        <v>445</v>
      </c>
      <c r="C676">
        <v>107</v>
      </c>
      <c r="D676">
        <v>2</v>
      </c>
      <c r="E676">
        <v>55.06</v>
      </c>
      <c r="F676">
        <v>49.55</v>
      </c>
      <c r="G676">
        <v>5.51</v>
      </c>
      <c r="H676" s="2">
        <v>0.1</v>
      </c>
      <c r="I676">
        <v>1</v>
      </c>
      <c r="J676">
        <v>99.11</v>
      </c>
      <c r="K676" s="1">
        <v>45813</v>
      </c>
      <c r="L676" t="s">
        <v>21</v>
      </c>
      <c r="M676" t="s">
        <v>8</v>
      </c>
      <c r="N676">
        <f>salesitems[[#This Row],[quantity]]*salesitems[[#This Row],[unit_price]]</f>
        <v>99.1</v>
      </c>
      <c r="O676" t="str">
        <f>_xlfn.XLOOKUP(salesitems[[#This Row],[product_id]],products[product_id],products[product_name])</f>
        <v>Classic Linen Shoes</v>
      </c>
      <c r="P676" t="str">
        <f>_xlfn.XLOOKUP(salesitems[[#This Row],[product_id]],fashion_store_products!A:A,fashion_store_products!C:C)</f>
        <v>Shoes</v>
      </c>
    </row>
    <row r="677" spans="1:16" x14ac:dyDescent="0.45">
      <c r="A677">
        <v>255</v>
      </c>
      <c r="B677">
        <v>245</v>
      </c>
      <c r="C677">
        <v>43</v>
      </c>
      <c r="D677">
        <v>2</v>
      </c>
      <c r="E677">
        <v>49.4</v>
      </c>
      <c r="F677">
        <v>49.4</v>
      </c>
      <c r="G677">
        <v>0</v>
      </c>
      <c r="H677" s="2">
        <v>0</v>
      </c>
      <c r="I677">
        <v>0</v>
      </c>
      <c r="J677">
        <v>98.8</v>
      </c>
      <c r="K677" s="1">
        <v>45806</v>
      </c>
      <c r="L677" t="s">
        <v>21</v>
      </c>
      <c r="M677" t="s">
        <v>18</v>
      </c>
      <c r="N677">
        <f>salesitems[[#This Row],[quantity]]*salesitems[[#This Row],[unit_price]]</f>
        <v>98.8</v>
      </c>
      <c r="O677" t="str">
        <f>_xlfn.XLOOKUP(salesitems[[#This Row],[product_id]],products[product_id],products[product_name])</f>
        <v>Modern Satin Dress</v>
      </c>
      <c r="P677" t="str">
        <f>_xlfn.XLOOKUP(salesitems[[#This Row],[product_id]],fashion_store_products!A:A,fashion_store_products!C:C)</f>
        <v>Dresses</v>
      </c>
    </row>
    <row r="678" spans="1:16" x14ac:dyDescent="0.45">
      <c r="A678">
        <v>2132</v>
      </c>
      <c r="B678">
        <v>369</v>
      </c>
      <c r="C678">
        <v>43</v>
      </c>
      <c r="D678">
        <v>2</v>
      </c>
      <c r="E678">
        <v>49.4</v>
      </c>
      <c r="F678">
        <v>49.4</v>
      </c>
      <c r="G678">
        <v>0</v>
      </c>
      <c r="H678" s="2">
        <v>0</v>
      </c>
      <c r="I678">
        <v>0</v>
      </c>
      <c r="J678">
        <v>98.8</v>
      </c>
      <c r="K678" s="1">
        <v>45776</v>
      </c>
      <c r="L678" t="s">
        <v>21</v>
      </c>
      <c r="M678" t="s">
        <v>18</v>
      </c>
      <c r="N678">
        <f>salesitems[[#This Row],[quantity]]*salesitems[[#This Row],[unit_price]]</f>
        <v>98.8</v>
      </c>
      <c r="O678" t="str">
        <f>_xlfn.XLOOKUP(salesitems[[#This Row],[product_id]],products[product_id],products[product_name])</f>
        <v>Modern Satin Dress</v>
      </c>
      <c r="P678" t="str">
        <f>_xlfn.XLOOKUP(salesitems[[#This Row],[product_id]],fashion_store_products!A:A,fashion_store_products!C:C)</f>
        <v>Dresses</v>
      </c>
    </row>
    <row r="679" spans="1:16" x14ac:dyDescent="0.45">
      <c r="A679">
        <v>2576</v>
      </c>
      <c r="B679">
        <v>1085</v>
      </c>
      <c r="C679">
        <v>232</v>
      </c>
      <c r="D679">
        <v>2</v>
      </c>
      <c r="E679">
        <v>49.34</v>
      </c>
      <c r="F679">
        <v>49.34</v>
      </c>
      <c r="G679">
        <v>0</v>
      </c>
      <c r="H679" s="2">
        <v>0</v>
      </c>
      <c r="I679">
        <v>0</v>
      </c>
      <c r="J679">
        <v>98.68</v>
      </c>
      <c r="K679" s="1">
        <v>45791</v>
      </c>
      <c r="L679" t="s">
        <v>21</v>
      </c>
      <c r="M679" t="s">
        <v>18</v>
      </c>
      <c r="N679">
        <f>salesitems[[#This Row],[quantity]]*salesitems[[#This Row],[unit_price]]</f>
        <v>98.68</v>
      </c>
      <c r="O679" t="str">
        <f>_xlfn.XLOOKUP(salesitems[[#This Row],[product_id]],products[product_id],products[product_name])</f>
        <v>Polished Boxy Shoes</v>
      </c>
      <c r="P679" t="str">
        <f>_xlfn.XLOOKUP(salesitems[[#This Row],[product_id]],fashion_store_products!A:A,fashion_store_products!C:C)</f>
        <v>Shoes</v>
      </c>
    </row>
    <row r="680" spans="1:16" x14ac:dyDescent="0.45">
      <c r="A680">
        <v>2960</v>
      </c>
      <c r="B680">
        <v>298</v>
      </c>
      <c r="C680">
        <v>232</v>
      </c>
      <c r="D680">
        <v>2</v>
      </c>
      <c r="E680">
        <v>49.34</v>
      </c>
      <c r="F680">
        <v>49.34</v>
      </c>
      <c r="G680">
        <v>0</v>
      </c>
      <c r="H680" s="2">
        <v>0</v>
      </c>
      <c r="I680">
        <v>0</v>
      </c>
      <c r="J680">
        <v>98.68</v>
      </c>
      <c r="K680" s="1">
        <v>45795</v>
      </c>
      <c r="L680" t="s">
        <v>21</v>
      </c>
      <c r="M680" t="s">
        <v>18</v>
      </c>
      <c r="N680">
        <f>salesitems[[#This Row],[quantity]]*salesitems[[#This Row],[unit_price]]</f>
        <v>98.68</v>
      </c>
      <c r="O680" t="str">
        <f>_xlfn.XLOOKUP(salesitems[[#This Row],[product_id]],products[product_id],products[product_name])</f>
        <v>Polished Boxy Shoes</v>
      </c>
      <c r="P680" t="str">
        <f>_xlfn.XLOOKUP(salesitems[[#This Row],[product_id]],fashion_store_products!A:A,fashion_store_products!C:C)</f>
        <v>Shoes</v>
      </c>
    </row>
    <row r="681" spans="1:16" x14ac:dyDescent="0.45">
      <c r="A681">
        <v>2900</v>
      </c>
      <c r="B681">
        <v>350</v>
      </c>
      <c r="C681">
        <v>175</v>
      </c>
      <c r="D681">
        <v>2</v>
      </c>
      <c r="E681">
        <v>49.16</v>
      </c>
      <c r="F681">
        <v>49.16</v>
      </c>
      <c r="G681">
        <v>0</v>
      </c>
      <c r="H681" s="2">
        <v>0</v>
      </c>
      <c r="I681">
        <v>0</v>
      </c>
      <c r="J681">
        <v>98.32</v>
      </c>
      <c r="K681" s="1">
        <v>45766</v>
      </c>
      <c r="L681" t="s">
        <v>21</v>
      </c>
      <c r="M681" t="s">
        <v>18</v>
      </c>
      <c r="N681">
        <f>salesitems[[#This Row],[quantity]]*salesitems[[#This Row],[unit_price]]</f>
        <v>98.32</v>
      </c>
      <c r="O681" t="str">
        <f>_xlfn.XLOOKUP(salesitems[[#This Row],[product_id]],products[product_id],products[product_name])</f>
        <v>Vintage Cotton Tee</v>
      </c>
      <c r="P681" t="str">
        <f>_xlfn.XLOOKUP(salesitems[[#This Row],[product_id]],fashion_store_products!A:A,fashion_store_products!C:C)</f>
        <v>T-Shirts</v>
      </c>
    </row>
    <row r="682" spans="1:16" x14ac:dyDescent="0.45">
      <c r="A682">
        <v>913</v>
      </c>
      <c r="B682">
        <v>850</v>
      </c>
      <c r="C682">
        <v>130</v>
      </c>
      <c r="D682">
        <v>2</v>
      </c>
      <c r="E682">
        <v>49.12</v>
      </c>
      <c r="F682">
        <v>49.12</v>
      </c>
      <c r="G682">
        <v>0</v>
      </c>
      <c r="H682" s="2">
        <v>0</v>
      </c>
      <c r="I682">
        <v>0</v>
      </c>
      <c r="J682">
        <v>98.24</v>
      </c>
      <c r="K682" s="1">
        <v>45766</v>
      </c>
      <c r="L682" t="s">
        <v>21</v>
      </c>
      <c r="M682" t="s">
        <v>18</v>
      </c>
      <c r="N682">
        <f>salesitems[[#This Row],[quantity]]*salesitems[[#This Row],[unit_price]]</f>
        <v>98.24</v>
      </c>
      <c r="O682" t="str">
        <f>_xlfn.XLOOKUP(salesitems[[#This Row],[product_id]],products[product_id],products[product_name])</f>
        <v>Classic Ribbed Set</v>
      </c>
      <c r="P682" t="str">
        <f>_xlfn.XLOOKUP(salesitems[[#This Row],[product_id]],fashion_store_products!A:A,fashion_store_products!C:C)</f>
        <v>Sleepwear</v>
      </c>
    </row>
    <row r="683" spans="1:16" x14ac:dyDescent="0.45">
      <c r="A683">
        <v>2212</v>
      </c>
      <c r="B683">
        <v>627</v>
      </c>
      <c r="C683">
        <v>216</v>
      </c>
      <c r="D683">
        <v>2</v>
      </c>
      <c r="E683">
        <v>48.86</v>
      </c>
      <c r="F683">
        <v>48.86</v>
      </c>
      <c r="G683">
        <v>0</v>
      </c>
      <c r="H683" s="2">
        <v>0</v>
      </c>
      <c r="I683">
        <v>0</v>
      </c>
      <c r="J683">
        <v>97.72</v>
      </c>
      <c r="K683" s="1">
        <v>45800</v>
      </c>
      <c r="L683" t="s">
        <v>15</v>
      </c>
      <c r="M683" t="s">
        <v>15</v>
      </c>
      <c r="N683">
        <f>salesitems[[#This Row],[quantity]]*salesitems[[#This Row],[unit_price]]</f>
        <v>97.72</v>
      </c>
      <c r="O683" t="str">
        <f>_xlfn.XLOOKUP(salesitems[[#This Row],[product_id]],products[product_id],products[product_name])</f>
        <v>Polished Satin Shoes</v>
      </c>
      <c r="P683" t="str">
        <f>_xlfn.XLOOKUP(salesitems[[#This Row],[product_id]],fashion_store_products!A:A,fashion_store_products!C:C)</f>
        <v>Shoes</v>
      </c>
    </row>
    <row r="684" spans="1:16" x14ac:dyDescent="0.45">
      <c r="A684">
        <v>849</v>
      </c>
      <c r="B684">
        <v>221</v>
      </c>
      <c r="C684">
        <v>295</v>
      </c>
      <c r="D684">
        <v>2</v>
      </c>
      <c r="E684">
        <v>48.73</v>
      </c>
      <c r="F684">
        <v>48.73</v>
      </c>
      <c r="G684">
        <v>0</v>
      </c>
      <c r="H684" s="2">
        <v>0</v>
      </c>
      <c r="I684">
        <v>0</v>
      </c>
      <c r="J684">
        <v>97.46</v>
      </c>
      <c r="K684" s="1">
        <v>45793</v>
      </c>
      <c r="L684" t="s">
        <v>21</v>
      </c>
      <c r="M684" t="s">
        <v>18</v>
      </c>
      <c r="N684">
        <f>salesitems[[#This Row],[quantity]]*salesitems[[#This Row],[unit_price]]</f>
        <v>97.46</v>
      </c>
      <c r="O684" t="str">
        <f>_xlfn.XLOOKUP(salesitems[[#This Row],[product_id]],products[product_id],products[product_name])</f>
        <v>Polished Boxy Trousers</v>
      </c>
      <c r="P684" t="str">
        <f>_xlfn.XLOOKUP(salesitems[[#This Row],[product_id]],fashion_store_products!A:A,fashion_store_products!C:C)</f>
        <v>Pants</v>
      </c>
    </row>
    <row r="685" spans="1:16" x14ac:dyDescent="0.45">
      <c r="A685">
        <v>1837</v>
      </c>
      <c r="B685">
        <v>10</v>
      </c>
      <c r="C685">
        <v>218</v>
      </c>
      <c r="D685">
        <v>2</v>
      </c>
      <c r="E685">
        <v>48.73</v>
      </c>
      <c r="F685">
        <v>48.73</v>
      </c>
      <c r="G685">
        <v>0</v>
      </c>
      <c r="H685" s="2">
        <v>0</v>
      </c>
      <c r="I685">
        <v>0</v>
      </c>
      <c r="J685">
        <v>97.46</v>
      </c>
      <c r="K685" s="1">
        <v>45798</v>
      </c>
      <c r="L685" t="s">
        <v>21</v>
      </c>
      <c r="M685" t="s">
        <v>18</v>
      </c>
      <c r="N685">
        <f>salesitems[[#This Row],[quantity]]*salesitems[[#This Row],[unit_price]]</f>
        <v>97.46</v>
      </c>
      <c r="O685" t="str">
        <f>_xlfn.XLOOKUP(salesitems[[#This Row],[product_id]],products[product_id],products[product_name])</f>
        <v>Polished Satin Tee</v>
      </c>
      <c r="P685" t="str">
        <f>_xlfn.XLOOKUP(salesitems[[#This Row],[product_id]],fashion_store_products!A:A,fashion_store_products!C:C)</f>
        <v>T-Shirts</v>
      </c>
    </row>
    <row r="686" spans="1:16" x14ac:dyDescent="0.45">
      <c r="A686">
        <v>1389</v>
      </c>
      <c r="B686">
        <v>484</v>
      </c>
      <c r="C686">
        <v>301</v>
      </c>
      <c r="D686">
        <v>2</v>
      </c>
      <c r="E686">
        <v>48.72</v>
      </c>
      <c r="F686">
        <v>48.72</v>
      </c>
      <c r="G686">
        <v>0</v>
      </c>
      <c r="H686" s="2">
        <v>0</v>
      </c>
      <c r="I686">
        <v>0</v>
      </c>
      <c r="J686">
        <v>97.44</v>
      </c>
      <c r="K686" s="1">
        <v>45773</v>
      </c>
      <c r="L686" t="s">
        <v>15</v>
      </c>
      <c r="M686" t="s">
        <v>15</v>
      </c>
      <c r="N686">
        <f>salesitems[[#This Row],[quantity]]*salesitems[[#This Row],[unit_price]]</f>
        <v>97.44</v>
      </c>
      <c r="O686" t="str">
        <f>_xlfn.XLOOKUP(salesitems[[#This Row],[product_id]],products[product_id],products[product_name])</f>
        <v>Essential Linen Dress</v>
      </c>
      <c r="P686" t="str">
        <f>_xlfn.XLOOKUP(salesitems[[#This Row],[product_id]],fashion_store_products!A:A,fashion_store_products!C:C)</f>
        <v>Dresses</v>
      </c>
    </row>
    <row r="687" spans="1:16" x14ac:dyDescent="0.45">
      <c r="A687">
        <v>750</v>
      </c>
      <c r="B687">
        <v>326</v>
      </c>
      <c r="C687">
        <v>460</v>
      </c>
      <c r="D687">
        <v>2</v>
      </c>
      <c r="E687">
        <v>48.64</v>
      </c>
      <c r="F687">
        <v>48.64</v>
      </c>
      <c r="G687">
        <v>0</v>
      </c>
      <c r="H687" s="2">
        <v>0</v>
      </c>
      <c r="I687">
        <v>0</v>
      </c>
      <c r="J687">
        <v>97.28</v>
      </c>
      <c r="K687" s="1">
        <v>45766</v>
      </c>
      <c r="L687" t="s">
        <v>21</v>
      </c>
      <c r="M687" t="s">
        <v>18</v>
      </c>
      <c r="N687">
        <f>salesitems[[#This Row],[quantity]]*salesitems[[#This Row],[unit_price]]</f>
        <v>97.28</v>
      </c>
      <c r="O687" t="str">
        <f>_xlfn.XLOOKUP(salesitems[[#This Row],[product_id]],products[product_id],products[product_name])</f>
        <v>Bold Sleeveless Tee</v>
      </c>
      <c r="P687" t="str">
        <f>_xlfn.XLOOKUP(salesitems[[#This Row],[product_id]],fashion_store_products!A:A,fashion_store_products!C:C)</f>
        <v>T-Shirts</v>
      </c>
    </row>
    <row r="688" spans="1:16" x14ac:dyDescent="0.45">
      <c r="A688">
        <v>1756</v>
      </c>
      <c r="B688">
        <v>906</v>
      </c>
      <c r="C688">
        <v>460</v>
      </c>
      <c r="D688">
        <v>2</v>
      </c>
      <c r="E688">
        <v>48.64</v>
      </c>
      <c r="F688">
        <v>48.64</v>
      </c>
      <c r="G688">
        <v>0</v>
      </c>
      <c r="H688" s="2">
        <v>0</v>
      </c>
      <c r="I688">
        <v>0</v>
      </c>
      <c r="J688">
        <v>97.28</v>
      </c>
      <c r="K688" s="1">
        <v>45775</v>
      </c>
      <c r="L688" t="s">
        <v>21</v>
      </c>
      <c r="M688" t="s">
        <v>18</v>
      </c>
      <c r="N688">
        <f>salesitems[[#This Row],[quantity]]*salesitems[[#This Row],[unit_price]]</f>
        <v>97.28</v>
      </c>
      <c r="O688" t="str">
        <f>_xlfn.XLOOKUP(salesitems[[#This Row],[product_id]],products[product_id],products[product_name])</f>
        <v>Bold Sleeveless Tee</v>
      </c>
      <c r="P688" t="str">
        <f>_xlfn.XLOOKUP(salesitems[[#This Row],[product_id]],fashion_store_products!A:A,fashion_store_products!C:C)</f>
        <v>T-Shirts</v>
      </c>
    </row>
    <row r="689" spans="1:16" x14ac:dyDescent="0.45">
      <c r="A689">
        <v>1200</v>
      </c>
      <c r="B689">
        <v>424</v>
      </c>
      <c r="C689">
        <v>34</v>
      </c>
      <c r="D689">
        <v>2</v>
      </c>
      <c r="E689">
        <v>48.34</v>
      </c>
      <c r="F689">
        <v>48.34</v>
      </c>
      <c r="G689">
        <v>0</v>
      </c>
      <c r="H689" s="2">
        <v>0</v>
      </c>
      <c r="I689">
        <v>0</v>
      </c>
      <c r="J689">
        <v>96.68</v>
      </c>
      <c r="K689" s="1">
        <v>45799</v>
      </c>
      <c r="L689" t="s">
        <v>15</v>
      </c>
      <c r="M689" t="s">
        <v>15</v>
      </c>
      <c r="N689">
        <f>salesitems[[#This Row],[quantity]]*salesitems[[#This Row],[unit_price]]</f>
        <v>96.68</v>
      </c>
      <c r="O689" t="str">
        <f>_xlfn.XLOOKUP(salesitems[[#This Row],[product_id]],products[product_id],products[product_name])</f>
        <v>Modern Linen Dress</v>
      </c>
      <c r="P689" t="str">
        <f>_xlfn.XLOOKUP(salesitems[[#This Row],[product_id]],fashion_store_products!A:A,fashion_store_products!C:C)</f>
        <v>Dresses</v>
      </c>
    </row>
    <row r="690" spans="1:16" x14ac:dyDescent="0.45">
      <c r="A690">
        <v>2671</v>
      </c>
      <c r="B690">
        <v>314</v>
      </c>
      <c r="C690">
        <v>34</v>
      </c>
      <c r="D690">
        <v>2</v>
      </c>
      <c r="E690">
        <v>48.34</v>
      </c>
      <c r="F690">
        <v>48.34</v>
      </c>
      <c r="G690">
        <v>0</v>
      </c>
      <c r="H690" s="2">
        <v>0</v>
      </c>
      <c r="I690">
        <v>0</v>
      </c>
      <c r="J690">
        <v>96.68</v>
      </c>
      <c r="K690" s="1">
        <v>45795</v>
      </c>
      <c r="L690" t="s">
        <v>21</v>
      </c>
      <c r="M690" t="s">
        <v>18</v>
      </c>
      <c r="N690">
        <f>salesitems[[#This Row],[quantity]]*salesitems[[#This Row],[unit_price]]</f>
        <v>96.68</v>
      </c>
      <c r="O690" t="str">
        <f>_xlfn.XLOOKUP(salesitems[[#This Row],[product_id]],products[product_id],products[product_name])</f>
        <v>Modern Linen Dress</v>
      </c>
      <c r="P690" t="str">
        <f>_xlfn.XLOOKUP(salesitems[[#This Row],[product_id]],fashion_store_products!A:A,fashion_store_products!C:C)</f>
        <v>Dresses</v>
      </c>
    </row>
    <row r="691" spans="1:16" x14ac:dyDescent="0.45">
      <c r="A691">
        <v>1153</v>
      </c>
      <c r="B691">
        <v>1343</v>
      </c>
      <c r="C691">
        <v>230</v>
      </c>
      <c r="D691">
        <v>2</v>
      </c>
      <c r="E691">
        <v>48.3</v>
      </c>
      <c r="F691">
        <v>48.3</v>
      </c>
      <c r="G691">
        <v>0</v>
      </c>
      <c r="H691" s="2">
        <v>0</v>
      </c>
      <c r="I691">
        <v>0</v>
      </c>
      <c r="J691">
        <v>96.6</v>
      </c>
      <c r="K691" s="1">
        <v>45805</v>
      </c>
      <c r="L691" t="s">
        <v>21</v>
      </c>
      <c r="M691" t="s">
        <v>18</v>
      </c>
      <c r="N691">
        <f>salesitems[[#This Row],[quantity]]*salesitems[[#This Row],[unit_price]]</f>
        <v>96.6</v>
      </c>
      <c r="O691" t="str">
        <f>_xlfn.XLOOKUP(salesitems[[#This Row],[product_id]],products[product_id],products[product_name])</f>
        <v>Polished Ribbed Set</v>
      </c>
      <c r="P691" t="str">
        <f>_xlfn.XLOOKUP(salesitems[[#This Row],[product_id]],fashion_store_products!A:A,fashion_store_products!C:C)</f>
        <v>Sleepwear</v>
      </c>
    </row>
    <row r="692" spans="1:16" x14ac:dyDescent="0.45">
      <c r="A692">
        <v>2923</v>
      </c>
      <c r="B692">
        <v>932</v>
      </c>
      <c r="C692">
        <v>189</v>
      </c>
      <c r="D692">
        <v>2</v>
      </c>
      <c r="E692">
        <v>48.12</v>
      </c>
      <c r="F692">
        <v>48.12</v>
      </c>
      <c r="G692">
        <v>0</v>
      </c>
      <c r="H692" s="2">
        <v>0</v>
      </c>
      <c r="I692">
        <v>0</v>
      </c>
      <c r="J692">
        <v>96.24</v>
      </c>
      <c r="K692" s="1">
        <v>45822</v>
      </c>
      <c r="L692" t="s">
        <v>15</v>
      </c>
      <c r="M692" t="s">
        <v>15</v>
      </c>
      <c r="N692">
        <f>salesitems[[#This Row],[quantity]]*salesitems[[#This Row],[unit_price]]</f>
        <v>96.24</v>
      </c>
      <c r="O692" t="str">
        <f>_xlfn.XLOOKUP(salesitems[[#This Row],[product_id]],products[product_id],products[product_name])</f>
        <v>Vintage Crew Set</v>
      </c>
      <c r="P692" t="str">
        <f>_xlfn.XLOOKUP(salesitems[[#This Row],[product_id]],fashion_store_products!A:A,fashion_store_products!C:C)</f>
        <v>Sleepwear</v>
      </c>
    </row>
    <row r="693" spans="1:16" x14ac:dyDescent="0.45">
      <c r="A693">
        <v>2033</v>
      </c>
      <c r="B693">
        <v>35</v>
      </c>
      <c r="C693">
        <v>121</v>
      </c>
      <c r="D693">
        <v>2</v>
      </c>
      <c r="E693">
        <v>47.91</v>
      </c>
      <c r="F693">
        <v>47.91</v>
      </c>
      <c r="G693">
        <v>0</v>
      </c>
      <c r="H693" s="2">
        <v>0</v>
      </c>
      <c r="I693">
        <v>0</v>
      </c>
      <c r="J693">
        <v>95.82</v>
      </c>
      <c r="K693" s="1">
        <v>45774</v>
      </c>
      <c r="L693" t="s">
        <v>21</v>
      </c>
      <c r="M693" t="s">
        <v>18</v>
      </c>
      <c r="N693">
        <f>salesitems[[#This Row],[quantity]]*salesitems[[#This Row],[unit_price]]</f>
        <v>95.82</v>
      </c>
      <c r="O693" t="str">
        <f>_xlfn.XLOOKUP(salesitems[[#This Row],[product_id]],products[product_id],products[product_name])</f>
        <v>Classic Cotton Shoes</v>
      </c>
      <c r="P693" t="str">
        <f>_xlfn.XLOOKUP(salesitems[[#This Row],[product_id]],fashion_store_products!A:A,fashion_store_products!C:C)</f>
        <v>Shoes</v>
      </c>
    </row>
    <row r="694" spans="1:16" x14ac:dyDescent="0.45">
      <c r="A694">
        <v>474</v>
      </c>
      <c r="B694">
        <v>1328</v>
      </c>
      <c r="C694">
        <v>409</v>
      </c>
      <c r="D694">
        <v>2</v>
      </c>
      <c r="E694">
        <v>47.84</v>
      </c>
      <c r="F694">
        <v>47.84</v>
      </c>
      <c r="G694">
        <v>0</v>
      </c>
      <c r="H694" s="2">
        <v>0</v>
      </c>
      <c r="I694">
        <v>0</v>
      </c>
      <c r="J694">
        <v>95.68</v>
      </c>
      <c r="K694" s="1">
        <v>45824</v>
      </c>
      <c r="L694" t="s">
        <v>21</v>
      </c>
      <c r="M694" t="s">
        <v>18</v>
      </c>
      <c r="N694">
        <f>salesitems[[#This Row],[quantity]]*salesitems[[#This Row],[unit_price]]</f>
        <v>95.68</v>
      </c>
      <c r="O694" t="str">
        <f>_xlfn.XLOOKUP(salesitems[[#This Row],[product_id]],products[product_id],products[product_name])</f>
        <v>Elegant Ribbed Shoes</v>
      </c>
      <c r="P694" t="str">
        <f>_xlfn.XLOOKUP(salesitems[[#This Row],[product_id]],fashion_store_products!A:A,fashion_store_products!C:C)</f>
        <v>Shoes</v>
      </c>
    </row>
    <row r="695" spans="1:16" x14ac:dyDescent="0.45">
      <c r="A695">
        <v>273</v>
      </c>
      <c r="B695">
        <v>1079</v>
      </c>
      <c r="C695">
        <v>447</v>
      </c>
      <c r="D695">
        <v>2</v>
      </c>
      <c r="E695">
        <v>47.66</v>
      </c>
      <c r="F695">
        <v>47.66</v>
      </c>
      <c r="G695">
        <v>0</v>
      </c>
      <c r="H695" s="2">
        <v>0</v>
      </c>
      <c r="I695">
        <v>0</v>
      </c>
      <c r="J695">
        <v>95.32</v>
      </c>
      <c r="K695" s="1">
        <v>45823</v>
      </c>
      <c r="L695" t="s">
        <v>15</v>
      </c>
      <c r="M695" t="s">
        <v>15</v>
      </c>
      <c r="N695">
        <f>salesitems[[#This Row],[quantity]]*salesitems[[#This Row],[unit_price]]</f>
        <v>95.32</v>
      </c>
      <c r="O695" t="str">
        <f>_xlfn.XLOOKUP(salesitems[[#This Row],[product_id]],products[product_id],products[product_name])</f>
        <v>Bold Satin Dress</v>
      </c>
      <c r="P695" t="str">
        <f>_xlfn.XLOOKUP(salesitems[[#This Row],[product_id]],fashion_store_products!A:A,fashion_store_products!C:C)</f>
        <v>Dresses</v>
      </c>
    </row>
    <row r="696" spans="1:16" x14ac:dyDescent="0.45">
      <c r="A696">
        <v>614</v>
      </c>
      <c r="B696">
        <v>414</v>
      </c>
      <c r="C696">
        <v>447</v>
      </c>
      <c r="D696">
        <v>2</v>
      </c>
      <c r="E696">
        <v>47.66</v>
      </c>
      <c r="F696">
        <v>47.66</v>
      </c>
      <c r="G696">
        <v>0</v>
      </c>
      <c r="H696" s="2">
        <v>0</v>
      </c>
      <c r="I696">
        <v>0</v>
      </c>
      <c r="J696">
        <v>95.32</v>
      </c>
      <c r="K696" s="1">
        <v>45822</v>
      </c>
      <c r="L696" t="s">
        <v>15</v>
      </c>
      <c r="M696" t="s">
        <v>15</v>
      </c>
      <c r="N696">
        <f>salesitems[[#This Row],[quantity]]*salesitems[[#This Row],[unit_price]]</f>
        <v>95.32</v>
      </c>
      <c r="O696" t="str">
        <f>_xlfn.XLOOKUP(salesitems[[#This Row],[product_id]],products[product_id],products[product_name])</f>
        <v>Bold Satin Dress</v>
      </c>
      <c r="P696" t="str">
        <f>_xlfn.XLOOKUP(salesitems[[#This Row],[product_id]],fashion_store_products!A:A,fashion_store_products!C:C)</f>
        <v>Dresses</v>
      </c>
    </row>
    <row r="697" spans="1:16" x14ac:dyDescent="0.45">
      <c r="A697">
        <v>1560</v>
      </c>
      <c r="B697">
        <v>719</v>
      </c>
      <c r="C697">
        <v>482</v>
      </c>
      <c r="D697">
        <v>2</v>
      </c>
      <c r="E697">
        <v>47.59</v>
      </c>
      <c r="F697">
        <v>47.59</v>
      </c>
      <c r="G697">
        <v>0</v>
      </c>
      <c r="H697" s="2">
        <v>0</v>
      </c>
      <c r="I697">
        <v>0</v>
      </c>
      <c r="J697">
        <v>95.18</v>
      </c>
      <c r="K697" s="1">
        <v>45769</v>
      </c>
      <c r="L697" t="s">
        <v>21</v>
      </c>
      <c r="M697" t="s">
        <v>18</v>
      </c>
      <c r="N697">
        <f>salesitems[[#This Row],[quantity]]*salesitems[[#This Row],[unit_price]]</f>
        <v>95.18</v>
      </c>
      <c r="O697" t="str">
        <f>_xlfn.XLOOKUP(salesitems[[#This Row],[product_id]],products[product_id],products[product_name])</f>
        <v>Dresses Drop 6</v>
      </c>
      <c r="P697" t="str">
        <f>_xlfn.XLOOKUP(salesitems[[#This Row],[product_id]],fashion_store_products!A:A,fashion_store_products!C:C)</f>
        <v>Dresses</v>
      </c>
    </row>
    <row r="698" spans="1:16" x14ac:dyDescent="0.45">
      <c r="A698">
        <v>1907</v>
      </c>
      <c r="B698">
        <v>265</v>
      </c>
      <c r="C698">
        <v>482</v>
      </c>
      <c r="D698">
        <v>2</v>
      </c>
      <c r="E698">
        <v>47.59</v>
      </c>
      <c r="F698">
        <v>47.59</v>
      </c>
      <c r="G698">
        <v>0</v>
      </c>
      <c r="H698" s="2">
        <v>0</v>
      </c>
      <c r="I698">
        <v>0</v>
      </c>
      <c r="J698">
        <v>95.18</v>
      </c>
      <c r="K698" s="1">
        <v>45803</v>
      </c>
      <c r="L698" t="s">
        <v>15</v>
      </c>
      <c r="M698" t="s">
        <v>15</v>
      </c>
      <c r="N698">
        <f>salesitems[[#This Row],[quantity]]*salesitems[[#This Row],[unit_price]]</f>
        <v>95.18</v>
      </c>
      <c r="O698" t="str">
        <f>_xlfn.XLOOKUP(salesitems[[#This Row],[product_id]],products[product_id],products[product_name])</f>
        <v>Dresses Drop 6</v>
      </c>
      <c r="P698" t="str">
        <f>_xlfn.XLOOKUP(salesitems[[#This Row],[product_id]],fashion_store_products!A:A,fashion_store_products!C:C)</f>
        <v>Dresses</v>
      </c>
    </row>
    <row r="699" spans="1:16" x14ac:dyDescent="0.45">
      <c r="A699">
        <v>2858</v>
      </c>
      <c r="B699">
        <v>1259</v>
      </c>
      <c r="C699">
        <v>482</v>
      </c>
      <c r="D699">
        <v>2</v>
      </c>
      <c r="E699">
        <v>47.59</v>
      </c>
      <c r="F699">
        <v>47.59</v>
      </c>
      <c r="G699">
        <v>0</v>
      </c>
      <c r="H699" s="2">
        <v>0</v>
      </c>
      <c r="I699">
        <v>0</v>
      </c>
      <c r="J699">
        <v>95.18</v>
      </c>
      <c r="K699" s="1">
        <v>45762</v>
      </c>
      <c r="L699" t="s">
        <v>21</v>
      </c>
      <c r="M699" t="s">
        <v>18</v>
      </c>
      <c r="N699">
        <f>salesitems[[#This Row],[quantity]]*salesitems[[#This Row],[unit_price]]</f>
        <v>95.18</v>
      </c>
      <c r="O699" t="str">
        <f>_xlfn.XLOOKUP(salesitems[[#This Row],[product_id]],products[product_id],products[product_name])</f>
        <v>Dresses Drop 6</v>
      </c>
      <c r="P699" t="str">
        <f>_xlfn.XLOOKUP(salesitems[[#This Row],[product_id]],fashion_store_products!A:A,fashion_store_products!C:C)</f>
        <v>Dresses</v>
      </c>
    </row>
    <row r="700" spans="1:16" x14ac:dyDescent="0.45">
      <c r="A700">
        <v>1758</v>
      </c>
      <c r="B700">
        <v>1263</v>
      </c>
      <c r="C700">
        <v>410</v>
      </c>
      <c r="D700">
        <v>2</v>
      </c>
      <c r="E700">
        <v>47.47</v>
      </c>
      <c r="F700">
        <v>47.47</v>
      </c>
      <c r="G700">
        <v>0</v>
      </c>
      <c r="H700" s="2">
        <v>0</v>
      </c>
      <c r="I700">
        <v>0</v>
      </c>
      <c r="J700">
        <v>94.94</v>
      </c>
      <c r="K700" s="1">
        <v>45769</v>
      </c>
      <c r="L700" t="s">
        <v>15</v>
      </c>
      <c r="M700" t="s">
        <v>15</v>
      </c>
      <c r="N700">
        <f>salesitems[[#This Row],[quantity]]*salesitems[[#This Row],[unit_price]]</f>
        <v>94.94</v>
      </c>
      <c r="O700" t="str">
        <f>_xlfn.XLOOKUP(salesitems[[#This Row],[product_id]],products[product_id],products[product_name])</f>
        <v>Elegant Satin Set</v>
      </c>
      <c r="P700" t="str">
        <f>_xlfn.XLOOKUP(salesitems[[#This Row],[product_id]],fashion_store_products!A:A,fashion_store_products!C:C)</f>
        <v>Sleepwear</v>
      </c>
    </row>
    <row r="701" spans="1:16" x14ac:dyDescent="0.45">
      <c r="A701">
        <v>1287</v>
      </c>
      <c r="B701">
        <v>1040</v>
      </c>
      <c r="C701">
        <v>470</v>
      </c>
      <c r="D701">
        <v>2</v>
      </c>
      <c r="E701">
        <v>67.73</v>
      </c>
      <c r="F701">
        <v>47.41</v>
      </c>
      <c r="G701">
        <v>20.32</v>
      </c>
      <c r="H701" s="2">
        <v>0.3</v>
      </c>
      <c r="I701">
        <v>1</v>
      </c>
      <c r="J701">
        <v>94.82</v>
      </c>
      <c r="K701" s="1">
        <v>45793</v>
      </c>
      <c r="L701" t="s">
        <v>15</v>
      </c>
      <c r="M701" t="s">
        <v>11</v>
      </c>
      <c r="N701">
        <f>salesitems[[#This Row],[quantity]]*salesitems[[#This Row],[unit_price]]</f>
        <v>94.82</v>
      </c>
      <c r="O701" t="str">
        <f>_xlfn.XLOOKUP(salesitems[[#This Row],[product_id]],products[product_id],products[product_name])</f>
        <v>Sleepwear Drop 2</v>
      </c>
      <c r="P701" t="str">
        <f>_xlfn.XLOOKUP(salesitems[[#This Row],[product_id]],fashion_store_products!A:A,fashion_store_products!C:C)</f>
        <v>Sleepwear</v>
      </c>
    </row>
    <row r="702" spans="1:16" x14ac:dyDescent="0.45">
      <c r="A702">
        <v>873</v>
      </c>
      <c r="B702">
        <v>29</v>
      </c>
      <c r="C702">
        <v>68</v>
      </c>
      <c r="D702">
        <v>2</v>
      </c>
      <c r="E702">
        <v>47.27</v>
      </c>
      <c r="F702">
        <v>47.27</v>
      </c>
      <c r="G702">
        <v>0</v>
      </c>
      <c r="H702" s="2">
        <v>0</v>
      </c>
      <c r="I702">
        <v>0</v>
      </c>
      <c r="J702">
        <v>94.54</v>
      </c>
      <c r="K702" s="1">
        <v>45772</v>
      </c>
      <c r="L702" t="s">
        <v>15</v>
      </c>
      <c r="M702" t="s">
        <v>15</v>
      </c>
      <c r="N702">
        <f>salesitems[[#This Row],[quantity]]*salesitems[[#This Row],[unit_price]]</f>
        <v>94.54</v>
      </c>
      <c r="O702" t="str">
        <f>_xlfn.XLOOKUP(salesitems[[#This Row],[product_id]],products[product_id],products[product_name])</f>
        <v>Soft High-Waist Set</v>
      </c>
      <c r="P702" t="str">
        <f>_xlfn.XLOOKUP(salesitems[[#This Row],[product_id]],fashion_store_products!A:A,fashion_store_products!C:C)</f>
        <v>Sleepwear</v>
      </c>
    </row>
    <row r="703" spans="1:16" x14ac:dyDescent="0.45">
      <c r="A703">
        <v>23</v>
      </c>
      <c r="B703">
        <v>1066</v>
      </c>
      <c r="C703">
        <v>118</v>
      </c>
      <c r="D703">
        <v>2</v>
      </c>
      <c r="E703">
        <v>46.99</v>
      </c>
      <c r="F703">
        <v>46.99</v>
      </c>
      <c r="G703">
        <v>0</v>
      </c>
      <c r="H703" s="2">
        <v>0</v>
      </c>
      <c r="I703">
        <v>0</v>
      </c>
      <c r="J703">
        <v>93.98</v>
      </c>
      <c r="K703" s="1">
        <v>45791</v>
      </c>
      <c r="L703" t="s">
        <v>21</v>
      </c>
      <c r="M703" t="s">
        <v>18</v>
      </c>
      <c r="N703">
        <f>salesitems[[#This Row],[quantity]]*salesitems[[#This Row],[unit_price]]</f>
        <v>93.98</v>
      </c>
      <c r="O703" t="str">
        <f>_xlfn.XLOOKUP(salesitems[[#This Row],[product_id]],products[product_id],products[product_name])</f>
        <v>Classic Silk Tee</v>
      </c>
      <c r="P703" t="str">
        <f>_xlfn.XLOOKUP(salesitems[[#This Row],[product_id]],fashion_store_products!A:A,fashion_store_products!C:C)</f>
        <v>T-Shirts</v>
      </c>
    </row>
    <row r="704" spans="1:16" x14ac:dyDescent="0.45">
      <c r="A704">
        <v>1140</v>
      </c>
      <c r="B704">
        <v>299</v>
      </c>
      <c r="C704">
        <v>296</v>
      </c>
      <c r="D704">
        <v>2</v>
      </c>
      <c r="E704">
        <v>67.069999999999993</v>
      </c>
      <c r="F704">
        <v>46.95</v>
      </c>
      <c r="G704">
        <v>20.12</v>
      </c>
      <c r="H704" s="2">
        <v>0.3</v>
      </c>
      <c r="I704">
        <v>1</v>
      </c>
      <c r="J704">
        <v>93.9</v>
      </c>
      <c r="K704" s="1">
        <v>45790</v>
      </c>
      <c r="L704" t="s">
        <v>15</v>
      </c>
      <c r="M704" t="s">
        <v>11</v>
      </c>
      <c r="N704">
        <f>salesitems[[#This Row],[quantity]]*salesitems[[#This Row],[unit_price]]</f>
        <v>93.9</v>
      </c>
      <c r="O704" t="str">
        <f>_xlfn.XLOOKUP(salesitems[[#This Row],[product_id]],products[product_id],products[product_name])</f>
        <v>Relaxed Boxy Dress</v>
      </c>
      <c r="P704" t="str">
        <f>_xlfn.XLOOKUP(salesitems[[#This Row],[product_id]],fashion_store_products!A:A,fashion_store_products!C:C)</f>
        <v>Dresses</v>
      </c>
    </row>
    <row r="705" spans="1:16" x14ac:dyDescent="0.45">
      <c r="A705">
        <v>778</v>
      </c>
      <c r="B705">
        <v>1149</v>
      </c>
      <c r="C705">
        <v>449</v>
      </c>
      <c r="D705">
        <v>2</v>
      </c>
      <c r="E705">
        <v>46.9</v>
      </c>
      <c r="F705">
        <v>46.9</v>
      </c>
      <c r="G705">
        <v>0</v>
      </c>
      <c r="H705" s="2">
        <v>0</v>
      </c>
      <c r="I705">
        <v>0</v>
      </c>
      <c r="J705">
        <v>93.8</v>
      </c>
      <c r="K705" s="1">
        <v>45807</v>
      </c>
      <c r="L705" t="s">
        <v>21</v>
      </c>
      <c r="M705" t="s">
        <v>18</v>
      </c>
      <c r="N705">
        <f>salesitems[[#This Row],[quantity]]*salesitems[[#This Row],[unit_price]]</f>
        <v>93.8</v>
      </c>
      <c r="O705" t="str">
        <f>_xlfn.XLOOKUP(salesitems[[#This Row],[product_id]],products[product_id],products[product_name])</f>
        <v>Bold Satin Set</v>
      </c>
      <c r="P705" t="str">
        <f>_xlfn.XLOOKUP(salesitems[[#This Row],[product_id]],fashion_store_products!A:A,fashion_store_products!C:C)</f>
        <v>Sleepwear</v>
      </c>
    </row>
    <row r="706" spans="1:16" x14ac:dyDescent="0.45">
      <c r="A706">
        <v>2659</v>
      </c>
      <c r="B706">
        <v>1214</v>
      </c>
      <c r="C706">
        <v>275</v>
      </c>
      <c r="D706">
        <v>2</v>
      </c>
      <c r="E706">
        <v>52.11</v>
      </c>
      <c r="F706">
        <v>46.9</v>
      </c>
      <c r="G706">
        <v>5.21</v>
      </c>
      <c r="H706" s="2">
        <v>0.1</v>
      </c>
      <c r="I706">
        <v>1</v>
      </c>
      <c r="J706">
        <v>93.8</v>
      </c>
      <c r="K706" s="1">
        <v>45814</v>
      </c>
      <c r="L706" t="s">
        <v>21</v>
      </c>
      <c r="M706" t="s">
        <v>8</v>
      </c>
      <c r="N706">
        <f>salesitems[[#This Row],[quantity]]*salesitems[[#This Row],[unit_price]]</f>
        <v>93.8</v>
      </c>
      <c r="O706" t="str">
        <f>_xlfn.XLOOKUP(salesitems[[#This Row],[product_id]],products[product_id],products[product_name])</f>
        <v>Relaxed Sleeveless Tee</v>
      </c>
      <c r="P706" t="str">
        <f>_xlfn.XLOOKUP(salesitems[[#This Row],[product_id]],fashion_store_products!A:A,fashion_store_products!C:C)</f>
        <v>T-Shirts</v>
      </c>
    </row>
    <row r="707" spans="1:16" x14ac:dyDescent="0.45">
      <c r="A707">
        <v>2680</v>
      </c>
      <c r="B707">
        <v>129</v>
      </c>
      <c r="C707">
        <v>449</v>
      </c>
      <c r="D707">
        <v>2</v>
      </c>
      <c r="E707">
        <v>46.9</v>
      </c>
      <c r="F707">
        <v>46.9</v>
      </c>
      <c r="G707">
        <v>0</v>
      </c>
      <c r="H707" s="2">
        <v>0</v>
      </c>
      <c r="I707">
        <v>0</v>
      </c>
      <c r="J707">
        <v>93.8</v>
      </c>
      <c r="K707" s="1">
        <v>45803</v>
      </c>
      <c r="L707" t="s">
        <v>15</v>
      </c>
      <c r="M707" t="s">
        <v>15</v>
      </c>
      <c r="N707">
        <f>salesitems[[#This Row],[quantity]]*salesitems[[#This Row],[unit_price]]</f>
        <v>93.8</v>
      </c>
      <c r="O707" t="str">
        <f>_xlfn.XLOOKUP(salesitems[[#This Row],[product_id]],products[product_id],products[product_name])</f>
        <v>Bold Satin Set</v>
      </c>
      <c r="P707" t="str">
        <f>_xlfn.XLOOKUP(salesitems[[#This Row],[product_id]],fashion_store_products!A:A,fashion_store_products!C:C)</f>
        <v>Sleepwear</v>
      </c>
    </row>
    <row r="708" spans="1:16" x14ac:dyDescent="0.45">
      <c r="A708">
        <v>3265</v>
      </c>
      <c r="B708">
        <v>335</v>
      </c>
      <c r="C708">
        <v>132</v>
      </c>
      <c r="D708">
        <v>2</v>
      </c>
      <c r="E708">
        <v>46.9</v>
      </c>
      <c r="F708">
        <v>46.9</v>
      </c>
      <c r="G708">
        <v>0</v>
      </c>
      <c r="H708" s="2">
        <v>0</v>
      </c>
      <c r="I708">
        <v>0</v>
      </c>
      <c r="J708">
        <v>93.8</v>
      </c>
      <c r="K708" s="1">
        <v>45762</v>
      </c>
      <c r="L708" t="s">
        <v>15</v>
      </c>
      <c r="M708" t="s">
        <v>15</v>
      </c>
      <c r="N708">
        <f>salesitems[[#This Row],[quantity]]*salesitems[[#This Row],[unit_price]]</f>
        <v>93.8</v>
      </c>
      <c r="O708" t="str">
        <f>_xlfn.XLOOKUP(salesitems[[#This Row],[product_id]],products[product_id],products[product_name])</f>
        <v>Classic Crew Shoes</v>
      </c>
      <c r="P708" t="str">
        <f>_xlfn.XLOOKUP(salesitems[[#This Row],[product_id]],fashion_store_products!A:A,fashion_store_products!C:C)</f>
        <v>Shoes</v>
      </c>
    </row>
    <row r="709" spans="1:16" x14ac:dyDescent="0.45">
      <c r="A709">
        <v>1194</v>
      </c>
      <c r="B709">
        <v>588</v>
      </c>
      <c r="C709">
        <v>239</v>
      </c>
      <c r="D709">
        <v>2</v>
      </c>
      <c r="E709">
        <v>66.989999999999995</v>
      </c>
      <c r="F709">
        <v>46.89</v>
      </c>
      <c r="G709">
        <v>20.100000000000001</v>
      </c>
      <c r="H709" s="2">
        <v>0.3</v>
      </c>
      <c r="I709">
        <v>1</v>
      </c>
      <c r="J709">
        <v>93.79</v>
      </c>
      <c r="K709" s="1">
        <v>45791</v>
      </c>
      <c r="L709" t="s">
        <v>15</v>
      </c>
      <c r="M709" t="s">
        <v>11</v>
      </c>
      <c r="N709">
        <f>salesitems[[#This Row],[quantity]]*salesitems[[#This Row],[unit_price]]</f>
        <v>93.78</v>
      </c>
      <c r="O709" t="str">
        <f>_xlfn.XLOOKUP(salesitems[[#This Row],[product_id]],products[product_id],products[product_name])</f>
        <v>Polished Wrap Trousers</v>
      </c>
      <c r="P709" t="str">
        <f>_xlfn.XLOOKUP(salesitems[[#This Row],[product_id]],fashion_store_products!A:A,fashion_store_products!C:C)</f>
        <v>Pants</v>
      </c>
    </row>
    <row r="710" spans="1:16" x14ac:dyDescent="0.45">
      <c r="A710">
        <v>2367</v>
      </c>
      <c r="B710">
        <v>528</v>
      </c>
      <c r="C710">
        <v>239</v>
      </c>
      <c r="D710">
        <v>2</v>
      </c>
      <c r="E710">
        <v>66.989999999999995</v>
      </c>
      <c r="F710">
        <v>46.89</v>
      </c>
      <c r="G710">
        <v>20.100000000000001</v>
      </c>
      <c r="H710" s="2">
        <v>0.3</v>
      </c>
      <c r="I710">
        <v>1</v>
      </c>
      <c r="J710">
        <v>93.79</v>
      </c>
      <c r="K710" s="1">
        <v>45794</v>
      </c>
      <c r="L710" t="s">
        <v>15</v>
      </c>
      <c r="M710" t="s">
        <v>11</v>
      </c>
      <c r="N710">
        <f>salesitems[[#This Row],[quantity]]*salesitems[[#This Row],[unit_price]]</f>
        <v>93.78</v>
      </c>
      <c r="O710" t="str">
        <f>_xlfn.XLOOKUP(salesitems[[#This Row],[product_id]],products[product_id],products[product_name])</f>
        <v>Polished Wrap Trousers</v>
      </c>
      <c r="P710" t="str">
        <f>_xlfn.XLOOKUP(salesitems[[#This Row],[product_id]],fashion_store_products!A:A,fashion_store_products!C:C)</f>
        <v>Pants</v>
      </c>
    </row>
    <row r="711" spans="1:16" x14ac:dyDescent="0.45">
      <c r="A711">
        <v>2596</v>
      </c>
      <c r="B711">
        <v>131</v>
      </c>
      <c r="C711">
        <v>228</v>
      </c>
      <c r="D711">
        <v>2</v>
      </c>
      <c r="E711">
        <v>46.89</v>
      </c>
      <c r="F711">
        <v>46.89</v>
      </c>
      <c r="G711">
        <v>0</v>
      </c>
      <c r="H711" s="2">
        <v>0</v>
      </c>
      <c r="I711">
        <v>0</v>
      </c>
      <c r="J711">
        <v>93.78</v>
      </c>
      <c r="K711" s="1">
        <v>45769</v>
      </c>
      <c r="L711" t="s">
        <v>21</v>
      </c>
      <c r="M711" t="s">
        <v>18</v>
      </c>
      <c r="N711">
        <f>salesitems[[#This Row],[quantity]]*salesitems[[#This Row],[unit_price]]</f>
        <v>93.78</v>
      </c>
      <c r="O711" t="str">
        <f>_xlfn.XLOOKUP(salesitems[[#This Row],[product_id]],products[product_id],products[product_name])</f>
        <v>Vintage Boxy Trousers</v>
      </c>
      <c r="P711" t="str">
        <f>_xlfn.XLOOKUP(salesitems[[#This Row],[product_id]],fashion_store_products!A:A,fashion_store_products!C:C)</f>
        <v>Pants</v>
      </c>
    </row>
    <row r="712" spans="1:16" x14ac:dyDescent="0.45">
      <c r="A712">
        <v>3041</v>
      </c>
      <c r="B712">
        <v>106</v>
      </c>
      <c r="C712">
        <v>136</v>
      </c>
      <c r="D712">
        <v>2</v>
      </c>
      <c r="E712">
        <v>46.8</v>
      </c>
      <c r="F712">
        <v>46.8</v>
      </c>
      <c r="G712">
        <v>0</v>
      </c>
      <c r="H712" s="2">
        <v>0</v>
      </c>
      <c r="I712">
        <v>0</v>
      </c>
      <c r="J712">
        <v>93.6</v>
      </c>
      <c r="K712" s="1">
        <v>45772</v>
      </c>
      <c r="L712" t="s">
        <v>21</v>
      </c>
      <c r="M712" t="s">
        <v>18</v>
      </c>
      <c r="N712">
        <f>salesitems[[#This Row],[quantity]]*salesitems[[#This Row],[unit_price]]</f>
        <v>93.6</v>
      </c>
      <c r="O712" t="str">
        <f>_xlfn.XLOOKUP(salesitems[[#This Row],[product_id]],products[product_id],products[product_name])</f>
        <v>Classic Cotton Trousers</v>
      </c>
      <c r="P712" t="str">
        <f>_xlfn.XLOOKUP(salesitems[[#This Row],[product_id]],fashion_store_products!A:A,fashion_store_products!C:C)</f>
        <v>Pants</v>
      </c>
    </row>
    <row r="713" spans="1:16" x14ac:dyDescent="0.45">
      <c r="A713">
        <v>384</v>
      </c>
      <c r="B713">
        <v>1226</v>
      </c>
      <c r="C713">
        <v>478</v>
      </c>
      <c r="D713">
        <v>2</v>
      </c>
      <c r="E713">
        <v>66.52</v>
      </c>
      <c r="F713">
        <v>46.56</v>
      </c>
      <c r="G713">
        <v>19.96</v>
      </c>
      <c r="H713" s="2">
        <v>0.3</v>
      </c>
      <c r="I713">
        <v>1</v>
      </c>
      <c r="J713">
        <v>93.13</v>
      </c>
      <c r="K713" s="1">
        <v>45795</v>
      </c>
      <c r="L713" t="s">
        <v>15</v>
      </c>
      <c r="M713" t="s">
        <v>11</v>
      </c>
      <c r="N713">
        <f>salesitems[[#This Row],[quantity]]*salesitems[[#This Row],[unit_price]]</f>
        <v>93.12</v>
      </c>
      <c r="O713" t="str">
        <f>_xlfn.XLOOKUP(salesitems[[#This Row],[product_id]],products[product_id],products[product_name])</f>
        <v>T-Shirts Drop 2</v>
      </c>
      <c r="P713" t="str">
        <f>_xlfn.XLOOKUP(salesitems[[#This Row],[product_id]],fashion_store_products!A:A,fashion_store_products!C:C)</f>
        <v>T-Shirts</v>
      </c>
    </row>
    <row r="714" spans="1:16" x14ac:dyDescent="0.45">
      <c r="A714">
        <v>308</v>
      </c>
      <c r="B714">
        <v>291</v>
      </c>
      <c r="C714">
        <v>137</v>
      </c>
      <c r="D714">
        <v>2</v>
      </c>
      <c r="E714">
        <v>46.52</v>
      </c>
      <c r="F714">
        <v>46.52</v>
      </c>
      <c r="G714">
        <v>0</v>
      </c>
      <c r="H714" s="2">
        <v>0</v>
      </c>
      <c r="I714">
        <v>0</v>
      </c>
      <c r="J714">
        <v>93.04</v>
      </c>
      <c r="K714" s="1">
        <v>45777</v>
      </c>
      <c r="L714" t="s">
        <v>21</v>
      </c>
      <c r="M714" t="s">
        <v>18</v>
      </c>
      <c r="N714">
        <f>salesitems[[#This Row],[quantity]]*salesitems[[#This Row],[unit_price]]</f>
        <v>93.04</v>
      </c>
      <c r="O714" t="str">
        <f>_xlfn.XLOOKUP(salesitems[[#This Row],[product_id]],products[product_id],products[product_name])</f>
        <v>Classic Satin Trousers</v>
      </c>
      <c r="P714" t="str">
        <f>_xlfn.XLOOKUP(salesitems[[#This Row],[product_id]],fashion_store_products!A:A,fashion_store_products!C:C)</f>
        <v>Pants</v>
      </c>
    </row>
    <row r="715" spans="1:16" x14ac:dyDescent="0.45">
      <c r="A715">
        <v>2965</v>
      </c>
      <c r="B715">
        <v>226</v>
      </c>
      <c r="C715">
        <v>137</v>
      </c>
      <c r="D715">
        <v>2</v>
      </c>
      <c r="E715">
        <v>46.52</v>
      </c>
      <c r="F715">
        <v>46.52</v>
      </c>
      <c r="G715">
        <v>0</v>
      </c>
      <c r="H715" s="2">
        <v>0</v>
      </c>
      <c r="I715">
        <v>0</v>
      </c>
      <c r="J715">
        <v>93.04</v>
      </c>
      <c r="K715" s="1">
        <v>45770</v>
      </c>
      <c r="L715" t="s">
        <v>15</v>
      </c>
      <c r="M715" t="s">
        <v>15</v>
      </c>
      <c r="N715">
        <f>salesitems[[#This Row],[quantity]]*salesitems[[#This Row],[unit_price]]</f>
        <v>93.04</v>
      </c>
      <c r="O715" t="str">
        <f>_xlfn.XLOOKUP(salesitems[[#This Row],[product_id]],products[product_id],products[product_name])</f>
        <v>Classic Satin Trousers</v>
      </c>
      <c r="P715" t="str">
        <f>_xlfn.XLOOKUP(salesitems[[#This Row],[product_id]],fashion_store_products!A:A,fashion_store_products!C:C)</f>
        <v>Pants</v>
      </c>
    </row>
    <row r="716" spans="1:16" x14ac:dyDescent="0.45">
      <c r="A716">
        <v>1271</v>
      </c>
      <c r="B716">
        <v>199</v>
      </c>
      <c r="C716">
        <v>383</v>
      </c>
      <c r="D716">
        <v>2</v>
      </c>
      <c r="E716">
        <v>66.38</v>
      </c>
      <c r="F716">
        <v>46.47</v>
      </c>
      <c r="G716">
        <v>19.91</v>
      </c>
      <c r="H716" s="2">
        <v>0.3</v>
      </c>
      <c r="I716">
        <v>1</v>
      </c>
      <c r="J716">
        <v>92.93</v>
      </c>
      <c r="K716" s="1">
        <v>45796</v>
      </c>
      <c r="L716" t="s">
        <v>15</v>
      </c>
      <c r="M716" t="s">
        <v>11</v>
      </c>
      <c r="N716">
        <f>salesitems[[#This Row],[quantity]]*salesitems[[#This Row],[unit_price]]</f>
        <v>92.94</v>
      </c>
      <c r="O716" t="str">
        <f>_xlfn.XLOOKUP(salesitems[[#This Row],[product_id]],products[product_id],products[product_name])</f>
        <v>Tailored Crew Set</v>
      </c>
      <c r="P716" t="str">
        <f>_xlfn.XLOOKUP(salesitems[[#This Row],[product_id]],fashion_store_products!A:A,fashion_store_products!C:C)</f>
        <v>Sleepwear</v>
      </c>
    </row>
    <row r="717" spans="1:16" x14ac:dyDescent="0.45">
      <c r="A717">
        <v>1774</v>
      </c>
      <c r="B717">
        <v>36</v>
      </c>
      <c r="C717">
        <v>200</v>
      </c>
      <c r="D717">
        <v>2</v>
      </c>
      <c r="E717">
        <v>46.41</v>
      </c>
      <c r="F717">
        <v>46.41</v>
      </c>
      <c r="G717">
        <v>0</v>
      </c>
      <c r="H717" s="2">
        <v>0</v>
      </c>
      <c r="I717">
        <v>0</v>
      </c>
      <c r="J717">
        <v>92.82</v>
      </c>
      <c r="K717" s="1">
        <v>45805</v>
      </c>
      <c r="L717" t="s">
        <v>21</v>
      </c>
      <c r="M717" t="s">
        <v>18</v>
      </c>
      <c r="N717">
        <f>salesitems[[#This Row],[quantity]]*salesitems[[#This Row],[unit_price]]</f>
        <v>92.82</v>
      </c>
      <c r="O717" t="str">
        <f>_xlfn.XLOOKUP(salesitems[[#This Row],[product_id]],products[product_id],products[product_name])</f>
        <v>Vintage High-Waist Set</v>
      </c>
      <c r="P717" t="str">
        <f>_xlfn.XLOOKUP(salesitems[[#This Row],[product_id]],fashion_store_products!A:A,fashion_store_products!C:C)</f>
        <v>Sleepwear</v>
      </c>
    </row>
    <row r="718" spans="1:16" x14ac:dyDescent="0.45">
      <c r="A718">
        <v>2479</v>
      </c>
      <c r="B718">
        <v>714</v>
      </c>
      <c r="C718">
        <v>200</v>
      </c>
      <c r="D718">
        <v>2</v>
      </c>
      <c r="E718">
        <v>46.41</v>
      </c>
      <c r="F718">
        <v>46.41</v>
      </c>
      <c r="G718">
        <v>0</v>
      </c>
      <c r="H718" s="2">
        <v>0</v>
      </c>
      <c r="I718">
        <v>0</v>
      </c>
      <c r="J718">
        <v>92.82</v>
      </c>
      <c r="K718" s="1">
        <v>45765</v>
      </c>
      <c r="L718" t="s">
        <v>15</v>
      </c>
      <c r="M718" t="s">
        <v>15</v>
      </c>
      <c r="N718">
        <f>salesitems[[#This Row],[quantity]]*salesitems[[#This Row],[unit_price]]</f>
        <v>92.82</v>
      </c>
      <c r="O718" t="str">
        <f>_xlfn.XLOOKUP(salesitems[[#This Row],[product_id]],products[product_id],products[product_name])</f>
        <v>Vintage High-Waist Set</v>
      </c>
      <c r="P718" t="str">
        <f>_xlfn.XLOOKUP(salesitems[[#This Row],[product_id]],fashion_store_products!A:A,fashion_store_products!C:C)</f>
        <v>Sleepwear</v>
      </c>
    </row>
    <row r="719" spans="1:16" x14ac:dyDescent="0.45">
      <c r="A719">
        <v>1540</v>
      </c>
      <c r="B719">
        <v>602</v>
      </c>
      <c r="C719">
        <v>345</v>
      </c>
      <c r="D719">
        <v>2</v>
      </c>
      <c r="E719">
        <v>46.36</v>
      </c>
      <c r="F719">
        <v>46.36</v>
      </c>
      <c r="G719">
        <v>0</v>
      </c>
      <c r="H719" s="2">
        <v>0</v>
      </c>
      <c r="I719">
        <v>0</v>
      </c>
      <c r="J719">
        <v>92.72</v>
      </c>
      <c r="K719" s="1">
        <v>45775</v>
      </c>
      <c r="L719" t="s">
        <v>21</v>
      </c>
      <c r="M719" t="s">
        <v>18</v>
      </c>
      <c r="N719">
        <f>salesitems[[#This Row],[quantity]]*salesitems[[#This Row],[unit_price]]</f>
        <v>92.72</v>
      </c>
      <c r="O719" t="str">
        <f>_xlfn.XLOOKUP(salesitems[[#This Row],[product_id]],products[product_id],products[product_name])</f>
        <v>Tailored Crew Tee</v>
      </c>
      <c r="P719" t="str">
        <f>_xlfn.XLOOKUP(salesitems[[#This Row],[product_id]],fashion_store_products!A:A,fashion_store_products!C:C)</f>
        <v>T-Shirts</v>
      </c>
    </row>
    <row r="720" spans="1:16" x14ac:dyDescent="0.45">
      <c r="A720">
        <v>3163</v>
      </c>
      <c r="B720">
        <v>116</v>
      </c>
      <c r="C720">
        <v>351</v>
      </c>
      <c r="D720">
        <v>2</v>
      </c>
      <c r="E720">
        <v>46.11</v>
      </c>
      <c r="F720">
        <v>46.11</v>
      </c>
      <c r="G720">
        <v>0</v>
      </c>
      <c r="H720" s="2">
        <v>0</v>
      </c>
      <c r="I720">
        <v>0</v>
      </c>
      <c r="J720">
        <v>92.22</v>
      </c>
      <c r="K720" s="1">
        <v>45781</v>
      </c>
      <c r="L720" t="s">
        <v>15</v>
      </c>
      <c r="M720" t="s">
        <v>15</v>
      </c>
      <c r="N720">
        <f>salesitems[[#This Row],[quantity]]*salesitems[[#This Row],[unit_price]]</f>
        <v>92.22</v>
      </c>
      <c r="O720" t="str">
        <f>_xlfn.XLOOKUP(salesitems[[#This Row],[product_id]],products[product_id],products[product_name])</f>
        <v>Relaxed Sleeveless Trousers</v>
      </c>
      <c r="P720" t="str">
        <f>_xlfn.XLOOKUP(salesitems[[#This Row],[product_id]],fashion_store_products!A:A,fashion_store_products!C:C)</f>
        <v>Pants</v>
      </c>
    </row>
    <row r="721" spans="1:16" x14ac:dyDescent="0.45">
      <c r="A721">
        <v>1324</v>
      </c>
      <c r="B721">
        <v>704</v>
      </c>
      <c r="C721">
        <v>261</v>
      </c>
      <c r="D721">
        <v>2</v>
      </c>
      <c r="E721">
        <v>46.1</v>
      </c>
      <c r="F721">
        <v>46.1</v>
      </c>
      <c r="G721">
        <v>0</v>
      </c>
      <c r="H721" s="2">
        <v>0</v>
      </c>
      <c r="I721">
        <v>0</v>
      </c>
      <c r="J721">
        <v>92.2</v>
      </c>
      <c r="K721" s="1">
        <v>45795</v>
      </c>
      <c r="L721" t="s">
        <v>21</v>
      </c>
      <c r="M721" t="s">
        <v>18</v>
      </c>
      <c r="N721">
        <f>salesitems[[#This Row],[quantity]]*salesitems[[#This Row],[unit_price]]</f>
        <v>92.2</v>
      </c>
      <c r="O721" t="str">
        <f>_xlfn.XLOOKUP(salesitems[[#This Row],[product_id]],products[product_id],products[product_name])</f>
        <v>Relaxed Cotton Tee</v>
      </c>
      <c r="P721" t="str">
        <f>_xlfn.XLOOKUP(salesitems[[#This Row],[product_id]],fashion_store_products!A:A,fashion_store_products!C:C)</f>
        <v>T-Shirts</v>
      </c>
    </row>
    <row r="722" spans="1:16" x14ac:dyDescent="0.45">
      <c r="A722">
        <v>1782</v>
      </c>
      <c r="B722">
        <v>591</v>
      </c>
      <c r="C722">
        <v>62</v>
      </c>
      <c r="D722">
        <v>2</v>
      </c>
      <c r="E722">
        <v>46.09</v>
      </c>
      <c r="F722">
        <v>46.09</v>
      </c>
      <c r="G722">
        <v>0</v>
      </c>
      <c r="H722" s="2">
        <v>0</v>
      </c>
      <c r="I722">
        <v>0</v>
      </c>
      <c r="J722">
        <v>92.18</v>
      </c>
      <c r="K722" s="1">
        <v>45800</v>
      </c>
      <c r="L722" t="s">
        <v>21</v>
      </c>
      <c r="M722" t="s">
        <v>18</v>
      </c>
      <c r="N722">
        <f>salesitems[[#This Row],[quantity]]*salesitems[[#This Row],[unit_price]]</f>
        <v>92.18</v>
      </c>
      <c r="O722" t="str">
        <f>_xlfn.XLOOKUP(salesitems[[#This Row],[product_id]],products[product_id],products[product_name])</f>
        <v>Modern Linen Trousers</v>
      </c>
      <c r="P722" t="str">
        <f>_xlfn.XLOOKUP(salesitems[[#This Row],[product_id]],fashion_store_products!A:A,fashion_store_products!C:C)</f>
        <v>Pants</v>
      </c>
    </row>
    <row r="723" spans="1:16" x14ac:dyDescent="0.45">
      <c r="A723">
        <v>2933</v>
      </c>
      <c r="B723">
        <v>133</v>
      </c>
      <c r="C723">
        <v>155</v>
      </c>
      <c r="D723">
        <v>2</v>
      </c>
      <c r="E723">
        <v>46.07</v>
      </c>
      <c r="F723">
        <v>46.07</v>
      </c>
      <c r="G723">
        <v>0</v>
      </c>
      <c r="H723" s="2">
        <v>0</v>
      </c>
      <c r="I723">
        <v>0</v>
      </c>
      <c r="J723">
        <v>92.14</v>
      </c>
      <c r="K723" s="1">
        <v>45822</v>
      </c>
      <c r="L723" t="s">
        <v>15</v>
      </c>
      <c r="M723" t="s">
        <v>15</v>
      </c>
      <c r="N723">
        <f>salesitems[[#This Row],[quantity]]*salesitems[[#This Row],[unit_price]]</f>
        <v>92.14</v>
      </c>
      <c r="O723" t="str">
        <f>_xlfn.XLOOKUP(salesitems[[#This Row],[product_id]],products[product_id],products[product_name])</f>
        <v>Vintage Silk Dress</v>
      </c>
      <c r="P723" t="str">
        <f>_xlfn.XLOOKUP(salesitems[[#This Row],[product_id]],fashion_store_products!A:A,fashion_store_products!C:C)</f>
        <v>Dresses</v>
      </c>
    </row>
    <row r="724" spans="1:16" x14ac:dyDescent="0.45">
      <c r="A724">
        <v>2379</v>
      </c>
      <c r="B724">
        <v>61</v>
      </c>
      <c r="C724">
        <v>333</v>
      </c>
      <c r="D724">
        <v>2</v>
      </c>
      <c r="E724">
        <v>46.04</v>
      </c>
      <c r="F724">
        <v>46.04</v>
      </c>
      <c r="G724">
        <v>0</v>
      </c>
      <c r="H724" s="2">
        <v>0</v>
      </c>
      <c r="I724">
        <v>0</v>
      </c>
      <c r="J724">
        <v>92.08</v>
      </c>
      <c r="K724" s="1">
        <v>45803</v>
      </c>
      <c r="L724" t="s">
        <v>15</v>
      </c>
      <c r="M724" t="s">
        <v>15</v>
      </c>
      <c r="N724">
        <f>salesitems[[#This Row],[quantity]]*salesitems[[#This Row],[unit_price]]</f>
        <v>92.08</v>
      </c>
      <c r="O724" t="str">
        <f>_xlfn.XLOOKUP(salesitems[[#This Row],[product_id]],products[product_id],products[product_name])</f>
        <v>Relaxed Silk Trousers</v>
      </c>
      <c r="P724" t="str">
        <f>_xlfn.XLOOKUP(salesitems[[#This Row],[product_id]],fashion_store_products!A:A,fashion_store_products!C:C)</f>
        <v>Pants</v>
      </c>
    </row>
    <row r="725" spans="1:16" x14ac:dyDescent="0.45">
      <c r="A725">
        <v>450</v>
      </c>
      <c r="B725">
        <v>1000</v>
      </c>
      <c r="C725">
        <v>161</v>
      </c>
      <c r="D725">
        <v>2</v>
      </c>
      <c r="E725">
        <v>45.75</v>
      </c>
      <c r="F725">
        <v>45.75</v>
      </c>
      <c r="G725">
        <v>0</v>
      </c>
      <c r="H725" s="2">
        <v>0</v>
      </c>
      <c r="I725">
        <v>0</v>
      </c>
      <c r="J725">
        <v>91.5</v>
      </c>
      <c r="K725" s="1">
        <v>45797</v>
      </c>
      <c r="L725" t="s">
        <v>21</v>
      </c>
      <c r="M725" t="s">
        <v>18</v>
      </c>
      <c r="N725">
        <f>salesitems[[#This Row],[quantity]]*salesitems[[#This Row],[unit_price]]</f>
        <v>91.5</v>
      </c>
      <c r="O725" t="str">
        <f>_xlfn.XLOOKUP(salesitems[[#This Row],[product_id]],products[product_id],products[product_name])</f>
        <v>Vintage Linen Tee</v>
      </c>
      <c r="P725" t="str">
        <f>_xlfn.XLOOKUP(salesitems[[#This Row],[product_id]],fashion_store_products!A:A,fashion_store_products!C:C)</f>
        <v>T-Shirts</v>
      </c>
    </row>
    <row r="726" spans="1:16" x14ac:dyDescent="0.45">
      <c r="A726">
        <v>2013</v>
      </c>
      <c r="B726">
        <v>945</v>
      </c>
      <c r="C726">
        <v>161</v>
      </c>
      <c r="D726">
        <v>2</v>
      </c>
      <c r="E726">
        <v>45.75</v>
      </c>
      <c r="F726">
        <v>45.75</v>
      </c>
      <c r="G726">
        <v>0</v>
      </c>
      <c r="H726" s="2">
        <v>0</v>
      </c>
      <c r="I726">
        <v>0</v>
      </c>
      <c r="J726">
        <v>91.5</v>
      </c>
      <c r="K726" s="1">
        <v>45764</v>
      </c>
      <c r="L726" t="s">
        <v>21</v>
      </c>
      <c r="M726" t="s">
        <v>18</v>
      </c>
      <c r="N726">
        <f>salesitems[[#This Row],[quantity]]*salesitems[[#This Row],[unit_price]]</f>
        <v>91.5</v>
      </c>
      <c r="O726" t="str">
        <f>_xlfn.XLOOKUP(salesitems[[#This Row],[product_id]],products[product_id],products[product_name])</f>
        <v>Vintage Linen Tee</v>
      </c>
      <c r="P726" t="str">
        <f>_xlfn.XLOOKUP(salesitems[[#This Row],[product_id]],fashion_store_products!A:A,fashion_store_products!C:C)</f>
        <v>T-Shirts</v>
      </c>
    </row>
    <row r="727" spans="1:16" x14ac:dyDescent="0.45">
      <c r="A727">
        <v>1670</v>
      </c>
      <c r="B727">
        <v>514</v>
      </c>
      <c r="C727">
        <v>316</v>
      </c>
      <c r="D727">
        <v>2</v>
      </c>
      <c r="E727">
        <v>45.73</v>
      </c>
      <c r="F727">
        <v>45.73</v>
      </c>
      <c r="G727">
        <v>0</v>
      </c>
      <c r="H727" s="2">
        <v>0</v>
      </c>
      <c r="I727">
        <v>0</v>
      </c>
      <c r="J727">
        <v>91.46</v>
      </c>
      <c r="K727" s="1">
        <v>45825</v>
      </c>
      <c r="L727" t="s">
        <v>15</v>
      </c>
      <c r="M727" t="s">
        <v>15</v>
      </c>
      <c r="N727">
        <f>salesitems[[#This Row],[quantity]]*salesitems[[#This Row],[unit_price]]</f>
        <v>91.46</v>
      </c>
      <c r="O727" t="str">
        <f>_xlfn.XLOOKUP(salesitems[[#This Row],[product_id]],products[product_id],products[product_name])</f>
        <v>Essential High-Waist Tee</v>
      </c>
      <c r="P727" t="str">
        <f>_xlfn.XLOOKUP(salesitems[[#This Row],[product_id]],fashion_store_products!A:A,fashion_store_products!C:C)</f>
        <v>T-Shirts</v>
      </c>
    </row>
    <row r="728" spans="1:16" x14ac:dyDescent="0.45">
      <c r="A728">
        <v>804</v>
      </c>
      <c r="B728">
        <v>165</v>
      </c>
      <c r="C728">
        <v>201</v>
      </c>
      <c r="D728">
        <v>2</v>
      </c>
      <c r="E728">
        <v>45.62</v>
      </c>
      <c r="F728">
        <v>45.62</v>
      </c>
      <c r="G728">
        <v>0</v>
      </c>
      <c r="H728" s="2">
        <v>0</v>
      </c>
      <c r="I728">
        <v>0</v>
      </c>
      <c r="J728">
        <v>91.24</v>
      </c>
      <c r="K728" s="1">
        <v>45805</v>
      </c>
      <c r="L728" t="s">
        <v>21</v>
      </c>
      <c r="M728" t="s">
        <v>18</v>
      </c>
      <c r="N728">
        <f>salesitems[[#This Row],[quantity]]*salesitems[[#This Row],[unit_price]]</f>
        <v>91.24</v>
      </c>
      <c r="O728" t="str">
        <f>_xlfn.XLOOKUP(salesitems[[#This Row],[product_id]],products[product_id],products[product_name])</f>
        <v>Vintage Sleeveless Tee</v>
      </c>
      <c r="P728" t="str">
        <f>_xlfn.XLOOKUP(salesitems[[#This Row],[product_id]],fashion_store_products!A:A,fashion_store_products!C:C)</f>
        <v>T-Shirts</v>
      </c>
    </row>
    <row r="729" spans="1:16" x14ac:dyDescent="0.45">
      <c r="A729">
        <v>3084</v>
      </c>
      <c r="B729">
        <v>658</v>
      </c>
      <c r="C729">
        <v>201</v>
      </c>
      <c r="D729">
        <v>2</v>
      </c>
      <c r="E729">
        <v>45.62</v>
      </c>
      <c r="F729">
        <v>45.62</v>
      </c>
      <c r="G729">
        <v>0</v>
      </c>
      <c r="H729" s="2">
        <v>0</v>
      </c>
      <c r="I729">
        <v>0</v>
      </c>
      <c r="J729">
        <v>91.24</v>
      </c>
      <c r="K729" s="1">
        <v>45824</v>
      </c>
      <c r="L729" t="s">
        <v>15</v>
      </c>
      <c r="M729" t="s">
        <v>15</v>
      </c>
      <c r="N729">
        <f>salesitems[[#This Row],[quantity]]*salesitems[[#This Row],[unit_price]]</f>
        <v>91.24</v>
      </c>
      <c r="O729" t="str">
        <f>_xlfn.XLOOKUP(salesitems[[#This Row],[product_id]],products[product_id],products[product_name])</f>
        <v>Vintage Sleeveless Tee</v>
      </c>
      <c r="P729" t="str">
        <f>_xlfn.XLOOKUP(salesitems[[#This Row],[product_id]],fashion_store_products!A:A,fashion_store_products!C:C)</f>
        <v>T-Shirts</v>
      </c>
    </row>
    <row r="730" spans="1:16" x14ac:dyDescent="0.45">
      <c r="A730">
        <v>1798</v>
      </c>
      <c r="B730">
        <v>1280</v>
      </c>
      <c r="C730">
        <v>20</v>
      </c>
      <c r="D730">
        <v>2</v>
      </c>
      <c r="E730">
        <v>45.42</v>
      </c>
      <c r="F730">
        <v>45.42</v>
      </c>
      <c r="G730">
        <v>0</v>
      </c>
      <c r="H730" s="2">
        <v>0</v>
      </c>
      <c r="I730">
        <v>0</v>
      </c>
      <c r="J730">
        <v>90.84</v>
      </c>
      <c r="K730" s="1">
        <v>45770</v>
      </c>
      <c r="L730" t="s">
        <v>15</v>
      </c>
      <c r="M730" t="s">
        <v>15</v>
      </c>
      <c r="N730">
        <f>salesitems[[#This Row],[quantity]]*salesitems[[#This Row],[unit_price]]</f>
        <v>90.84</v>
      </c>
      <c r="O730" t="str">
        <f>_xlfn.XLOOKUP(salesitems[[#This Row],[product_id]],products[product_id],products[product_name])</f>
        <v>Soft Crew Dress</v>
      </c>
      <c r="P730" t="str">
        <f>_xlfn.XLOOKUP(salesitems[[#This Row],[product_id]],fashion_store_products!A:A,fashion_store_products!C:C)</f>
        <v>Dresses</v>
      </c>
    </row>
    <row r="731" spans="1:16" x14ac:dyDescent="0.45">
      <c r="A731">
        <v>1693</v>
      </c>
      <c r="B731">
        <v>982</v>
      </c>
      <c r="C731">
        <v>44</v>
      </c>
      <c r="D731">
        <v>2</v>
      </c>
      <c r="E731">
        <v>64.84</v>
      </c>
      <c r="F731">
        <v>45.39</v>
      </c>
      <c r="G731">
        <v>19.45</v>
      </c>
      <c r="H731" s="2">
        <v>0.3</v>
      </c>
      <c r="I731">
        <v>1</v>
      </c>
      <c r="J731">
        <v>90.78</v>
      </c>
      <c r="K731" s="1">
        <v>45796</v>
      </c>
      <c r="L731" t="s">
        <v>15</v>
      </c>
      <c r="M731" t="s">
        <v>11</v>
      </c>
      <c r="N731">
        <f>salesitems[[#This Row],[quantity]]*salesitems[[#This Row],[unit_price]]</f>
        <v>90.78</v>
      </c>
      <c r="O731" t="str">
        <f>_xlfn.XLOOKUP(salesitems[[#This Row],[product_id]],products[product_id],products[product_name])</f>
        <v>Modern Wrap Trousers</v>
      </c>
      <c r="P731" t="str">
        <f>_xlfn.XLOOKUP(salesitems[[#This Row],[product_id]],fashion_store_products!A:A,fashion_store_products!C:C)</f>
        <v>Pants</v>
      </c>
    </row>
    <row r="732" spans="1:16" x14ac:dyDescent="0.45">
      <c r="A732">
        <v>1688</v>
      </c>
      <c r="B732">
        <v>912</v>
      </c>
      <c r="C732">
        <v>278</v>
      </c>
      <c r="D732">
        <v>2</v>
      </c>
      <c r="E732">
        <v>50.41</v>
      </c>
      <c r="F732">
        <v>45.37</v>
      </c>
      <c r="G732">
        <v>5.04</v>
      </c>
      <c r="H732" s="2">
        <v>0.1</v>
      </c>
      <c r="I732">
        <v>1</v>
      </c>
      <c r="J732">
        <v>90.74</v>
      </c>
      <c r="K732" s="1">
        <v>45812</v>
      </c>
      <c r="L732" t="s">
        <v>21</v>
      </c>
      <c r="M732" t="s">
        <v>8</v>
      </c>
      <c r="N732">
        <f>salesitems[[#This Row],[quantity]]*salesitems[[#This Row],[unit_price]]</f>
        <v>90.74</v>
      </c>
      <c r="O732" t="str">
        <f>_xlfn.XLOOKUP(salesitems[[#This Row],[product_id]],products[product_id],products[product_name])</f>
        <v>Essential Wrap Tee</v>
      </c>
      <c r="P732" t="str">
        <f>_xlfn.XLOOKUP(salesitems[[#This Row],[product_id]],fashion_store_products!A:A,fashion_store_products!C:C)</f>
        <v>T-Shirts</v>
      </c>
    </row>
    <row r="733" spans="1:16" x14ac:dyDescent="0.45">
      <c r="A733">
        <v>146</v>
      </c>
      <c r="B733">
        <v>330</v>
      </c>
      <c r="C733">
        <v>158</v>
      </c>
      <c r="D733">
        <v>2</v>
      </c>
      <c r="E733">
        <v>45.15</v>
      </c>
      <c r="F733">
        <v>45.15</v>
      </c>
      <c r="G733">
        <v>0</v>
      </c>
      <c r="H733" s="2">
        <v>0</v>
      </c>
      <c r="I733">
        <v>0</v>
      </c>
      <c r="J733">
        <v>90.3</v>
      </c>
      <c r="K733" s="1">
        <v>45771</v>
      </c>
      <c r="L733" t="s">
        <v>21</v>
      </c>
      <c r="M733" t="s">
        <v>18</v>
      </c>
      <c r="N733">
        <f>salesitems[[#This Row],[quantity]]*salesitems[[#This Row],[unit_price]]</f>
        <v>90.3</v>
      </c>
      <c r="O733" t="str">
        <f>_xlfn.XLOOKUP(salesitems[[#This Row],[product_id]],products[product_id],products[product_name])</f>
        <v>Vintage Sleeveless Dress</v>
      </c>
      <c r="P733" t="str">
        <f>_xlfn.XLOOKUP(salesitems[[#This Row],[product_id]],fashion_store_products!A:A,fashion_store_products!C:C)</f>
        <v>Dresses</v>
      </c>
    </row>
    <row r="734" spans="1:16" x14ac:dyDescent="0.45">
      <c r="A734">
        <v>608</v>
      </c>
      <c r="B734">
        <v>1219</v>
      </c>
      <c r="C734">
        <v>158</v>
      </c>
      <c r="D734">
        <v>2</v>
      </c>
      <c r="E734">
        <v>45.15</v>
      </c>
      <c r="F734">
        <v>45.15</v>
      </c>
      <c r="G734">
        <v>0</v>
      </c>
      <c r="H734" s="2">
        <v>0</v>
      </c>
      <c r="I734">
        <v>0</v>
      </c>
      <c r="J734">
        <v>90.3</v>
      </c>
      <c r="K734" s="1">
        <v>45791</v>
      </c>
      <c r="L734" t="s">
        <v>21</v>
      </c>
      <c r="M734" t="s">
        <v>18</v>
      </c>
      <c r="N734">
        <f>salesitems[[#This Row],[quantity]]*salesitems[[#This Row],[unit_price]]</f>
        <v>90.3</v>
      </c>
      <c r="O734" t="str">
        <f>_xlfn.XLOOKUP(salesitems[[#This Row],[product_id]],products[product_id],products[product_name])</f>
        <v>Vintage Sleeveless Dress</v>
      </c>
      <c r="P734" t="str">
        <f>_xlfn.XLOOKUP(salesitems[[#This Row],[product_id]],fashion_store_products!A:A,fashion_store_products!C:C)</f>
        <v>Dresses</v>
      </c>
    </row>
    <row r="735" spans="1:16" x14ac:dyDescent="0.45">
      <c r="A735">
        <v>3244</v>
      </c>
      <c r="B735">
        <v>289</v>
      </c>
      <c r="C735">
        <v>260</v>
      </c>
      <c r="D735">
        <v>2</v>
      </c>
      <c r="E735">
        <v>64.28</v>
      </c>
      <c r="F735">
        <v>45</v>
      </c>
      <c r="G735">
        <v>19.28</v>
      </c>
      <c r="H735" s="2">
        <v>0.3</v>
      </c>
      <c r="I735">
        <v>1</v>
      </c>
      <c r="J735">
        <v>89.99</v>
      </c>
      <c r="K735" s="1">
        <v>45795</v>
      </c>
      <c r="L735" t="s">
        <v>15</v>
      </c>
      <c r="M735" t="s">
        <v>11</v>
      </c>
      <c r="N735">
        <f>salesitems[[#This Row],[quantity]]*salesitems[[#This Row],[unit_price]]</f>
        <v>90</v>
      </c>
      <c r="O735" t="str">
        <f>_xlfn.XLOOKUP(salesitems[[#This Row],[product_id]],products[product_id],products[product_name])</f>
        <v>Relaxed Silk Dress</v>
      </c>
      <c r="P735" t="str">
        <f>_xlfn.XLOOKUP(salesitems[[#This Row],[product_id]],fashion_store_products!A:A,fashion_store_products!C:C)</f>
        <v>Dresses</v>
      </c>
    </row>
    <row r="736" spans="1:16" x14ac:dyDescent="0.45">
      <c r="A736">
        <v>138</v>
      </c>
      <c r="B736">
        <v>142</v>
      </c>
      <c r="C736">
        <v>128</v>
      </c>
      <c r="D736">
        <v>2</v>
      </c>
      <c r="E736">
        <v>44.9</v>
      </c>
      <c r="F736">
        <v>44.9</v>
      </c>
      <c r="G736">
        <v>0</v>
      </c>
      <c r="H736" s="2">
        <v>0</v>
      </c>
      <c r="I736">
        <v>0</v>
      </c>
      <c r="J736">
        <v>89.8</v>
      </c>
      <c r="K736" s="1">
        <v>45802</v>
      </c>
      <c r="L736" t="s">
        <v>21</v>
      </c>
      <c r="M736" t="s">
        <v>18</v>
      </c>
      <c r="N736">
        <f>salesitems[[#This Row],[quantity]]*salesitems[[#This Row],[unit_price]]</f>
        <v>89.8</v>
      </c>
      <c r="O736" t="str">
        <f>_xlfn.XLOOKUP(salesitems[[#This Row],[product_id]],products[product_id],products[product_name])</f>
        <v>Classic Crew Tee</v>
      </c>
      <c r="P736" t="str">
        <f>_xlfn.XLOOKUP(salesitems[[#This Row],[product_id]],fashion_store_products!A:A,fashion_store_products!C:C)</f>
        <v>T-Shirts</v>
      </c>
    </row>
    <row r="737" spans="1:16" x14ac:dyDescent="0.45">
      <c r="A737">
        <v>2797</v>
      </c>
      <c r="B737">
        <v>1049</v>
      </c>
      <c r="C737">
        <v>179</v>
      </c>
      <c r="D737">
        <v>2</v>
      </c>
      <c r="E737">
        <v>44.59</v>
      </c>
      <c r="F737">
        <v>44.59</v>
      </c>
      <c r="G737">
        <v>0</v>
      </c>
      <c r="H737" s="2">
        <v>0</v>
      </c>
      <c r="I737">
        <v>0</v>
      </c>
      <c r="J737">
        <v>89.18</v>
      </c>
      <c r="K737" s="1">
        <v>45766</v>
      </c>
      <c r="L737" t="s">
        <v>15</v>
      </c>
      <c r="M737" t="s">
        <v>15</v>
      </c>
      <c r="N737">
        <f>salesitems[[#This Row],[quantity]]*salesitems[[#This Row],[unit_price]]</f>
        <v>89.18</v>
      </c>
      <c r="O737" t="str">
        <f>_xlfn.XLOOKUP(salesitems[[#This Row],[product_id]],products[product_id],products[product_name])</f>
        <v>Vintage Satin Tee</v>
      </c>
      <c r="P737" t="str">
        <f>_xlfn.XLOOKUP(salesitems[[#This Row],[product_id]],fashion_store_products!A:A,fashion_store_products!C:C)</f>
        <v>T-Shirts</v>
      </c>
    </row>
    <row r="738" spans="1:16" x14ac:dyDescent="0.45">
      <c r="A738">
        <v>1081</v>
      </c>
      <c r="B738">
        <v>255</v>
      </c>
      <c r="C738">
        <v>322</v>
      </c>
      <c r="D738">
        <v>2</v>
      </c>
      <c r="E738">
        <v>44.45</v>
      </c>
      <c r="F738">
        <v>44.45</v>
      </c>
      <c r="G738">
        <v>0</v>
      </c>
      <c r="H738" s="2">
        <v>0</v>
      </c>
      <c r="I738">
        <v>0</v>
      </c>
      <c r="J738">
        <v>88.9</v>
      </c>
      <c r="K738" s="1">
        <v>45777</v>
      </c>
      <c r="L738" t="s">
        <v>21</v>
      </c>
      <c r="M738" t="s">
        <v>18</v>
      </c>
      <c r="N738">
        <f>salesitems[[#This Row],[quantity]]*salesitems[[#This Row],[unit_price]]</f>
        <v>88.9</v>
      </c>
      <c r="O738" t="str">
        <f>_xlfn.XLOOKUP(salesitems[[#This Row],[product_id]],products[product_id],products[product_name])</f>
        <v>Essential Sleeveless Dress</v>
      </c>
      <c r="P738" t="str">
        <f>_xlfn.XLOOKUP(salesitems[[#This Row],[product_id]],fashion_store_products!A:A,fashion_store_products!C:C)</f>
        <v>Dresses</v>
      </c>
    </row>
    <row r="739" spans="1:16" x14ac:dyDescent="0.45">
      <c r="A739">
        <v>276</v>
      </c>
      <c r="B739">
        <v>498</v>
      </c>
      <c r="C739">
        <v>55</v>
      </c>
      <c r="D739">
        <v>2</v>
      </c>
      <c r="E739">
        <v>44.32</v>
      </c>
      <c r="F739">
        <v>44.32</v>
      </c>
      <c r="G739">
        <v>0</v>
      </c>
      <c r="H739" s="2">
        <v>0</v>
      </c>
      <c r="I739">
        <v>0</v>
      </c>
      <c r="J739">
        <v>88.64</v>
      </c>
      <c r="K739" s="1">
        <v>45802</v>
      </c>
      <c r="L739" t="s">
        <v>21</v>
      </c>
      <c r="M739" t="s">
        <v>18</v>
      </c>
      <c r="N739">
        <f>salesitems[[#This Row],[quantity]]*salesitems[[#This Row],[unit_price]]</f>
        <v>88.64</v>
      </c>
      <c r="O739" t="str">
        <f>_xlfn.XLOOKUP(salesitems[[#This Row],[product_id]],products[product_id],products[product_name])</f>
        <v>Modern Ribbed Tee</v>
      </c>
      <c r="P739" t="str">
        <f>_xlfn.XLOOKUP(salesitems[[#This Row],[product_id]],fashion_store_products!A:A,fashion_store_products!C:C)</f>
        <v>T-Shirts</v>
      </c>
    </row>
    <row r="740" spans="1:16" x14ac:dyDescent="0.45">
      <c r="A740">
        <v>1723</v>
      </c>
      <c r="B740">
        <v>538</v>
      </c>
      <c r="C740">
        <v>29</v>
      </c>
      <c r="D740">
        <v>2</v>
      </c>
      <c r="E740">
        <v>44.27</v>
      </c>
      <c r="F740">
        <v>44.27</v>
      </c>
      <c r="G740">
        <v>0</v>
      </c>
      <c r="H740" s="2">
        <v>0</v>
      </c>
      <c r="I740">
        <v>0</v>
      </c>
      <c r="J740">
        <v>88.54</v>
      </c>
      <c r="K740" s="1">
        <v>45783</v>
      </c>
      <c r="L740" t="s">
        <v>15</v>
      </c>
      <c r="M740" t="s">
        <v>15</v>
      </c>
      <c r="N740">
        <f>salesitems[[#This Row],[quantity]]*salesitems[[#This Row],[unit_price]]</f>
        <v>88.54</v>
      </c>
      <c r="O740" t="str">
        <f>_xlfn.XLOOKUP(salesitems[[#This Row],[product_id]],products[product_id],products[product_name])</f>
        <v>Soft Linen Set</v>
      </c>
      <c r="P740" t="str">
        <f>_xlfn.XLOOKUP(salesitems[[#This Row],[product_id]],fashion_store_products!A:A,fashion_store_products!C:C)</f>
        <v>Sleepwear</v>
      </c>
    </row>
    <row r="741" spans="1:16" x14ac:dyDescent="0.45">
      <c r="A741">
        <v>1471</v>
      </c>
      <c r="B741">
        <v>890</v>
      </c>
      <c r="C741">
        <v>280</v>
      </c>
      <c r="D741">
        <v>2</v>
      </c>
      <c r="E741">
        <v>44.14</v>
      </c>
      <c r="F741">
        <v>44.14</v>
      </c>
      <c r="G741">
        <v>0</v>
      </c>
      <c r="H741" s="2">
        <v>0</v>
      </c>
      <c r="I741">
        <v>0</v>
      </c>
      <c r="J741">
        <v>88.28</v>
      </c>
      <c r="K741" s="1">
        <v>45765</v>
      </c>
      <c r="L741" t="s">
        <v>21</v>
      </c>
      <c r="M741" t="s">
        <v>18</v>
      </c>
      <c r="N741">
        <f>salesitems[[#This Row],[quantity]]*salesitems[[#This Row],[unit_price]]</f>
        <v>88.28</v>
      </c>
      <c r="O741" t="str">
        <f>_xlfn.XLOOKUP(salesitems[[#This Row],[product_id]],products[product_id],products[product_name])</f>
        <v>Essential Linen Tee</v>
      </c>
      <c r="P741" t="str">
        <f>_xlfn.XLOOKUP(salesitems[[#This Row],[product_id]],fashion_store_products!A:A,fashion_store_products!C:C)</f>
        <v>T-Shirts</v>
      </c>
    </row>
    <row r="742" spans="1:16" x14ac:dyDescent="0.45">
      <c r="A742">
        <v>3180</v>
      </c>
      <c r="B742">
        <v>550</v>
      </c>
      <c r="C742">
        <v>280</v>
      </c>
      <c r="D742">
        <v>2</v>
      </c>
      <c r="E742">
        <v>44.14</v>
      </c>
      <c r="F742">
        <v>44.14</v>
      </c>
      <c r="G742">
        <v>0</v>
      </c>
      <c r="H742" s="2">
        <v>0</v>
      </c>
      <c r="I742">
        <v>0</v>
      </c>
      <c r="J742">
        <v>88.28</v>
      </c>
      <c r="K742" s="1">
        <v>45793</v>
      </c>
      <c r="L742" t="s">
        <v>21</v>
      </c>
      <c r="M742" t="s">
        <v>18</v>
      </c>
      <c r="N742">
        <f>salesitems[[#This Row],[quantity]]*salesitems[[#This Row],[unit_price]]</f>
        <v>88.28</v>
      </c>
      <c r="O742" t="str">
        <f>_xlfn.XLOOKUP(salesitems[[#This Row],[product_id]],products[product_id],products[product_name])</f>
        <v>Essential Linen Tee</v>
      </c>
      <c r="P742" t="str">
        <f>_xlfn.XLOOKUP(salesitems[[#This Row],[product_id]],fashion_store_products!A:A,fashion_store_products!C:C)</f>
        <v>T-Shirts</v>
      </c>
    </row>
    <row r="743" spans="1:16" x14ac:dyDescent="0.45">
      <c r="A743">
        <v>3286</v>
      </c>
      <c r="B743">
        <v>714</v>
      </c>
      <c r="C743">
        <v>280</v>
      </c>
      <c r="D743">
        <v>2</v>
      </c>
      <c r="E743">
        <v>44.14</v>
      </c>
      <c r="F743">
        <v>44.14</v>
      </c>
      <c r="G743">
        <v>0</v>
      </c>
      <c r="H743" s="2">
        <v>0</v>
      </c>
      <c r="I743">
        <v>0</v>
      </c>
      <c r="J743">
        <v>88.28</v>
      </c>
      <c r="K743" s="1">
        <v>45765</v>
      </c>
      <c r="L743" t="s">
        <v>15</v>
      </c>
      <c r="M743" t="s">
        <v>15</v>
      </c>
      <c r="N743">
        <f>salesitems[[#This Row],[quantity]]*salesitems[[#This Row],[unit_price]]</f>
        <v>88.28</v>
      </c>
      <c r="O743" t="str">
        <f>_xlfn.XLOOKUP(salesitems[[#This Row],[product_id]],products[product_id],products[product_name])</f>
        <v>Essential Linen Tee</v>
      </c>
      <c r="P743" t="str">
        <f>_xlfn.XLOOKUP(salesitems[[#This Row],[product_id]],fashion_store_products!A:A,fashion_store_products!C:C)</f>
        <v>T-Shirts</v>
      </c>
    </row>
    <row r="744" spans="1:16" x14ac:dyDescent="0.45">
      <c r="A744">
        <v>2205</v>
      </c>
      <c r="B744">
        <v>416</v>
      </c>
      <c r="C744">
        <v>184</v>
      </c>
      <c r="D744">
        <v>2</v>
      </c>
      <c r="E744">
        <v>44.08</v>
      </c>
      <c r="F744">
        <v>44.08</v>
      </c>
      <c r="G744">
        <v>0</v>
      </c>
      <c r="H744" s="2">
        <v>0</v>
      </c>
      <c r="I744">
        <v>0</v>
      </c>
      <c r="J744">
        <v>88.16</v>
      </c>
      <c r="K744" s="1">
        <v>45812</v>
      </c>
      <c r="L744" t="s">
        <v>15</v>
      </c>
      <c r="M744" t="s">
        <v>15</v>
      </c>
      <c r="N744">
        <f>salesitems[[#This Row],[quantity]]*salesitems[[#This Row],[unit_price]]</f>
        <v>88.16</v>
      </c>
      <c r="O744" t="str">
        <f>_xlfn.XLOOKUP(salesitems[[#This Row],[product_id]],products[product_id],products[product_name])</f>
        <v>Vintage Wrap Trousers</v>
      </c>
      <c r="P744" t="str">
        <f>_xlfn.XLOOKUP(salesitems[[#This Row],[product_id]],fashion_store_products!A:A,fashion_store_products!C:C)</f>
        <v>Pants</v>
      </c>
    </row>
    <row r="745" spans="1:16" x14ac:dyDescent="0.45">
      <c r="A745">
        <v>1385</v>
      </c>
      <c r="B745">
        <v>204</v>
      </c>
      <c r="C745">
        <v>231</v>
      </c>
      <c r="D745">
        <v>2</v>
      </c>
      <c r="E745">
        <v>44.06</v>
      </c>
      <c r="F745">
        <v>44.06</v>
      </c>
      <c r="G745">
        <v>0</v>
      </c>
      <c r="H745" s="2">
        <v>0</v>
      </c>
      <c r="I745">
        <v>0</v>
      </c>
      <c r="J745">
        <v>88.12</v>
      </c>
      <c r="K745" s="1">
        <v>45783</v>
      </c>
      <c r="L745" t="s">
        <v>21</v>
      </c>
      <c r="M745" t="s">
        <v>18</v>
      </c>
      <c r="N745">
        <f>salesitems[[#This Row],[quantity]]*salesitems[[#This Row],[unit_price]]</f>
        <v>88.12</v>
      </c>
      <c r="O745" t="str">
        <f>_xlfn.XLOOKUP(salesitems[[#This Row],[product_id]],products[product_id],products[product_name])</f>
        <v>Polished High-Waist Shoes</v>
      </c>
      <c r="P745" t="str">
        <f>_xlfn.XLOOKUP(salesitems[[#This Row],[product_id]],fashion_store_products!A:A,fashion_store_products!C:C)</f>
        <v>Shoes</v>
      </c>
    </row>
    <row r="746" spans="1:16" x14ac:dyDescent="0.45">
      <c r="A746">
        <v>2103</v>
      </c>
      <c r="B746">
        <v>1199</v>
      </c>
      <c r="C746">
        <v>231</v>
      </c>
      <c r="D746">
        <v>2</v>
      </c>
      <c r="E746">
        <v>44.06</v>
      </c>
      <c r="F746">
        <v>44.06</v>
      </c>
      <c r="G746">
        <v>0</v>
      </c>
      <c r="H746" s="2">
        <v>0</v>
      </c>
      <c r="I746">
        <v>0</v>
      </c>
      <c r="J746">
        <v>88.12</v>
      </c>
      <c r="K746" s="1">
        <v>45822</v>
      </c>
      <c r="L746" t="s">
        <v>21</v>
      </c>
      <c r="M746" t="s">
        <v>18</v>
      </c>
      <c r="N746">
        <f>salesitems[[#This Row],[quantity]]*salesitems[[#This Row],[unit_price]]</f>
        <v>88.12</v>
      </c>
      <c r="O746" t="str">
        <f>_xlfn.XLOOKUP(salesitems[[#This Row],[product_id]],products[product_id],products[product_name])</f>
        <v>Polished High-Waist Shoes</v>
      </c>
      <c r="P746" t="str">
        <f>_xlfn.XLOOKUP(salesitems[[#This Row],[product_id]],fashion_store_products!A:A,fashion_store_products!C:C)</f>
        <v>Shoes</v>
      </c>
    </row>
    <row r="747" spans="1:16" x14ac:dyDescent="0.45">
      <c r="A747">
        <v>2196</v>
      </c>
      <c r="B747">
        <v>825</v>
      </c>
      <c r="C747">
        <v>38</v>
      </c>
      <c r="D747">
        <v>2</v>
      </c>
      <c r="E747">
        <v>62.8</v>
      </c>
      <c r="F747">
        <v>43.96</v>
      </c>
      <c r="G747">
        <v>18.84</v>
      </c>
      <c r="H747" s="2">
        <v>0.3</v>
      </c>
      <c r="I747">
        <v>1</v>
      </c>
      <c r="J747">
        <v>87.92</v>
      </c>
      <c r="K747" s="1">
        <v>45790</v>
      </c>
      <c r="L747" t="s">
        <v>15</v>
      </c>
      <c r="M747" t="s">
        <v>11</v>
      </c>
      <c r="N747">
        <f>salesitems[[#This Row],[quantity]]*salesitems[[#This Row],[unit_price]]</f>
        <v>87.92</v>
      </c>
      <c r="O747" t="str">
        <f>_xlfn.XLOOKUP(salesitems[[#This Row],[product_id]],products[product_id],products[product_name])</f>
        <v>Soft Crew Tee</v>
      </c>
      <c r="P747" t="str">
        <f>_xlfn.XLOOKUP(salesitems[[#This Row],[product_id]],fashion_store_products!A:A,fashion_store_products!C:C)</f>
        <v>T-Shirts</v>
      </c>
    </row>
    <row r="748" spans="1:16" x14ac:dyDescent="0.45">
      <c r="A748">
        <v>342</v>
      </c>
      <c r="B748">
        <v>138</v>
      </c>
      <c r="C748">
        <v>277</v>
      </c>
      <c r="D748">
        <v>2</v>
      </c>
      <c r="E748">
        <v>43.92</v>
      </c>
      <c r="F748">
        <v>43.92</v>
      </c>
      <c r="G748">
        <v>0</v>
      </c>
      <c r="H748" s="2">
        <v>0</v>
      </c>
      <c r="I748">
        <v>0</v>
      </c>
      <c r="J748">
        <v>87.84</v>
      </c>
      <c r="K748" s="1">
        <v>45822</v>
      </c>
      <c r="L748" t="s">
        <v>21</v>
      </c>
      <c r="M748" t="s">
        <v>18</v>
      </c>
      <c r="N748">
        <f>salesitems[[#This Row],[quantity]]*salesitems[[#This Row],[unit_price]]</f>
        <v>87.84</v>
      </c>
      <c r="O748" t="str">
        <f>_xlfn.XLOOKUP(salesitems[[#This Row],[product_id]],products[product_id],products[product_name])</f>
        <v>Relaxed Boxy Tee</v>
      </c>
      <c r="P748" t="str">
        <f>_xlfn.XLOOKUP(salesitems[[#This Row],[product_id]],fashion_store_products!A:A,fashion_store_products!C:C)</f>
        <v>T-Shirts</v>
      </c>
    </row>
    <row r="749" spans="1:16" x14ac:dyDescent="0.45">
      <c r="A749">
        <v>1257</v>
      </c>
      <c r="B749">
        <v>536</v>
      </c>
      <c r="C749">
        <v>277</v>
      </c>
      <c r="D749">
        <v>2</v>
      </c>
      <c r="E749">
        <v>43.92</v>
      </c>
      <c r="F749">
        <v>43.92</v>
      </c>
      <c r="G749">
        <v>0</v>
      </c>
      <c r="H749" s="2">
        <v>0</v>
      </c>
      <c r="I749">
        <v>0</v>
      </c>
      <c r="J749">
        <v>87.84</v>
      </c>
      <c r="K749" s="1">
        <v>45783</v>
      </c>
      <c r="L749" t="s">
        <v>15</v>
      </c>
      <c r="M749" t="s">
        <v>15</v>
      </c>
      <c r="N749">
        <f>salesitems[[#This Row],[quantity]]*salesitems[[#This Row],[unit_price]]</f>
        <v>87.84</v>
      </c>
      <c r="O749" t="str">
        <f>_xlfn.XLOOKUP(salesitems[[#This Row],[product_id]],products[product_id],products[product_name])</f>
        <v>Relaxed Boxy Tee</v>
      </c>
      <c r="P749" t="str">
        <f>_xlfn.XLOOKUP(salesitems[[#This Row],[product_id]],fashion_store_products!A:A,fashion_store_products!C:C)</f>
        <v>T-Shirts</v>
      </c>
    </row>
    <row r="750" spans="1:16" x14ac:dyDescent="0.45">
      <c r="A750">
        <v>1534</v>
      </c>
      <c r="B750">
        <v>969</v>
      </c>
      <c r="C750">
        <v>277</v>
      </c>
      <c r="D750">
        <v>2</v>
      </c>
      <c r="E750">
        <v>43.92</v>
      </c>
      <c r="F750">
        <v>43.92</v>
      </c>
      <c r="G750">
        <v>0</v>
      </c>
      <c r="H750" s="2">
        <v>0</v>
      </c>
      <c r="I750">
        <v>0</v>
      </c>
      <c r="J750">
        <v>87.84</v>
      </c>
      <c r="K750" s="1">
        <v>45799</v>
      </c>
      <c r="L750" t="s">
        <v>21</v>
      </c>
      <c r="M750" t="s">
        <v>18</v>
      </c>
      <c r="N750">
        <f>salesitems[[#This Row],[quantity]]*salesitems[[#This Row],[unit_price]]</f>
        <v>87.84</v>
      </c>
      <c r="O750" t="str">
        <f>_xlfn.XLOOKUP(salesitems[[#This Row],[product_id]],products[product_id],products[product_name])</f>
        <v>Relaxed Boxy Tee</v>
      </c>
      <c r="P750" t="str">
        <f>_xlfn.XLOOKUP(salesitems[[#This Row],[product_id]],fashion_store_products!A:A,fashion_store_products!C:C)</f>
        <v>T-Shirts</v>
      </c>
    </row>
    <row r="751" spans="1:16" x14ac:dyDescent="0.45">
      <c r="A751">
        <v>1931</v>
      </c>
      <c r="B751">
        <v>503</v>
      </c>
      <c r="C751">
        <v>277</v>
      </c>
      <c r="D751">
        <v>2</v>
      </c>
      <c r="E751">
        <v>43.92</v>
      </c>
      <c r="F751">
        <v>43.92</v>
      </c>
      <c r="G751">
        <v>0</v>
      </c>
      <c r="H751" s="2">
        <v>0</v>
      </c>
      <c r="I751">
        <v>0</v>
      </c>
      <c r="J751">
        <v>87.84</v>
      </c>
      <c r="K751" s="1">
        <v>45799</v>
      </c>
      <c r="L751" t="s">
        <v>21</v>
      </c>
      <c r="M751" t="s">
        <v>18</v>
      </c>
      <c r="N751">
        <f>salesitems[[#This Row],[quantity]]*salesitems[[#This Row],[unit_price]]</f>
        <v>87.84</v>
      </c>
      <c r="O751" t="str">
        <f>_xlfn.XLOOKUP(salesitems[[#This Row],[product_id]],products[product_id],products[product_name])</f>
        <v>Relaxed Boxy Tee</v>
      </c>
      <c r="P751" t="str">
        <f>_xlfn.XLOOKUP(salesitems[[#This Row],[product_id]],fashion_store_products!A:A,fashion_store_products!C:C)</f>
        <v>T-Shirts</v>
      </c>
    </row>
    <row r="752" spans="1:16" x14ac:dyDescent="0.45">
      <c r="A752">
        <v>3329</v>
      </c>
      <c r="B752">
        <v>582</v>
      </c>
      <c r="C752">
        <v>277</v>
      </c>
      <c r="D752">
        <v>2</v>
      </c>
      <c r="E752">
        <v>43.92</v>
      </c>
      <c r="F752">
        <v>43.92</v>
      </c>
      <c r="G752">
        <v>0</v>
      </c>
      <c r="H752" s="2">
        <v>0</v>
      </c>
      <c r="I752">
        <v>0</v>
      </c>
      <c r="J752">
        <v>87.84</v>
      </c>
      <c r="K752" s="1">
        <v>45753</v>
      </c>
      <c r="L752" t="s">
        <v>21</v>
      </c>
      <c r="M752" t="s">
        <v>18</v>
      </c>
      <c r="N752">
        <f>salesitems[[#This Row],[quantity]]*salesitems[[#This Row],[unit_price]]</f>
        <v>87.84</v>
      </c>
      <c r="O752" t="str">
        <f>_xlfn.XLOOKUP(salesitems[[#This Row],[product_id]],products[product_id],products[product_name])</f>
        <v>Relaxed Boxy Tee</v>
      </c>
      <c r="P752" t="str">
        <f>_xlfn.XLOOKUP(salesitems[[#This Row],[product_id]],fashion_store_products!A:A,fashion_store_products!C:C)</f>
        <v>T-Shirts</v>
      </c>
    </row>
    <row r="753" spans="1:16" x14ac:dyDescent="0.45">
      <c r="A753">
        <v>1009</v>
      </c>
      <c r="B753">
        <v>1018</v>
      </c>
      <c r="C753">
        <v>312</v>
      </c>
      <c r="D753">
        <v>2</v>
      </c>
      <c r="E753">
        <v>43.84</v>
      </c>
      <c r="F753">
        <v>43.84</v>
      </c>
      <c r="G753">
        <v>0</v>
      </c>
      <c r="H753" s="2">
        <v>0</v>
      </c>
      <c r="I753">
        <v>0</v>
      </c>
      <c r="J753">
        <v>87.68</v>
      </c>
      <c r="K753" s="1">
        <v>45793</v>
      </c>
      <c r="L753" t="s">
        <v>21</v>
      </c>
      <c r="M753" t="s">
        <v>18</v>
      </c>
      <c r="N753">
        <f>salesitems[[#This Row],[quantity]]*salesitems[[#This Row],[unit_price]]</f>
        <v>87.68</v>
      </c>
      <c r="O753" t="str">
        <f>_xlfn.XLOOKUP(salesitems[[#This Row],[product_id]],products[product_id],products[product_name])</f>
        <v>Essential Satin Dress</v>
      </c>
      <c r="P753" t="str">
        <f>_xlfn.XLOOKUP(salesitems[[#This Row],[product_id]],fashion_store_products!A:A,fashion_store_products!C:C)</f>
        <v>Dresses</v>
      </c>
    </row>
    <row r="754" spans="1:16" x14ac:dyDescent="0.45">
      <c r="A754">
        <v>1616</v>
      </c>
      <c r="B754">
        <v>751</v>
      </c>
      <c r="C754">
        <v>312</v>
      </c>
      <c r="D754">
        <v>2</v>
      </c>
      <c r="E754">
        <v>43.84</v>
      </c>
      <c r="F754">
        <v>43.84</v>
      </c>
      <c r="G754">
        <v>0</v>
      </c>
      <c r="H754" s="2">
        <v>0</v>
      </c>
      <c r="I754">
        <v>0</v>
      </c>
      <c r="J754">
        <v>87.68</v>
      </c>
      <c r="K754" s="1">
        <v>45824</v>
      </c>
      <c r="L754" t="s">
        <v>21</v>
      </c>
      <c r="M754" t="s">
        <v>18</v>
      </c>
      <c r="N754">
        <f>salesitems[[#This Row],[quantity]]*salesitems[[#This Row],[unit_price]]</f>
        <v>87.68</v>
      </c>
      <c r="O754" t="str">
        <f>_xlfn.XLOOKUP(salesitems[[#This Row],[product_id]],products[product_id],products[product_name])</f>
        <v>Essential Satin Dress</v>
      </c>
      <c r="P754" t="str">
        <f>_xlfn.XLOOKUP(salesitems[[#This Row],[product_id]],fashion_store_products!A:A,fashion_store_products!C:C)</f>
        <v>Dresses</v>
      </c>
    </row>
    <row r="755" spans="1:16" x14ac:dyDescent="0.45">
      <c r="A755">
        <v>3117</v>
      </c>
      <c r="B755">
        <v>1201</v>
      </c>
      <c r="C755">
        <v>312</v>
      </c>
      <c r="D755">
        <v>2</v>
      </c>
      <c r="E755">
        <v>43.84</v>
      </c>
      <c r="F755">
        <v>43.84</v>
      </c>
      <c r="G755">
        <v>0</v>
      </c>
      <c r="H755" s="2">
        <v>0</v>
      </c>
      <c r="I755">
        <v>0</v>
      </c>
      <c r="J755">
        <v>87.68</v>
      </c>
      <c r="K755" s="1">
        <v>45764</v>
      </c>
      <c r="L755" t="s">
        <v>15</v>
      </c>
      <c r="M755" t="s">
        <v>15</v>
      </c>
      <c r="N755">
        <f>salesitems[[#This Row],[quantity]]*salesitems[[#This Row],[unit_price]]</f>
        <v>87.68</v>
      </c>
      <c r="O755" t="str">
        <f>_xlfn.XLOOKUP(salesitems[[#This Row],[product_id]],products[product_id],products[product_name])</f>
        <v>Essential Satin Dress</v>
      </c>
      <c r="P755" t="str">
        <f>_xlfn.XLOOKUP(salesitems[[#This Row],[product_id]],fashion_store_products!A:A,fashion_store_products!C:C)</f>
        <v>Dresses</v>
      </c>
    </row>
    <row r="756" spans="1:16" x14ac:dyDescent="0.45">
      <c r="A756">
        <v>291</v>
      </c>
      <c r="B756">
        <v>452</v>
      </c>
      <c r="C756">
        <v>363</v>
      </c>
      <c r="D756">
        <v>2</v>
      </c>
      <c r="E756">
        <v>43.64</v>
      </c>
      <c r="F756">
        <v>43.64</v>
      </c>
      <c r="G756">
        <v>0</v>
      </c>
      <c r="H756" s="2">
        <v>0</v>
      </c>
      <c r="I756">
        <v>0</v>
      </c>
      <c r="J756">
        <v>87.28</v>
      </c>
      <c r="K756" s="1">
        <v>45772</v>
      </c>
      <c r="L756" t="s">
        <v>15</v>
      </c>
      <c r="M756" t="s">
        <v>15</v>
      </c>
      <c r="N756">
        <f>salesitems[[#This Row],[quantity]]*salesitems[[#This Row],[unit_price]]</f>
        <v>87.28</v>
      </c>
      <c r="O756" t="str">
        <f>_xlfn.XLOOKUP(salesitems[[#This Row],[product_id]],products[product_id],products[product_name])</f>
        <v>Tailored Cotton Dress</v>
      </c>
      <c r="P756" t="str">
        <f>_xlfn.XLOOKUP(salesitems[[#This Row],[product_id]],fashion_store_products!A:A,fashion_store_products!C:C)</f>
        <v>Dresses</v>
      </c>
    </row>
    <row r="757" spans="1:16" x14ac:dyDescent="0.45">
      <c r="A757">
        <v>2284</v>
      </c>
      <c r="B757">
        <v>465</v>
      </c>
      <c r="C757">
        <v>363</v>
      </c>
      <c r="D757">
        <v>2</v>
      </c>
      <c r="E757">
        <v>43.64</v>
      </c>
      <c r="F757">
        <v>43.64</v>
      </c>
      <c r="G757">
        <v>0</v>
      </c>
      <c r="H757" s="2">
        <v>0</v>
      </c>
      <c r="I757">
        <v>0</v>
      </c>
      <c r="J757">
        <v>87.28</v>
      </c>
      <c r="K757" s="1">
        <v>45822</v>
      </c>
      <c r="L757" t="s">
        <v>21</v>
      </c>
      <c r="M757" t="s">
        <v>18</v>
      </c>
      <c r="N757">
        <f>salesitems[[#This Row],[quantity]]*salesitems[[#This Row],[unit_price]]</f>
        <v>87.28</v>
      </c>
      <c r="O757" t="str">
        <f>_xlfn.XLOOKUP(salesitems[[#This Row],[product_id]],products[product_id],products[product_name])</f>
        <v>Tailored Cotton Dress</v>
      </c>
      <c r="P757" t="str">
        <f>_xlfn.XLOOKUP(salesitems[[#This Row],[product_id]],fashion_store_products!A:A,fashion_store_products!C:C)</f>
        <v>Dresses</v>
      </c>
    </row>
    <row r="758" spans="1:16" x14ac:dyDescent="0.45">
      <c r="A758">
        <v>204</v>
      </c>
      <c r="B758">
        <v>1129</v>
      </c>
      <c r="C758">
        <v>211</v>
      </c>
      <c r="D758">
        <v>2</v>
      </c>
      <c r="E758">
        <v>43.5</v>
      </c>
      <c r="F758">
        <v>43.5</v>
      </c>
      <c r="G758">
        <v>0</v>
      </c>
      <c r="H758" s="2">
        <v>0</v>
      </c>
      <c r="I758">
        <v>0</v>
      </c>
      <c r="J758">
        <v>87</v>
      </c>
      <c r="K758" s="1">
        <v>45798</v>
      </c>
      <c r="L758" t="s">
        <v>15</v>
      </c>
      <c r="M758" t="s">
        <v>15</v>
      </c>
      <c r="N758">
        <f>salesitems[[#This Row],[quantity]]*salesitems[[#This Row],[unit_price]]</f>
        <v>87</v>
      </c>
      <c r="O758" t="str">
        <f>_xlfn.XLOOKUP(salesitems[[#This Row],[product_id]],products[product_id],products[product_name])</f>
        <v>Polished Cotton Shoes</v>
      </c>
      <c r="P758" t="str">
        <f>_xlfn.XLOOKUP(salesitems[[#This Row],[product_id]],fashion_store_products!A:A,fashion_store_products!C:C)</f>
        <v>Shoes</v>
      </c>
    </row>
    <row r="759" spans="1:16" x14ac:dyDescent="0.45">
      <c r="A759">
        <v>624</v>
      </c>
      <c r="B759">
        <v>184</v>
      </c>
      <c r="C759">
        <v>302</v>
      </c>
      <c r="D759">
        <v>2</v>
      </c>
      <c r="E759">
        <v>43.4</v>
      </c>
      <c r="F759">
        <v>43.4</v>
      </c>
      <c r="G759">
        <v>0</v>
      </c>
      <c r="H759" s="2">
        <v>0</v>
      </c>
      <c r="I759">
        <v>0</v>
      </c>
      <c r="J759">
        <v>86.8</v>
      </c>
      <c r="K759" s="1">
        <v>45765</v>
      </c>
      <c r="L759" t="s">
        <v>21</v>
      </c>
      <c r="M759" t="s">
        <v>18</v>
      </c>
      <c r="N759">
        <f>salesitems[[#This Row],[quantity]]*salesitems[[#This Row],[unit_price]]</f>
        <v>86.8</v>
      </c>
      <c r="O759" t="str">
        <f>_xlfn.XLOOKUP(salesitems[[#This Row],[product_id]],products[product_id],products[product_name])</f>
        <v>Essential Satin Tee</v>
      </c>
      <c r="P759" t="str">
        <f>_xlfn.XLOOKUP(salesitems[[#This Row],[product_id]],fashion_store_products!A:A,fashion_store_products!C:C)</f>
        <v>T-Shirts</v>
      </c>
    </row>
    <row r="760" spans="1:16" x14ac:dyDescent="0.45">
      <c r="A760">
        <v>3010</v>
      </c>
      <c r="B760">
        <v>746</v>
      </c>
      <c r="C760">
        <v>429</v>
      </c>
      <c r="D760">
        <v>2</v>
      </c>
      <c r="E760">
        <v>43.34</v>
      </c>
      <c r="F760">
        <v>43.34</v>
      </c>
      <c r="G760">
        <v>0</v>
      </c>
      <c r="H760" s="2">
        <v>0</v>
      </c>
      <c r="I760">
        <v>0</v>
      </c>
      <c r="J760">
        <v>86.68</v>
      </c>
      <c r="K760" s="1">
        <v>45793</v>
      </c>
      <c r="L760" t="s">
        <v>21</v>
      </c>
      <c r="M760" t="s">
        <v>18</v>
      </c>
      <c r="N760">
        <f>salesitems[[#This Row],[quantity]]*salesitems[[#This Row],[unit_price]]</f>
        <v>86.68</v>
      </c>
      <c r="O760" t="str">
        <f>_xlfn.XLOOKUP(salesitems[[#This Row],[product_id]],products[product_id],products[product_name])</f>
        <v>Bold Wrap Tee</v>
      </c>
      <c r="P760" t="str">
        <f>_xlfn.XLOOKUP(salesitems[[#This Row],[product_id]],fashion_store_products!A:A,fashion_store_products!C:C)</f>
        <v>T-Shirts</v>
      </c>
    </row>
    <row r="761" spans="1:16" x14ac:dyDescent="0.45">
      <c r="A761">
        <v>2561</v>
      </c>
      <c r="B761">
        <v>168</v>
      </c>
      <c r="C761">
        <v>329</v>
      </c>
      <c r="D761">
        <v>2</v>
      </c>
      <c r="E761">
        <v>43.09</v>
      </c>
      <c r="F761">
        <v>43.09</v>
      </c>
      <c r="G761">
        <v>0</v>
      </c>
      <c r="H761" s="2">
        <v>0</v>
      </c>
      <c r="I761">
        <v>0</v>
      </c>
      <c r="J761">
        <v>86.18</v>
      </c>
      <c r="K761" s="1">
        <v>45751</v>
      </c>
      <c r="L761" t="s">
        <v>15</v>
      </c>
      <c r="M761" t="s">
        <v>15</v>
      </c>
      <c r="N761">
        <f>salesitems[[#This Row],[quantity]]*salesitems[[#This Row],[unit_price]]</f>
        <v>86.18</v>
      </c>
      <c r="O761" t="str">
        <f>_xlfn.XLOOKUP(salesitems[[#This Row],[product_id]],products[product_id],products[product_name])</f>
        <v>Relaxed Boxy Set</v>
      </c>
      <c r="P761" t="str">
        <f>_xlfn.XLOOKUP(salesitems[[#This Row],[product_id]],fashion_store_products!A:A,fashion_store_products!C:C)</f>
        <v>Sleepwear</v>
      </c>
    </row>
    <row r="762" spans="1:16" x14ac:dyDescent="0.45">
      <c r="A762">
        <v>2396</v>
      </c>
      <c r="B762">
        <v>616</v>
      </c>
      <c r="C762">
        <v>102</v>
      </c>
      <c r="D762">
        <v>2</v>
      </c>
      <c r="E762">
        <v>43.06</v>
      </c>
      <c r="F762">
        <v>43.06</v>
      </c>
      <c r="G762">
        <v>0</v>
      </c>
      <c r="H762" s="2">
        <v>0</v>
      </c>
      <c r="I762">
        <v>0</v>
      </c>
      <c r="J762">
        <v>86.12</v>
      </c>
      <c r="K762" s="1">
        <v>45770</v>
      </c>
      <c r="L762" t="s">
        <v>21</v>
      </c>
      <c r="M762" t="s">
        <v>18</v>
      </c>
      <c r="N762">
        <f>salesitems[[#This Row],[quantity]]*salesitems[[#This Row],[unit_price]]</f>
        <v>86.12</v>
      </c>
      <c r="O762" t="str">
        <f>_xlfn.XLOOKUP(salesitems[[#This Row],[product_id]],products[product_id],products[product_name])</f>
        <v>Classic Linen Tee</v>
      </c>
      <c r="P762" t="str">
        <f>_xlfn.XLOOKUP(salesitems[[#This Row],[product_id]],fashion_store_products!A:A,fashion_store_products!C:C)</f>
        <v>T-Shirts</v>
      </c>
    </row>
    <row r="763" spans="1:16" x14ac:dyDescent="0.45">
      <c r="A763">
        <v>81</v>
      </c>
      <c r="B763">
        <v>155</v>
      </c>
      <c r="C763">
        <v>482</v>
      </c>
      <c r="D763">
        <v>2</v>
      </c>
      <c r="E763">
        <v>47.59</v>
      </c>
      <c r="F763">
        <v>42.83</v>
      </c>
      <c r="G763">
        <v>4.76</v>
      </c>
      <c r="H763" s="2">
        <v>0.1</v>
      </c>
      <c r="I763">
        <v>1</v>
      </c>
      <c r="J763">
        <v>85.66</v>
      </c>
      <c r="K763" s="1">
        <v>45812</v>
      </c>
      <c r="L763" t="s">
        <v>21</v>
      </c>
      <c r="M763" t="s">
        <v>8</v>
      </c>
      <c r="N763">
        <f>salesitems[[#This Row],[quantity]]*salesitems[[#This Row],[unit_price]]</f>
        <v>85.66</v>
      </c>
      <c r="O763" t="str">
        <f>_xlfn.XLOOKUP(salesitems[[#This Row],[product_id]],products[product_id],products[product_name])</f>
        <v>Dresses Drop 6</v>
      </c>
      <c r="P763" t="str">
        <f>_xlfn.XLOOKUP(salesitems[[#This Row],[product_id]],fashion_store_products!A:A,fashion_store_products!C:C)</f>
        <v>Dresses</v>
      </c>
    </row>
    <row r="764" spans="1:16" x14ac:dyDescent="0.45">
      <c r="A764">
        <v>2018</v>
      </c>
      <c r="B764">
        <v>1298</v>
      </c>
      <c r="C764">
        <v>24</v>
      </c>
      <c r="D764">
        <v>2</v>
      </c>
      <c r="E764">
        <v>42.76</v>
      </c>
      <c r="F764">
        <v>42.76</v>
      </c>
      <c r="G764">
        <v>0</v>
      </c>
      <c r="H764" s="2">
        <v>0</v>
      </c>
      <c r="I764">
        <v>0</v>
      </c>
      <c r="J764">
        <v>85.52</v>
      </c>
      <c r="K764" s="1">
        <v>45793</v>
      </c>
      <c r="L764" t="s">
        <v>21</v>
      </c>
      <c r="M764" t="s">
        <v>18</v>
      </c>
      <c r="N764">
        <f>salesitems[[#This Row],[quantity]]*salesitems[[#This Row],[unit_price]]</f>
        <v>85.52</v>
      </c>
      <c r="O764" t="str">
        <f>_xlfn.XLOOKUP(salesitems[[#This Row],[product_id]],products[product_id],products[product_name])</f>
        <v>Soft High-Waist Dress</v>
      </c>
      <c r="P764" t="str">
        <f>_xlfn.XLOOKUP(salesitems[[#This Row],[product_id]],fashion_store_products!A:A,fashion_store_products!C:C)</f>
        <v>Dresses</v>
      </c>
    </row>
    <row r="765" spans="1:16" x14ac:dyDescent="0.45">
      <c r="A765">
        <v>2562</v>
      </c>
      <c r="B765">
        <v>264</v>
      </c>
      <c r="C765">
        <v>375</v>
      </c>
      <c r="D765">
        <v>2</v>
      </c>
      <c r="E765">
        <v>42.67</v>
      </c>
      <c r="F765">
        <v>42.67</v>
      </c>
      <c r="G765">
        <v>0</v>
      </c>
      <c r="H765" s="2">
        <v>0</v>
      </c>
      <c r="I765">
        <v>0</v>
      </c>
      <c r="J765">
        <v>85.34</v>
      </c>
      <c r="K765" s="1">
        <v>45808</v>
      </c>
      <c r="L765" t="s">
        <v>15</v>
      </c>
      <c r="M765" t="s">
        <v>15</v>
      </c>
      <c r="N765">
        <f>salesitems[[#This Row],[quantity]]*salesitems[[#This Row],[unit_price]]</f>
        <v>85.34</v>
      </c>
      <c r="O765" t="str">
        <f>_xlfn.XLOOKUP(salesitems[[#This Row],[product_id]],products[product_id],products[product_name])</f>
        <v>Tailored Sleeveless Shoes</v>
      </c>
      <c r="P765" t="str">
        <f>_xlfn.XLOOKUP(salesitems[[#This Row],[product_id]],fashion_store_products!A:A,fashion_store_products!C:C)</f>
        <v>Shoes</v>
      </c>
    </row>
    <row r="766" spans="1:16" x14ac:dyDescent="0.45">
      <c r="A766">
        <v>189</v>
      </c>
      <c r="B766">
        <v>301</v>
      </c>
      <c r="C766">
        <v>483</v>
      </c>
      <c r="D766">
        <v>2</v>
      </c>
      <c r="E766">
        <v>60.89</v>
      </c>
      <c r="F766">
        <v>42.62</v>
      </c>
      <c r="G766">
        <v>18.27</v>
      </c>
      <c r="H766" s="2">
        <v>0.3</v>
      </c>
      <c r="I766">
        <v>1</v>
      </c>
      <c r="J766">
        <v>85.25</v>
      </c>
      <c r="K766" s="1">
        <v>45794</v>
      </c>
      <c r="L766" t="s">
        <v>15</v>
      </c>
      <c r="M766" t="s">
        <v>11</v>
      </c>
      <c r="N766">
        <f>salesitems[[#This Row],[quantity]]*salesitems[[#This Row],[unit_price]]</f>
        <v>85.24</v>
      </c>
      <c r="O766" t="str">
        <f>_xlfn.XLOOKUP(salesitems[[#This Row],[product_id]],products[product_id],products[product_name])</f>
        <v>T-Shirts Drop 3</v>
      </c>
      <c r="P766" t="str">
        <f>_xlfn.XLOOKUP(salesitems[[#This Row],[product_id]],fashion_store_products!A:A,fashion_store_products!C:C)</f>
        <v>T-Shirts</v>
      </c>
    </row>
    <row r="767" spans="1:16" x14ac:dyDescent="0.45">
      <c r="A767">
        <v>2518</v>
      </c>
      <c r="B767">
        <v>1052</v>
      </c>
      <c r="C767">
        <v>149</v>
      </c>
      <c r="D767">
        <v>2</v>
      </c>
      <c r="E767">
        <v>42.24</v>
      </c>
      <c r="F767">
        <v>42.24</v>
      </c>
      <c r="G767">
        <v>0</v>
      </c>
      <c r="H767" s="2">
        <v>0</v>
      </c>
      <c r="I767">
        <v>0</v>
      </c>
      <c r="J767">
        <v>84.48</v>
      </c>
      <c r="K767" s="1">
        <v>45771</v>
      </c>
      <c r="L767" t="s">
        <v>21</v>
      </c>
      <c r="M767" t="s">
        <v>18</v>
      </c>
      <c r="N767">
        <f>salesitems[[#This Row],[quantity]]*salesitems[[#This Row],[unit_price]]</f>
        <v>84.48</v>
      </c>
      <c r="O767" t="str">
        <f>_xlfn.XLOOKUP(salesitems[[#This Row],[product_id]],products[product_id],products[product_name])</f>
        <v>Classic Crew Trousers</v>
      </c>
      <c r="P767" t="str">
        <f>_xlfn.XLOOKUP(salesitems[[#This Row],[product_id]],fashion_store_products!A:A,fashion_store_products!C:C)</f>
        <v>Pants</v>
      </c>
    </row>
    <row r="768" spans="1:16" x14ac:dyDescent="0.45">
      <c r="A768">
        <v>2725</v>
      </c>
      <c r="B768">
        <v>619</v>
      </c>
      <c r="C768">
        <v>324</v>
      </c>
      <c r="D768">
        <v>2</v>
      </c>
      <c r="E768">
        <v>60.31</v>
      </c>
      <c r="F768">
        <v>42.22</v>
      </c>
      <c r="G768">
        <v>18.09</v>
      </c>
      <c r="H768" s="2">
        <v>0.3</v>
      </c>
      <c r="I768">
        <v>1</v>
      </c>
      <c r="J768">
        <v>84.43</v>
      </c>
      <c r="K768" s="1">
        <v>45792</v>
      </c>
      <c r="L768" t="s">
        <v>15</v>
      </c>
      <c r="M768" t="s">
        <v>11</v>
      </c>
      <c r="N768">
        <f>salesitems[[#This Row],[quantity]]*salesitems[[#This Row],[unit_price]]</f>
        <v>84.44</v>
      </c>
      <c r="O768" t="str">
        <f>_xlfn.XLOOKUP(salesitems[[#This Row],[product_id]],products[product_id],products[product_name])</f>
        <v>Tailored Linen Tee</v>
      </c>
      <c r="P768" t="str">
        <f>_xlfn.XLOOKUP(salesitems[[#This Row],[product_id]],fashion_store_products!A:A,fashion_store_products!C:C)</f>
        <v>T-Shirts</v>
      </c>
    </row>
    <row r="769" spans="1:16" x14ac:dyDescent="0.45">
      <c r="A769">
        <v>633</v>
      </c>
      <c r="B769">
        <v>506</v>
      </c>
      <c r="C769">
        <v>309</v>
      </c>
      <c r="D769">
        <v>2</v>
      </c>
      <c r="E769">
        <v>42.14</v>
      </c>
      <c r="F769">
        <v>42.14</v>
      </c>
      <c r="G769">
        <v>0</v>
      </c>
      <c r="H769" s="2">
        <v>0</v>
      </c>
      <c r="I769">
        <v>0</v>
      </c>
      <c r="J769">
        <v>84.28</v>
      </c>
      <c r="K769" s="1">
        <v>45770</v>
      </c>
      <c r="L769" t="s">
        <v>21</v>
      </c>
      <c r="M769" t="s">
        <v>18</v>
      </c>
      <c r="N769">
        <f>salesitems[[#This Row],[quantity]]*salesitems[[#This Row],[unit_price]]</f>
        <v>84.28</v>
      </c>
      <c r="O769" t="str">
        <f>_xlfn.XLOOKUP(salesitems[[#This Row],[product_id]],products[product_id],products[product_name])</f>
        <v>Essential Ribbed Dress</v>
      </c>
      <c r="P769" t="str">
        <f>_xlfn.XLOOKUP(salesitems[[#This Row],[product_id]],fashion_store_products!A:A,fashion_store_products!C:C)</f>
        <v>Dresses</v>
      </c>
    </row>
    <row r="770" spans="1:16" x14ac:dyDescent="0.45">
      <c r="A770">
        <v>2625</v>
      </c>
      <c r="B770">
        <v>952</v>
      </c>
      <c r="C770">
        <v>309</v>
      </c>
      <c r="D770">
        <v>2</v>
      </c>
      <c r="E770">
        <v>42.14</v>
      </c>
      <c r="F770">
        <v>42.14</v>
      </c>
      <c r="G770">
        <v>0</v>
      </c>
      <c r="H770" s="2">
        <v>0</v>
      </c>
      <c r="I770">
        <v>0</v>
      </c>
      <c r="J770">
        <v>84.28</v>
      </c>
      <c r="K770" s="1">
        <v>45772</v>
      </c>
      <c r="L770" t="s">
        <v>21</v>
      </c>
      <c r="M770" t="s">
        <v>18</v>
      </c>
      <c r="N770">
        <f>salesitems[[#This Row],[quantity]]*salesitems[[#This Row],[unit_price]]</f>
        <v>84.28</v>
      </c>
      <c r="O770" t="str">
        <f>_xlfn.XLOOKUP(salesitems[[#This Row],[product_id]],products[product_id],products[product_name])</f>
        <v>Essential Ribbed Dress</v>
      </c>
      <c r="P770" t="str">
        <f>_xlfn.XLOOKUP(salesitems[[#This Row],[product_id]],fashion_store_products!A:A,fashion_store_products!C:C)</f>
        <v>Dresses</v>
      </c>
    </row>
    <row r="771" spans="1:16" x14ac:dyDescent="0.45">
      <c r="A771">
        <v>448</v>
      </c>
      <c r="B771">
        <v>84</v>
      </c>
      <c r="C771">
        <v>344</v>
      </c>
      <c r="D771">
        <v>2</v>
      </c>
      <c r="E771">
        <v>42.1</v>
      </c>
      <c r="F771">
        <v>42.1</v>
      </c>
      <c r="G771">
        <v>0</v>
      </c>
      <c r="H771" s="2">
        <v>0</v>
      </c>
      <c r="I771">
        <v>0</v>
      </c>
      <c r="J771">
        <v>84.2</v>
      </c>
      <c r="K771" s="1">
        <v>45794</v>
      </c>
      <c r="L771" t="s">
        <v>21</v>
      </c>
      <c r="M771" t="s">
        <v>18</v>
      </c>
      <c r="N771">
        <f>salesitems[[#This Row],[quantity]]*salesitems[[#This Row],[unit_price]]</f>
        <v>84.2</v>
      </c>
      <c r="O771" t="str">
        <f>_xlfn.XLOOKUP(salesitems[[#This Row],[product_id]],products[product_id],products[product_name])</f>
        <v>Tailored Silk Tee</v>
      </c>
      <c r="P771" t="str">
        <f>_xlfn.XLOOKUP(salesitems[[#This Row],[product_id]],fashion_store_products!A:A,fashion_store_products!C:C)</f>
        <v>T-Shirts</v>
      </c>
    </row>
    <row r="772" spans="1:16" x14ac:dyDescent="0.45">
      <c r="A772">
        <v>2092</v>
      </c>
      <c r="B772">
        <v>303</v>
      </c>
      <c r="C772">
        <v>202</v>
      </c>
      <c r="D772">
        <v>2</v>
      </c>
      <c r="E772">
        <v>41.88</v>
      </c>
      <c r="F772">
        <v>41.88</v>
      </c>
      <c r="G772">
        <v>0</v>
      </c>
      <c r="H772" s="2">
        <v>0</v>
      </c>
      <c r="I772">
        <v>0</v>
      </c>
      <c r="J772">
        <v>83.76</v>
      </c>
      <c r="K772" s="1">
        <v>45813</v>
      </c>
      <c r="L772" t="s">
        <v>15</v>
      </c>
      <c r="M772" t="s">
        <v>15</v>
      </c>
      <c r="N772">
        <f>salesitems[[#This Row],[quantity]]*salesitems[[#This Row],[unit_price]]</f>
        <v>83.76</v>
      </c>
      <c r="O772" t="str">
        <f>_xlfn.XLOOKUP(salesitems[[#This Row],[product_id]],products[product_id],products[product_name])</f>
        <v>Vintage High-Waist Tee</v>
      </c>
      <c r="P772" t="str">
        <f>_xlfn.XLOOKUP(salesitems[[#This Row],[product_id]],fashion_store_products!A:A,fashion_store_products!C:C)</f>
        <v>T-Shirts</v>
      </c>
    </row>
    <row r="773" spans="1:16" x14ac:dyDescent="0.45">
      <c r="A773">
        <v>2156</v>
      </c>
      <c r="B773">
        <v>816</v>
      </c>
      <c r="C773">
        <v>99</v>
      </c>
      <c r="D773">
        <v>2</v>
      </c>
      <c r="E773">
        <v>59.78</v>
      </c>
      <c r="F773">
        <v>41.85</v>
      </c>
      <c r="G773">
        <v>17.93</v>
      </c>
      <c r="H773" s="2">
        <v>0.3</v>
      </c>
      <c r="I773">
        <v>1</v>
      </c>
      <c r="J773">
        <v>83.69</v>
      </c>
      <c r="K773" s="1">
        <v>45792</v>
      </c>
      <c r="L773" t="s">
        <v>15</v>
      </c>
      <c r="M773" t="s">
        <v>11</v>
      </c>
      <c r="N773">
        <f>salesitems[[#This Row],[quantity]]*salesitems[[#This Row],[unit_price]]</f>
        <v>83.7</v>
      </c>
      <c r="O773" t="str">
        <f>_xlfn.XLOOKUP(salesitems[[#This Row],[product_id]],products[product_id],products[product_name])</f>
        <v>Modern Boxy Tee</v>
      </c>
      <c r="P773" t="str">
        <f>_xlfn.XLOOKUP(salesitems[[#This Row],[product_id]],fashion_store_products!A:A,fashion_store_products!C:C)</f>
        <v>T-Shirts</v>
      </c>
    </row>
    <row r="774" spans="1:16" x14ac:dyDescent="0.45">
      <c r="A774">
        <v>231</v>
      </c>
      <c r="B774">
        <v>386</v>
      </c>
      <c r="C774">
        <v>144</v>
      </c>
      <c r="D774">
        <v>2</v>
      </c>
      <c r="E774">
        <v>41.84</v>
      </c>
      <c r="F774">
        <v>41.84</v>
      </c>
      <c r="G774">
        <v>0</v>
      </c>
      <c r="H774" s="2">
        <v>0</v>
      </c>
      <c r="I774">
        <v>0</v>
      </c>
      <c r="J774">
        <v>83.68</v>
      </c>
      <c r="K774" s="1">
        <v>45768</v>
      </c>
      <c r="L774" t="s">
        <v>15</v>
      </c>
      <c r="M774" t="s">
        <v>15</v>
      </c>
      <c r="N774">
        <f>salesitems[[#This Row],[quantity]]*salesitems[[#This Row],[unit_price]]</f>
        <v>83.68</v>
      </c>
      <c r="O774" t="str">
        <f>_xlfn.XLOOKUP(salesitems[[#This Row],[product_id]],products[product_id],products[product_name])</f>
        <v>Classic Silk Trousers</v>
      </c>
      <c r="P774" t="str">
        <f>_xlfn.XLOOKUP(salesitems[[#This Row],[product_id]],fashion_store_products!A:A,fashion_store_products!C:C)</f>
        <v>Pants</v>
      </c>
    </row>
    <row r="775" spans="1:16" x14ac:dyDescent="0.45">
      <c r="A775">
        <v>160</v>
      </c>
      <c r="B775">
        <v>1314</v>
      </c>
      <c r="C775">
        <v>172</v>
      </c>
      <c r="D775">
        <v>2</v>
      </c>
      <c r="E775">
        <v>41.7</v>
      </c>
      <c r="F775">
        <v>41.7</v>
      </c>
      <c r="G775">
        <v>0</v>
      </c>
      <c r="H775" s="2">
        <v>0</v>
      </c>
      <c r="I775">
        <v>0</v>
      </c>
      <c r="J775">
        <v>83.4</v>
      </c>
      <c r="K775" s="1">
        <v>45812</v>
      </c>
      <c r="L775" t="s">
        <v>15</v>
      </c>
      <c r="M775" t="s">
        <v>15</v>
      </c>
      <c r="N775">
        <f>salesitems[[#This Row],[quantity]]*salesitems[[#This Row],[unit_price]]</f>
        <v>83.4</v>
      </c>
      <c r="O775" t="str">
        <f>_xlfn.XLOOKUP(salesitems[[#This Row],[product_id]],products[product_id],products[product_name])</f>
        <v>Vintage Crew Shoes</v>
      </c>
      <c r="P775" t="str">
        <f>_xlfn.XLOOKUP(salesitems[[#This Row],[product_id]],fashion_store_products!A:A,fashion_store_products!C:C)</f>
        <v>Shoes</v>
      </c>
    </row>
    <row r="776" spans="1:16" x14ac:dyDescent="0.45">
      <c r="A776">
        <v>2736</v>
      </c>
      <c r="B776">
        <v>926</v>
      </c>
      <c r="C776">
        <v>423</v>
      </c>
      <c r="D776">
        <v>2</v>
      </c>
      <c r="E776">
        <v>41.64</v>
      </c>
      <c r="F776">
        <v>41.64</v>
      </c>
      <c r="G776">
        <v>0</v>
      </c>
      <c r="H776" s="2">
        <v>0</v>
      </c>
      <c r="I776">
        <v>0</v>
      </c>
      <c r="J776">
        <v>83.28</v>
      </c>
      <c r="K776" s="1">
        <v>45806</v>
      </c>
      <c r="L776" t="s">
        <v>21</v>
      </c>
      <c r="M776" t="s">
        <v>18</v>
      </c>
      <c r="N776">
        <f>salesitems[[#This Row],[quantity]]*salesitems[[#This Row],[unit_price]]</f>
        <v>83.28</v>
      </c>
      <c r="O776" t="str">
        <f>_xlfn.XLOOKUP(salesitems[[#This Row],[product_id]],products[product_id],products[product_name])</f>
        <v>Elegant Boxy Tee</v>
      </c>
      <c r="P776" t="str">
        <f>_xlfn.XLOOKUP(salesitems[[#This Row],[product_id]],fashion_store_products!A:A,fashion_store_products!C:C)</f>
        <v>T-Shirts</v>
      </c>
    </row>
    <row r="777" spans="1:16" x14ac:dyDescent="0.45">
      <c r="A777">
        <v>1158</v>
      </c>
      <c r="B777">
        <v>1119</v>
      </c>
      <c r="C777">
        <v>157</v>
      </c>
      <c r="D777">
        <v>2</v>
      </c>
      <c r="E777">
        <v>41.56</v>
      </c>
      <c r="F777">
        <v>41.56</v>
      </c>
      <c r="G777">
        <v>0</v>
      </c>
      <c r="H777" s="2">
        <v>0</v>
      </c>
      <c r="I777">
        <v>0</v>
      </c>
      <c r="J777">
        <v>83.12</v>
      </c>
      <c r="K777" s="1">
        <v>45796</v>
      </c>
      <c r="L777" t="s">
        <v>21</v>
      </c>
      <c r="M777" t="s">
        <v>18</v>
      </c>
      <c r="N777">
        <f>salesitems[[#This Row],[quantity]]*salesitems[[#This Row],[unit_price]]</f>
        <v>83.12</v>
      </c>
      <c r="O777" t="str">
        <f>_xlfn.XLOOKUP(salesitems[[#This Row],[product_id]],products[product_id],products[product_name])</f>
        <v>Classic Sleeveless Set</v>
      </c>
      <c r="P777" t="str">
        <f>_xlfn.XLOOKUP(salesitems[[#This Row],[product_id]],fashion_store_products!A:A,fashion_store_products!C:C)</f>
        <v>Sleepwear</v>
      </c>
    </row>
    <row r="778" spans="1:16" x14ac:dyDescent="0.45">
      <c r="A778">
        <v>1359</v>
      </c>
      <c r="B778">
        <v>123</v>
      </c>
      <c r="C778">
        <v>157</v>
      </c>
      <c r="D778">
        <v>2</v>
      </c>
      <c r="E778">
        <v>41.56</v>
      </c>
      <c r="F778">
        <v>41.56</v>
      </c>
      <c r="G778">
        <v>0</v>
      </c>
      <c r="H778" s="2">
        <v>0</v>
      </c>
      <c r="I778">
        <v>0</v>
      </c>
      <c r="J778">
        <v>83.12</v>
      </c>
      <c r="K778" s="1">
        <v>45798</v>
      </c>
      <c r="L778" t="s">
        <v>15</v>
      </c>
      <c r="M778" t="s">
        <v>15</v>
      </c>
      <c r="N778">
        <f>salesitems[[#This Row],[quantity]]*salesitems[[#This Row],[unit_price]]</f>
        <v>83.12</v>
      </c>
      <c r="O778" t="str">
        <f>_xlfn.XLOOKUP(salesitems[[#This Row],[product_id]],products[product_id],products[product_name])</f>
        <v>Classic Sleeveless Set</v>
      </c>
      <c r="P778" t="str">
        <f>_xlfn.XLOOKUP(salesitems[[#This Row],[product_id]],fashion_store_products!A:A,fashion_store_products!C:C)</f>
        <v>Sleepwear</v>
      </c>
    </row>
    <row r="779" spans="1:16" x14ac:dyDescent="0.45">
      <c r="A779">
        <v>820</v>
      </c>
      <c r="B779">
        <v>11</v>
      </c>
      <c r="C779">
        <v>289</v>
      </c>
      <c r="D779">
        <v>2</v>
      </c>
      <c r="E779">
        <v>41.51</v>
      </c>
      <c r="F779">
        <v>41.51</v>
      </c>
      <c r="G779">
        <v>0</v>
      </c>
      <c r="H779" s="2">
        <v>0</v>
      </c>
      <c r="I779">
        <v>0</v>
      </c>
      <c r="J779">
        <v>83.02</v>
      </c>
      <c r="K779" s="1">
        <v>45797</v>
      </c>
      <c r="L779" t="s">
        <v>15</v>
      </c>
      <c r="M779" t="s">
        <v>15</v>
      </c>
      <c r="N779">
        <f>salesitems[[#This Row],[quantity]]*salesitems[[#This Row],[unit_price]]</f>
        <v>83.02</v>
      </c>
      <c r="O779" t="str">
        <f>_xlfn.XLOOKUP(salesitems[[#This Row],[product_id]],products[product_id],products[product_name])</f>
        <v>Relaxed High-Waist Dress</v>
      </c>
      <c r="P779" t="str">
        <f>_xlfn.XLOOKUP(salesitems[[#This Row],[product_id]],fashion_store_products!A:A,fashion_store_products!C:C)</f>
        <v>Dresses</v>
      </c>
    </row>
    <row r="780" spans="1:16" x14ac:dyDescent="0.45">
      <c r="A780">
        <v>1508</v>
      </c>
      <c r="B780">
        <v>528</v>
      </c>
      <c r="C780">
        <v>78</v>
      </c>
      <c r="D780">
        <v>2</v>
      </c>
      <c r="E780">
        <v>59.21</v>
      </c>
      <c r="F780">
        <v>41.45</v>
      </c>
      <c r="G780">
        <v>17.760000000000002</v>
      </c>
      <c r="H780" s="2">
        <v>0.3</v>
      </c>
      <c r="I780">
        <v>1</v>
      </c>
      <c r="J780">
        <v>82.89</v>
      </c>
      <c r="K780" s="1">
        <v>45794</v>
      </c>
      <c r="L780" t="s">
        <v>15</v>
      </c>
      <c r="M780" t="s">
        <v>11</v>
      </c>
      <c r="N780">
        <f>salesitems[[#This Row],[quantity]]*salesitems[[#This Row],[unit_price]]</f>
        <v>82.9</v>
      </c>
      <c r="O780" t="str">
        <f>_xlfn.XLOOKUP(salesitems[[#This Row],[product_id]],products[product_id],products[product_name])</f>
        <v>Modern Ribbed Shoes</v>
      </c>
      <c r="P780" t="str">
        <f>_xlfn.XLOOKUP(salesitems[[#This Row],[product_id]],fashion_store_products!A:A,fashion_store_products!C:C)</f>
        <v>Shoes</v>
      </c>
    </row>
    <row r="781" spans="1:16" x14ac:dyDescent="0.45">
      <c r="A781">
        <v>615</v>
      </c>
      <c r="B781">
        <v>463</v>
      </c>
      <c r="C781">
        <v>86</v>
      </c>
      <c r="D781">
        <v>2</v>
      </c>
      <c r="E781">
        <v>41.26</v>
      </c>
      <c r="F781">
        <v>41.26</v>
      </c>
      <c r="G781">
        <v>0</v>
      </c>
      <c r="H781" s="2">
        <v>0</v>
      </c>
      <c r="I781">
        <v>0</v>
      </c>
      <c r="J781">
        <v>82.52</v>
      </c>
      <c r="K781" s="1">
        <v>45821</v>
      </c>
      <c r="L781" t="s">
        <v>15</v>
      </c>
      <c r="M781" t="s">
        <v>15</v>
      </c>
      <c r="N781">
        <f>salesitems[[#This Row],[quantity]]*salesitems[[#This Row],[unit_price]]</f>
        <v>82.52</v>
      </c>
      <c r="O781" t="str">
        <f>_xlfn.XLOOKUP(salesitems[[#This Row],[product_id]],products[product_id],products[product_name])</f>
        <v>Modern Cotton Set</v>
      </c>
      <c r="P781" t="str">
        <f>_xlfn.XLOOKUP(salesitems[[#This Row],[product_id]],fashion_store_products!A:A,fashion_store_products!C:C)</f>
        <v>Sleepwear</v>
      </c>
    </row>
    <row r="782" spans="1:16" x14ac:dyDescent="0.45">
      <c r="A782">
        <v>3327</v>
      </c>
      <c r="B782">
        <v>562</v>
      </c>
      <c r="C782">
        <v>86</v>
      </c>
      <c r="D782">
        <v>2</v>
      </c>
      <c r="E782">
        <v>41.26</v>
      </c>
      <c r="F782">
        <v>41.26</v>
      </c>
      <c r="G782">
        <v>0</v>
      </c>
      <c r="H782" s="2">
        <v>0</v>
      </c>
      <c r="I782">
        <v>0</v>
      </c>
      <c r="J782">
        <v>82.52</v>
      </c>
      <c r="K782" s="1">
        <v>45765</v>
      </c>
      <c r="L782" t="s">
        <v>15</v>
      </c>
      <c r="M782" t="s">
        <v>15</v>
      </c>
      <c r="N782">
        <f>salesitems[[#This Row],[quantity]]*salesitems[[#This Row],[unit_price]]</f>
        <v>82.52</v>
      </c>
      <c r="O782" t="str">
        <f>_xlfn.XLOOKUP(salesitems[[#This Row],[product_id]],products[product_id],products[product_name])</f>
        <v>Modern Cotton Set</v>
      </c>
      <c r="P782" t="str">
        <f>_xlfn.XLOOKUP(salesitems[[#This Row],[product_id]],fashion_store_products!A:A,fashion_store_products!C:C)</f>
        <v>Sleepwear</v>
      </c>
    </row>
    <row r="783" spans="1:16" x14ac:dyDescent="0.45">
      <c r="A783">
        <v>103</v>
      </c>
      <c r="B783">
        <v>621</v>
      </c>
      <c r="C783">
        <v>63</v>
      </c>
      <c r="D783">
        <v>2</v>
      </c>
      <c r="E783">
        <v>58.67</v>
      </c>
      <c r="F783">
        <v>41.07</v>
      </c>
      <c r="G783">
        <v>17.600000000000001</v>
      </c>
      <c r="H783" s="2">
        <v>0.3</v>
      </c>
      <c r="I783">
        <v>1</v>
      </c>
      <c r="J783">
        <v>82.14</v>
      </c>
      <c r="K783" s="1">
        <v>45792</v>
      </c>
      <c r="L783" t="s">
        <v>15</v>
      </c>
      <c r="M783" t="s">
        <v>11</v>
      </c>
      <c r="N783">
        <f>salesitems[[#This Row],[quantity]]*salesitems[[#This Row],[unit_price]]</f>
        <v>82.14</v>
      </c>
      <c r="O783" t="str">
        <f>_xlfn.XLOOKUP(salesitems[[#This Row],[product_id]],products[product_id],products[product_name])</f>
        <v>Soft Crew Set</v>
      </c>
      <c r="P783" t="str">
        <f>_xlfn.XLOOKUP(salesitems[[#This Row],[product_id]],fashion_store_products!A:A,fashion_store_products!C:C)</f>
        <v>Sleepwear</v>
      </c>
    </row>
    <row r="784" spans="1:16" x14ac:dyDescent="0.45">
      <c r="A784">
        <v>1476</v>
      </c>
      <c r="B784">
        <v>1106</v>
      </c>
      <c r="C784">
        <v>18</v>
      </c>
      <c r="D784">
        <v>2</v>
      </c>
      <c r="E784">
        <v>40.99</v>
      </c>
      <c r="F784">
        <v>40.99</v>
      </c>
      <c r="G784">
        <v>0</v>
      </c>
      <c r="H784" s="2">
        <v>0</v>
      </c>
      <c r="I784">
        <v>0</v>
      </c>
      <c r="J784">
        <v>81.98</v>
      </c>
      <c r="K784" s="1">
        <v>45783</v>
      </c>
      <c r="L784" t="s">
        <v>21</v>
      </c>
      <c r="M784" t="s">
        <v>18</v>
      </c>
      <c r="N784">
        <f>salesitems[[#This Row],[quantity]]*salesitems[[#This Row],[unit_price]]</f>
        <v>81.98</v>
      </c>
      <c r="O784" t="str">
        <f>_xlfn.XLOOKUP(salesitems[[#This Row],[product_id]],products[product_id],products[product_name])</f>
        <v>Soft Satin Shoes</v>
      </c>
      <c r="P784" t="str">
        <f>_xlfn.XLOOKUP(salesitems[[#This Row],[product_id]],fashion_store_products!A:A,fashion_store_products!C:C)</f>
        <v>Shoes</v>
      </c>
    </row>
    <row r="785" spans="1:16" x14ac:dyDescent="0.45">
      <c r="A785">
        <v>1935</v>
      </c>
      <c r="B785">
        <v>796</v>
      </c>
      <c r="C785">
        <v>18</v>
      </c>
      <c r="D785">
        <v>2</v>
      </c>
      <c r="E785">
        <v>40.99</v>
      </c>
      <c r="F785">
        <v>40.99</v>
      </c>
      <c r="G785">
        <v>0</v>
      </c>
      <c r="H785" s="2">
        <v>0</v>
      </c>
      <c r="I785">
        <v>0</v>
      </c>
      <c r="J785">
        <v>81.98</v>
      </c>
      <c r="K785" s="1">
        <v>45752</v>
      </c>
      <c r="L785" t="s">
        <v>15</v>
      </c>
      <c r="M785" t="s">
        <v>15</v>
      </c>
      <c r="N785">
        <f>salesitems[[#This Row],[quantity]]*salesitems[[#This Row],[unit_price]]</f>
        <v>81.98</v>
      </c>
      <c r="O785" t="str">
        <f>_xlfn.XLOOKUP(salesitems[[#This Row],[product_id]],products[product_id],products[product_name])</f>
        <v>Soft Satin Shoes</v>
      </c>
      <c r="P785" t="str">
        <f>_xlfn.XLOOKUP(salesitems[[#This Row],[product_id]],fashion_store_products!A:A,fashion_store_products!C:C)</f>
        <v>Shoes</v>
      </c>
    </row>
    <row r="786" spans="1:16" x14ac:dyDescent="0.45">
      <c r="A786">
        <v>374</v>
      </c>
      <c r="B786">
        <v>387</v>
      </c>
      <c r="C786">
        <v>74</v>
      </c>
      <c r="D786">
        <v>2</v>
      </c>
      <c r="E786">
        <v>40.94</v>
      </c>
      <c r="F786">
        <v>40.94</v>
      </c>
      <c r="G786">
        <v>0</v>
      </c>
      <c r="H786" s="2">
        <v>0</v>
      </c>
      <c r="I786">
        <v>0</v>
      </c>
      <c r="J786">
        <v>81.88</v>
      </c>
      <c r="K786" s="1">
        <v>45767</v>
      </c>
      <c r="L786" t="s">
        <v>21</v>
      </c>
      <c r="M786" t="s">
        <v>18</v>
      </c>
      <c r="N786">
        <f>salesitems[[#This Row],[quantity]]*salesitems[[#This Row],[unit_price]]</f>
        <v>81.88</v>
      </c>
      <c r="O786" t="str">
        <f>_xlfn.XLOOKUP(salesitems[[#This Row],[product_id]],products[product_id],products[product_name])</f>
        <v>Modern Wrap Set</v>
      </c>
      <c r="P786" t="str">
        <f>_xlfn.XLOOKUP(salesitems[[#This Row],[product_id]],fashion_store_products!A:A,fashion_store_products!C:C)</f>
        <v>Sleepwear</v>
      </c>
    </row>
    <row r="787" spans="1:16" x14ac:dyDescent="0.45">
      <c r="A787">
        <v>2678</v>
      </c>
      <c r="B787">
        <v>979</v>
      </c>
      <c r="C787">
        <v>74</v>
      </c>
      <c r="D787">
        <v>2</v>
      </c>
      <c r="E787">
        <v>40.94</v>
      </c>
      <c r="F787">
        <v>40.94</v>
      </c>
      <c r="G787">
        <v>0</v>
      </c>
      <c r="H787" s="2">
        <v>0</v>
      </c>
      <c r="I787">
        <v>0</v>
      </c>
      <c r="J787">
        <v>81.88</v>
      </c>
      <c r="K787" s="1">
        <v>45769</v>
      </c>
      <c r="L787" t="s">
        <v>21</v>
      </c>
      <c r="M787" t="s">
        <v>18</v>
      </c>
      <c r="N787">
        <f>salesitems[[#This Row],[quantity]]*salesitems[[#This Row],[unit_price]]</f>
        <v>81.88</v>
      </c>
      <c r="O787" t="str">
        <f>_xlfn.XLOOKUP(salesitems[[#This Row],[product_id]],products[product_id],products[product_name])</f>
        <v>Modern Wrap Set</v>
      </c>
      <c r="P787" t="str">
        <f>_xlfn.XLOOKUP(salesitems[[#This Row],[product_id]],fashion_store_products!A:A,fashion_store_products!C:C)</f>
        <v>Sleepwear</v>
      </c>
    </row>
    <row r="788" spans="1:16" x14ac:dyDescent="0.45">
      <c r="A788">
        <v>2926</v>
      </c>
      <c r="B788">
        <v>123</v>
      </c>
      <c r="C788">
        <v>471</v>
      </c>
      <c r="D788">
        <v>2</v>
      </c>
      <c r="E788">
        <v>40.92</v>
      </c>
      <c r="F788">
        <v>40.92</v>
      </c>
      <c r="G788">
        <v>0</v>
      </c>
      <c r="H788" s="2">
        <v>0</v>
      </c>
      <c r="I788">
        <v>0</v>
      </c>
      <c r="J788">
        <v>81.84</v>
      </c>
      <c r="K788" s="1">
        <v>45798</v>
      </c>
      <c r="L788" t="s">
        <v>15</v>
      </c>
      <c r="M788" t="s">
        <v>15</v>
      </c>
      <c r="N788">
        <f>salesitems[[#This Row],[quantity]]*salesitems[[#This Row],[unit_price]]</f>
        <v>81.84</v>
      </c>
      <c r="O788" t="str">
        <f>_xlfn.XLOOKUP(salesitems[[#This Row],[product_id]],products[product_id],products[product_name])</f>
        <v>T-Shirts Drop 1</v>
      </c>
      <c r="P788" t="str">
        <f>_xlfn.XLOOKUP(salesitems[[#This Row],[product_id]],fashion_store_products!A:A,fashion_store_products!C:C)</f>
        <v>T-Shirts</v>
      </c>
    </row>
    <row r="789" spans="1:16" x14ac:dyDescent="0.45">
      <c r="A789">
        <v>1988</v>
      </c>
      <c r="B789">
        <v>849</v>
      </c>
      <c r="C789">
        <v>404</v>
      </c>
      <c r="D789">
        <v>2</v>
      </c>
      <c r="E789">
        <v>45.19</v>
      </c>
      <c r="F789">
        <v>40.67</v>
      </c>
      <c r="G789">
        <v>4.5199999999999996</v>
      </c>
      <c r="H789" s="2">
        <v>0.1</v>
      </c>
      <c r="I789">
        <v>1</v>
      </c>
      <c r="J789">
        <v>81.34</v>
      </c>
      <c r="K789" s="1">
        <v>45814</v>
      </c>
      <c r="L789" t="s">
        <v>21</v>
      </c>
      <c r="M789" t="s">
        <v>8</v>
      </c>
      <c r="N789">
        <f>salesitems[[#This Row],[quantity]]*salesitems[[#This Row],[unit_price]]</f>
        <v>81.34</v>
      </c>
      <c r="O789" t="str">
        <f>_xlfn.XLOOKUP(salesitems[[#This Row],[product_id]],products[product_id],products[product_name])</f>
        <v>Elegant Cotton Set</v>
      </c>
      <c r="P789" t="str">
        <f>_xlfn.XLOOKUP(salesitems[[#This Row],[product_id]],fashion_store_products!A:A,fashion_store_products!C:C)</f>
        <v>Sleepwear</v>
      </c>
    </row>
    <row r="790" spans="1:16" x14ac:dyDescent="0.45">
      <c r="A790">
        <v>3006</v>
      </c>
      <c r="B790">
        <v>745</v>
      </c>
      <c r="C790">
        <v>285</v>
      </c>
      <c r="D790">
        <v>2</v>
      </c>
      <c r="E790">
        <v>40.630000000000003</v>
      </c>
      <c r="F790">
        <v>40.630000000000003</v>
      </c>
      <c r="G790">
        <v>0</v>
      </c>
      <c r="H790" s="2">
        <v>0</v>
      </c>
      <c r="I790">
        <v>0</v>
      </c>
      <c r="J790">
        <v>81.260000000000005</v>
      </c>
      <c r="K790" s="1">
        <v>45775</v>
      </c>
      <c r="L790" t="s">
        <v>21</v>
      </c>
      <c r="M790" t="s">
        <v>18</v>
      </c>
      <c r="N790">
        <f>salesitems[[#This Row],[quantity]]*salesitems[[#This Row],[unit_price]]</f>
        <v>81.260000000000005</v>
      </c>
      <c r="O790" t="str">
        <f>_xlfn.XLOOKUP(salesitems[[#This Row],[product_id]],products[product_id],products[product_name])</f>
        <v>Relaxed Sleeveless Dress</v>
      </c>
      <c r="P790" t="str">
        <f>_xlfn.XLOOKUP(salesitems[[#This Row],[product_id]],fashion_store_products!A:A,fashion_store_products!C:C)</f>
        <v>Dresses</v>
      </c>
    </row>
    <row r="791" spans="1:16" x14ac:dyDescent="0.45">
      <c r="A791">
        <v>1702</v>
      </c>
      <c r="B791">
        <v>470</v>
      </c>
      <c r="C791">
        <v>92</v>
      </c>
      <c r="D791">
        <v>2</v>
      </c>
      <c r="E791">
        <v>40.25</v>
      </c>
      <c r="F791">
        <v>40.25</v>
      </c>
      <c r="G791">
        <v>0</v>
      </c>
      <c r="H791" s="2">
        <v>0</v>
      </c>
      <c r="I791">
        <v>0</v>
      </c>
      <c r="J791">
        <v>80.5</v>
      </c>
      <c r="K791" s="1">
        <v>45777</v>
      </c>
      <c r="L791" t="s">
        <v>15</v>
      </c>
      <c r="M791" t="s">
        <v>15</v>
      </c>
      <c r="N791">
        <f>salesitems[[#This Row],[quantity]]*salesitems[[#This Row],[unit_price]]</f>
        <v>80.5</v>
      </c>
      <c r="O791" t="str">
        <f>_xlfn.XLOOKUP(salesitems[[#This Row],[product_id]],products[product_id],products[product_name])</f>
        <v>Modern Crew Shoes</v>
      </c>
      <c r="P791" t="str">
        <f>_xlfn.XLOOKUP(salesitems[[#This Row],[product_id]],fashion_store_products!A:A,fashion_store_products!C:C)</f>
        <v>Shoes</v>
      </c>
    </row>
    <row r="792" spans="1:16" x14ac:dyDescent="0.45">
      <c r="A792">
        <v>1882</v>
      </c>
      <c r="B792">
        <v>42</v>
      </c>
      <c r="C792">
        <v>92</v>
      </c>
      <c r="D792">
        <v>2</v>
      </c>
      <c r="E792">
        <v>40.25</v>
      </c>
      <c r="F792">
        <v>40.25</v>
      </c>
      <c r="G792">
        <v>0</v>
      </c>
      <c r="H792" s="2">
        <v>0</v>
      </c>
      <c r="I792">
        <v>0</v>
      </c>
      <c r="J792">
        <v>80.5</v>
      </c>
      <c r="K792" s="1">
        <v>45808</v>
      </c>
      <c r="L792" t="s">
        <v>15</v>
      </c>
      <c r="M792" t="s">
        <v>15</v>
      </c>
      <c r="N792">
        <f>salesitems[[#This Row],[quantity]]*salesitems[[#This Row],[unit_price]]</f>
        <v>80.5</v>
      </c>
      <c r="O792" t="str">
        <f>_xlfn.XLOOKUP(salesitems[[#This Row],[product_id]],products[product_id],products[product_name])</f>
        <v>Modern Crew Shoes</v>
      </c>
      <c r="P792" t="str">
        <f>_xlfn.XLOOKUP(salesitems[[#This Row],[product_id]],fashion_store_products!A:A,fashion_store_products!C:C)</f>
        <v>Shoes</v>
      </c>
    </row>
    <row r="793" spans="1:16" x14ac:dyDescent="0.45">
      <c r="A793">
        <v>739</v>
      </c>
      <c r="B793">
        <v>200</v>
      </c>
      <c r="C793">
        <v>292</v>
      </c>
      <c r="D793">
        <v>2</v>
      </c>
      <c r="E793">
        <v>40.119999999999997</v>
      </c>
      <c r="F793">
        <v>40.119999999999997</v>
      </c>
      <c r="G793">
        <v>0</v>
      </c>
      <c r="H793" s="2">
        <v>0</v>
      </c>
      <c r="I793">
        <v>0</v>
      </c>
      <c r="J793">
        <v>80.239999999999995</v>
      </c>
      <c r="K793" s="1">
        <v>45781</v>
      </c>
      <c r="L793" t="s">
        <v>15</v>
      </c>
      <c r="M793" t="s">
        <v>15</v>
      </c>
      <c r="N793">
        <f>salesitems[[#This Row],[quantity]]*salesitems[[#This Row],[unit_price]]</f>
        <v>80.239999999999995</v>
      </c>
      <c r="O793" t="str">
        <f>_xlfn.XLOOKUP(salesitems[[#This Row],[product_id]],products[product_id],products[product_name])</f>
        <v>Essential Cotton Tee</v>
      </c>
      <c r="P793" t="str">
        <f>_xlfn.XLOOKUP(salesitems[[#This Row],[product_id]],fashion_store_products!A:A,fashion_store_products!C:C)</f>
        <v>T-Shirts</v>
      </c>
    </row>
    <row r="794" spans="1:16" x14ac:dyDescent="0.45">
      <c r="A794">
        <v>1550</v>
      </c>
      <c r="B794">
        <v>1011</v>
      </c>
      <c r="C794">
        <v>292</v>
      </c>
      <c r="D794">
        <v>2</v>
      </c>
      <c r="E794">
        <v>40.119999999999997</v>
      </c>
      <c r="F794">
        <v>40.119999999999997</v>
      </c>
      <c r="G794">
        <v>0</v>
      </c>
      <c r="H794" s="2">
        <v>0</v>
      </c>
      <c r="I794">
        <v>0</v>
      </c>
      <c r="J794">
        <v>80.239999999999995</v>
      </c>
      <c r="K794" s="1">
        <v>45764</v>
      </c>
      <c r="L794" t="s">
        <v>15</v>
      </c>
      <c r="M794" t="s">
        <v>15</v>
      </c>
      <c r="N794">
        <f>salesitems[[#This Row],[quantity]]*salesitems[[#This Row],[unit_price]]</f>
        <v>80.239999999999995</v>
      </c>
      <c r="O794" t="str">
        <f>_xlfn.XLOOKUP(salesitems[[#This Row],[product_id]],products[product_id],products[product_name])</f>
        <v>Essential Cotton Tee</v>
      </c>
      <c r="P794" t="str">
        <f>_xlfn.XLOOKUP(salesitems[[#This Row],[product_id]],fashion_store_products!A:A,fashion_store_products!C:C)</f>
        <v>T-Shirts</v>
      </c>
    </row>
    <row r="795" spans="1:16" x14ac:dyDescent="0.45">
      <c r="A795">
        <v>1757</v>
      </c>
      <c r="B795">
        <v>1111</v>
      </c>
      <c r="C795">
        <v>325</v>
      </c>
      <c r="D795">
        <v>2</v>
      </c>
      <c r="E795">
        <v>39.78</v>
      </c>
      <c r="F795">
        <v>39.78</v>
      </c>
      <c r="G795">
        <v>0</v>
      </c>
      <c r="H795" s="2">
        <v>0</v>
      </c>
      <c r="I795">
        <v>0</v>
      </c>
      <c r="J795">
        <v>79.56</v>
      </c>
      <c r="K795" s="1">
        <v>45765</v>
      </c>
      <c r="L795" t="s">
        <v>15</v>
      </c>
      <c r="M795" t="s">
        <v>15</v>
      </c>
      <c r="N795">
        <f>salesitems[[#This Row],[quantity]]*salesitems[[#This Row],[unit_price]]</f>
        <v>79.56</v>
      </c>
      <c r="O795" t="str">
        <f>_xlfn.XLOOKUP(salesitems[[#This Row],[product_id]],products[product_id],products[product_name])</f>
        <v>Tailored Linen Shoes</v>
      </c>
      <c r="P795" t="str">
        <f>_xlfn.XLOOKUP(salesitems[[#This Row],[product_id]],fashion_store_products!A:A,fashion_store_products!C:C)</f>
        <v>Shoes</v>
      </c>
    </row>
    <row r="796" spans="1:16" x14ac:dyDescent="0.45">
      <c r="A796">
        <v>236</v>
      </c>
      <c r="B796">
        <v>730</v>
      </c>
      <c r="C796">
        <v>143</v>
      </c>
      <c r="D796">
        <v>2</v>
      </c>
      <c r="E796">
        <v>39.75</v>
      </c>
      <c r="F796">
        <v>39.75</v>
      </c>
      <c r="G796">
        <v>0</v>
      </c>
      <c r="H796" s="2">
        <v>0</v>
      </c>
      <c r="I796">
        <v>0</v>
      </c>
      <c r="J796">
        <v>79.5</v>
      </c>
      <c r="K796" s="1">
        <v>45796</v>
      </c>
      <c r="L796" t="s">
        <v>21</v>
      </c>
      <c r="M796" t="s">
        <v>18</v>
      </c>
      <c r="N796">
        <f>salesitems[[#This Row],[quantity]]*salesitems[[#This Row],[unit_price]]</f>
        <v>79.5</v>
      </c>
      <c r="O796" t="str">
        <f>_xlfn.XLOOKUP(salesitems[[#This Row],[product_id]],products[product_id],products[product_name])</f>
        <v>Classic Satin Set</v>
      </c>
      <c r="P796" t="str">
        <f>_xlfn.XLOOKUP(salesitems[[#This Row],[product_id]],fashion_store_products!A:A,fashion_store_products!C:C)</f>
        <v>Sleepwear</v>
      </c>
    </row>
    <row r="797" spans="1:16" x14ac:dyDescent="0.45">
      <c r="A797">
        <v>2308</v>
      </c>
      <c r="B797">
        <v>408</v>
      </c>
      <c r="C797">
        <v>475</v>
      </c>
      <c r="D797">
        <v>2</v>
      </c>
      <c r="E797">
        <v>39.69</v>
      </c>
      <c r="F797">
        <v>39.69</v>
      </c>
      <c r="G797">
        <v>0</v>
      </c>
      <c r="H797" s="2">
        <v>0</v>
      </c>
      <c r="I797">
        <v>0</v>
      </c>
      <c r="J797">
        <v>79.38</v>
      </c>
      <c r="K797" s="1">
        <v>45781</v>
      </c>
      <c r="L797" t="s">
        <v>21</v>
      </c>
      <c r="M797" t="s">
        <v>18</v>
      </c>
      <c r="N797">
        <f>salesitems[[#This Row],[quantity]]*salesitems[[#This Row],[unit_price]]</f>
        <v>79.38</v>
      </c>
      <c r="O797" t="str">
        <f>_xlfn.XLOOKUP(salesitems[[#This Row],[product_id]],products[product_id],products[product_name])</f>
        <v>Dresses Drop 3</v>
      </c>
      <c r="P797" t="str">
        <f>_xlfn.XLOOKUP(salesitems[[#This Row],[product_id]],fashion_store_products!A:A,fashion_store_products!C:C)</f>
        <v>Dresses</v>
      </c>
    </row>
    <row r="798" spans="1:16" x14ac:dyDescent="0.45">
      <c r="A798">
        <v>3364</v>
      </c>
      <c r="B798">
        <v>808</v>
      </c>
      <c r="C798">
        <v>490</v>
      </c>
      <c r="D798">
        <v>2</v>
      </c>
      <c r="E798">
        <v>39.42</v>
      </c>
      <c r="F798">
        <v>39.42</v>
      </c>
      <c r="G798">
        <v>0</v>
      </c>
      <c r="H798" s="2">
        <v>0</v>
      </c>
      <c r="I798">
        <v>0</v>
      </c>
      <c r="J798">
        <v>78.84</v>
      </c>
      <c r="K798" s="1">
        <v>45774</v>
      </c>
      <c r="L798" t="s">
        <v>21</v>
      </c>
      <c r="M798" t="s">
        <v>18</v>
      </c>
      <c r="N798">
        <f>salesitems[[#This Row],[quantity]]*salesitems[[#This Row],[unit_price]]</f>
        <v>78.84</v>
      </c>
      <c r="O798" t="str">
        <f>_xlfn.XLOOKUP(salesitems[[#This Row],[product_id]],products[product_id],products[product_name])</f>
        <v>Bold Boxy Shoes</v>
      </c>
      <c r="P798" t="str">
        <f>_xlfn.XLOOKUP(salesitems[[#This Row],[product_id]],fashion_store_products!A:A,fashion_store_products!C:C)</f>
        <v>Shoes</v>
      </c>
    </row>
    <row r="799" spans="1:16" x14ac:dyDescent="0.45">
      <c r="A799">
        <v>70</v>
      </c>
      <c r="B799">
        <v>1281</v>
      </c>
      <c r="C799">
        <v>178</v>
      </c>
      <c r="D799">
        <v>2</v>
      </c>
      <c r="E799">
        <v>39.340000000000003</v>
      </c>
      <c r="F799">
        <v>39.340000000000003</v>
      </c>
      <c r="G799">
        <v>0</v>
      </c>
      <c r="H799" s="2">
        <v>0</v>
      </c>
      <c r="I799">
        <v>0</v>
      </c>
      <c r="J799">
        <v>78.680000000000007</v>
      </c>
      <c r="K799" s="1">
        <v>45812</v>
      </c>
      <c r="L799" t="s">
        <v>15</v>
      </c>
      <c r="M799" t="s">
        <v>15</v>
      </c>
      <c r="N799">
        <f>salesitems[[#This Row],[quantity]]*salesitems[[#This Row],[unit_price]]</f>
        <v>78.680000000000007</v>
      </c>
      <c r="O799" t="str">
        <f>_xlfn.XLOOKUP(salesitems[[#This Row],[product_id]],products[product_id],products[product_name])</f>
        <v>Classic Boxy Trousers</v>
      </c>
      <c r="P799" t="str">
        <f>_xlfn.XLOOKUP(salesitems[[#This Row],[product_id]],fashion_store_products!A:A,fashion_store_products!C:C)</f>
        <v>Pants</v>
      </c>
    </row>
    <row r="800" spans="1:16" x14ac:dyDescent="0.45">
      <c r="A800">
        <v>1055</v>
      </c>
      <c r="B800">
        <v>293</v>
      </c>
      <c r="C800">
        <v>178</v>
      </c>
      <c r="D800">
        <v>2</v>
      </c>
      <c r="E800">
        <v>39.340000000000003</v>
      </c>
      <c r="F800">
        <v>39.340000000000003</v>
      </c>
      <c r="G800">
        <v>0</v>
      </c>
      <c r="H800" s="2">
        <v>0</v>
      </c>
      <c r="I800">
        <v>0</v>
      </c>
      <c r="J800">
        <v>78.680000000000007</v>
      </c>
      <c r="K800" s="1">
        <v>45781</v>
      </c>
      <c r="L800" t="s">
        <v>21</v>
      </c>
      <c r="M800" t="s">
        <v>18</v>
      </c>
      <c r="N800">
        <f>salesitems[[#This Row],[quantity]]*salesitems[[#This Row],[unit_price]]</f>
        <v>78.680000000000007</v>
      </c>
      <c r="O800" t="str">
        <f>_xlfn.XLOOKUP(salesitems[[#This Row],[product_id]],products[product_id],products[product_name])</f>
        <v>Classic Boxy Trousers</v>
      </c>
      <c r="P800" t="str">
        <f>_xlfn.XLOOKUP(salesitems[[#This Row],[product_id]],fashion_store_products!A:A,fashion_store_products!C:C)</f>
        <v>Pants</v>
      </c>
    </row>
    <row r="801" spans="1:16" x14ac:dyDescent="0.45">
      <c r="A801">
        <v>3231</v>
      </c>
      <c r="B801">
        <v>245</v>
      </c>
      <c r="C801">
        <v>178</v>
      </c>
      <c r="D801">
        <v>2</v>
      </c>
      <c r="E801">
        <v>39.340000000000003</v>
      </c>
      <c r="F801">
        <v>39.340000000000003</v>
      </c>
      <c r="G801">
        <v>0</v>
      </c>
      <c r="H801" s="2">
        <v>0</v>
      </c>
      <c r="I801">
        <v>0</v>
      </c>
      <c r="J801">
        <v>78.680000000000007</v>
      </c>
      <c r="K801" s="1">
        <v>45806</v>
      </c>
      <c r="L801" t="s">
        <v>21</v>
      </c>
      <c r="M801" t="s">
        <v>18</v>
      </c>
      <c r="N801">
        <f>salesitems[[#This Row],[quantity]]*salesitems[[#This Row],[unit_price]]</f>
        <v>78.680000000000007</v>
      </c>
      <c r="O801" t="str">
        <f>_xlfn.XLOOKUP(salesitems[[#This Row],[product_id]],products[product_id],products[product_name])</f>
        <v>Classic Boxy Trousers</v>
      </c>
      <c r="P801" t="str">
        <f>_xlfn.XLOOKUP(salesitems[[#This Row],[product_id]],fashion_store_products!A:A,fashion_store_products!C:C)</f>
        <v>Pants</v>
      </c>
    </row>
    <row r="802" spans="1:16" x14ac:dyDescent="0.45">
      <c r="A802">
        <v>3162</v>
      </c>
      <c r="B802">
        <v>371</v>
      </c>
      <c r="C802">
        <v>467</v>
      </c>
      <c r="D802">
        <v>2</v>
      </c>
      <c r="E802">
        <v>39.22</v>
      </c>
      <c r="F802">
        <v>39.22</v>
      </c>
      <c r="G802">
        <v>0</v>
      </c>
      <c r="H802" s="2">
        <v>0</v>
      </c>
      <c r="I802">
        <v>0</v>
      </c>
      <c r="J802">
        <v>78.44</v>
      </c>
      <c r="K802" s="1">
        <v>45767</v>
      </c>
      <c r="L802" t="s">
        <v>21</v>
      </c>
      <c r="M802" t="s">
        <v>18</v>
      </c>
      <c r="N802">
        <f>salesitems[[#This Row],[quantity]]*salesitems[[#This Row],[unit_price]]</f>
        <v>78.44</v>
      </c>
      <c r="O802" t="str">
        <f>_xlfn.XLOOKUP(salesitems[[#This Row],[product_id]],products[product_id],products[product_name])</f>
        <v>Tailored Cotton Trousers</v>
      </c>
      <c r="P802" t="str">
        <f>_xlfn.XLOOKUP(salesitems[[#This Row],[product_id]],fashion_store_products!A:A,fashion_store_products!C:C)</f>
        <v>Pants</v>
      </c>
    </row>
    <row r="803" spans="1:16" x14ac:dyDescent="0.45">
      <c r="A803">
        <v>1512</v>
      </c>
      <c r="B803">
        <v>1158</v>
      </c>
      <c r="C803">
        <v>204</v>
      </c>
      <c r="D803">
        <v>2</v>
      </c>
      <c r="E803">
        <v>39.200000000000003</v>
      </c>
      <c r="F803">
        <v>39.200000000000003</v>
      </c>
      <c r="G803">
        <v>0</v>
      </c>
      <c r="H803" s="2">
        <v>0</v>
      </c>
      <c r="I803">
        <v>0</v>
      </c>
      <c r="J803">
        <v>78.400000000000006</v>
      </c>
      <c r="K803" s="1">
        <v>45776</v>
      </c>
      <c r="L803" t="s">
        <v>21</v>
      </c>
      <c r="M803" t="s">
        <v>18</v>
      </c>
      <c r="N803">
        <f>salesitems[[#This Row],[quantity]]*salesitems[[#This Row],[unit_price]]</f>
        <v>78.400000000000006</v>
      </c>
      <c r="O803" t="str">
        <f>_xlfn.XLOOKUP(salesitems[[#This Row],[product_id]],products[product_id],products[product_name])</f>
        <v>Polished Boxy Dress</v>
      </c>
      <c r="P803" t="str">
        <f>_xlfn.XLOOKUP(salesitems[[#This Row],[product_id]],fashion_store_products!A:A,fashion_store_products!C:C)</f>
        <v>Dresses</v>
      </c>
    </row>
    <row r="804" spans="1:16" x14ac:dyDescent="0.45">
      <c r="A804">
        <v>1673</v>
      </c>
      <c r="B804">
        <v>102</v>
      </c>
      <c r="C804">
        <v>204</v>
      </c>
      <c r="D804">
        <v>2</v>
      </c>
      <c r="E804">
        <v>39.200000000000003</v>
      </c>
      <c r="F804">
        <v>39.200000000000003</v>
      </c>
      <c r="G804">
        <v>0</v>
      </c>
      <c r="H804" s="2">
        <v>0</v>
      </c>
      <c r="I804">
        <v>0</v>
      </c>
      <c r="J804">
        <v>78.400000000000006</v>
      </c>
      <c r="K804" s="1">
        <v>45822</v>
      </c>
      <c r="L804" t="s">
        <v>15</v>
      </c>
      <c r="M804" t="s">
        <v>15</v>
      </c>
      <c r="N804">
        <f>salesitems[[#This Row],[quantity]]*salesitems[[#This Row],[unit_price]]</f>
        <v>78.400000000000006</v>
      </c>
      <c r="O804" t="str">
        <f>_xlfn.XLOOKUP(salesitems[[#This Row],[product_id]],products[product_id],products[product_name])</f>
        <v>Polished Boxy Dress</v>
      </c>
      <c r="P804" t="str">
        <f>_xlfn.XLOOKUP(salesitems[[#This Row],[product_id]],fashion_store_products!A:A,fashion_store_products!C:C)</f>
        <v>Dresses</v>
      </c>
    </row>
    <row r="805" spans="1:16" x14ac:dyDescent="0.45">
      <c r="A805">
        <v>1920</v>
      </c>
      <c r="B805">
        <v>1257</v>
      </c>
      <c r="C805">
        <v>204</v>
      </c>
      <c r="D805">
        <v>2</v>
      </c>
      <c r="E805">
        <v>39.200000000000003</v>
      </c>
      <c r="F805">
        <v>39.200000000000003</v>
      </c>
      <c r="G805">
        <v>0</v>
      </c>
      <c r="H805" s="2">
        <v>0</v>
      </c>
      <c r="I805">
        <v>0</v>
      </c>
      <c r="J805">
        <v>78.400000000000006</v>
      </c>
      <c r="K805" s="1">
        <v>45804</v>
      </c>
      <c r="L805" t="s">
        <v>21</v>
      </c>
      <c r="M805" t="s">
        <v>18</v>
      </c>
      <c r="N805">
        <f>salesitems[[#This Row],[quantity]]*salesitems[[#This Row],[unit_price]]</f>
        <v>78.400000000000006</v>
      </c>
      <c r="O805" t="str">
        <f>_xlfn.XLOOKUP(salesitems[[#This Row],[product_id]],products[product_id],products[product_name])</f>
        <v>Polished Boxy Dress</v>
      </c>
      <c r="P805" t="str">
        <f>_xlfn.XLOOKUP(salesitems[[#This Row],[product_id]],fashion_store_products!A:A,fashion_store_products!C:C)</f>
        <v>Dresses</v>
      </c>
    </row>
    <row r="806" spans="1:16" x14ac:dyDescent="0.45">
      <c r="A806">
        <v>1204</v>
      </c>
      <c r="B806">
        <v>441</v>
      </c>
      <c r="C806">
        <v>93</v>
      </c>
      <c r="D806">
        <v>2</v>
      </c>
      <c r="E806">
        <v>39.18</v>
      </c>
      <c r="F806">
        <v>39.18</v>
      </c>
      <c r="G806">
        <v>0</v>
      </c>
      <c r="H806" s="2">
        <v>0</v>
      </c>
      <c r="I806">
        <v>0</v>
      </c>
      <c r="J806">
        <v>78.36</v>
      </c>
      <c r="K806" s="1">
        <v>45775</v>
      </c>
      <c r="L806" t="s">
        <v>21</v>
      </c>
      <c r="M806" t="s">
        <v>18</v>
      </c>
      <c r="N806">
        <f>salesitems[[#This Row],[quantity]]*salesitems[[#This Row],[unit_price]]</f>
        <v>78.36</v>
      </c>
      <c r="O806" t="str">
        <f>_xlfn.XLOOKUP(salesitems[[#This Row],[product_id]],products[product_id],products[product_name])</f>
        <v>Modern Silk Trousers</v>
      </c>
      <c r="P806" t="str">
        <f>_xlfn.XLOOKUP(salesitems[[#This Row],[product_id]],fashion_store_products!A:A,fashion_store_products!C:C)</f>
        <v>Pants</v>
      </c>
    </row>
    <row r="807" spans="1:16" x14ac:dyDescent="0.45">
      <c r="A807">
        <v>1344</v>
      </c>
      <c r="B807">
        <v>1327</v>
      </c>
      <c r="C807">
        <v>113</v>
      </c>
      <c r="D807">
        <v>2</v>
      </c>
      <c r="E807">
        <v>39.18</v>
      </c>
      <c r="F807">
        <v>39.18</v>
      </c>
      <c r="G807">
        <v>0</v>
      </c>
      <c r="H807" s="2">
        <v>0</v>
      </c>
      <c r="I807">
        <v>0</v>
      </c>
      <c r="J807">
        <v>78.36</v>
      </c>
      <c r="K807" s="1">
        <v>45766</v>
      </c>
      <c r="L807" t="s">
        <v>21</v>
      </c>
      <c r="M807" t="s">
        <v>18</v>
      </c>
      <c r="N807">
        <f>salesitems[[#This Row],[quantity]]*salesitems[[#This Row],[unit_price]]</f>
        <v>78.36</v>
      </c>
      <c r="O807" t="str">
        <f>_xlfn.XLOOKUP(salesitems[[#This Row],[product_id]],products[product_id],products[product_name])</f>
        <v>Classic Boxy Dress</v>
      </c>
      <c r="P807" t="str">
        <f>_xlfn.XLOOKUP(salesitems[[#This Row],[product_id]],fashion_store_products!A:A,fashion_store_products!C:C)</f>
        <v>Dresses</v>
      </c>
    </row>
    <row r="808" spans="1:16" x14ac:dyDescent="0.45">
      <c r="A808">
        <v>1423</v>
      </c>
      <c r="B808">
        <v>706</v>
      </c>
      <c r="C808">
        <v>93</v>
      </c>
      <c r="D808">
        <v>2</v>
      </c>
      <c r="E808">
        <v>39.18</v>
      </c>
      <c r="F808">
        <v>39.18</v>
      </c>
      <c r="G808">
        <v>0</v>
      </c>
      <c r="H808" s="2">
        <v>0</v>
      </c>
      <c r="I808">
        <v>0</v>
      </c>
      <c r="J808">
        <v>78.36</v>
      </c>
      <c r="K808" s="1">
        <v>45782</v>
      </c>
      <c r="L808" t="s">
        <v>15</v>
      </c>
      <c r="M808" t="s">
        <v>15</v>
      </c>
      <c r="N808">
        <f>salesitems[[#This Row],[quantity]]*salesitems[[#This Row],[unit_price]]</f>
        <v>78.36</v>
      </c>
      <c r="O808" t="str">
        <f>_xlfn.XLOOKUP(salesitems[[#This Row],[product_id]],products[product_id],products[product_name])</f>
        <v>Modern Silk Trousers</v>
      </c>
      <c r="P808" t="str">
        <f>_xlfn.XLOOKUP(salesitems[[#This Row],[product_id]],fashion_store_products!A:A,fashion_store_products!C:C)</f>
        <v>Pants</v>
      </c>
    </row>
    <row r="809" spans="1:16" x14ac:dyDescent="0.45">
      <c r="A809">
        <v>286</v>
      </c>
      <c r="B809">
        <v>94</v>
      </c>
      <c r="C809">
        <v>141</v>
      </c>
      <c r="D809">
        <v>2</v>
      </c>
      <c r="E809">
        <v>39.159999999999997</v>
      </c>
      <c r="F809">
        <v>39.159999999999997</v>
      </c>
      <c r="G809">
        <v>0</v>
      </c>
      <c r="H809" s="2">
        <v>0</v>
      </c>
      <c r="I809">
        <v>0</v>
      </c>
      <c r="J809">
        <v>78.319999999999993</v>
      </c>
      <c r="K809" s="1">
        <v>45760</v>
      </c>
      <c r="L809" t="s">
        <v>21</v>
      </c>
      <c r="M809" t="s">
        <v>18</v>
      </c>
      <c r="N809">
        <f>salesitems[[#This Row],[quantity]]*salesitems[[#This Row],[unit_price]]</f>
        <v>78.319999999999993</v>
      </c>
      <c r="O809" t="str">
        <f>_xlfn.XLOOKUP(salesitems[[#This Row],[product_id]],products[product_id],products[product_name])</f>
        <v>Vintage Cotton Dress</v>
      </c>
      <c r="P809" t="str">
        <f>_xlfn.XLOOKUP(salesitems[[#This Row],[product_id]],fashion_store_products!A:A,fashion_store_products!C:C)</f>
        <v>Dresses</v>
      </c>
    </row>
    <row r="810" spans="1:16" x14ac:dyDescent="0.45">
      <c r="A810">
        <v>2872</v>
      </c>
      <c r="B810">
        <v>156</v>
      </c>
      <c r="C810">
        <v>141</v>
      </c>
      <c r="D810">
        <v>2</v>
      </c>
      <c r="E810">
        <v>39.159999999999997</v>
      </c>
      <c r="F810">
        <v>39.159999999999997</v>
      </c>
      <c r="G810">
        <v>0</v>
      </c>
      <c r="H810" s="2">
        <v>0</v>
      </c>
      <c r="I810">
        <v>0</v>
      </c>
      <c r="J810">
        <v>78.319999999999993</v>
      </c>
      <c r="K810" s="1">
        <v>45801</v>
      </c>
      <c r="L810" t="s">
        <v>21</v>
      </c>
      <c r="M810" t="s">
        <v>18</v>
      </c>
      <c r="N810">
        <f>salesitems[[#This Row],[quantity]]*salesitems[[#This Row],[unit_price]]</f>
        <v>78.319999999999993</v>
      </c>
      <c r="O810" t="str">
        <f>_xlfn.XLOOKUP(salesitems[[#This Row],[product_id]],products[product_id],products[product_name])</f>
        <v>Vintage Cotton Dress</v>
      </c>
      <c r="P810" t="str">
        <f>_xlfn.XLOOKUP(salesitems[[#This Row],[product_id]],fashion_store_products!A:A,fashion_store_products!C:C)</f>
        <v>Dresses</v>
      </c>
    </row>
    <row r="811" spans="1:16" x14ac:dyDescent="0.45">
      <c r="A811">
        <v>1615</v>
      </c>
      <c r="B811">
        <v>1273</v>
      </c>
      <c r="C811">
        <v>456</v>
      </c>
      <c r="D811">
        <v>2</v>
      </c>
      <c r="E811">
        <v>39.090000000000003</v>
      </c>
      <c r="F811">
        <v>39.090000000000003</v>
      </c>
      <c r="G811">
        <v>0</v>
      </c>
      <c r="H811" s="2">
        <v>0</v>
      </c>
      <c r="I811">
        <v>0</v>
      </c>
      <c r="J811">
        <v>78.180000000000007</v>
      </c>
      <c r="K811" s="1">
        <v>45801</v>
      </c>
      <c r="L811" t="s">
        <v>15</v>
      </c>
      <c r="M811" t="s">
        <v>15</v>
      </c>
      <c r="N811">
        <f>salesitems[[#This Row],[quantity]]*salesitems[[#This Row],[unit_price]]</f>
        <v>78.180000000000007</v>
      </c>
      <c r="O811" t="str">
        <f>_xlfn.XLOOKUP(salesitems[[#This Row],[product_id]],products[product_id],products[product_name])</f>
        <v>Bold Sleeveless Dress</v>
      </c>
      <c r="P811" t="str">
        <f>_xlfn.XLOOKUP(salesitems[[#This Row],[product_id]],fashion_store_products!A:A,fashion_store_products!C:C)</f>
        <v>Dresses</v>
      </c>
    </row>
    <row r="812" spans="1:16" x14ac:dyDescent="0.45">
      <c r="A812">
        <v>2003</v>
      </c>
      <c r="B812">
        <v>248</v>
      </c>
      <c r="C812">
        <v>96</v>
      </c>
      <c r="D812">
        <v>2</v>
      </c>
      <c r="E812">
        <v>39.03</v>
      </c>
      <c r="F812">
        <v>39.03</v>
      </c>
      <c r="G812">
        <v>0</v>
      </c>
      <c r="H812" s="2">
        <v>0</v>
      </c>
      <c r="I812">
        <v>0</v>
      </c>
      <c r="J812">
        <v>78.06</v>
      </c>
      <c r="K812" s="1">
        <v>45770</v>
      </c>
      <c r="L812" t="s">
        <v>15</v>
      </c>
      <c r="M812" t="s">
        <v>15</v>
      </c>
      <c r="N812">
        <f>salesitems[[#This Row],[quantity]]*salesitems[[#This Row],[unit_price]]</f>
        <v>78.06</v>
      </c>
      <c r="O812" t="str">
        <f>_xlfn.XLOOKUP(salesitems[[#This Row],[product_id]],products[product_id],products[product_name])</f>
        <v>Modern High-Waist Tee</v>
      </c>
      <c r="P812" t="str">
        <f>_xlfn.XLOOKUP(salesitems[[#This Row],[product_id]],fashion_store_products!A:A,fashion_store_products!C:C)</f>
        <v>T-Shirts</v>
      </c>
    </row>
    <row r="813" spans="1:16" x14ac:dyDescent="0.45">
      <c r="A813">
        <v>3255</v>
      </c>
      <c r="B813">
        <v>686</v>
      </c>
      <c r="C813">
        <v>180</v>
      </c>
      <c r="D813">
        <v>2</v>
      </c>
      <c r="E813">
        <v>38.81</v>
      </c>
      <c r="F813">
        <v>38.81</v>
      </c>
      <c r="G813">
        <v>0</v>
      </c>
      <c r="H813" s="2">
        <v>0</v>
      </c>
      <c r="I813">
        <v>0</v>
      </c>
      <c r="J813">
        <v>77.62</v>
      </c>
      <c r="K813" s="1">
        <v>45807</v>
      </c>
      <c r="L813" t="s">
        <v>21</v>
      </c>
      <c r="M813" t="s">
        <v>18</v>
      </c>
      <c r="N813">
        <f>salesitems[[#This Row],[quantity]]*salesitems[[#This Row],[unit_price]]</f>
        <v>77.62</v>
      </c>
      <c r="O813" t="str">
        <f>_xlfn.XLOOKUP(salesitems[[#This Row],[product_id]],products[product_id],products[product_name])</f>
        <v>Vintage Sleeveless Shoes</v>
      </c>
      <c r="P813" t="str">
        <f>_xlfn.XLOOKUP(salesitems[[#This Row],[product_id]],fashion_store_products!A:A,fashion_store_products!C:C)</f>
        <v>Shoes</v>
      </c>
    </row>
    <row r="814" spans="1:16" x14ac:dyDescent="0.45">
      <c r="A814">
        <v>3228</v>
      </c>
      <c r="B814">
        <v>575</v>
      </c>
      <c r="C814">
        <v>438</v>
      </c>
      <c r="D814">
        <v>2</v>
      </c>
      <c r="E814">
        <v>38.74</v>
      </c>
      <c r="F814">
        <v>38.74</v>
      </c>
      <c r="G814">
        <v>0</v>
      </c>
      <c r="H814" s="2">
        <v>0</v>
      </c>
      <c r="I814">
        <v>0</v>
      </c>
      <c r="J814">
        <v>77.48</v>
      </c>
      <c r="K814" s="1">
        <v>45774</v>
      </c>
      <c r="L814" t="s">
        <v>15</v>
      </c>
      <c r="M814" t="s">
        <v>15</v>
      </c>
      <c r="N814">
        <f>salesitems[[#This Row],[quantity]]*salesitems[[#This Row],[unit_price]]</f>
        <v>77.48</v>
      </c>
      <c r="O814" t="str">
        <f>_xlfn.XLOOKUP(salesitems[[#This Row],[product_id]],products[product_id],products[product_name])</f>
        <v>Bold Wrap Dress</v>
      </c>
      <c r="P814" t="str">
        <f>_xlfn.XLOOKUP(salesitems[[#This Row],[product_id]],fashion_store_products!A:A,fashion_store_products!C:C)</f>
        <v>Dresses</v>
      </c>
    </row>
    <row r="815" spans="1:16" x14ac:dyDescent="0.45">
      <c r="A815">
        <v>349</v>
      </c>
      <c r="B815">
        <v>1280</v>
      </c>
      <c r="C815">
        <v>233</v>
      </c>
      <c r="D815">
        <v>2</v>
      </c>
      <c r="E815">
        <v>38.68</v>
      </c>
      <c r="F815">
        <v>38.68</v>
      </c>
      <c r="G815">
        <v>0</v>
      </c>
      <c r="H815" s="2">
        <v>0</v>
      </c>
      <c r="I815">
        <v>0</v>
      </c>
      <c r="J815">
        <v>77.36</v>
      </c>
      <c r="K815" s="1">
        <v>45770</v>
      </c>
      <c r="L815" t="s">
        <v>15</v>
      </c>
      <c r="M815" t="s">
        <v>15</v>
      </c>
      <c r="N815">
        <f>salesitems[[#This Row],[quantity]]*salesitems[[#This Row],[unit_price]]</f>
        <v>77.36</v>
      </c>
      <c r="O815" t="str">
        <f>_xlfn.XLOOKUP(salesitems[[#This Row],[product_id]],products[product_id],products[product_name])</f>
        <v>Relaxed Wrap Shoes</v>
      </c>
      <c r="P815" t="str">
        <f>_xlfn.XLOOKUP(salesitems[[#This Row],[product_id]],fashion_store_products!A:A,fashion_store_products!C:C)</f>
        <v>Shoes</v>
      </c>
    </row>
    <row r="816" spans="1:16" x14ac:dyDescent="0.45">
      <c r="A816">
        <v>436</v>
      </c>
      <c r="B816">
        <v>167</v>
      </c>
      <c r="C816">
        <v>233</v>
      </c>
      <c r="D816">
        <v>2</v>
      </c>
      <c r="E816">
        <v>38.68</v>
      </c>
      <c r="F816">
        <v>38.68</v>
      </c>
      <c r="G816">
        <v>0</v>
      </c>
      <c r="H816" s="2">
        <v>0</v>
      </c>
      <c r="I816">
        <v>0</v>
      </c>
      <c r="J816">
        <v>77.36</v>
      </c>
      <c r="K816" s="1">
        <v>45795</v>
      </c>
      <c r="L816" t="s">
        <v>21</v>
      </c>
      <c r="M816" t="s">
        <v>18</v>
      </c>
      <c r="N816">
        <f>salesitems[[#This Row],[quantity]]*salesitems[[#This Row],[unit_price]]</f>
        <v>77.36</v>
      </c>
      <c r="O816" t="str">
        <f>_xlfn.XLOOKUP(salesitems[[#This Row],[product_id]],products[product_id],products[product_name])</f>
        <v>Relaxed Wrap Shoes</v>
      </c>
      <c r="P816" t="str">
        <f>_xlfn.XLOOKUP(salesitems[[#This Row],[product_id]],fashion_store_products!A:A,fashion_store_products!C:C)</f>
        <v>Shoes</v>
      </c>
    </row>
    <row r="817" spans="1:16" x14ac:dyDescent="0.45">
      <c r="A817">
        <v>2902</v>
      </c>
      <c r="B817">
        <v>1059</v>
      </c>
      <c r="C817">
        <v>446</v>
      </c>
      <c r="D817">
        <v>2</v>
      </c>
      <c r="E817">
        <v>55.14</v>
      </c>
      <c r="F817">
        <v>38.6</v>
      </c>
      <c r="G817">
        <v>16.54</v>
      </c>
      <c r="H817" s="2">
        <v>0.3</v>
      </c>
      <c r="I817">
        <v>1</v>
      </c>
      <c r="J817">
        <v>77.2</v>
      </c>
      <c r="K817" s="1">
        <v>45795</v>
      </c>
      <c r="L817" t="s">
        <v>15</v>
      </c>
      <c r="M817" t="s">
        <v>11</v>
      </c>
      <c r="N817">
        <f>salesitems[[#This Row],[quantity]]*salesitems[[#This Row],[unit_price]]</f>
        <v>77.2</v>
      </c>
      <c r="O817" t="str">
        <f>_xlfn.XLOOKUP(salesitems[[#This Row],[product_id]],products[product_id],products[product_name])</f>
        <v>Bold Cotton Tee</v>
      </c>
      <c r="P817" t="str">
        <f>_xlfn.XLOOKUP(salesitems[[#This Row],[product_id]],fashion_store_products!A:A,fashion_store_products!C:C)</f>
        <v>T-Shirts</v>
      </c>
    </row>
    <row r="818" spans="1:16" x14ac:dyDescent="0.45">
      <c r="A818">
        <v>1475</v>
      </c>
      <c r="B818">
        <v>1185</v>
      </c>
      <c r="C818">
        <v>417</v>
      </c>
      <c r="D818">
        <v>2</v>
      </c>
      <c r="E818">
        <v>38.42</v>
      </c>
      <c r="F818">
        <v>38.42</v>
      </c>
      <c r="G818">
        <v>0</v>
      </c>
      <c r="H818" s="2">
        <v>0</v>
      </c>
      <c r="I818">
        <v>0</v>
      </c>
      <c r="J818">
        <v>76.84</v>
      </c>
      <c r="K818" s="1">
        <v>45782</v>
      </c>
      <c r="L818" t="s">
        <v>21</v>
      </c>
      <c r="M818" t="s">
        <v>18</v>
      </c>
      <c r="N818">
        <f>salesitems[[#This Row],[quantity]]*salesitems[[#This Row],[unit_price]]</f>
        <v>76.84</v>
      </c>
      <c r="O818" t="str">
        <f>_xlfn.XLOOKUP(salesitems[[#This Row],[product_id]],products[product_id],products[product_name])</f>
        <v>Elegant Silk Shoes</v>
      </c>
      <c r="P818" t="str">
        <f>_xlfn.XLOOKUP(salesitems[[#This Row],[product_id]],fashion_store_products!A:A,fashion_store_products!C:C)</f>
        <v>Shoes</v>
      </c>
    </row>
    <row r="819" spans="1:16" x14ac:dyDescent="0.45">
      <c r="A819">
        <v>397</v>
      </c>
      <c r="B819">
        <v>279</v>
      </c>
      <c r="C819">
        <v>256</v>
      </c>
      <c r="D819">
        <v>2</v>
      </c>
      <c r="E819">
        <v>38.409999999999997</v>
      </c>
      <c r="F819">
        <v>38.409999999999997</v>
      </c>
      <c r="G819">
        <v>0</v>
      </c>
      <c r="H819" s="2">
        <v>0</v>
      </c>
      <c r="I819">
        <v>0</v>
      </c>
      <c r="J819">
        <v>76.819999999999993</v>
      </c>
      <c r="K819" s="1">
        <v>45824</v>
      </c>
      <c r="L819" t="s">
        <v>21</v>
      </c>
      <c r="M819" t="s">
        <v>18</v>
      </c>
      <c r="N819">
        <f>salesitems[[#This Row],[quantity]]*salesitems[[#This Row],[unit_price]]</f>
        <v>76.819999999999993</v>
      </c>
      <c r="O819" t="str">
        <f>_xlfn.XLOOKUP(salesitems[[#This Row],[product_id]],products[product_id],products[product_name])</f>
        <v>Polished Crew Set</v>
      </c>
      <c r="P819" t="str">
        <f>_xlfn.XLOOKUP(salesitems[[#This Row],[product_id]],fashion_store_products!A:A,fashion_store_products!C:C)</f>
        <v>Sleepwear</v>
      </c>
    </row>
    <row r="820" spans="1:16" x14ac:dyDescent="0.45">
      <c r="A820">
        <v>2364</v>
      </c>
      <c r="B820">
        <v>1071</v>
      </c>
      <c r="C820">
        <v>498</v>
      </c>
      <c r="D820">
        <v>2</v>
      </c>
      <c r="E820">
        <v>38.33</v>
      </c>
      <c r="F820">
        <v>38.33</v>
      </c>
      <c r="G820">
        <v>0</v>
      </c>
      <c r="H820" s="2">
        <v>0</v>
      </c>
      <c r="I820">
        <v>0</v>
      </c>
      <c r="J820">
        <v>76.66</v>
      </c>
      <c r="K820" s="1">
        <v>45783</v>
      </c>
      <c r="L820" t="s">
        <v>15</v>
      </c>
      <c r="M820" t="s">
        <v>15</v>
      </c>
      <c r="N820">
        <f>salesitems[[#This Row],[quantity]]*salesitems[[#This Row],[unit_price]]</f>
        <v>76.66</v>
      </c>
      <c r="O820" t="str">
        <f>_xlfn.XLOOKUP(salesitems[[#This Row],[product_id]],products[product_id],products[product_name])</f>
        <v>T-Shirts Drop 8</v>
      </c>
      <c r="P820" t="str">
        <f>_xlfn.XLOOKUP(salesitems[[#This Row],[product_id]],fashion_store_products!A:A,fashion_store_products!C:C)</f>
        <v>T-Shirts</v>
      </c>
    </row>
    <row r="821" spans="1:16" x14ac:dyDescent="0.45">
      <c r="A821">
        <v>134</v>
      </c>
      <c r="B821">
        <v>816</v>
      </c>
      <c r="C821">
        <v>496</v>
      </c>
      <c r="D821">
        <v>2</v>
      </c>
      <c r="E821">
        <v>54.61</v>
      </c>
      <c r="F821">
        <v>38.229999999999997</v>
      </c>
      <c r="G821">
        <v>16.38</v>
      </c>
      <c r="H821" s="2">
        <v>0.3</v>
      </c>
      <c r="I821">
        <v>1</v>
      </c>
      <c r="J821">
        <v>76.45</v>
      </c>
      <c r="K821" s="1">
        <v>45792</v>
      </c>
      <c r="L821" t="s">
        <v>15</v>
      </c>
      <c r="M821" t="s">
        <v>11</v>
      </c>
      <c r="N821">
        <f>salesitems[[#This Row],[quantity]]*salesitems[[#This Row],[unit_price]]</f>
        <v>76.459999999999994</v>
      </c>
      <c r="O821" t="str">
        <f>_xlfn.XLOOKUP(salesitems[[#This Row],[product_id]],products[product_id],products[product_name])</f>
        <v>Tailored High-Waist Trousers</v>
      </c>
      <c r="P821" t="str">
        <f>_xlfn.XLOOKUP(salesitems[[#This Row],[product_id]],fashion_store_products!A:A,fashion_store_products!C:C)</f>
        <v>Pants</v>
      </c>
    </row>
    <row r="822" spans="1:16" x14ac:dyDescent="0.45">
      <c r="A822">
        <v>2399</v>
      </c>
      <c r="B822">
        <v>333</v>
      </c>
      <c r="C822">
        <v>240</v>
      </c>
      <c r="D822">
        <v>2</v>
      </c>
      <c r="E822">
        <v>38.14</v>
      </c>
      <c r="F822">
        <v>38.14</v>
      </c>
      <c r="G822">
        <v>0</v>
      </c>
      <c r="H822" s="2">
        <v>0</v>
      </c>
      <c r="I822">
        <v>0</v>
      </c>
      <c r="J822">
        <v>76.28</v>
      </c>
      <c r="K822" s="1">
        <v>45799</v>
      </c>
      <c r="L822" t="s">
        <v>21</v>
      </c>
      <c r="M822" t="s">
        <v>18</v>
      </c>
      <c r="N822">
        <f>salesitems[[#This Row],[quantity]]*salesitems[[#This Row],[unit_price]]</f>
        <v>76.28</v>
      </c>
      <c r="O822" t="str">
        <f>_xlfn.XLOOKUP(salesitems[[#This Row],[product_id]],products[product_id],products[product_name])</f>
        <v>Polished Linen Trousers</v>
      </c>
      <c r="P822" t="str">
        <f>_xlfn.XLOOKUP(salesitems[[#This Row],[product_id]],fashion_store_products!A:A,fashion_store_products!C:C)</f>
        <v>Pants</v>
      </c>
    </row>
    <row r="823" spans="1:16" x14ac:dyDescent="0.45">
      <c r="A823">
        <v>3211</v>
      </c>
      <c r="B823">
        <v>67</v>
      </c>
      <c r="C823">
        <v>240</v>
      </c>
      <c r="D823">
        <v>2</v>
      </c>
      <c r="E823">
        <v>38.14</v>
      </c>
      <c r="F823">
        <v>38.14</v>
      </c>
      <c r="G823">
        <v>0</v>
      </c>
      <c r="H823" s="2">
        <v>0</v>
      </c>
      <c r="I823">
        <v>0</v>
      </c>
      <c r="J823">
        <v>76.28</v>
      </c>
      <c r="K823" s="1">
        <v>45751</v>
      </c>
      <c r="L823" t="s">
        <v>15</v>
      </c>
      <c r="M823" t="s">
        <v>15</v>
      </c>
      <c r="N823">
        <f>salesitems[[#This Row],[quantity]]*salesitems[[#This Row],[unit_price]]</f>
        <v>76.28</v>
      </c>
      <c r="O823" t="str">
        <f>_xlfn.XLOOKUP(salesitems[[#This Row],[product_id]],products[product_id],products[product_name])</f>
        <v>Polished Linen Trousers</v>
      </c>
      <c r="P823" t="str">
        <f>_xlfn.XLOOKUP(salesitems[[#This Row],[product_id]],fashion_store_products!A:A,fashion_store_products!C:C)</f>
        <v>Pants</v>
      </c>
    </row>
    <row r="824" spans="1:16" x14ac:dyDescent="0.45">
      <c r="A824">
        <v>2683</v>
      </c>
      <c r="B824">
        <v>876</v>
      </c>
      <c r="C824">
        <v>387</v>
      </c>
      <c r="D824">
        <v>2</v>
      </c>
      <c r="E824">
        <v>38.06</v>
      </c>
      <c r="F824">
        <v>38.06</v>
      </c>
      <c r="G824">
        <v>0</v>
      </c>
      <c r="H824" s="2">
        <v>0</v>
      </c>
      <c r="I824">
        <v>0</v>
      </c>
      <c r="J824">
        <v>76.12</v>
      </c>
      <c r="K824" s="1">
        <v>45770</v>
      </c>
      <c r="L824" t="s">
        <v>15</v>
      </c>
      <c r="M824" t="s">
        <v>15</v>
      </c>
      <c r="N824">
        <f>salesitems[[#This Row],[quantity]]*salesitems[[#This Row],[unit_price]]</f>
        <v>76.12</v>
      </c>
      <c r="O824" t="str">
        <f>_xlfn.XLOOKUP(salesitems[[#This Row],[product_id]],products[product_id],products[product_name])</f>
        <v>Tailored High-Waist Set</v>
      </c>
      <c r="P824" t="str">
        <f>_xlfn.XLOOKUP(salesitems[[#This Row],[product_id]],fashion_store_products!A:A,fashion_store_products!C:C)</f>
        <v>Sleepwear</v>
      </c>
    </row>
    <row r="825" spans="1:16" x14ac:dyDescent="0.45">
      <c r="A825">
        <v>162</v>
      </c>
      <c r="B825">
        <v>292</v>
      </c>
      <c r="C825">
        <v>500</v>
      </c>
      <c r="D825">
        <v>2</v>
      </c>
      <c r="E825">
        <v>38.03</v>
      </c>
      <c r="F825">
        <v>38.03</v>
      </c>
      <c r="G825">
        <v>0</v>
      </c>
      <c r="H825" s="2">
        <v>0</v>
      </c>
      <c r="I825">
        <v>0</v>
      </c>
      <c r="J825">
        <v>76.06</v>
      </c>
      <c r="K825" s="1">
        <v>45777</v>
      </c>
      <c r="L825" t="s">
        <v>15</v>
      </c>
      <c r="M825" t="s">
        <v>15</v>
      </c>
      <c r="N825">
        <f>salesitems[[#This Row],[quantity]]*salesitems[[#This Row],[unit_price]]</f>
        <v>76.06</v>
      </c>
      <c r="O825" t="str">
        <f>_xlfn.XLOOKUP(salesitems[[#This Row],[product_id]],products[product_id],products[product_name])</f>
        <v>Dresses Drop 9</v>
      </c>
      <c r="P825" t="str">
        <f>_xlfn.XLOOKUP(salesitems[[#This Row],[product_id]],fashion_store_products!A:A,fashion_store_products!C:C)</f>
        <v>Dresses</v>
      </c>
    </row>
    <row r="826" spans="1:16" x14ac:dyDescent="0.45">
      <c r="A826">
        <v>2836</v>
      </c>
      <c r="B826">
        <v>637</v>
      </c>
      <c r="C826">
        <v>500</v>
      </c>
      <c r="D826">
        <v>2</v>
      </c>
      <c r="E826">
        <v>38.03</v>
      </c>
      <c r="F826">
        <v>38.03</v>
      </c>
      <c r="G826">
        <v>0</v>
      </c>
      <c r="H826" s="2">
        <v>0</v>
      </c>
      <c r="I826">
        <v>0</v>
      </c>
      <c r="J826">
        <v>76.06</v>
      </c>
      <c r="K826" s="1">
        <v>45765</v>
      </c>
      <c r="L826" t="s">
        <v>15</v>
      </c>
      <c r="M826" t="s">
        <v>15</v>
      </c>
      <c r="N826">
        <f>salesitems[[#This Row],[quantity]]*salesitems[[#This Row],[unit_price]]</f>
        <v>76.06</v>
      </c>
      <c r="O826" t="str">
        <f>_xlfn.XLOOKUP(salesitems[[#This Row],[product_id]],products[product_id],products[product_name])</f>
        <v>Dresses Drop 9</v>
      </c>
      <c r="P826" t="str">
        <f>_xlfn.XLOOKUP(salesitems[[#This Row],[product_id]],fashion_store_products!A:A,fashion_store_products!C:C)</f>
        <v>Dresses</v>
      </c>
    </row>
    <row r="827" spans="1:16" x14ac:dyDescent="0.45">
      <c r="A827">
        <v>345</v>
      </c>
      <c r="B827">
        <v>554</v>
      </c>
      <c r="C827">
        <v>41</v>
      </c>
      <c r="D827">
        <v>2</v>
      </c>
      <c r="E827">
        <v>37.94</v>
      </c>
      <c r="F827">
        <v>37.94</v>
      </c>
      <c r="G827">
        <v>0</v>
      </c>
      <c r="H827" s="2">
        <v>0</v>
      </c>
      <c r="I827">
        <v>0</v>
      </c>
      <c r="J827">
        <v>75.88</v>
      </c>
      <c r="K827" s="1">
        <v>45821</v>
      </c>
      <c r="L827" t="s">
        <v>21</v>
      </c>
      <c r="M827" t="s">
        <v>18</v>
      </c>
      <c r="N827">
        <f>salesitems[[#This Row],[quantity]]*salesitems[[#This Row],[unit_price]]</f>
        <v>75.88</v>
      </c>
      <c r="O827" t="str">
        <f>_xlfn.XLOOKUP(salesitems[[#This Row],[product_id]],products[product_id],products[product_name])</f>
        <v>Soft Boxy Trousers</v>
      </c>
      <c r="P827" t="str">
        <f>_xlfn.XLOOKUP(salesitems[[#This Row],[product_id]],fashion_store_products!A:A,fashion_store_products!C:C)</f>
        <v>Pants</v>
      </c>
    </row>
    <row r="828" spans="1:16" x14ac:dyDescent="0.45">
      <c r="A828">
        <v>1361</v>
      </c>
      <c r="B828">
        <v>718</v>
      </c>
      <c r="C828">
        <v>45</v>
      </c>
      <c r="D828">
        <v>2</v>
      </c>
      <c r="E828">
        <v>54.16</v>
      </c>
      <c r="F828">
        <v>37.909999999999997</v>
      </c>
      <c r="G828">
        <v>16.25</v>
      </c>
      <c r="H828" s="2">
        <v>0.3</v>
      </c>
      <c r="I828">
        <v>1</v>
      </c>
      <c r="J828">
        <v>75.819999999999993</v>
      </c>
      <c r="K828" s="1">
        <v>45794</v>
      </c>
      <c r="L828" t="s">
        <v>15</v>
      </c>
      <c r="M828" t="s">
        <v>11</v>
      </c>
      <c r="N828">
        <f>salesitems[[#This Row],[quantity]]*salesitems[[#This Row],[unit_price]]</f>
        <v>75.819999999999993</v>
      </c>
      <c r="O828" t="str">
        <f>_xlfn.XLOOKUP(salesitems[[#This Row],[product_id]],products[product_id],products[product_name])</f>
        <v>Soft Sleeveless Tee</v>
      </c>
      <c r="P828" t="str">
        <f>_xlfn.XLOOKUP(salesitems[[#This Row],[product_id]],fashion_store_products!A:A,fashion_store_products!C:C)</f>
        <v>T-Shirts</v>
      </c>
    </row>
    <row r="829" spans="1:16" x14ac:dyDescent="0.45">
      <c r="A829">
        <v>2799</v>
      </c>
      <c r="B829">
        <v>180</v>
      </c>
      <c r="C829">
        <v>451</v>
      </c>
      <c r="D829">
        <v>2</v>
      </c>
      <c r="E829">
        <v>37.799999999999997</v>
      </c>
      <c r="F829">
        <v>37.799999999999997</v>
      </c>
      <c r="G829">
        <v>0</v>
      </c>
      <c r="H829" s="2">
        <v>0</v>
      </c>
      <c r="I829">
        <v>0</v>
      </c>
      <c r="J829">
        <v>75.599999999999994</v>
      </c>
      <c r="K829" s="1">
        <v>45821</v>
      </c>
      <c r="L829" t="s">
        <v>15</v>
      </c>
      <c r="M829" t="s">
        <v>15</v>
      </c>
      <c r="N829">
        <f>salesitems[[#This Row],[quantity]]*salesitems[[#This Row],[unit_price]]</f>
        <v>75.599999999999994</v>
      </c>
      <c r="O829" t="str">
        <f>_xlfn.XLOOKUP(salesitems[[#This Row],[product_id]],products[product_id],products[product_name])</f>
        <v>Bold Satin Tee</v>
      </c>
      <c r="P829" t="str">
        <f>_xlfn.XLOOKUP(salesitems[[#This Row],[product_id]],fashion_store_products!A:A,fashion_store_products!C:C)</f>
        <v>T-Shirts</v>
      </c>
    </row>
    <row r="830" spans="1:16" x14ac:dyDescent="0.45">
      <c r="A830">
        <v>2968</v>
      </c>
      <c r="B830">
        <v>524</v>
      </c>
      <c r="C830">
        <v>267</v>
      </c>
      <c r="D830">
        <v>2</v>
      </c>
      <c r="E830">
        <v>53.91</v>
      </c>
      <c r="F830">
        <v>37.74</v>
      </c>
      <c r="G830">
        <v>16.170000000000002</v>
      </c>
      <c r="H830" s="2">
        <v>0.3</v>
      </c>
      <c r="I830">
        <v>1</v>
      </c>
      <c r="J830">
        <v>75.47</v>
      </c>
      <c r="K830" s="1">
        <v>45792</v>
      </c>
      <c r="L830" t="s">
        <v>15</v>
      </c>
      <c r="M830" t="s">
        <v>11</v>
      </c>
      <c r="N830">
        <f>salesitems[[#This Row],[quantity]]*salesitems[[#This Row],[unit_price]]</f>
        <v>75.48</v>
      </c>
      <c r="O830" t="str">
        <f>_xlfn.XLOOKUP(salesitems[[#This Row],[product_id]],products[product_id],products[product_name])</f>
        <v>Polished High-Waist Set</v>
      </c>
      <c r="P830" t="str">
        <f>_xlfn.XLOOKUP(salesitems[[#This Row],[product_id]],fashion_store_products!A:A,fashion_store_products!C:C)</f>
        <v>Sleepwear</v>
      </c>
    </row>
    <row r="831" spans="1:16" x14ac:dyDescent="0.45">
      <c r="A831">
        <v>270</v>
      </c>
      <c r="B831">
        <v>1153</v>
      </c>
      <c r="C831">
        <v>47</v>
      </c>
      <c r="D831">
        <v>2</v>
      </c>
      <c r="E831">
        <v>53.73</v>
      </c>
      <c r="F831">
        <v>37.61</v>
      </c>
      <c r="G831">
        <v>16.12</v>
      </c>
      <c r="H831" s="2">
        <v>0.3</v>
      </c>
      <c r="I831">
        <v>1</v>
      </c>
      <c r="J831">
        <v>75.22</v>
      </c>
      <c r="K831" s="1">
        <v>45794</v>
      </c>
      <c r="L831" t="s">
        <v>15</v>
      </c>
      <c r="M831" t="s">
        <v>11</v>
      </c>
      <c r="N831">
        <f>salesitems[[#This Row],[quantity]]*salesitems[[#This Row],[unit_price]]</f>
        <v>75.22</v>
      </c>
      <c r="O831" t="str">
        <f>_xlfn.XLOOKUP(salesitems[[#This Row],[product_id]],products[product_id],products[product_name])</f>
        <v>Soft High-Waist Tee</v>
      </c>
      <c r="P831" t="str">
        <f>_xlfn.XLOOKUP(salesitems[[#This Row],[product_id]],fashion_store_products!A:A,fashion_store_products!C:C)</f>
        <v>T-Shirts</v>
      </c>
    </row>
    <row r="832" spans="1:16" x14ac:dyDescent="0.45">
      <c r="A832">
        <v>2206</v>
      </c>
      <c r="B832">
        <v>1184</v>
      </c>
      <c r="C832">
        <v>208</v>
      </c>
      <c r="D832">
        <v>2</v>
      </c>
      <c r="E832">
        <v>37.450000000000003</v>
      </c>
      <c r="F832">
        <v>37.450000000000003</v>
      </c>
      <c r="G832">
        <v>0</v>
      </c>
      <c r="H832" s="2">
        <v>0</v>
      </c>
      <c r="I832">
        <v>0</v>
      </c>
      <c r="J832">
        <v>74.900000000000006</v>
      </c>
      <c r="K832" s="1">
        <v>45772</v>
      </c>
      <c r="L832" t="s">
        <v>15</v>
      </c>
      <c r="M832" t="s">
        <v>15</v>
      </c>
      <c r="N832">
        <f>salesitems[[#This Row],[quantity]]*salesitems[[#This Row],[unit_price]]</f>
        <v>74.900000000000006</v>
      </c>
      <c r="O832" t="str">
        <f>_xlfn.XLOOKUP(salesitems[[#This Row],[product_id]],products[product_id],products[product_name])</f>
        <v>Polished Wrap Tee</v>
      </c>
      <c r="P832" t="str">
        <f>_xlfn.XLOOKUP(salesitems[[#This Row],[product_id]],fashion_store_products!A:A,fashion_store_products!C:C)</f>
        <v>T-Shirts</v>
      </c>
    </row>
    <row r="833" spans="1:16" x14ac:dyDescent="0.45">
      <c r="A833">
        <v>3312</v>
      </c>
      <c r="B833">
        <v>145</v>
      </c>
      <c r="C833">
        <v>208</v>
      </c>
      <c r="D833">
        <v>2</v>
      </c>
      <c r="E833">
        <v>37.450000000000003</v>
      </c>
      <c r="F833">
        <v>37.450000000000003</v>
      </c>
      <c r="G833">
        <v>0</v>
      </c>
      <c r="H833" s="2">
        <v>0</v>
      </c>
      <c r="I833">
        <v>0</v>
      </c>
      <c r="J833">
        <v>74.900000000000006</v>
      </c>
      <c r="K833" s="1">
        <v>45797</v>
      </c>
      <c r="L833" t="s">
        <v>21</v>
      </c>
      <c r="M833" t="s">
        <v>18</v>
      </c>
      <c r="N833">
        <f>salesitems[[#This Row],[quantity]]*salesitems[[#This Row],[unit_price]]</f>
        <v>74.900000000000006</v>
      </c>
      <c r="O833" t="str">
        <f>_xlfn.XLOOKUP(salesitems[[#This Row],[product_id]],products[product_id],products[product_name])</f>
        <v>Polished Wrap Tee</v>
      </c>
      <c r="P833" t="str">
        <f>_xlfn.XLOOKUP(salesitems[[#This Row],[product_id]],fashion_store_products!A:A,fashion_store_products!C:C)</f>
        <v>T-Shirts</v>
      </c>
    </row>
    <row r="834" spans="1:16" x14ac:dyDescent="0.45">
      <c r="A834">
        <v>563</v>
      </c>
      <c r="B834">
        <v>854</v>
      </c>
      <c r="C834">
        <v>85</v>
      </c>
      <c r="D834">
        <v>2</v>
      </c>
      <c r="E834">
        <v>37.35</v>
      </c>
      <c r="F834">
        <v>37.35</v>
      </c>
      <c r="G834">
        <v>0</v>
      </c>
      <c r="H834" s="2">
        <v>0</v>
      </c>
      <c r="I834">
        <v>0</v>
      </c>
      <c r="J834">
        <v>74.7</v>
      </c>
      <c r="K834" s="1">
        <v>45763</v>
      </c>
      <c r="L834" t="s">
        <v>21</v>
      </c>
      <c r="M834" t="s">
        <v>18</v>
      </c>
      <c r="N834">
        <f>salesitems[[#This Row],[quantity]]*salesitems[[#This Row],[unit_price]]</f>
        <v>74.7</v>
      </c>
      <c r="O834" t="str">
        <f>_xlfn.XLOOKUP(salesitems[[#This Row],[product_id]],products[product_id],products[product_name])</f>
        <v>Classic Satin Dress</v>
      </c>
      <c r="P834" t="str">
        <f>_xlfn.XLOOKUP(salesitems[[#This Row],[product_id]],fashion_store_products!A:A,fashion_store_products!C:C)</f>
        <v>Dresses</v>
      </c>
    </row>
    <row r="835" spans="1:16" x14ac:dyDescent="0.45">
      <c r="A835">
        <v>1246</v>
      </c>
      <c r="B835">
        <v>1153</v>
      </c>
      <c r="C835">
        <v>458</v>
      </c>
      <c r="D835">
        <v>2</v>
      </c>
      <c r="E835">
        <v>53.35</v>
      </c>
      <c r="F835">
        <v>37.340000000000003</v>
      </c>
      <c r="G835">
        <v>16</v>
      </c>
      <c r="H835" s="2">
        <v>0.3</v>
      </c>
      <c r="I835">
        <v>1</v>
      </c>
      <c r="J835">
        <v>74.69</v>
      </c>
      <c r="K835" s="1">
        <v>45794</v>
      </c>
      <c r="L835" t="s">
        <v>15</v>
      </c>
      <c r="M835" t="s">
        <v>11</v>
      </c>
      <c r="N835">
        <f>salesitems[[#This Row],[quantity]]*salesitems[[#This Row],[unit_price]]</f>
        <v>74.680000000000007</v>
      </c>
      <c r="O835" t="str">
        <f>_xlfn.XLOOKUP(salesitems[[#This Row],[product_id]],products[product_id],products[product_name])</f>
        <v>Bold Sleeveless Set</v>
      </c>
      <c r="P835" t="str">
        <f>_xlfn.XLOOKUP(salesitems[[#This Row],[product_id]],fashion_store_products!A:A,fashion_store_products!C:C)</f>
        <v>Sleepwear</v>
      </c>
    </row>
    <row r="836" spans="1:16" x14ac:dyDescent="0.45">
      <c r="A836">
        <v>2357</v>
      </c>
      <c r="B836">
        <v>517</v>
      </c>
      <c r="C836">
        <v>408</v>
      </c>
      <c r="D836">
        <v>2</v>
      </c>
      <c r="E836">
        <v>37.17</v>
      </c>
      <c r="F836">
        <v>37.17</v>
      </c>
      <c r="G836">
        <v>0</v>
      </c>
      <c r="H836" s="2">
        <v>0</v>
      </c>
      <c r="I836">
        <v>0</v>
      </c>
      <c r="J836">
        <v>74.34</v>
      </c>
      <c r="K836" s="1">
        <v>45783</v>
      </c>
      <c r="L836" t="s">
        <v>21</v>
      </c>
      <c r="M836" t="s">
        <v>18</v>
      </c>
      <c r="N836">
        <f>salesitems[[#This Row],[quantity]]*salesitems[[#This Row],[unit_price]]</f>
        <v>74.34</v>
      </c>
      <c r="O836" t="str">
        <f>_xlfn.XLOOKUP(salesitems[[#This Row],[product_id]],products[product_id],products[product_name])</f>
        <v>Elegant High-Waist Tee</v>
      </c>
      <c r="P836" t="str">
        <f>_xlfn.XLOOKUP(salesitems[[#This Row],[product_id]],fashion_store_products!A:A,fashion_store_products!C:C)</f>
        <v>T-Shirts</v>
      </c>
    </row>
    <row r="837" spans="1:16" x14ac:dyDescent="0.45">
      <c r="A837">
        <v>2787</v>
      </c>
      <c r="B837">
        <v>1211</v>
      </c>
      <c r="C837">
        <v>408</v>
      </c>
      <c r="D837">
        <v>2</v>
      </c>
      <c r="E837">
        <v>37.17</v>
      </c>
      <c r="F837">
        <v>37.17</v>
      </c>
      <c r="G837">
        <v>0</v>
      </c>
      <c r="H837" s="2">
        <v>0</v>
      </c>
      <c r="I837">
        <v>0</v>
      </c>
      <c r="J837">
        <v>74.34</v>
      </c>
      <c r="K837" s="1">
        <v>45800</v>
      </c>
      <c r="L837" t="s">
        <v>15</v>
      </c>
      <c r="M837" t="s">
        <v>15</v>
      </c>
      <c r="N837">
        <f>salesitems[[#This Row],[quantity]]*salesitems[[#This Row],[unit_price]]</f>
        <v>74.34</v>
      </c>
      <c r="O837" t="str">
        <f>_xlfn.XLOOKUP(salesitems[[#This Row],[product_id]],products[product_id],products[product_name])</f>
        <v>Elegant High-Waist Tee</v>
      </c>
      <c r="P837" t="str">
        <f>_xlfn.XLOOKUP(salesitems[[#This Row],[product_id]],fashion_store_products!A:A,fashion_store_products!C:C)</f>
        <v>T-Shirts</v>
      </c>
    </row>
    <row r="838" spans="1:16" x14ac:dyDescent="0.45">
      <c r="A838">
        <v>47</v>
      </c>
      <c r="B838">
        <v>577</v>
      </c>
      <c r="C838">
        <v>492</v>
      </c>
      <c r="D838">
        <v>2</v>
      </c>
      <c r="E838">
        <v>37.119999999999997</v>
      </c>
      <c r="F838">
        <v>37.119999999999997</v>
      </c>
      <c r="G838">
        <v>0</v>
      </c>
      <c r="H838" s="2">
        <v>0</v>
      </c>
      <c r="I838">
        <v>0</v>
      </c>
      <c r="J838">
        <v>74.239999999999995</v>
      </c>
      <c r="K838" s="1">
        <v>45804</v>
      </c>
      <c r="L838" t="s">
        <v>21</v>
      </c>
      <c r="M838" t="s">
        <v>18</v>
      </c>
      <c r="N838">
        <f>salesitems[[#This Row],[quantity]]*salesitems[[#This Row],[unit_price]]</f>
        <v>74.239999999999995</v>
      </c>
      <c r="O838" t="str">
        <f>_xlfn.XLOOKUP(salesitems[[#This Row],[product_id]],products[product_id],products[product_name])</f>
        <v>Tailored Crew Trousers</v>
      </c>
      <c r="P838" t="str">
        <f>_xlfn.XLOOKUP(salesitems[[#This Row],[product_id]],fashion_store_products!A:A,fashion_store_products!C:C)</f>
        <v>Pants</v>
      </c>
    </row>
    <row r="839" spans="1:16" x14ac:dyDescent="0.45">
      <c r="A839">
        <v>3020</v>
      </c>
      <c r="B839">
        <v>233</v>
      </c>
      <c r="C839">
        <v>492</v>
      </c>
      <c r="D839">
        <v>2</v>
      </c>
      <c r="E839">
        <v>37.119999999999997</v>
      </c>
      <c r="F839">
        <v>37.119999999999997</v>
      </c>
      <c r="G839">
        <v>0</v>
      </c>
      <c r="H839" s="2">
        <v>0</v>
      </c>
      <c r="I839">
        <v>0</v>
      </c>
      <c r="J839">
        <v>74.239999999999995</v>
      </c>
      <c r="K839" s="1">
        <v>45775</v>
      </c>
      <c r="L839" t="s">
        <v>21</v>
      </c>
      <c r="M839" t="s">
        <v>18</v>
      </c>
      <c r="N839">
        <f>salesitems[[#This Row],[quantity]]*salesitems[[#This Row],[unit_price]]</f>
        <v>74.239999999999995</v>
      </c>
      <c r="O839" t="str">
        <f>_xlfn.XLOOKUP(salesitems[[#This Row],[product_id]],products[product_id],products[product_name])</f>
        <v>Tailored Crew Trousers</v>
      </c>
      <c r="P839" t="str">
        <f>_xlfn.XLOOKUP(salesitems[[#This Row],[product_id]],fashion_store_products!A:A,fashion_store_products!C:C)</f>
        <v>Pants</v>
      </c>
    </row>
    <row r="840" spans="1:16" x14ac:dyDescent="0.45">
      <c r="A840">
        <v>1368</v>
      </c>
      <c r="B840">
        <v>1182</v>
      </c>
      <c r="C840">
        <v>441</v>
      </c>
      <c r="D840">
        <v>2</v>
      </c>
      <c r="E840">
        <v>36.99</v>
      </c>
      <c r="F840">
        <v>36.99</v>
      </c>
      <c r="G840">
        <v>0</v>
      </c>
      <c r="H840" s="2">
        <v>0</v>
      </c>
      <c r="I840">
        <v>0</v>
      </c>
      <c r="J840">
        <v>73.98</v>
      </c>
      <c r="K840" s="1">
        <v>45824</v>
      </c>
      <c r="L840" t="s">
        <v>21</v>
      </c>
      <c r="M840" t="s">
        <v>18</v>
      </c>
      <c r="N840">
        <f>salesitems[[#This Row],[quantity]]*salesitems[[#This Row],[unit_price]]</f>
        <v>73.98</v>
      </c>
      <c r="O840" t="str">
        <f>_xlfn.XLOOKUP(salesitems[[#This Row],[product_id]],products[product_id],products[product_name])</f>
        <v>Bold Linen Dress</v>
      </c>
      <c r="P840" t="str">
        <f>_xlfn.XLOOKUP(salesitems[[#This Row],[product_id]],fashion_store_products!A:A,fashion_store_products!C:C)</f>
        <v>Dresses</v>
      </c>
    </row>
    <row r="841" spans="1:16" x14ac:dyDescent="0.45">
      <c r="A841">
        <v>871</v>
      </c>
      <c r="B841">
        <v>3</v>
      </c>
      <c r="C841">
        <v>105</v>
      </c>
      <c r="D841">
        <v>2</v>
      </c>
      <c r="E841">
        <v>36.9</v>
      </c>
      <c r="F841">
        <v>36.9</v>
      </c>
      <c r="G841">
        <v>0</v>
      </c>
      <c r="H841" s="2">
        <v>0</v>
      </c>
      <c r="I841">
        <v>0</v>
      </c>
      <c r="J841">
        <v>73.8</v>
      </c>
      <c r="K841" s="1">
        <v>45769</v>
      </c>
      <c r="L841" t="s">
        <v>15</v>
      </c>
      <c r="M841" t="s">
        <v>15</v>
      </c>
      <c r="N841">
        <f>salesitems[[#This Row],[quantity]]*salesitems[[#This Row],[unit_price]]</f>
        <v>73.8</v>
      </c>
      <c r="O841" t="str">
        <f>_xlfn.XLOOKUP(salesitems[[#This Row],[product_id]],products[product_id],products[product_name])</f>
        <v>Classic Cotton Tee</v>
      </c>
      <c r="P841" t="str">
        <f>_xlfn.XLOOKUP(salesitems[[#This Row],[product_id]],fashion_store_products!A:A,fashion_store_products!C:C)</f>
        <v>T-Shirts</v>
      </c>
    </row>
    <row r="842" spans="1:16" x14ac:dyDescent="0.45">
      <c r="A842">
        <v>1183</v>
      </c>
      <c r="B842">
        <v>677</v>
      </c>
      <c r="C842">
        <v>105</v>
      </c>
      <c r="D842">
        <v>2</v>
      </c>
      <c r="E842">
        <v>36.9</v>
      </c>
      <c r="F842">
        <v>36.9</v>
      </c>
      <c r="G842">
        <v>0</v>
      </c>
      <c r="H842" s="2">
        <v>0</v>
      </c>
      <c r="I842">
        <v>0</v>
      </c>
      <c r="J842">
        <v>73.8</v>
      </c>
      <c r="K842" s="1">
        <v>45822</v>
      </c>
      <c r="L842" t="s">
        <v>21</v>
      </c>
      <c r="M842" t="s">
        <v>18</v>
      </c>
      <c r="N842">
        <f>salesitems[[#This Row],[quantity]]*salesitems[[#This Row],[unit_price]]</f>
        <v>73.8</v>
      </c>
      <c r="O842" t="str">
        <f>_xlfn.XLOOKUP(salesitems[[#This Row],[product_id]],products[product_id],products[product_name])</f>
        <v>Classic Cotton Tee</v>
      </c>
      <c r="P842" t="str">
        <f>_xlfn.XLOOKUP(salesitems[[#This Row],[product_id]],fashion_store_products!A:A,fashion_store_products!C:C)</f>
        <v>T-Shirts</v>
      </c>
    </row>
    <row r="843" spans="1:16" x14ac:dyDescent="0.45">
      <c r="A843">
        <v>2843</v>
      </c>
      <c r="B843">
        <v>509</v>
      </c>
      <c r="C843">
        <v>5</v>
      </c>
      <c r="D843">
        <v>2</v>
      </c>
      <c r="E843">
        <v>36.840000000000003</v>
      </c>
      <c r="F843">
        <v>36.840000000000003</v>
      </c>
      <c r="G843">
        <v>0</v>
      </c>
      <c r="H843" s="2">
        <v>0</v>
      </c>
      <c r="I843">
        <v>0</v>
      </c>
      <c r="J843">
        <v>73.680000000000007</v>
      </c>
      <c r="K843" s="1">
        <v>45792</v>
      </c>
      <c r="L843" t="s">
        <v>21</v>
      </c>
      <c r="M843" t="s">
        <v>18</v>
      </c>
      <c r="N843">
        <f>salesitems[[#This Row],[quantity]]*salesitems[[#This Row],[unit_price]]</f>
        <v>73.680000000000007</v>
      </c>
      <c r="O843" t="str">
        <f>_xlfn.XLOOKUP(salesitems[[#This Row],[product_id]],products[product_id],products[product_name])</f>
        <v>Soft Wrap Trousers</v>
      </c>
      <c r="P843" t="str">
        <f>_xlfn.XLOOKUP(salesitems[[#This Row],[product_id]],fashion_store_products!A:A,fashion_store_products!C:C)</f>
        <v>Pants</v>
      </c>
    </row>
    <row r="844" spans="1:16" x14ac:dyDescent="0.45">
      <c r="A844">
        <v>517</v>
      </c>
      <c r="B844">
        <v>222</v>
      </c>
      <c r="C844">
        <v>148</v>
      </c>
      <c r="D844">
        <v>2</v>
      </c>
      <c r="E844">
        <v>36.69</v>
      </c>
      <c r="F844">
        <v>36.69</v>
      </c>
      <c r="G844">
        <v>0</v>
      </c>
      <c r="H844" s="2">
        <v>0</v>
      </c>
      <c r="I844">
        <v>0</v>
      </c>
      <c r="J844">
        <v>73.38</v>
      </c>
      <c r="K844" s="1">
        <v>45798</v>
      </c>
      <c r="L844" t="s">
        <v>15</v>
      </c>
      <c r="M844" t="s">
        <v>15</v>
      </c>
      <c r="N844">
        <f>salesitems[[#This Row],[quantity]]*salesitems[[#This Row],[unit_price]]</f>
        <v>73.38</v>
      </c>
      <c r="O844" t="str">
        <f>_xlfn.XLOOKUP(salesitems[[#This Row],[product_id]],products[product_id],products[product_name])</f>
        <v>Classic Boxy Tee</v>
      </c>
      <c r="P844" t="str">
        <f>_xlfn.XLOOKUP(salesitems[[#This Row],[product_id]],fashion_store_products!A:A,fashion_store_products!C:C)</f>
        <v>T-Shirts</v>
      </c>
    </row>
    <row r="845" spans="1:16" x14ac:dyDescent="0.45">
      <c r="A845">
        <v>1196</v>
      </c>
      <c r="B845">
        <v>449</v>
      </c>
      <c r="C845">
        <v>148</v>
      </c>
      <c r="D845">
        <v>2</v>
      </c>
      <c r="E845">
        <v>36.69</v>
      </c>
      <c r="F845">
        <v>36.69</v>
      </c>
      <c r="G845">
        <v>0</v>
      </c>
      <c r="H845" s="2">
        <v>0</v>
      </c>
      <c r="I845">
        <v>0</v>
      </c>
      <c r="J845">
        <v>73.38</v>
      </c>
      <c r="K845" s="1">
        <v>45800</v>
      </c>
      <c r="L845" t="s">
        <v>21</v>
      </c>
      <c r="M845" t="s">
        <v>18</v>
      </c>
      <c r="N845">
        <f>salesitems[[#This Row],[quantity]]*salesitems[[#This Row],[unit_price]]</f>
        <v>73.38</v>
      </c>
      <c r="O845" t="str">
        <f>_xlfn.XLOOKUP(salesitems[[#This Row],[product_id]],products[product_id],products[product_name])</f>
        <v>Classic Boxy Tee</v>
      </c>
      <c r="P845" t="str">
        <f>_xlfn.XLOOKUP(salesitems[[#This Row],[product_id]],fashion_store_products!A:A,fashion_store_products!C:C)</f>
        <v>T-Shirts</v>
      </c>
    </row>
    <row r="846" spans="1:16" x14ac:dyDescent="0.45">
      <c r="A846">
        <v>1294</v>
      </c>
      <c r="B846">
        <v>905</v>
      </c>
      <c r="C846">
        <v>148</v>
      </c>
      <c r="D846">
        <v>2</v>
      </c>
      <c r="E846">
        <v>36.69</v>
      </c>
      <c r="F846">
        <v>36.69</v>
      </c>
      <c r="G846">
        <v>0</v>
      </c>
      <c r="H846" s="2">
        <v>0</v>
      </c>
      <c r="I846">
        <v>0</v>
      </c>
      <c r="J846">
        <v>73.38</v>
      </c>
      <c r="K846" s="1">
        <v>45807</v>
      </c>
      <c r="L846" t="s">
        <v>15</v>
      </c>
      <c r="M846" t="s">
        <v>15</v>
      </c>
      <c r="N846">
        <f>salesitems[[#This Row],[quantity]]*salesitems[[#This Row],[unit_price]]</f>
        <v>73.38</v>
      </c>
      <c r="O846" t="str">
        <f>_xlfn.XLOOKUP(salesitems[[#This Row],[product_id]],products[product_id],products[product_name])</f>
        <v>Classic Boxy Tee</v>
      </c>
      <c r="P846" t="str">
        <f>_xlfn.XLOOKUP(salesitems[[#This Row],[product_id]],fashion_store_products!A:A,fashion_store_products!C:C)</f>
        <v>T-Shirts</v>
      </c>
    </row>
    <row r="847" spans="1:16" x14ac:dyDescent="0.45">
      <c r="A847">
        <v>1753</v>
      </c>
      <c r="B847">
        <v>564</v>
      </c>
      <c r="C847">
        <v>148</v>
      </c>
      <c r="D847">
        <v>2</v>
      </c>
      <c r="E847">
        <v>36.69</v>
      </c>
      <c r="F847">
        <v>36.69</v>
      </c>
      <c r="G847">
        <v>0</v>
      </c>
      <c r="H847" s="2">
        <v>0</v>
      </c>
      <c r="I847">
        <v>0</v>
      </c>
      <c r="J847">
        <v>73.38</v>
      </c>
      <c r="K847" s="1">
        <v>45805</v>
      </c>
      <c r="L847" t="s">
        <v>21</v>
      </c>
      <c r="M847" t="s">
        <v>18</v>
      </c>
      <c r="N847">
        <f>salesitems[[#This Row],[quantity]]*salesitems[[#This Row],[unit_price]]</f>
        <v>73.38</v>
      </c>
      <c r="O847" t="str">
        <f>_xlfn.XLOOKUP(salesitems[[#This Row],[product_id]],products[product_id],products[product_name])</f>
        <v>Classic Boxy Tee</v>
      </c>
      <c r="P847" t="str">
        <f>_xlfn.XLOOKUP(salesitems[[#This Row],[product_id]],fashion_store_products!A:A,fashion_store_products!C:C)</f>
        <v>T-Shirts</v>
      </c>
    </row>
    <row r="848" spans="1:16" x14ac:dyDescent="0.45">
      <c r="A848">
        <v>1845</v>
      </c>
      <c r="B848">
        <v>1216</v>
      </c>
      <c r="C848">
        <v>148</v>
      </c>
      <c r="D848">
        <v>2</v>
      </c>
      <c r="E848">
        <v>36.69</v>
      </c>
      <c r="F848">
        <v>36.69</v>
      </c>
      <c r="G848">
        <v>0</v>
      </c>
      <c r="H848" s="2">
        <v>0</v>
      </c>
      <c r="I848">
        <v>0</v>
      </c>
      <c r="J848">
        <v>73.38</v>
      </c>
      <c r="K848" s="1">
        <v>45774</v>
      </c>
      <c r="L848" t="s">
        <v>15</v>
      </c>
      <c r="M848" t="s">
        <v>15</v>
      </c>
      <c r="N848">
        <f>salesitems[[#This Row],[quantity]]*salesitems[[#This Row],[unit_price]]</f>
        <v>73.38</v>
      </c>
      <c r="O848" t="str">
        <f>_xlfn.XLOOKUP(salesitems[[#This Row],[product_id]],products[product_id],products[product_name])</f>
        <v>Classic Boxy Tee</v>
      </c>
      <c r="P848" t="str">
        <f>_xlfn.XLOOKUP(salesitems[[#This Row],[product_id]],fashion_store_products!A:A,fashion_store_products!C:C)</f>
        <v>T-Shirts</v>
      </c>
    </row>
    <row r="849" spans="1:16" x14ac:dyDescent="0.45">
      <c r="A849">
        <v>542</v>
      </c>
      <c r="B849">
        <v>529</v>
      </c>
      <c r="C849">
        <v>151</v>
      </c>
      <c r="D849">
        <v>2</v>
      </c>
      <c r="E849">
        <v>36.47</v>
      </c>
      <c r="F849">
        <v>36.47</v>
      </c>
      <c r="G849">
        <v>0</v>
      </c>
      <c r="H849" s="2">
        <v>0</v>
      </c>
      <c r="I849">
        <v>0</v>
      </c>
      <c r="J849">
        <v>72.94</v>
      </c>
      <c r="K849" s="1">
        <v>45761</v>
      </c>
      <c r="L849" t="s">
        <v>15</v>
      </c>
      <c r="M849" t="s">
        <v>15</v>
      </c>
      <c r="N849">
        <f>salesitems[[#This Row],[quantity]]*salesitems[[#This Row],[unit_price]]</f>
        <v>72.94</v>
      </c>
      <c r="O849" t="str">
        <f>_xlfn.XLOOKUP(salesitems[[#This Row],[product_id]],products[product_id],products[product_name])</f>
        <v>Classic Sleeveless Trousers</v>
      </c>
      <c r="P849" t="str">
        <f>_xlfn.XLOOKUP(salesitems[[#This Row],[product_id]],fashion_store_products!A:A,fashion_store_products!C:C)</f>
        <v>Pants</v>
      </c>
    </row>
    <row r="850" spans="1:16" x14ac:dyDescent="0.45">
      <c r="A850">
        <v>2159</v>
      </c>
      <c r="B850">
        <v>147</v>
      </c>
      <c r="C850">
        <v>151</v>
      </c>
      <c r="D850">
        <v>2</v>
      </c>
      <c r="E850">
        <v>36.47</v>
      </c>
      <c r="F850">
        <v>36.47</v>
      </c>
      <c r="G850">
        <v>0</v>
      </c>
      <c r="H850" s="2">
        <v>0</v>
      </c>
      <c r="I850">
        <v>0</v>
      </c>
      <c r="J850">
        <v>72.94</v>
      </c>
      <c r="K850" s="1">
        <v>45794</v>
      </c>
      <c r="L850" t="s">
        <v>21</v>
      </c>
      <c r="M850" t="s">
        <v>18</v>
      </c>
      <c r="N850">
        <f>salesitems[[#This Row],[quantity]]*salesitems[[#This Row],[unit_price]]</f>
        <v>72.94</v>
      </c>
      <c r="O850" t="str">
        <f>_xlfn.XLOOKUP(salesitems[[#This Row],[product_id]],products[product_id],products[product_name])</f>
        <v>Classic Sleeveless Trousers</v>
      </c>
      <c r="P850" t="str">
        <f>_xlfn.XLOOKUP(salesitems[[#This Row],[product_id]],fashion_store_products!A:A,fashion_store_products!C:C)</f>
        <v>Pants</v>
      </c>
    </row>
    <row r="851" spans="1:16" x14ac:dyDescent="0.45">
      <c r="A851">
        <v>2642</v>
      </c>
      <c r="B851">
        <v>632</v>
      </c>
      <c r="C851">
        <v>203</v>
      </c>
      <c r="D851">
        <v>2</v>
      </c>
      <c r="E851">
        <v>52.1</v>
      </c>
      <c r="F851">
        <v>36.47</v>
      </c>
      <c r="G851">
        <v>15.63</v>
      </c>
      <c r="H851" s="2">
        <v>0.3</v>
      </c>
      <c r="I851">
        <v>1</v>
      </c>
      <c r="J851">
        <v>72.94</v>
      </c>
      <c r="K851" s="1">
        <v>45793</v>
      </c>
      <c r="L851" t="s">
        <v>15</v>
      </c>
      <c r="M851" t="s">
        <v>11</v>
      </c>
      <c r="N851">
        <f>salesitems[[#This Row],[quantity]]*salesitems[[#This Row],[unit_price]]</f>
        <v>72.94</v>
      </c>
      <c r="O851" t="str">
        <f>_xlfn.XLOOKUP(salesitems[[#This Row],[product_id]],products[product_id],products[product_name])</f>
        <v>Polished High-Waist Dress</v>
      </c>
      <c r="P851" t="str">
        <f>_xlfn.XLOOKUP(salesitems[[#This Row],[product_id]],fashion_store_products!A:A,fashion_store_products!C:C)</f>
        <v>Dresses</v>
      </c>
    </row>
    <row r="852" spans="1:16" x14ac:dyDescent="0.45">
      <c r="A852">
        <v>2775</v>
      </c>
      <c r="B852">
        <v>274</v>
      </c>
      <c r="C852">
        <v>151</v>
      </c>
      <c r="D852">
        <v>2</v>
      </c>
      <c r="E852">
        <v>36.47</v>
      </c>
      <c r="F852">
        <v>36.47</v>
      </c>
      <c r="G852">
        <v>0</v>
      </c>
      <c r="H852" s="2">
        <v>0</v>
      </c>
      <c r="I852">
        <v>0</v>
      </c>
      <c r="J852">
        <v>72.94</v>
      </c>
      <c r="K852" s="1">
        <v>45766</v>
      </c>
      <c r="L852" t="s">
        <v>21</v>
      </c>
      <c r="M852" t="s">
        <v>18</v>
      </c>
      <c r="N852">
        <f>salesitems[[#This Row],[quantity]]*salesitems[[#This Row],[unit_price]]</f>
        <v>72.94</v>
      </c>
      <c r="O852" t="str">
        <f>_xlfn.XLOOKUP(salesitems[[#This Row],[product_id]],products[product_id],products[product_name])</f>
        <v>Classic Sleeveless Trousers</v>
      </c>
      <c r="P852" t="str">
        <f>_xlfn.XLOOKUP(salesitems[[#This Row],[product_id]],fashion_store_products!A:A,fashion_store_products!C:C)</f>
        <v>Pants</v>
      </c>
    </row>
    <row r="853" spans="1:16" x14ac:dyDescent="0.45">
      <c r="A853">
        <v>579</v>
      </c>
      <c r="B853">
        <v>126</v>
      </c>
      <c r="C853">
        <v>364</v>
      </c>
      <c r="D853">
        <v>2</v>
      </c>
      <c r="E853">
        <v>36.340000000000003</v>
      </c>
      <c r="F853">
        <v>36.340000000000003</v>
      </c>
      <c r="G853">
        <v>0</v>
      </c>
      <c r="H853" s="2">
        <v>0</v>
      </c>
      <c r="I853">
        <v>0</v>
      </c>
      <c r="J853">
        <v>72.680000000000007</v>
      </c>
      <c r="K853" s="1">
        <v>45792</v>
      </c>
      <c r="L853" t="s">
        <v>21</v>
      </c>
      <c r="M853" t="s">
        <v>18</v>
      </c>
      <c r="N853">
        <f>salesitems[[#This Row],[quantity]]*salesitems[[#This Row],[unit_price]]</f>
        <v>72.680000000000007</v>
      </c>
      <c r="O853" t="str">
        <f>_xlfn.XLOOKUP(salesitems[[#This Row],[product_id]],products[product_id],products[product_name])</f>
        <v>Tailored Satin Dress</v>
      </c>
      <c r="P853" t="str">
        <f>_xlfn.XLOOKUP(salesitems[[#This Row],[product_id]],fashion_store_products!A:A,fashion_store_products!C:C)</f>
        <v>Dresses</v>
      </c>
    </row>
    <row r="854" spans="1:16" x14ac:dyDescent="0.45">
      <c r="A854">
        <v>1713</v>
      </c>
      <c r="B854">
        <v>879</v>
      </c>
      <c r="C854">
        <v>364</v>
      </c>
      <c r="D854">
        <v>2</v>
      </c>
      <c r="E854">
        <v>36.340000000000003</v>
      </c>
      <c r="F854">
        <v>36.340000000000003</v>
      </c>
      <c r="G854">
        <v>0</v>
      </c>
      <c r="H854" s="2">
        <v>0</v>
      </c>
      <c r="I854">
        <v>0</v>
      </c>
      <c r="J854">
        <v>72.680000000000007</v>
      </c>
      <c r="K854" s="1">
        <v>45774</v>
      </c>
      <c r="L854" t="s">
        <v>21</v>
      </c>
      <c r="M854" t="s">
        <v>18</v>
      </c>
      <c r="N854">
        <f>salesitems[[#This Row],[quantity]]*salesitems[[#This Row],[unit_price]]</f>
        <v>72.680000000000007</v>
      </c>
      <c r="O854" t="str">
        <f>_xlfn.XLOOKUP(salesitems[[#This Row],[product_id]],products[product_id],products[product_name])</f>
        <v>Tailored Satin Dress</v>
      </c>
      <c r="P854" t="str">
        <f>_xlfn.XLOOKUP(salesitems[[#This Row],[product_id]],fashion_store_products!A:A,fashion_store_products!C:C)</f>
        <v>Dresses</v>
      </c>
    </row>
    <row r="855" spans="1:16" x14ac:dyDescent="0.45">
      <c r="A855">
        <v>2740</v>
      </c>
      <c r="B855">
        <v>337</v>
      </c>
      <c r="C855">
        <v>497</v>
      </c>
      <c r="D855">
        <v>2</v>
      </c>
      <c r="E855">
        <v>36.049999999999997</v>
      </c>
      <c r="F855">
        <v>36.049999999999997</v>
      </c>
      <c r="G855">
        <v>0</v>
      </c>
      <c r="H855" s="2">
        <v>0</v>
      </c>
      <c r="I855">
        <v>0</v>
      </c>
      <c r="J855">
        <v>72.099999999999994</v>
      </c>
      <c r="K855" s="1">
        <v>45801</v>
      </c>
      <c r="L855" t="s">
        <v>15</v>
      </c>
      <c r="M855" t="s">
        <v>15</v>
      </c>
      <c r="N855">
        <f>salesitems[[#This Row],[quantity]]*salesitems[[#This Row],[unit_price]]</f>
        <v>72.099999999999994</v>
      </c>
      <c r="O855" t="str">
        <f>_xlfn.XLOOKUP(salesitems[[#This Row],[product_id]],products[product_id],products[product_name])</f>
        <v>Dresses Drop 8</v>
      </c>
      <c r="P855" t="str">
        <f>_xlfn.XLOOKUP(salesitems[[#This Row],[product_id]],fashion_store_products!A:A,fashion_store_products!C:C)</f>
        <v>Dresses</v>
      </c>
    </row>
    <row r="856" spans="1:16" x14ac:dyDescent="0.45">
      <c r="A856">
        <v>1593</v>
      </c>
      <c r="B856">
        <v>115</v>
      </c>
      <c r="C856">
        <v>427</v>
      </c>
      <c r="D856">
        <v>2</v>
      </c>
      <c r="E856">
        <v>36.01</v>
      </c>
      <c r="F856">
        <v>36.01</v>
      </c>
      <c r="G856">
        <v>0</v>
      </c>
      <c r="H856" s="2">
        <v>0</v>
      </c>
      <c r="I856">
        <v>0</v>
      </c>
      <c r="J856">
        <v>72.02</v>
      </c>
      <c r="K856" s="1">
        <v>45752</v>
      </c>
      <c r="L856" t="s">
        <v>15</v>
      </c>
      <c r="M856" t="s">
        <v>15</v>
      </c>
      <c r="N856">
        <f>salesitems[[#This Row],[quantity]]*salesitems[[#This Row],[unit_price]]</f>
        <v>72.02</v>
      </c>
      <c r="O856" t="str">
        <f>_xlfn.XLOOKUP(salesitems[[#This Row],[product_id]],products[product_id],products[product_name])</f>
        <v>Bold Wrap Set</v>
      </c>
      <c r="P856" t="str">
        <f>_xlfn.XLOOKUP(salesitems[[#This Row],[product_id]],fashion_store_products!A:A,fashion_store_products!C:C)</f>
        <v>Sleepwear</v>
      </c>
    </row>
    <row r="857" spans="1:16" x14ac:dyDescent="0.45">
      <c r="A857">
        <v>2587</v>
      </c>
      <c r="B857">
        <v>553</v>
      </c>
      <c r="C857">
        <v>336</v>
      </c>
      <c r="D857">
        <v>2</v>
      </c>
      <c r="E857">
        <v>51.22</v>
      </c>
      <c r="F857">
        <v>35.85</v>
      </c>
      <c r="G857">
        <v>15.37</v>
      </c>
      <c r="H857" s="2">
        <v>0.3</v>
      </c>
      <c r="I857">
        <v>1</v>
      </c>
      <c r="J857">
        <v>71.709999999999994</v>
      </c>
      <c r="K857" s="1">
        <v>45795</v>
      </c>
      <c r="L857" t="s">
        <v>15</v>
      </c>
      <c r="M857" t="s">
        <v>11</v>
      </c>
      <c r="N857">
        <f>salesitems[[#This Row],[quantity]]*salesitems[[#This Row],[unit_price]]</f>
        <v>71.7</v>
      </c>
      <c r="O857" t="str">
        <f>_xlfn.XLOOKUP(salesitems[[#This Row],[product_id]],products[product_id],products[product_name])</f>
        <v>Tailored Ribbed Tee</v>
      </c>
      <c r="P857" t="str">
        <f>_xlfn.XLOOKUP(salesitems[[#This Row],[product_id]],fashion_store_products!A:A,fashion_store_products!C:C)</f>
        <v>T-Shirts</v>
      </c>
    </row>
    <row r="858" spans="1:16" x14ac:dyDescent="0.45">
      <c r="A858">
        <v>1932</v>
      </c>
      <c r="B858">
        <v>389</v>
      </c>
      <c r="C858">
        <v>58</v>
      </c>
      <c r="D858">
        <v>2</v>
      </c>
      <c r="E858">
        <v>35.81</v>
      </c>
      <c r="F858">
        <v>35.81</v>
      </c>
      <c r="G858">
        <v>0</v>
      </c>
      <c r="H858" s="2">
        <v>0</v>
      </c>
      <c r="I858">
        <v>0</v>
      </c>
      <c r="J858">
        <v>71.62</v>
      </c>
      <c r="K858" s="1">
        <v>45765</v>
      </c>
      <c r="L858" t="s">
        <v>21</v>
      </c>
      <c r="M858" t="s">
        <v>18</v>
      </c>
      <c r="N858">
        <f>salesitems[[#This Row],[quantity]]*salesitems[[#This Row],[unit_price]]</f>
        <v>71.62</v>
      </c>
      <c r="O858" t="str">
        <f>_xlfn.XLOOKUP(salesitems[[#This Row],[product_id]],products[product_id],products[product_name])</f>
        <v>Modern Sleeveless Dress</v>
      </c>
      <c r="P858" t="str">
        <f>_xlfn.XLOOKUP(salesitems[[#This Row],[product_id]],fashion_store_products!A:A,fashion_store_products!C:C)</f>
        <v>Dresses</v>
      </c>
    </row>
    <row r="859" spans="1:16" x14ac:dyDescent="0.45">
      <c r="A859">
        <v>2115</v>
      </c>
      <c r="B859">
        <v>445</v>
      </c>
      <c r="C859">
        <v>325</v>
      </c>
      <c r="D859">
        <v>2</v>
      </c>
      <c r="E859">
        <v>39.78</v>
      </c>
      <c r="F859">
        <v>35.799999999999997</v>
      </c>
      <c r="G859">
        <v>3.98</v>
      </c>
      <c r="H859" s="2">
        <v>0.1</v>
      </c>
      <c r="I859">
        <v>1</v>
      </c>
      <c r="J859">
        <v>71.599999999999994</v>
      </c>
      <c r="K859" s="1">
        <v>45813</v>
      </c>
      <c r="L859" t="s">
        <v>21</v>
      </c>
      <c r="M859" t="s">
        <v>18</v>
      </c>
      <c r="N859">
        <f>salesitems[[#This Row],[quantity]]*salesitems[[#This Row],[unit_price]]</f>
        <v>71.599999999999994</v>
      </c>
      <c r="O859" t="str">
        <f>_xlfn.XLOOKUP(salesitems[[#This Row],[product_id]],products[product_id],products[product_name])</f>
        <v>Tailored Linen Shoes</v>
      </c>
      <c r="P859" t="str">
        <f>_xlfn.XLOOKUP(salesitems[[#This Row],[product_id]],fashion_store_products!A:A,fashion_store_products!C:C)</f>
        <v>Shoes</v>
      </c>
    </row>
    <row r="860" spans="1:16" x14ac:dyDescent="0.45">
      <c r="A860">
        <v>2198</v>
      </c>
      <c r="B860">
        <v>864</v>
      </c>
      <c r="C860">
        <v>325</v>
      </c>
      <c r="D860">
        <v>2</v>
      </c>
      <c r="E860">
        <v>39.78</v>
      </c>
      <c r="F860">
        <v>35.799999999999997</v>
      </c>
      <c r="G860">
        <v>3.98</v>
      </c>
      <c r="H860" s="2">
        <v>0.1</v>
      </c>
      <c r="I860">
        <v>1</v>
      </c>
      <c r="J860">
        <v>71.599999999999994</v>
      </c>
      <c r="K860" s="1">
        <v>45812</v>
      </c>
      <c r="L860" t="s">
        <v>21</v>
      </c>
      <c r="M860" t="s">
        <v>18</v>
      </c>
      <c r="N860">
        <f>salesitems[[#This Row],[quantity]]*salesitems[[#This Row],[unit_price]]</f>
        <v>71.599999999999994</v>
      </c>
      <c r="O860" t="str">
        <f>_xlfn.XLOOKUP(salesitems[[#This Row],[product_id]],products[product_id],products[product_name])</f>
        <v>Tailored Linen Shoes</v>
      </c>
      <c r="P860" t="str">
        <f>_xlfn.XLOOKUP(salesitems[[#This Row],[product_id]],fashion_store_products!A:A,fashion_store_products!C:C)</f>
        <v>Shoes</v>
      </c>
    </row>
    <row r="861" spans="1:16" x14ac:dyDescent="0.45">
      <c r="A861">
        <v>767</v>
      </c>
      <c r="B861">
        <v>552</v>
      </c>
      <c r="C861">
        <v>11</v>
      </c>
      <c r="D861">
        <v>2</v>
      </c>
      <c r="E861">
        <v>51.09</v>
      </c>
      <c r="F861">
        <v>35.76</v>
      </c>
      <c r="G861">
        <v>15.33</v>
      </c>
      <c r="H861" s="2">
        <v>0.3</v>
      </c>
      <c r="I861">
        <v>1</v>
      </c>
      <c r="J861">
        <v>71.53</v>
      </c>
      <c r="K861" s="1">
        <v>45792</v>
      </c>
      <c r="L861" t="s">
        <v>15</v>
      </c>
      <c r="M861" t="s">
        <v>11</v>
      </c>
      <c r="N861">
        <f>salesitems[[#This Row],[quantity]]*salesitems[[#This Row],[unit_price]]</f>
        <v>71.52</v>
      </c>
      <c r="O861" t="str">
        <f>_xlfn.XLOOKUP(salesitems[[#This Row],[product_id]],products[product_id],products[product_name])</f>
        <v>Soft Ribbed Shoes</v>
      </c>
      <c r="P861" t="str">
        <f>_xlfn.XLOOKUP(salesitems[[#This Row],[product_id]],fashion_store_products!A:A,fashion_store_products!C:C)</f>
        <v>Shoes</v>
      </c>
    </row>
    <row r="862" spans="1:16" x14ac:dyDescent="0.45">
      <c r="A862">
        <v>2605</v>
      </c>
      <c r="B862">
        <v>618</v>
      </c>
      <c r="C862">
        <v>259</v>
      </c>
      <c r="D862">
        <v>2</v>
      </c>
      <c r="E862">
        <v>35.729999999999997</v>
      </c>
      <c r="F862">
        <v>35.729999999999997</v>
      </c>
      <c r="G862">
        <v>0</v>
      </c>
      <c r="H862" s="2">
        <v>0</v>
      </c>
      <c r="I862">
        <v>0</v>
      </c>
      <c r="J862">
        <v>71.459999999999994</v>
      </c>
      <c r="K862" s="1">
        <v>45766</v>
      </c>
      <c r="L862" t="s">
        <v>15</v>
      </c>
      <c r="M862" t="s">
        <v>15</v>
      </c>
      <c r="N862">
        <f>salesitems[[#This Row],[quantity]]*salesitems[[#This Row],[unit_price]]</f>
        <v>71.459999999999994</v>
      </c>
      <c r="O862" t="str">
        <f>_xlfn.XLOOKUP(salesitems[[#This Row],[product_id]],products[product_id],products[product_name])</f>
        <v>Polished Silk Trousers</v>
      </c>
      <c r="P862" t="str">
        <f>_xlfn.XLOOKUP(salesitems[[#This Row],[product_id]],fashion_store_products!A:A,fashion_store_products!C:C)</f>
        <v>Pants</v>
      </c>
    </row>
    <row r="863" spans="1:16" x14ac:dyDescent="0.45">
      <c r="A863">
        <v>1450</v>
      </c>
      <c r="B863">
        <v>1102</v>
      </c>
      <c r="C863">
        <v>255</v>
      </c>
      <c r="D863">
        <v>2</v>
      </c>
      <c r="E863">
        <v>51</v>
      </c>
      <c r="F863">
        <v>35.700000000000003</v>
      </c>
      <c r="G863">
        <v>15.3</v>
      </c>
      <c r="H863" s="2">
        <v>0.3</v>
      </c>
      <c r="I863">
        <v>1</v>
      </c>
      <c r="J863">
        <v>71.400000000000006</v>
      </c>
      <c r="K863" s="1">
        <v>45791</v>
      </c>
      <c r="L863" t="s">
        <v>15</v>
      </c>
      <c r="M863" t="s">
        <v>11</v>
      </c>
      <c r="N863">
        <f>salesitems[[#This Row],[quantity]]*salesitems[[#This Row],[unit_price]]</f>
        <v>71.400000000000006</v>
      </c>
      <c r="O863" t="str">
        <f>_xlfn.XLOOKUP(salesitems[[#This Row],[product_id]],products[product_id],products[product_name])</f>
        <v>Polished Satin Trousers</v>
      </c>
      <c r="P863" t="str">
        <f>_xlfn.XLOOKUP(salesitems[[#This Row],[product_id]],fashion_store_products!A:A,fashion_store_products!C:C)</f>
        <v>Pants</v>
      </c>
    </row>
    <row r="864" spans="1:16" x14ac:dyDescent="0.45">
      <c r="A864">
        <v>164</v>
      </c>
      <c r="B864">
        <v>289</v>
      </c>
      <c r="C864">
        <v>488</v>
      </c>
      <c r="D864">
        <v>2</v>
      </c>
      <c r="E864">
        <v>50.68</v>
      </c>
      <c r="F864">
        <v>35.479999999999997</v>
      </c>
      <c r="G864">
        <v>15.2</v>
      </c>
      <c r="H864" s="2">
        <v>0.3</v>
      </c>
      <c r="I864">
        <v>1</v>
      </c>
      <c r="J864">
        <v>70.95</v>
      </c>
      <c r="K864" s="1">
        <v>45795</v>
      </c>
      <c r="L864" t="s">
        <v>15</v>
      </c>
      <c r="M864" t="s">
        <v>11</v>
      </c>
      <c r="N864">
        <f>salesitems[[#This Row],[quantity]]*salesitems[[#This Row],[unit_price]]</f>
        <v>70.959999999999994</v>
      </c>
      <c r="O864" t="str">
        <f>_xlfn.XLOOKUP(salesitems[[#This Row],[product_id]],products[product_id],products[product_name])</f>
        <v>Sleepwear Drop 3</v>
      </c>
      <c r="P864" t="str">
        <f>_xlfn.XLOOKUP(salesitems[[#This Row],[product_id]],fashion_store_products!A:A,fashion_store_products!C:C)</f>
        <v>Sleepwear</v>
      </c>
    </row>
    <row r="865" spans="1:16" x14ac:dyDescent="0.45">
      <c r="A865">
        <v>5</v>
      </c>
      <c r="B865">
        <v>886</v>
      </c>
      <c r="C865">
        <v>414</v>
      </c>
      <c r="D865">
        <v>2</v>
      </c>
      <c r="E865">
        <v>35.200000000000003</v>
      </c>
      <c r="F865">
        <v>35.200000000000003</v>
      </c>
      <c r="G865">
        <v>0</v>
      </c>
      <c r="H865" s="2">
        <v>0</v>
      </c>
      <c r="I865">
        <v>0</v>
      </c>
      <c r="J865">
        <v>70.400000000000006</v>
      </c>
      <c r="K865" s="1">
        <v>45802</v>
      </c>
      <c r="L865" t="s">
        <v>21</v>
      </c>
      <c r="M865" t="s">
        <v>18</v>
      </c>
      <c r="N865">
        <f>salesitems[[#This Row],[quantity]]*salesitems[[#This Row],[unit_price]]</f>
        <v>70.400000000000006</v>
      </c>
      <c r="O865" t="str">
        <f>_xlfn.XLOOKUP(salesitems[[#This Row],[product_id]],products[product_id],products[product_name])</f>
        <v>Elegant Crew Set</v>
      </c>
      <c r="P865" t="str">
        <f>_xlfn.XLOOKUP(salesitems[[#This Row],[product_id]],fashion_store_products!A:A,fashion_store_products!C:C)</f>
        <v>Sleepwear</v>
      </c>
    </row>
    <row r="866" spans="1:16" x14ac:dyDescent="0.45">
      <c r="A866">
        <v>275</v>
      </c>
      <c r="B866">
        <v>999</v>
      </c>
      <c r="C866">
        <v>414</v>
      </c>
      <c r="D866">
        <v>2</v>
      </c>
      <c r="E866">
        <v>35.200000000000003</v>
      </c>
      <c r="F866">
        <v>35.200000000000003</v>
      </c>
      <c r="G866">
        <v>0</v>
      </c>
      <c r="H866" s="2">
        <v>0</v>
      </c>
      <c r="I866">
        <v>0</v>
      </c>
      <c r="J866">
        <v>70.400000000000006</v>
      </c>
      <c r="K866" s="1">
        <v>45824</v>
      </c>
      <c r="L866" t="s">
        <v>21</v>
      </c>
      <c r="M866" t="s">
        <v>18</v>
      </c>
      <c r="N866">
        <f>salesitems[[#This Row],[quantity]]*salesitems[[#This Row],[unit_price]]</f>
        <v>70.400000000000006</v>
      </c>
      <c r="O866" t="str">
        <f>_xlfn.XLOOKUP(salesitems[[#This Row],[product_id]],products[product_id],products[product_name])</f>
        <v>Elegant Crew Set</v>
      </c>
      <c r="P866" t="str">
        <f>_xlfn.XLOOKUP(salesitems[[#This Row],[product_id]],fashion_store_products!A:A,fashion_store_products!C:C)</f>
        <v>Sleepwear</v>
      </c>
    </row>
    <row r="867" spans="1:16" x14ac:dyDescent="0.45">
      <c r="A867">
        <v>1972</v>
      </c>
      <c r="B867">
        <v>1146</v>
      </c>
      <c r="C867">
        <v>414</v>
      </c>
      <c r="D867">
        <v>2</v>
      </c>
      <c r="E867">
        <v>35.200000000000003</v>
      </c>
      <c r="F867">
        <v>35.200000000000003</v>
      </c>
      <c r="G867">
        <v>0</v>
      </c>
      <c r="H867" s="2">
        <v>0</v>
      </c>
      <c r="I867">
        <v>0</v>
      </c>
      <c r="J867">
        <v>70.400000000000006</v>
      </c>
      <c r="K867" s="1">
        <v>45801</v>
      </c>
      <c r="L867" t="s">
        <v>21</v>
      </c>
      <c r="M867" t="s">
        <v>18</v>
      </c>
      <c r="N867">
        <f>salesitems[[#This Row],[quantity]]*salesitems[[#This Row],[unit_price]]</f>
        <v>70.400000000000006</v>
      </c>
      <c r="O867" t="str">
        <f>_xlfn.XLOOKUP(salesitems[[#This Row],[product_id]],products[product_id],products[product_name])</f>
        <v>Elegant Crew Set</v>
      </c>
      <c r="P867" t="str">
        <f>_xlfn.XLOOKUP(salesitems[[#This Row],[product_id]],fashion_store_products!A:A,fashion_store_products!C:C)</f>
        <v>Sleepwear</v>
      </c>
    </row>
    <row r="868" spans="1:16" x14ac:dyDescent="0.45">
      <c r="A868">
        <v>2795</v>
      </c>
      <c r="B868">
        <v>418</v>
      </c>
      <c r="C868">
        <v>414</v>
      </c>
      <c r="D868">
        <v>2</v>
      </c>
      <c r="E868">
        <v>35.200000000000003</v>
      </c>
      <c r="F868">
        <v>35.200000000000003</v>
      </c>
      <c r="G868">
        <v>0</v>
      </c>
      <c r="H868" s="2">
        <v>0</v>
      </c>
      <c r="I868">
        <v>0</v>
      </c>
      <c r="J868">
        <v>70.400000000000006</v>
      </c>
      <c r="K868" s="1">
        <v>45813</v>
      </c>
      <c r="L868" t="s">
        <v>15</v>
      </c>
      <c r="M868" t="s">
        <v>15</v>
      </c>
      <c r="N868">
        <f>salesitems[[#This Row],[quantity]]*salesitems[[#This Row],[unit_price]]</f>
        <v>70.400000000000006</v>
      </c>
      <c r="O868" t="str">
        <f>_xlfn.XLOOKUP(salesitems[[#This Row],[product_id]],products[product_id],products[product_name])</f>
        <v>Elegant Crew Set</v>
      </c>
      <c r="P868" t="str">
        <f>_xlfn.XLOOKUP(salesitems[[#This Row],[product_id]],fashion_store_products!A:A,fashion_store_products!C:C)</f>
        <v>Sleepwear</v>
      </c>
    </row>
    <row r="869" spans="1:16" x14ac:dyDescent="0.45">
      <c r="A869">
        <v>1778</v>
      </c>
      <c r="B869">
        <v>896</v>
      </c>
      <c r="C869">
        <v>173</v>
      </c>
      <c r="D869">
        <v>2</v>
      </c>
      <c r="E869">
        <v>49.74</v>
      </c>
      <c r="F869">
        <v>34.82</v>
      </c>
      <c r="G869">
        <v>14.92</v>
      </c>
      <c r="H869" s="2">
        <v>0.3</v>
      </c>
      <c r="I869">
        <v>1</v>
      </c>
      <c r="J869">
        <v>69.64</v>
      </c>
      <c r="K869" s="1">
        <v>45793</v>
      </c>
      <c r="L869" t="s">
        <v>15</v>
      </c>
      <c r="M869" t="s">
        <v>11</v>
      </c>
      <c r="N869">
        <f>salesitems[[#This Row],[quantity]]*salesitems[[#This Row],[unit_price]]</f>
        <v>69.64</v>
      </c>
      <c r="O869" t="str">
        <f>_xlfn.XLOOKUP(salesitems[[#This Row],[product_id]],products[product_id],products[product_name])</f>
        <v>Polished Linen Dress</v>
      </c>
      <c r="P869" t="str">
        <f>_xlfn.XLOOKUP(salesitems[[#This Row],[product_id]],fashion_store_products!A:A,fashion_store_products!C:C)</f>
        <v>Dresses</v>
      </c>
    </row>
    <row r="870" spans="1:16" x14ac:dyDescent="0.45">
      <c r="A870">
        <v>734</v>
      </c>
      <c r="B870">
        <v>921</v>
      </c>
      <c r="C870">
        <v>268</v>
      </c>
      <c r="D870">
        <v>2</v>
      </c>
      <c r="E870">
        <v>49.59</v>
      </c>
      <c r="F870">
        <v>34.71</v>
      </c>
      <c r="G870">
        <v>14.88</v>
      </c>
      <c r="H870" s="2">
        <v>0.3</v>
      </c>
      <c r="I870">
        <v>1</v>
      </c>
      <c r="J870">
        <v>69.430000000000007</v>
      </c>
      <c r="K870" s="1">
        <v>45796</v>
      </c>
      <c r="L870" t="s">
        <v>15</v>
      </c>
      <c r="M870" t="s">
        <v>11</v>
      </c>
      <c r="N870">
        <f>salesitems[[#This Row],[quantity]]*salesitems[[#This Row],[unit_price]]</f>
        <v>69.42</v>
      </c>
      <c r="O870" t="str">
        <f>_xlfn.XLOOKUP(salesitems[[#This Row],[product_id]],products[product_id],products[product_name])</f>
        <v>Polished Boxy Set</v>
      </c>
      <c r="P870" t="str">
        <f>_xlfn.XLOOKUP(salesitems[[#This Row],[product_id]],fashion_store_products!A:A,fashion_store_products!C:C)</f>
        <v>Sleepwear</v>
      </c>
    </row>
    <row r="871" spans="1:16" x14ac:dyDescent="0.45">
      <c r="A871">
        <v>1686</v>
      </c>
      <c r="B871">
        <v>1220</v>
      </c>
      <c r="C871">
        <v>405</v>
      </c>
      <c r="D871">
        <v>2</v>
      </c>
      <c r="E871">
        <v>34.71</v>
      </c>
      <c r="F871">
        <v>34.71</v>
      </c>
      <c r="G871">
        <v>0</v>
      </c>
      <c r="H871" s="2">
        <v>0</v>
      </c>
      <c r="I871">
        <v>0</v>
      </c>
      <c r="J871">
        <v>69.42</v>
      </c>
      <c r="K871" s="1">
        <v>45798</v>
      </c>
      <c r="L871" t="s">
        <v>21</v>
      </c>
      <c r="M871" t="s">
        <v>18</v>
      </c>
      <c r="N871">
        <f>salesitems[[#This Row],[quantity]]*salesitems[[#This Row],[unit_price]]</f>
        <v>69.42</v>
      </c>
      <c r="O871" t="str">
        <f>_xlfn.XLOOKUP(salesitems[[#This Row],[product_id]],products[product_id],products[product_name])</f>
        <v>Elegant Silk Dress</v>
      </c>
      <c r="P871" t="str">
        <f>_xlfn.XLOOKUP(salesitems[[#This Row],[product_id]],fashion_store_products!A:A,fashion_store_products!C:C)</f>
        <v>Dresses</v>
      </c>
    </row>
    <row r="872" spans="1:16" x14ac:dyDescent="0.45">
      <c r="A872">
        <v>2104</v>
      </c>
      <c r="B872">
        <v>1019</v>
      </c>
      <c r="C872">
        <v>484</v>
      </c>
      <c r="D872">
        <v>2</v>
      </c>
      <c r="E872">
        <v>38.49</v>
      </c>
      <c r="F872">
        <v>34.64</v>
      </c>
      <c r="G872">
        <v>3.85</v>
      </c>
      <c r="H872" s="2">
        <v>0.1</v>
      </c>
      <c r="I872">
        <v>1</v>
      </c>
      <c r="J872">
        <v>69.28</v>
      </c>
      <c r="K872" s="1">
        <v>45813</v>
      </c>
      <c r="L872" t="s">
        <v>21</v>
      </c>
      <c r="M872" t="s">
        <v>18</v>
      </c>
      <c r="N872">
        <f>salesitems[[#This Row],[quantity]]*salesitems[[#This Row],[unit_price]]</f>
        <v>69.28</v>
      </c>
      <c r="O872" t="str">
        <f>_xlfn.XLOOKUP(salesitems[[#This Row],[product_id]],products[product_id],products[product_name])</f>
        <v>Tailored Silk Trousers</v>
      </c>
      <c r="P872" t="str">
        <f>_xlfn.XLOOKUP(salesitems[[#This Row],[product_id]],fashion_store_products!A:A,fashion_store_products!C:C)</f>
        <v>Pants</v>
      </c>
    </row>
    <row r="873" spans="1:16" x14ac:dyDescent="0.45">
      <c r="A873">
        <v>1264</v>
      </c>
      <c r="B873">
        <v>188</v>
      </c>
      <c r="C873">
        <v>59</v>
      </c>
      <c r="D873">
        <v>2</v>
      </c>
      <c r="E873">
        <v>34.58</v>
      </c>
      <c r="F873">
        <v>34.58</v>
      </c>
      <c r="G873">
        <v>0</v>
      </c>
      <c r="H873" s="2">
        <v>0</v>
      </c>
      <c r="I873">
        <v>0</v>
      </c>
      <c r="J873">
        <v>69.16</v>
      </c>
      <c r="K873" s="1">
        <v>45781</v>
      </c>
      <c r="L873" t="s">
        <v>21</v>
      </c>
      <c r="M873" t="s">
        <v>18</v>
      </c>
      <c r="N873">
        <f>salesitems[[#This Row],[quantity]]*salesitems[[#This Row],[unit_price]]</f>
        <v>69.16</v>
      </c>
      <c r="O873" t="str">
        <f>_xlfn.XLOOKUP(salesitems[[#This Row],[product_id]],products[product_id],products[product_name])</f>
        <v>Soft Silk Set</v>
      </c>
      <c r="P873" t="str">
        <f>_xlfn.XLOOKUP(salesitems[[#This Row],[product_id]],fashion_store_products!A:A,fashion_store_products!C:C)</f>
        <v>Sleepwear</v>
      </c>
    </row>
    <row r="874" spans="1:16" x14ac:dyDescent="0.45">
      <c r="A874">
        <v>1003</v>
      </c>
      <c r="B874">
        <v>698</v>
      </c>
      <c r="C874">
        <v>343</v>
      </c>
      <c r="D874">
        <v>2</v>
      </c>
      <c r="E874">
        <v>34.39</v>
      </c>
      <c r="F874">
        <v>34.39</v>
      </c>
      <c r="G874">
        <v>0</v>
      </c>
      <c r="H874" s="2">
        <v>0</v>
      </c>
      <c r="I874">
        <v>0</v>
      </c>
      <c r="J874">
        <v>68.78</v>
      </c>
      <c r="K874" s="1">
        <v>45793</v>
      </c>
      <c r="L874" t="s">
        <v>21</v>
      </c>
      <c r="M874" t="s">
        <v>18</v>
      </c>
      <c r="N874">
        <f>salesitems[[#This Row],[quantity]]*salesitems[[#This Row],[unit_price]]</f>
        <v>68.78</v>
      </c>
      <c r="O874" t="str">
        <f>_xlfn.XLOOKUP(salesitems[[#This Row],[product_id]],products[product_id],products[product_name])</f>
        <v>Tailored Satin Tee</v>
      </c>
      <c r="P874" t="str">
        <f>_xlfn.XLOOKUP(salesitems[[#This Row],[product_id]],fashion_store_products!A:A,fashion_store_products!C:C)</f>
        <v>T-Shirts</v>
      </c>
    </row>
    <row r="875" spans="1:16" x14ac:dyDescent="0.45">
      <c r="A875">
        <v>1252</v>
      </c>
      <c r="B875">
        <v>872</v>
      </c>
      <c r="C875">
        <v>451</v>
      </c>
      <c r="D875">
        <v>2</v>
      </c>
      <c r="E875">
        <v>37.799999999999997</v>
      </c>
      <c r="F875">
        <v>34.020000000000003</v>
      </c>
      <c r="G875">
        <v>3.78</v>
      </c>
      <c r="H875" s="2">
        <v>0.1</v>
      </c>
      <c r="I875">
        <v>1</v>
      </c>
      <c r="J875">
        <v>68.040000000000006</v>
      </c>
      <c r="K875" s="1">
        <v>45812</v>
      </c>
      <c r="L875" t="s">
        <v>21</v>
      </c>
      <c r="M875" t="s">
        <v>18</v>
      </c>
      <c r="N875">
        <f>salesitems[[#This Row],[quantity]]*salesitems[[#This Row],[unit_price]]</f>
        <v>68.040000000000006</v>
      </c>
      <c r="O875" t="str">
        <f>_xlfn.XLOOKUP(salesitems[[#This Row],[product_id]],products[product_id],products[product_name])</f>
        <v>Bold Satin Tee</v>
      </c>
      <c r="P875" t="str">
        <f>_xlfn.XLOOKUP(salesitems[[#This Row],[product_id]],fashion_store_products!A:A,fashion_store_products!C:C)</f>
        <v>T-Shirts</v>
      </c>
    </row>
    <row r="876" spans="1:16" x14ac:dyDescent="0.45">
      <c r="A876">
        <v>515</v>
      </c>
      <c r="B876">
        <v>484</v>
      </c>
      <c r="C876">
        <v>91</v>
      </c>
      <c r="D876">
        <v>2</v>
      </c>
      <c r="E876">
        <v>33.950000000000003</v>
      </c>
      <c r="F876">
        <v>33.950000000000003</v>
      </c>
      <c r="G876">
        <v>0</v>
      </c>
      <c r="H876" s="2">
        <v>0</v>
      </c>
      <c r="I876">
        <v>0</v>
      </c>
      <c r="J876">
        <v>67.900000000000006</v>
      </c>
      <c r="K876" s="1">
        <v>45773</v>
      </c>
      <c r="L876" t="s">
        <v>15</v>
      </c>
      <c r="M876" t="s">
        <v>15</v>
      </c>
      <c r="N876">
        <f>salesitems[[#This Row],[quantity]]*salesitems[[#This Row],[unit_price]]</f>
        <v>67.900000000000006</v>
      </c>
      <c r="O876" t="str">
        <f>_xlfn.XLOOKUP(salesitems[[#This Row],[product_id]],products[product_id],products[product_name])</f>
        <v>Modern Silk Set</v>
      </c>
      <c r="P876" t="str">
        <f>_xlfn.XLOOKUP(salesitems[[#This Row],[product_id]],fashion_store_products!A:A,fashion_store_products!C:C)</f>
        <v>Sleepwear</v>
      </c>
    </row>
    <row r="877" spans="1:16" x14ac:dyDescent="0.45">
      <c r="A877">
        <v>1731</v>
      </c>
      <c r="B877">
        <v>725</v>
      </c>
      <c r="C877">
        <v>159</v>
      </c>
      <c r="D877">
        <v>2</v>
      </c>
      <c r="E877">
        <v>33.590000000000003</v>
      </c>
      <c r="F877">
        <v>33.590000000000003</v>
      </c>
      <c r="G877">
        <v>0</v>
      </c>
      <c r="H877" s="2">
        <v>0</v>
      </c>
      <c r="I877">
        <v>0</v>
      </c>
      <c r="J877">
        <v>67.180000000000007</v>
      </c>
      <c r="K877" s="1">
        <v>45823</v>
      </c>
      <c r="L877" t="s">
        <v>15</v>
      </c>
      <c r="M877" t="s">
        <v>15</v>
      </c>
      <c r="N877">
        <f>salesitems[[#This Row],[quantity]]*salesitems[[#This Row],[unit_price]]</f>
        <v>67.180000000000007</v>
      </c>
      <c r="O877" t="str">
        <f>_xlfn.XLOOKUP(salesitems[[#This Row],[product_id]],products[product_id],products[product_name])</f>
        <v>Classic High-Waist Trousers</v>
      </c>
      <c r="P877" t="str">
        <f>_xlfn.XLOOKUP(salesitems[[#This Row],[product_id]],fashion_store_products!A:A,fashion_store_products!C:C)</f>
        <v>Pants</v>
      </c>
    </row>
    <row r="878" spans="1:16" x14ac:dyDescent="0.45">
      <c r="A878">
        <v>553</v>
      </c>
      <c r="B878">
        <v>876</v>
      </c>
      <c r="C878">
        <v>338</v>
      </c>
      <c r="D878">
        <v>2</v>
      </c>
      <c r="E878">
        <v>33.39</v>
      </c>
      <c r="F878">
        <v>33.39</v>
      </c>
      <c r="G878">
        <v>0</v>
      </c>
      <c r="H878" s="2">
        <v>0</v>
      </c>
      <c r="I878">
        <v>0</v>
      </c>
      <c r="J878">
        <v>66.78</v>
      </c>
      <c r="K878" s="1">
        <v>45770</v>
      </c>
      <c r="L878" t="s">
        <v>15</v>
      </c>
      <c r="M878" t="s">
        <v>15</v>
      </c>
      <c r="N878">
        <f>salesitems[[#This Row],[quantity]]*salesitems[[#This Row],[unit_price]]</f>
        <v>66.78</v>
      </c>
      <c r="O878" t="str">
        <f>_xlfn.XLOOKUP(salesitems[[#This Row],[product_id]],products[product_id],products[product_name])</f>
        <v>Essential Ribbed Set</v>
      </c>
      <c r="P878" t="str">
        <f>_xlfn.XLOOKUP(salesitems[[#This Row],[product_id]],fashion_store_products!A:A,fashion_store_products!C:C)</f>
        <v>Sleepwear</v>
      </c>
    </row>
    <row r="879" spans="1:16" x14ac:dyDescent="0.45">
      <c r="A879">
        <v>77</v>
      </c>
      <c r="B879">
        <v>1169</v>
      </c>
      <c r="C879">
        <v>169</v>
      </c>
      <c r="D879">
        <v>2</v>
      </c>
      <c r="E879">
        <v>32.94</v>
      </c>
      <c r="F879">
        <v>32.94</v>
      </c>
      <c r="G879">
        <v>0</v>
      </c>
      <c r="H879" s="2">
        <v>0</v>
      </c>
      <c r="I879">
        <v>0</v>
      </c>
      <c r="J879">
        <v>65.88</v>
      </c>
      <c r="K879" s="1">
        <v>45793</v>
      </c>
      <c r="L879" t="s">
        <v>21</v>
      </c>
      <c r="M879" t="s">
        <v>18</v>
      </c>
      <c r="N879">
        <f>salesitems[[#This Row],[quantity]]*salesitems[[#This Row],[unit_price]]</f>
        <v>65.88</v>
      </c>
      <c r="O879" t="str">
        <f>_xlfn.XLOOKUP(salesitems[[#This Row],[product_id]],products[product_id],products[product_name])</f>
        <v>Vintage Linen Set</v>
      </c>
      <c r="P879" t="str">
        <f>_xlfn.XLOOKUP(salesitems[[#This Row],[product_id]],fashion_store_products!A:A,fashion_store_products!C:C)</f>
        <v>Sleepwear</v>
      </c>
    </row>
    <row r="880" spans="1:16" x14ac:dyDescent="0.45">
      <c r="A880">
        <v>2467</v>
      </c>
      <c r="B880">
        <v>276</v>
      </c>
      <c r="C880">
        <v>362</v>
      </c>
      <c r="D880">
        <v>2</v>
      </c>
      <c r="E880">
        <v>32.64</v>
      </c>
      <c r="F880">
        <v>32.64</v>
      </c>
      <c r="G880">
        <v>0</v>
      </c>
      <c r="H880" s="2">
        <v>0</v>
      </c>
      <c r="I880">
        <v>0</v>
      </c>
      <c r="J880">
        <v>65.28</v>
      </c>
      <c r="K880" s="1">
        <v>45753</v>
      </c>
      <c r="L880" t="s">
        <v>15</v>
      </c>
      <c r="M880" t="s">
        <v>15</v>
      </c>
      <c r="N880">
        <f>salesitems[[#This Row],[quantity]]*salesitems[[#This Row],[unit_price]]</f>
        <v>65.28</v>
      </c>
      <c r="O880" t="str">
        <f>_xlfn.XLOOKUP(salesitems[[#This Row],[product_id]],products[product_id],products[product_name])</f>
        <v>Tailored Ribbed Set</v>
      </c>
      <c r="P880" t="str">
        <f>_xlfn.XLOOKUP(salesitems[[#This Row],[product_id]],fashion_store_products!A:A,fashion_store_products!C:C)</f>
        <v>Sleepwear</v>
      </c>
    </row>
    <row r="881" spans="1:16" x14ac:dyDescent="0.45">
      <c r="A881">
        <v>301</v>
      </c>
      <c r="B881">
        <v>260</v>
      </c>
      <c r="C881">
        <v>209</v>
      </c>
      <c r="D881">
        <v>2</v>
      </c>
      <c r="E881">
        <v>32.409999999999997</v>
      </c>
      <c r="F881">
        <v>32.409999999999997</v>
      </c>
      <c r="G881">
        <v>0</v>
      </c>
      <c r="H881" s="2">
        <v>0</v>
      </c>
      <c r="I881">
        <v>0</v>
      </c>
      <c r="J881">
        <v>64.819999999999993</v>
      </c>
      <c r="K881" s="1">
        <v>45791</v>
      </c>
      <c r="L881" t="s">
        <v>21</v>
      </c>
      <c r="M881" t="s">
        <v>18</v>
      </c>
      <c r="N881">
        <f>salesitems[[#This Row],[quantity]]*salesitems[[#This Row],[unit_price]]</f>
        <v>64.819999999999993</v>
      </c>
      <c r="O881" t="str">
        <f>_xlfn.XLOOKUP(salesitems[[#This Row],[product_id]],products[product_id],products[product_name])</f>
        <v>Polished Ribbed Shoes</v>
      </c>
      <c r="P881" t="str">
        <f>_xlfn.XLOOKUP(salesitems[[#This Row],[product_id]],fashion_store_products!A:A,fashion_store_products!C:C)</f>
        <v>Shoes</v>
      </c>
    </row>
    <row r="882" spans="1:16" x14ac:dyDescent="0.45">
      <c r="A882">
        <v>1599</v>
      </c>
      <c r="B882">
        <v>810</v>
      </c>
      <c r="C882">
        <v>209</v>
      </c>
      <c r="D882">
        <v>2</v>
      </c>
      <c r="E882">
        <v>32.409999999999997</v>
      </c>
      <c r="F882">
        <v>32.409999999999997</v>
      </c>
      <c r="G882">
        <v>0</v>
      </c>
      <c r="H882" s="2">
        <v>0</v>
      </c>
      <c r="I882">
        <v>0</v>
      </c>
      <c r="J882">
        <v>64.819999999999993</v>
      </c>
      <c r="K882" s="1">
        <v>45824</v>
      </c>
      <c r="L882" t="s">
        <v>15</v>
      </c>
      <c r="M882" t="s">
        <v>15</v>
      </c>
      <c r="N882">
        <f>salesitems[[#This Row],[quantity]]*salesitems[[#This Row],[unit_price]]</f>
        <v>64.819999999999993</v>
      </c>
      <c r="O882" t="str">
        <f>_xlfn.XLOOKUP(salesitems[[#This Row],[product_id]],products[product_id],products[product_name])</f>
        <v>Polished Ribbed Shoes</v>
      </c>
      <c r="P882" t="str">
        <f>_xlfn.XLOOKUP(salesitems[[#This Row],[product_id]],fashion_store_products!A:A,fashion_store_products!C:C)</f>
        <v>Shoes</v>
      </c>
    </row>
    <row r="883" spans="1:16" x14ac:dyDescent="0.45">
      <c r="A883">
        <v>2022</v>
      </c>
      <c r="B883">
        <v>534</v>
      </c>
      <c r="C883">
        <v>453</v>
      </c>
      <c r="D883">
        <v>2</v>
      </c>
      <c r="E883">
        <v>32.049999999999997</v>
      </c>
      <c r="F883">
        <v>32.049999999999997</v>
      </c>
      <c r="G883">
        <v>0</v>
      </c>
      <c r="H883" s="2">
        <v>0</v>
      </c>
      <c r="I883">
        <v>0</v>
      </c>
      <c r="J883">
        <v>64.099999999999994</v>
      </c>
      <c r="K883" s="1">
        <v>45769</v>
      </c>
      <c r="L883" t="s">
        <v>15</v>
      </c>
      <c r="M883" t="s">
        <v>15</v>
      </c>
      <c r="N883">
        <f>salesitems[[#This Row],[quantity]]*salesitems[[#This Row],[unit_price]]</f>
        <v>64.099999999999994</v>
      </c>
      <c r="O883" t="str">
        <f>_xlfn.XLOOKUP(salesitems[[#This Row],[product_id]],products[product_id],products[product_name])</f>
        <v>Bold Silk Tee</v>
      </c>
      <c r="P883" t="str">
        <f>_xlfn.XLOOKUP(salesitems[[#This Row],[product_id]],fashion_store_products!A:A,fashion_store_products!C:C)</f>
        <v>T-Shirts</v>
      </c>
    </row>
    <row r="884" spans="1:16" x14ac:dyDescent="0.45">
      <c r="A884">
        <v>3080</v>
      </c>
      <c r="B884">
        <v>1119</v>
      </c>
      <c r="C884">
        <v>453</v>
      </c>
      <c r="D884">
        <v>2</v>
      </c>
      <c r="E884">
        <v>32.049999999999997</v>
      </c>
      <c r="F884">
        <v>32.049999999999997</v>
      </c>
      <c r="G884">
        <v>0</v>
      </c>
      <c r="H884" s="2">
        <v>0</v>
      </c>
      <c r="I884">
        <v>0</v>
      </c>
      <c r="J884">
        <v>64.099999999999994</v>
      </c>
      <c r="K884" s="1">
        <v>45796</v>
      </c>
      <c r="L884" t="s">
        <v>21</v>
      </c>
      <c r="M884" t="s">
        <v>18</v>
      </c>
      <c r="N884">
        <f>salesitems[[#This Row],[quantity]]*salesitems[[#This Row],[unit_price]]</f>
        <v>64.099999999999994</v>
      </c>
      <c r="O884" t="str">
        <f>_xlfn.XLOOKUP(salesitems[[#This Row],[product_id]],products[product_id],products[product_name])</f>
        <v>Bold Silk Tee</v>
      </c>
      <c r="P884" t="str">
        <f>_xlfn.XLOOKUP(salesitems[[#This Row],[product_id]],fashion_store_products!A:A,fashion_store_products!C:C)</f>
        <v>T-Shirts</v>
      </c>
    </row>
    <row r="885" spans="1:16" x14ac:dyDescent="0.45">
      <c r="A885">
        <v>1225</v>
      </c>
      <c r="B885">
        <v>904</v>
      </c>
      <c r="C885">
        <v>80</v>
      </c>
      <c r="D885">
        <v>2</v>
      </c>
      <c r="E885">
        <v>31.86</v>
      </c>
      <c r="F885">
        <v>31.86</v>
      </c>
      <c r="G885">
        <v>0</v>
      </c>
      <c r="H885" s="2">
        <v>0</v>
      </c>
      <c r="I885">
        <v>0</v>
      </c>
      <c r="J885">
        <v>63.72</v>
      </c>
      <c r="K885" s="1">
        <v>45782</v>
      </c>
      <c r="L885" t="s">
        <v>21</v>
      </c>
      <c r="M885" t="s">
        <v>18</v>
      </c>
      <c r="N885">
        <f>salesitems[[#This Row],[quantity]]*salesitems[[#This Row],[unit_price]]</f>
        <v>63.72</v>
      </c>
      <c r="O885" t="str">
        <f>_xlfn.XLOOKUP(salesitems[[#This Row],[product_id]],products[product_id],products[product_name])</f>
        <v>Classic Ribbed Dress</v>
      </c>
      <c r="P885" t="str">
        <f>_xlfn.XLOOKUP(salesitems[[#This Row],[product_id]],fashion_store_products!A:A,fashion_store_products!C:C)</f>
        <v>Dresses</v>
      </c>
    </row>
    <row r="886" spans="1:16" x14ac:dyDescent="0.45">
      <c r="A886">
        <v>376</v>
      </c>
      <c r="B886">
        <v>938</v>
      </c>
      <c r="C886">
        <v>418</v>
      </c>
      <c r="D886">
        <v>2</v>
      </c>
      <c r="E886">
        <v>31.84</v>
      </c>
      <c r="F886">
        <v>31.84</v>
      </c>
      <c r="G886">
        <v>0</v>
      </c>
      <c r="H886" s="2">
        <v>0</v>
      </c>
      <c r="I886">
        <v>0</v>
      </c>
      <c r="J886">
        <v>63.68</v>
      </c>
      <c r="K886" s="1">
        <v>45796</v>
      </c>
      <c r="L886" t="s">
        <v>21</v>
      </c>
      <c r="M886" t="s">
        <v>18</v>
      </c>
      <c r="N886">
        <f>salesitems[[#This Row],[quantity]]*salesitems[[#This Row],[unit_price]]</f>
        <v>63.68</v>
      </c>
      <c r="O886" t="str">
        <f>_xlfn.XLOOKUP(salesitems[[#This Row],[product_id]],products[product_id],products[product_name])</f>
        <v>Elegant Crew Shoes</v>
      </c>
      <c r="P886" t="str">
        <f>_xlfn.XLOOKUP(salesitems[[#This Row],[product_id]],fashion_store_products!A:A,fashion_store_products!C:C)</f>
        <v>Shoes</v>
      </c>
    </row>
    <row r="887" spans="1:16" x14ac:dyDescent="0.45">
      <c r="A887">
        <v>623</v>
      </c>
      <c r="B887">
        <v>1294</v>
      </c>
      <c r="C887">
        <v>418</v>
      </c>
      <c r="D887">
        <v>2</v>
      </c>
      <c r="E887">
        <v>31.84</v>
      </c>
      <c r="F887">
        <v>31.84</v>
      </c>
      <c r="G887">
        <v>0</v>
      </c>
      <c r="H887" s="2">
        <v>0</v>
      </c>
      <c r="I887">
        <v>0</v>
      </c>
      <c r="J887">
        <v>63.68</v>
      </c>
      <c r="K887" s="1">
        <v>45769</v>
      </c>
      <c r="L887" t="s">
        <v>21</v>
      </c>
      <c r="M887" t="s">
        <v>18</v>
      </c>
      <c r="N887">
        <f>salesitems[[#This Row],[quantity]]*salesitems[[#This Row],[unit_price]]</f>
        <v>63.68</v>
      </c>
      <c r="O887" t="str">
        <f>_xlfn.XLOOKUP(salesitems[[#This Row],[product_id]],products[product_id],products[product_name])</f>
        <v>Elegant Crew Shoes</v>
      </c>
      <c r="P887" t="str">
        <f>_xlfn.XLOOKUP(salesitems[[#This Row],[product_id]],fashion_store_products!A:A,fashion_store_products!C:C)</f>
        <v>Shoes</v>
      </c>
    </row>
    <row r="888" spans="1:16" x14ac:dyDescent="0.45">
      <c r="A888">
        <v>1889</v>
      </c>
      <c r="B888">
        <v>1026</v>
      </c>
      <c r="C888">
        <v>418</v>
      </c>
      <c r="D888">
        <v>2</v>
      </c>
      <c r="E888">
        <v>31.84</v>
      </c>
      <c r="F888">
        <v>31.84</v>
      </c>
      <c r="G888">
        <v>0</v>
      </c>
      <c r="H888" s="2">
        <v>0</v>
      </c>
      <c r="I888">
        <v>0</v>
      </c>
      <c r="J888">
        <v>63.68</v>
      </c>
      <c r="K888" s="1">
        <v>45796</v>
      </c>
      <c r="L888" t="s">
        <v>21</v>
      </c>
      <c r="M888" t="s">
        <v>18</v>
      </c>
      <c r="N888">
        <f>salesitems[[#This Row],[quantity]]*salesitems[[#This Row],[unit_price]]</f>
        <v>63.68</v>
      </c>
      <c r="O888" t="str">
        <f>_xlfn.XLOOKUP(salesitems[[#This Row],[product_id]],products[product_id],products[product_name])</f>
        <v>Elegant Crew Shoes</v>
      </c>
      <c r="P888" t="str">
        <f>_xlfn.XLOOKUP(salesitems[[#This Row],[product_id]],fashion_store_products!A:A,fashion_store_products!C:C)</f>
        <v>Shoes</v>
      </c>
    </row>
    <row r="889" spans="1:16" x14ac:dyDescent="0.45">
      <c r="A889">
        <v>1994</v>
      </c>
      <c r="B889">
        <v>406</v>
      </c>
      <c r="C889">
        <v>84</v>
      </c>
      <c r="D889">
        <v>2</v>
      </c>
      <c r="E889">
        <v>31.84</v>
      </c>
      <c r="F889">
        <v>31.84</v>
      </c>
      <c r="G889">
        <v>0</v>
      </c>
      <c r="H889" s="2">
        <v>0</v>
      </c>
      <c r="I889">
        <v>0</v>
      </c>
      <c r="J889">
        <v>63.68</v>
      </c>
      <c r="K889" s="1">
        <v>45791</v>
      </c>
      <c r="L889" t="s">
        <v>21</v>
      </c>
      <c r="M889" t="s">
        <v>18</v>
      </c>
      <c r="N889">
        <f>salesitems[[#This Row],[quantity]]*salesitems[[#This Row],[unit_price]]</f>
        <v>63.68</v>
      </c>
      <c r="O889" t="str">
        <f>_xlfn.XLOOKUP(salesitems[[#This Row],[product_id]],products[product_id],products[product_name])</f>
        <v>Modern Cotton Shoes</v>
      </c>
      <c r="P889" t="str">
        <f>_xlfn.XLOOKUP(salesitems[[#This Row],[product_id]],fashion_store_products!A:A,fashion_store_products!C:C)</f>
        <v>Shoes</v>
      </c>
    </row>
    <row r="890" spans="1:16" x14ac:dyDescent="0.45">
      <c r="A890">
        <v>2429</v>
      </c>
      <c r="B890">
        <v>279</v>
      </c>
      <c r="C890">
        <v>84</v>
      </c>
      <c r="D890">
        <v>2</v>
      </c>
      <c r="E890">
        <v>31.84</v>
      </c>
      <c r="F890">
        <v>31.84</v>
      </c>
      <c r="G890">
        <v>0</v>
      </c>
      <c r="H890" s="2">
        <v>0</v>
      </c>
      <c r="I890">
        <v>0</v>
      </c>
      <c r="J890">
        <v>63.68</v>
      </c>
      <c r="K890" s="1">
        <v>45824</v>
      </c>
      <c r="L890" t="s">
        <v>21</v>
      </c>
      <c r="M890" t="s">
        <v>18</v>
      </c>
      <c r="N890">
        <f>salesitems[[#This Row],[quantity]]*salesitems[[#This Row],[unit_price]]</f>
        <v>63.68</v>
      </c>
      <c r="O890" t="str">
        <f>_xlfn.XLOOKUP(salesitems[[#This Row],[product_id]],products[product_id],products[product_name])</f>
        <v>Modern Cotton Shoes</v>
      </c>
      <c r="P890" t="str">
        <f>_xlfn.XLOOKUP(salesitems[[#This Row],[product_id]],fashion_store_products!A:A,fashion_store_products!C:C)</f>
        <v>Shoes</v>
      </c>
    </row>
    <row r="891" spans="1:16" x14ac:dyDescent="0.45">
      <c r="A891">
        <v>2663</v>
      </c>
      <c r="B891">
        <v>360</v>
      </c>
      <c r="C891">
        <v>84</v>
      </c>
      <c r="D891">
        <v>2</v>
      </c>
      <c r="E891">
        <v>31.84</v>
      </c>
      <c r="F891">
        <v>31.84</v>
      </c>
      <c r="G891">
        <v>0</v>
      </c>
      <c r="H891" s="2">
        <v>0</v>
      </c>
      <c r="I891">
        <v>0</v>
      </c>
      <c r="J891">
        <v>63.68</v>
      </c>
      <c r="K891" s="1">
        <v>45771</v>
      </c>
      <c r="L891" t="s">
        <v>15</v>
      </c>
      <c r="M891" t="s">
        <v>15</v>
      </c>
      <c r="N891">
        <f>salesitems[[#This Row],[quantity]]*salesitems[[#This Row],[unit_price]]</f>
        <v>63.68</v>
      </c>
      <c r="O891" t="str">
        <f>_xlfn.XLOOKUP(salesitems[[#This Row],[product_id]],products[product_id],products[product_name])</f>
        <v>Modern Cotton Shoes</v>
      </c>
      <c r="P891" t="str">
        <f>_xlfn.XLOOKUP(salesitems[[#This Row],[product_id]],fashion_store_products!A:A,fashion_store_products!C:C)</f>
        <v>Shoes</v>
      </c>
    </row>
    <row r="892" spans="1:16" x14ac:dyDescent="0.45">
      <c r="A892">
        <v>2893</v>
      </c>
      <c r="B892">
        <v>977</v>
      </c>
      <c r="C892">
        <v>84</v>
      </c>
      <c r="D892">
        <v>2</v>
      </c>
      <c r="E892">
        <v>31.84</v>
      </c>
      <c r="F892">
        <v>31.84</v>
      </c>
      <c r="G892">
        <v>0</v>
      </c>
      <c r="H892" s="2">
        <v>0</v>
      </c>
      <c r="I892">
        <v>0</v>
      </c>
      <c r="J892">
        <v>63.68</v>
      </c>
      <c r="K892" s="1">
        <v>45769</v>
      </c>
      <c r="L892" t="s">
        <v>15</v>
      </c>
      <c r="M892" t="s">
        <v>15</v>
      </c>
      <c r="N892">
        <f>salesitems[[#This Row],[quantity]]*salesitems[[#This Row],[unit_price]]</f>
        <v>63.68</v>
      </c>
      <c r="O892" t="str">
        <f>_xlfn.XLOOKUP(salesitems[[#This Row],[product_id]],products[product_id],products[product_name])</f>
        <v>Modern Cotton Shoes</v>
      </c>
      <c r="P892" t="str">
        <f>_xlfn.XLOOKUP(salesitems[[#This Row],[product_id]],fashion_store_products!A:A,fashion_store_products!C:C)</f>
        <v>Shoes</v>
      </c>
    </row>
    <row r="893" spans="1:16" x14ac:dyDescent="0.45">
      <c r="A893">
        <v>1999</v>
      </c>
      <c r="B893">
        <v>862</v>
      </c>
      <c r="C893">
        <v>457</v>
      </c>
      <c r="D893">
        <v>2</v>
      </c>
      <c r="E893">
        <v>31.61</v>
      </c>
      <c r="F893">
        <v>31.61</v>
      </c>
      <c r="G893">
        <v>0</v>
      </c>
      <c r="H893" s="2">
        <v>0</v>
      </c>
      <c r="I893">
        <v>0</v>
      </c>
      <c r="J893">
        <v>63.22</v>
      </c>
      <c r="K893" s="1">
        <v>45814</v>
      </c>
      <c r="L893" t="s">
        <v>15</v>
      </c>
      <c r="M893" t="s">
        <v>15</v>
      </c>
      <c r="N893">
        <f>salesitems[[#This Row],[quantity]]*salesitems[[#This Row],[unit_price]]</f>
        <v>63.22</v>
      </c>
      <c r="O893" t="str">
        <f>_xlfn.XLOOKUP(salesitems[[#This Row],[product_id]],products[product_id],products[product_name])</f>
        <v>Bold Crew Tee</v>
      </c>
      <c r="P893" t="str">
        <f>_xlfn.XLOOKUP(salesitems[[#This Row],[product_id]],fashion_store_products!A:A,fashion_store_products!C:C)</f>
        <v>T-Shirts</v>
      </c>
    </row>
    <row r="894" spans="1:16" x14ac:dyDescent="0.45">
      <c r="A894">
        <v>1595</v>
      </c>
      <c r="B894">
        <v>46</v>
      </c>
      <c r="C894">
        <v>258</v>
      </c>
      <c r="D894">
        <v>2</v>
      </c>
      <c r="E894">
        <v>31.48</v>
      </c>
      <c r="F894">
        <v>31.48</v>
      </c>
      <c r="G894">
        <v>0</v>
      </c>
      <c r="H894" s="2">
        <v>0</v>
      </c>
      <c r="I894">
        <v>0</v>
      </c>
      <c r="J894">
        <v>62.96</v>
      </c>
      <c r="K894" s="1">
        <v>45822</v>
      </c>
      <c r="L894" t="s">
        <v>15</v>
      </c>
      <c r="M894" t="s">
        <v>15</v>
      </c>
      <c r="N894">
        <f>salesitems[[#This Row],[quantity]]*salesitems[[#This Row],[unit_price]]</f>
        <v>62.96</v>
      </c>
      <c r="O894" t="str">
        <f>_xlfn.XLOOKUP(salesitems[[#This Row],[product_id]],products[product_id],products[product_name])</f>
        <v>Relaxed Sleeveless Shoes</v>
      </c>
      <c r="P894" t="str">
        <f>_xlfn.XLOOKUP(salesitems[[#This Row],[product_id]],fashion_store_products!A:A,fashion_store_products!C:C)</f>
        <v>Shoes</v>
      </c>
    </row>
    <row r="895" spans="1:16" x14ac:dyDescent="0.45">
      <c r="A895">
        <v>1487</v>
      </c>
      <c r="B895">
        <v>1296</v>
      </c>
      <c r="C895">
        <v>128</v>
      </c>
      <c r="D895">
        <v>2</v>
      </c>
      <c r="E895">
        <v>44.9</v>
      </c>
      <c r="F895">
        <v>31.43</v>
      </c>
      <c r="G895">
        <v>13.47</v>
      </c>
      <c r="H895" s="2">
        <v>0.3</v>
      </c>
      <c r="I895">
        <v>1</v>
      </c>
      <c r="J895">
        <v>62.86</v>
      </c>
      <c r="K895" s="1">
        <v>45795</v>
      </c>
      <c r="L895" t="s">
        <v>15</v>
      </c>
      <c r="M895" t="s">
        <v>11</v>
      </c>
      <c r="N895">
        <f>salesitems[[#This Row],[quantity]]*salesitems[[#This Row],[unit_price]]</f>
        <v>62.86</v>
      </c>
      <c r="O895" t="str">
        <f>_xlfn.XLOOKUP(salesitems[[#This Row],[product_id]],products[product_id],products[product_name])</f>
        <v>Classic Crew Tee</v>
      </c>
      <c r="P895" t="str">
        <f>_xlfn.XLOOKUP(salesitems[[#This Row],[product_id]],fashion_store_products!A:A,fashion_store_products!C:C)</f>
        <v>T-Shirts</v>
      </c>
    </row>
    <row r="896" spans="1:16" x14ac:dyDescent="0.45">
      <c r="A896">
        <v>1962</v>
      </c>
      <c r="B896">
        <v>700</v>
      </c>
      <c r="C896">
        <v>95</v>
      </c>
      <c r="D896">
        <v>2</v>
      </c>
      <c r="E896">
        <v>31.15</v>
      </c>
      <c r="F896">
        <v>31.15</v>
      </c>
      <c r="G896">
        <v>0</v>
      </c>
      <c r="H896" s="2">
        <v>0</v>
      </c>
      <c r="I896">
        <v>0</v>
      </c>
      <c r="J896">
        <v>62.3</v>
      </c>
      <c r="K896" s="1">
        <v>45803</v>
      </c>
      <c r="L896" t="s">
        <v>21</v>
      </c>
      <c r="M896" t="s">
        <v>18</v>
      </c>
      <c r="N896">
        <f>salesitems[[#This Row],[quantity]]*salesitems[[#This Row],[unit_price]]</f>
        <v>62.3</v>
      </c>
      <c r="O896" t="str">
        <f>_xlfn.XLOOKUP(salesitems[[#This Row],[product_id]],products[product_id],products[product_name])</f>
        <v>Modern Crew Set</v>
      </c>
      <c r="P896" t="str">
        <f>_xlfn.XLOOKUP(salesitems[[#This Row],[product_id]],fashion_store_products!A:A,fashion_store_products!C:C)</f>
        <v>Sleepwear</v>
      </c>
    </row>
    <row r="897" spans="1:16" x14ac:dyDescent="0.45">
      <c r="A897">
        <v>3143</v>
      </c>
      <c r="B897">
        <v>902</v>
      </c>
      <c r="C897">
        <v>95</v>
      </c>
      <c r="D897">
        <v>2</v>
      </c>
      <c r="E897">
        <v>31.15</v>
      </c>
      <c r="F897">
        <v>31.15</v>
      </c>
      <c r="G897">
        <v>0</v>
      </c>
      <c r="H897" s="2">
        <v>0</v>
      </c>
      <c r="I897">
        <v>0</v>
      </c>
      <c r="J897">
        <v>62.3</v>
      </c>
      <c r="K897" s="1">
        <v>45806</v>
      </c>
      <c r="L897" t="s">
        <v>15</v>
      </c>
      <c r="M897" t="s">
        <v>15</v>
      </c>
      <c r="N897">
        <f>salesitems[[#This Row],[quantity]]*salesitems[[#This Row],[unit_price]]</f>
        <v>62.3</v>
      </c>
      <c r="O897" t="str">
        <f>_xlfn.XLOOKUP(salesitems[[#This Row],[product_id]],products[product_id],products[product_name])</f>
        <v>Modern Crew Set</v>
      </c>
      <c r="P897" t="str">
        <f>_xlfn.XLOOKUP(salesitems[[#This Row],[product_id]],fashion_store_products!A:A,fashion_store_products!C:C)</f>
        <v>Sleepwear</v>
      </c>
    </row>
    <row r="898" spans="1:16" x14ac:dyDescent="0.45">
      <c r="A898">
        <v>991</v>
      </c>
      <c r="B898">
        <v>371</v>
      </c>
      <c r="C898">
        <v>30</v>
      </c>
      <c r="D898">
        <v>2</v>
      </c>
      <c r="E898">
        <v>31.09</v>
      </c>
      <c r="F898">
        <v>31.09</v>
      </c>
      <c r="G898">
        <v>0</v>
      </c>
      <c r="H898" s="2">
        <v>0</v>
      </c>
      <c r="I898">
        <v>0</v>
      </c>
      <c r="J898">
        <v>62.18</v>
      </c>
      <c r="K898" s="1">
        <v>45767</v>
      </c>
      <c r="L898" t="s">
        <v>21</v>
      </c>
      <c r="M898" t="s">
        <v>18</v>
      </c>
      <c r="N898">
        <f>salesitems[[#This Row],[quantity]]*salesitems[[#This Row],[unit_price]]</f>
        <v>62.18</v>
      </c>
      <c r="O898" t="str">
        <f>_xlfn.XLOOKUP(salesitems[[#This Row],[product_id]],products[product_id],products[product_name])</f>
        <v>Soft Satin Trousers</v>
      </c>
      <c r="P898" t="str">
        <f>_xlfn.XLOOKUP(salesitems[[#This Row],[product_id]],fashion_store_products!A:A,fashion_store_products!C:C)</f>
        <v>Pants</v>
      </c>
    </row>
    <row r="899" spans="1:16" x14ac:dyDescent="0.45">
      <c r="A899">
        <v>1373</v>
      </c>
      <c r="B899">
        <v>175</v>
      </c>
      <c r="C899">
        <v>452</v>
      </c>
      <c r="D899">
        <v>2</v>
      </c>
      <c r="E899">
        <v>30.85</v>
      </c>
      <c r="F899">
        <v>30.85</v>
      </c>
      <c r="G899">
        <v>0</v>
      </c>
      <c r="H899" s="2">
        <v>0</v>
      </c>
      <c r="I899">
        <v>0</v>
      </c>
      <c r="J899">
        <v>61.7</v>
      </c>
      <c r="K899" s="1">
        <v>45765</v>
      </c>
      <c r="L899" t="s">
        <v>15</v>
      </c>
      <c r="M899" t="s">
        <v>15</v>
      </c>
      <c r="N899">
        <f>salesitems[[#This Row],[quantity]]*salesitems[[#This Row],[unit_price]]</f>
        <v>61.7</v>
      </c>
      <c r="O899" t="str">
        <f>_xlfn.XLOOKUP(salesitems[[#This Row],[product_id]],products[product_id],products[product_name])</f>
        <v>Bold Crew Dress</v>
      </c>
      <c r="P899" t="str">
        <f>_xlfn.XLOOKUP(salesitems[[#This Row],[product_id]],fashion_store_products!A:A,fashion_store_products!C:C)</f>
        <v>Dresses</v>
      </c>
    </row>
    <row r="900" spans="1:16" x14ac:dyDescent="0.45">
      <c r="A900">
        <v>1794</v>
      </c>
      <c r="B900">
        <v>275</v>
      </c>
      <c r="C900">
        <v>452</v>
      </c>
      <c r="D900">
        <v>2</v>
      </c>
      <c r="E900">
        <v>30.85</v>
      </c>
      <c r="F900">
        <v>30.85</v>
      </c>
      <c r="G900">
        <v>0</v>
      </c>
      <c r="H900" s="2">
        <v>0</v>
      </c>
      <c r="I900">
        <v>0</v>
      </c>
      <c r="J900">
        <v>61.7</v>
      </c>
      <c r="K900" s="1">
        <v>45765</v>
      </c>
      <c r="L900" t="s">
        <v>15</v>
      </c>
      <c r="M900" t="s">
        <v>15</v>
      </c>
      <c r="N900">
        <f>salesitems[[#This Row],[quantity]]*salesitems[[#This Row],[unit_price]]</f>
        <v>61.7</v>
      </c>
      <c r="O900" t="str">
        <f>_xlfn.XLOOKUP(salesitems[[#This Row],[product_id]],products[product_id],products[product_name])</f>
        <v>Bold Crew Dress</v>
      </c>
      <c r="P900" t="str">
        <f>_xlfn.XLOOKUP(salesitems[[#This Row],[product_id]],fashion_store_products!A:A,fashion_store_products!C:C)</f>
        <v>Dresses</v>
      </c>
    </row>
    <row r="901" spans="1:16" x14ac:dyDescent="0.45">
      <c r="A901">
        <v>1189</v>
      </c>
      <c r="B901">
        <v>115</v>
      </c>
      <c r="C901">
        <v>401</v>
      </c>
      <c r="D901">
        <v>2</v>
      </c>
      <c r="E901">
        <v>30.83</v>
      </c>
      <c r="F901">
        <v>30.83</v>
      </c>
      <c r="G901">
        <v>0</v>
      </c>
      <c r="H901" s="2">
        <v>0</v>
      </c>
      <c r="I901">
        <v>0</v>
      </c>
      <c r="J901">
        <v>61.66</v>
      </c>
      <c r="K901" s="1">
        <v>45752</v>
      </c>
      <c r="L901" t="s">
        <v>15</v>
      </c>
      <c r="M901" t="s">
        <v>15</v>
      </c>
      <c r="N901">
        <f>salesitems[[#This Row],[quantity]]*salesitems[[#This Row],[unit_price]]</f>
        <v>61.66</v>
      </c>
      <c r="O901" t="str">
        <f>_xlfn.XLOOKUP(salesitems[[#This Row],[product_id]],products[product_id],products[product_name])</f>
        <v>Elegant Cotton Dress</v>
      </c>
      <c r="P901" t="str">
        <f>_xlfn.XLOOKUP(salesitems[[#This Row],[product_id]],fashion_store_products!A:A,fashion_store_products!C:C)</f>
        <v>Dresses</v>
      </c>
    </row>
    <row r="902" spans="1:16" x14ac:dyDescent="0.45">
      <c r="A902">
        <v>631</v>
      </c>
      <c r="B902">
        <v>301</v>
      </c>
      <c r="C902">
        <v>363</v>
      </c>
      <c r="D902">
        <v>2</v>
      </c>
      <c r="E902">
        <v>43.64</v>
      </c>
      <c r="F902">
        <v>30.55</v>
      </c>
      <c r="G902">
        <v>13.09</v>
      </c>
      <c r="H902" s="2">
        <v>0.3</v>
      </c>
      <c r="I902">
        <v>1</v>
      </c>
      <c r="J902">
        <v>61.1</v>
      </c>
      <c r="K902" s="1">
        <v>45794</v>
      </c>
      <c r="L902" t="s">
        <v>15</v>
      </c>
      <c r="M902" t="s">
        <v>11</v>
      </c>
      <c r="N902">
        <f>salesitems[[#This Row],[quantity]]*salesitems[[#This Row],[unit_price]]</f>
        <v>61.1</v>
      </c>
      <c r="O902" t="str">
        <f>_xlfn.XLOOKUP(salesitems[[#This Row],[product_id]],products[product_id],products[product_name])</f>
        <v>Tailored Cotton Dress</v>
      </c>
      <c r="P902" t="str">
        <f>_xlfn.XLOOKUP(salesitems[[#This Row],[product_id]],fashion_store_products!A:A,fashion_store_products!C:C)</f>
        <v>Dresses</v>
      </c>
    </row>
    <row r="903" spans="1:16" x14ac:dyDescent="0.45">
      <c r="A903">
        <v>2403</v>
      </c>
      <c r="B903">
        <v>755</v>
      </c>
      <c r="C903">
        <v>339</v>
      </c>
      <c r="D903">
        <v>2</v>
      </c>
      <c r="E903">
        <v>30.35</v>
      </c>
      <c r="F903">
        <v>30.35</v>
      </c>
      <c r="G903">
        <v>0</v>
      </c>
      <c r="H903" s="2">
        <v>0</v>
      </c>
      <c r="I903">
        <v>0</v>
      </c>
      <c r="J903">
        <v>60.7</v>
      </c>
      <c r="K903" s="1">
        <v>45822</v>
      </c>
      <c r="L903" t="s">
        <v>15</v>
      </c>
      <c r="M903" t="s">
        <v>15</v>
      </c>
      <c r="N903">
        <f>salesitems[[#This Row],[quantity]]*salesitems[[#This Row],[unit_price]]</f>
        <v>60.7</v>
      </c>
      <c r="O903" t="str">
        <f>_xlfn.XLOOKUP(salesitems[[#This Row],[product_id]],products[product_id],products[product_name])</f>
        <v>Tailored Cotton Tee</v>
      </c>
      <c r="P903" t="str">
        <f>_xlfn.XLOOKUP(salesitems[[#This Row],[product_id]],fashion_store_products!A:A,fashion_store_products!C:C)</f>
        <v>T-Shirts</v>
      </c>
    </row>
    <row r="904" spans="1:16" x14ac:dyDescent="0.45">
      <c r="A904">
        <v>3129</v>
      </c>
      <c r="B904">
        <v>1200</v>
      </c>
      <c r="C904">
        <v>429</v>
      </c>
      <c r="D904">
        <v>2</v>
      </c>
      <c r="E904">
        <v>43.34</v>
      </c>
      <c r="F904">
        <v>30.34</v>
      </c>
      <c r="G904">
        <v>13</v>
      </c>
      <c r="H904" s="2">
        <v>0.3</v>
      </c>
      <c r="I904">
        <v>1</v>
      </c>
      <c r="J904">
        <v>60.68</v>
      </c>
      <c r="K904" s="1">
        <v>45793</v>
      </c>
      <c r="L904" t="s">
        <v>15</v>
      </c>
      <c r="M904" t="s">
        <v>11</v>
      </c>
      <c r="N904">
        <f>salesitems[[#This Row],[quantity]]*salesitems[[#This Row],[unit_price]]</f>
        <v>60.68</v>
      </c>
      <c r="O904" t="str">
        <f>_xlfn.XLOOKUP(salesitems[[#This Row],[product_id]],products[product_id],products[product_name])</f>
        <v>Bold Wrap Tee</v>
      </c>
      <c r="P904" t="str">
        <f>_xlfn.XLOOKUP(salesitems[[#This Row],[product_id]],fashion_store_products!A:A,fashion_store_products!C:C)</f>
        <v>T-Shirts</v>
      </c>
    </row>
    <row r="905" spans="1:16" x14ac:dyDescent="0.45">
      <c r="A905">
        <v>435</v>
      </c>
      <c r="B905">
        <v>172</v>
      </c>
      <c r="C905">
        <v>308</v>
      </c>
      <c r="D905">
        <v>2</v>
      </c>
      <c r="E905">
        <v>43.27</v>
      </c>
      <c r="F905">
        <v>30.29</v>
      </c>
      <c r="G905">
        <v>12.98</v>
      </c>
      <c r="H905" s="2">
        <v>0.3</v>
      </c>
      <c r="I905">
        <v>1</v>
      </c>
      <c r="J905">
        <v>60.58</v>
      </c>
      <c r="K905" s="1">
        <v>45790</v>
      </c>
      <c r="L905" t="s">
        <v>15</v>
      </c>
      <c r="M905" t="s">
        <v>11</v>
      </c>
      <c r="N905">
        <f>salesitems[[#This Row],[quantity]]*salesitems[[#This Row],[unit_price]]</f>
        <v>60.58</v>
      </c>
      <c r="O905" t="str">
        <f>_xlfn.XLOOKUP(salesitems[[#This Row],[product_id]],products[product_id],products[product_name])</f>
        <v>Relaxed Linen Trousers</v>
      </c>
      <c r="P905" t="str">
        <f>_xlfn.XLOOKUP(salesitems[[#This Row],[product_id]],fashion_store_products!A:A,fashion_store_products!C:C)</f>
        <v>Pants</v>
      </c>
    </row>
    <row r="906" spans="1:16" x14ac:dyDescent="0.45">
      <c r="A906">
        <v>2235</v>
      </c>
      <c r="B906">
        <v>905</v>
      </c>
      <c r="C906">
        <v>171</v>
      </c>
      <c r="D906">
        <v>2</v>
      </c>
      <c r="E906">
        <v>30.26</v>
      </c>
      <c r="F906">
        <v>30.26</v>
      </c>
      <c r="G906">
        <v>0</v>
      </c>
      <c r="H906" s="2">
        <v>0</v>
      </c>
      <c r="I906">
        <v>0</v>
      </c>
      <c r="J906">
        <v>60.52</v>
      </c>
      <c r="K906" s="1">
        <v>45807</v>
      </c>
      <c r="L906" t="s">
        <v>15</v>
      </c>
      <c r="M906" t="s">
        <v>15</v>
      </c>
      <c r="N906">
        <f>salesitems[[#This Row],[quantity]]*salesitems[[#This Row],[unit_price]]</f>
        <v>60.52</v>
      </c>
      <c r="O906" t="str">
        <f>_xlfn.XLOOKUP(salesitems[[#This Row],[product_id]],products[product_id],products[product_name])</f>
        <v>Polished Wrap Dress</v>
      </c>
      <c r="P906" t="str">
        <f>_xlfn.XLOOKUP(salesitems[[#This Row],[product_id]],fashion_store_products!A:A,fashion_store_products!C:C)</f>
        <v>Dresses</v>
      </c>
    </row>
    <row r="907" spans="1:16" x14ac:dyDescent="0.45">
      <c r="A907">
        <v>695</v>
      </c>
      <c r="B907">
        <v>485</v>
      </c>
      <c r="C907">
        <v>241</v>
      </c>
      <c r="D907">
        <v>2</v>
      </c>
      <c r="E907">
        <v>29.82</v>
      </c>
      <c r="F907">
        <v>29.82</v>
      </c>
      <c r="G907">
        <v>0</v>
      </c>
      <c r="H907" s="2">
        <v>0</v>
      </c>
      <c r="I907">
        <v>0</v>
      </c>
      <c r="J907">
        <v>59.64</v>
      </c>
      <c r="K907" s="1">
        <v>45821</v>
      </c>
      <c r="L907" t="s">
        <v>21</v>
      </c>
      <c r="M907" t="s">
        <v>18</v>
      </c>
      <c r="N907">
        <f>salesitems[[#This Row],[quantity]]*salesitems[[#This Row],[unit_price]]</f>
        <v>59.64</v>
      </c>
      <c r="O907" t="str">
        <f>_xlfn.XLOOKUP(salesitems[[#This Row],[product_id]],products[product_id],products[product_name])</f>
        <v>Polished Ribbed Trousers</v>
      </c>
      <c r="P907" t="str">
        <f>_xlfn.XLOOKUP(salesitems[[#This Row],[product_id]],fashion_store_products!A:A,fashion_store_products!C:C)</f>
        <v>Pants</v>
      </c>
    </row>
    <row r="908" spans="1:16" x14ac:dyDescent="0.45">
      <c r="A908">
        <v>2099</v>
      </c>
      <c r="B908">
        <v>85</v>
      </c>
      <c r="C908">
        <v>241</v>
      </c>
      <c r="D908">
        <v>2</v>
      </c>
      <c r="E908">
        <v>29.82</v>
      </c>
      <c r="F908">
        <v>29.82</v>
      </c>
      <c r="G908">
        <v>0</v>
      </c>
      <c r="H908" s="2">
        <v>0</v>
      </c>
      <c r="I908">
        <v>0</v>
      </c>
      <c r="J908">
        <v>59.64</v>
      </c>
      <c r="K908" s="1">
        <v>45792</v>
      </c>
      <c r="L908" t="s">
        <v>21</v>
      </c>
      <c r="M908" t="s">
        <v>18</v>
      </c>
      <c r="N908">
        <f>salesitems[[#This Row],[quantity]]*salesitems[[#This Row],[unit_price]]</f>
        <v>59.64</v>
      </c>
      <c r="O908" t="str">
        <f>_xlfn.XLOOKUP(salesitems[[#This Row],[product_id]],products[product_id],products[product_name])</f>
        <v>Polished Ribbed Trousers</v>
      </c>
      <c r="P908" t="str">
        <f>_xlfn.XLOOKUP(salesitems[[#This Row],[product_id]],fashion_store_products!A:A,fashion_store_products!C:C)</f>
        <v>Pants</v>
      </c>
    </row>
    <row r="909" spans="1:16" x14ac:dyDescent="0.45">
      <c r="A909">
        <v>711</v>
      </c>
      <c r="B909">
        <v>63</v>
      </c>
      <c r="C909">
        <v>88</v>
      </c>
      <c r="D909">
        <v>2</v>
      </c>
      <c r="E909">
        <v>29.81</v>
      </c>
      <c r="F909">
        <v>29.81</v>
      </c>
      <c r="G909">
        <v>0</v>
      </c>
      <c r="H909" s="2">
        <v>0</v>
      </c>
      <c r="I909">
        <v>0</v>
      </c>
      <c r="J909">
        <v>59.62</v>
      </c>
      <c r="K909" s="1">
        <v>45752</v>
      </c>
      <c r="L909" t="s">
        <v>15</v>
      </c>
      <c r="M909" t="s">
        <v>15</v>
      </c>
      <c r="N909">
        <f>salesitems[[#This Row],[quantity]]*salesitems[[#This Row],[unit_price]]</f>
        <v>59.62</v>
      </c>
      <c r="O909" t="str">
        <f>_xlfn.XLOOKUP(salesitems[[#This Row],[product_id]],products[product_id],products[product_name])</f>
        <v>Modern Satin Set</v>
      </c>
      <c r="P909" t="str">
        <f>_xlfn.XLOOKUP(salesitems[[#This Row],[product_id]],fashion_store_products!A:A,fashion_store_products!C:C)</f>
        <v>Sleepwear</v>
      </c>
    </row>
    <row r="910" spans="1:16" x14ac:dyDescent="0.45">
      <c r="A910">
        <v>1019</v>
      </c>
      <c r="B910">
        <v>231</v>
      </c>
      <c r="C910">
        <v>88</v>
      </c>
      <c r="D910">
        <v>2</v>
      </c>
      <c r="E910">
        <v>29.81</v>
      </c>
      <c r="F910">
        <v>29.81</v>
      </c>
      <c r="G910">
        <v>0</v>
      </c>
      <c r="H910" s="2">
        <v>0</v>
      </c>
      <c r="I910">
        <v>0</v>
      </c>
      <c r="J910">
        <v>59.62</v>
      </c>
      <c r="K910" s="1">
        <v>45771</v>
      </c>
      <c r="L910" t="s">
        <v>21</v>
      </c>
      <c r="M910" t="s">
        <v>18</v>
      </c>
      <c r="N910">
        <f>salesitems[[#This Row],[quantity]]*salesitems[[#This Row],[unit_price]]</f>
        <v>59.62</v>
      </c>
      <c r="O910" t="str">
        <f>_xlfn.XLOOKUP(salesitems[[#This Row],[product_id]],products[product_id],products[product_name])</f>
        <v>Modern Satin Set</v>
      </c>
      <c r="P910" t="str">
        <f>_xlfn.XLOOKUP(salesitems[[#This Row],[product_id]],fashion_store_products!A:A,fashion_store_products!C:C)</f>
        <v>Sleepwear</v>
      </c>
    </row>
    <row r="911" spans="1:16" x14ac:dyDescent="0.45">
      <c r="A911">
        <v>320</v>
      </c>
      <c r="B911">
        <v>1196</v>
      </c>
      <c r="C911">
        <v>400</v>
      </c>
      <c r="D911">
        <v>2</v>
      </c>
      <c r="E911">
        <v>29.68</v>
      </c>
      <c r="F911">
        <v>29.68</v>
      </c>
      <c r="G911">
        <v>0</v>
      </c>
      <c r="H911" s="2">
        <v>0</v>
      </c>
      <c r="I911">
        <v>0</v>
      </c>
      <c r="J911">
        <v>59.36</v>
      </c>
      <c r="K911" s="1">
        <v>45800</v>
      </c>
      <c r="L911" t="s">
        <v>15</v>
      </c>
      <c r="M911" t="s">
        <v>15</v>
      </c>
      <c r="N911">
        <f>salesitems[[#This Row],[quantity]]*salesitems[[#This Row],[unit_price]]</f>
        <v>59.36</v>
      </c>
      <c r="O911" t="str">
        <f>_xlfn.XLOOKUP(salesitems[[#This Row],[product_id]],products[product_id],products[product_name])</f>
        <v>Essential Silk Trousers</v>
      </c>
      <c r="P911" t="str">
        <f>_xlfn.XLOOKUP(salesitems[[#This Row],[product_id]],fashion_store_products!A:A,fashion_store_products!C:C)</f>
        <v>Pants</v>
      </c>
    </row>
    <row r="912" spans="1:16" x14ac:dyDescent="0.45">
      <c r="A912">
        <v>522</v>
      </c>
      <c r="B912">
        <v>370</v>
      </c>
      <c r="C912">
        <v>400</v>
      </c>
      <c r="D912">
        <v>2</v>
      </c>
      <c r="E912">
        <v>29.68</v>
      </c>
      <c r="F912">
        <v>29.68</v>
      </c>
      <c r="G912">
        <v>0</v>
      </c>
      <c r="H912" s="2">
        <v>0</v>
      </c>
      <c r="I912">
        <v>0</v>
      </c>
      <c r="J912">
        <v>59.36</v>
      </c>
      <c r="K912" s="1">
        <v>45768</v>
      </c>
      <c r="L912" t="s">
        <v>15</v>
      </c>
      <c r="M912" t="s">
        <v>15</v>
      </c>
      <c r="N912">
        <f>salesitems[[#This Row],[quantity]]*salesitems[[#This Row],[unit_price]]</f>
        <v>59.36</v>
      </c>
      <c r="O912" t="str">
        <f>_xlfn.XLOOKUP(salesitems[[#This Row],[product_id]],products[product_id],products[product_name])</f>
        <v>Essential Silk Trousers</v>
      </c>
      <c r="P912" t="str">
        <f>_xlfn.XLOOKUP(salesitems[[#This Row],[product_id]],fashion_store_products!A:A,fashion_store_products!C:C)</f>
        <v>Pants</v>
      </c>
    </row>
    <row r="913" spans="1:16" x14ac:dyDescent="0.45">
      <c r="A913">
        <v>1530</v>
      </c>
      <c r="B913">
        <v>1320</v>
      </c>
      <c r="C913">
        <v>246</v>
      </c>
      <c r="D913">
        <v>2</v>
      </c>
      <c r="E913">
        <v>28.98</v>
      </c>
      <c r="F913">
        <v>28.98</v>
      </c>
      <c r="G913">
        <v>0</v>
      </c>
      <c r="H913" s="2">
        <v>0</v>
      </c>
      <c r="I913">
        <v>0</v>
      </c>
      <c r="J913">
        <v>57.96</v>
      </c>
      <c r="K913" s="1">
        <v>45764</v>
      </c>
      <c r="L913" t="s">
        <v>21</v>
      </c>
      <c r="M913" t="s">
        <v>18</v>
      </c>
      <c r="N913">
        <f>salesitems[[#This Row],[quantity]]*salesitems[[#This Row],[unit_price]]</f>
        <v>57.96</v>
      </c>
      <c r="O913" t="str">
        <f>_xlfn.XLOOKUP(salesitems[[#This Row],[product_id]],products[product_id],products[product_name])</f>
        <v>Relaxed Satin Dress</v>
      </c>
      <c r="P913" t="str">
        <f>_xlfn.XLOOKUP(salesitems[[#This Row],[product_id]],fashion_store_products!A:A,fashion_store_products!C:C)</f>
        <v>Dresses</v>
      </c>
    </row>
    <row r="914" spans="1:16" x14ac:dyDescent="0.45">
      <c r="A914">
        <v>2473</v>
      </c>
      <c r="B914">
        <v>1349</v>
      </c>
      <c r="C914">
        <v>415</v>
      </c>
      <c r="D914">
        <v>2</v>
      </c>
      <c r="E914">
        <v>28.73</v>
      </c>
      <c r="F914">
        <v>28.73</v>
      </c>
      <c r="G914">
        <v>0</v>
      </c>
      <c r="H914" s="2">
        <v>0</v>
      </c>
      <c r="I914">
        <v>0</v>
      </c>
      <c r="J914">
        <v>57.46</v>
      </c>
      <c r="K914" s="1">
        <v>45804</v>
      </c>
      <c r="L914" t="s">
        <v>21</v>
      </c>
      <c r="M914" t="s">
        <v>18</v>
      </c>
      <c r="N914">
        <f>salesitems[[#This Row],[quantity]]*salesitems[[#This Row],[unit_price]]</f>
        <v>57.46</v>
      </c>
      <c r="O914" t="str">
        <f>_xlfn.XLOOKUP(salesitems[[#This Row],[product_id]],products[product_id],products[product_name])</f>
        <v>Essential Sleeveless Trousers</v>
      </c>
      <c r="P914" t="str">
        <f>_xlfn.XLOOKUP(salesitems[[#This Row],[product_id]],fashion_store_products!A:A,fashion_store_products!C:C)</f>
        <v>Pants</v>
      </c>
    </row>
    <row r="915" spans="1:16" x14ac:dyDescent="0.45">
      <c r="A915">
        <v>2526</v>
      </c>
      <c r="B915">
        <v>476</v>
      </c>
      <c r="C915">
        <v>18</v>
      </c>
      <c r="D915">
        <v>2</v>
      </c>
      <c r="E915">
        <v>40.99</v>
      </c>
      <c r="F915">
        <v>28.69</v>
      </c>
      <c r="G915">
        <v>12.3</v>
      </c>
      <c r="H915" s="2">
        <v>0.3</v>
      </c>
      <c r="I915">
        <v>1</v>
      </c>
      <c r="J915">
        <v>57.39</v>
      </c>
      <c r="K915" s="1">
        <v>45794</v>
      </c>
      <c r="L915" t="s">
        <v>15</v>
      </c>
      <c r="M915" t="s">
        <v>11</v>
      </c>
      <c r="N915">
        <f>salesitems[[#This Row],[quantity]]*salesitems[[#This Row],[unit_price]]</f>
        <v>57.38</v>
      </c>
      <c r="O915" t="str">
        <f>_xlfn.XLOOKUP(salesitems[[#This Row],[product_id]],products[product_id],products[product_name])</f>
        <v>Soft Satin Shoes</v>
      </c>
      <c r="P915" t="str">
        <f>_xlfn.XLOOKUP(salesitems[[#This Row],[product_id]],fashion_store_products!A:A,fashion_store_products!C:C)</f>
        <v>Shoes</v>
      </c>
    </row>
    <row r="916" spans="1:16" x14ac:dyDescent="0.45">
      <c r="A916">
        <v>445</v>
      </c>
      <c r="B916">
        <v>848</v>
      </c>
      <c r="C916">
        <v>350</v>
      </c>
      <c r="D916">
        <v>2</v>
      </c>
      <c r="E916">
        <v>27.62</v>
      </c>
      <c r="F916">
        <v>27.62</v>
      </c>
      <c r="G916">
        <v>0</v>
      </c>
      <c r="H916" s="2">
        <v>0</v>
      </c>
      <c r="I916">
        <v>0</v>
      </c>
      <c r="J916">
        <v>55.24</v>
      </c>
      <c r="K916" s="1">
        <v>45814</v>
      </c>
      <c r="L916" t="s">
        <v>15</v>
      </c>
      <c r="M916" t="s">
        <v>15</v>
      </c>
      <c r="N916">
        <f>salesitems[[#This Row],[quantity]]*salesitems[[#This Row],[unit_price]]</f>
        <v>55.24</v>
      </c>
      <c r="O916" t="str">
        <f>_xlfn.XLOOKUP(salesitems[[#This Row],[product_id]],products[product_id],products[product_name])</f>
        <v>Essential Crew Set</v>
      </c>
      <c r="P916" t="str">
        <f>_xlfn.XLOOKUP(salesitems[[#This Row],[product_id]],fashion_store_products!A:A,fashion_store_products!C:C)</f>
        <v>Sleepwear</v>
      </c>
    </row>
    <row r="917" spans="1:16" x14ac:dyDescent="0.45">
      <c r="A917">
        <v>823</v>
      </c>
      <c r="B917">
        <v>949</v>
      </c>
      <c r="C917">
        <v>350</v>
      </c>
      <c r="D917">
        <v>2</v>
      </c>
      <c r="E917">
        <v>27.62</v>
      </c>
      <c r="F917">
        <v>27.62</v>
      </c>
      <c r="G917">
        <v>0</v>
      </c>
      <c r="H917" s="2">
        <v>0</v>
      </c>
      <c r="I917">
        <v>0</v>
      </c>
      <c r="J917">
        <v>55.24</v>
      </c>
      <c r="K917" s="1">
        <v>45807</v>
      </c>
      <c r="L917" t="s">
        <v>21</v>
      </c>
      <c r="M917" t="s">
        <v>18</v>
      </c>
      <c r="N917">
        <f>salesitems[[#This Row],[quantity]]*salesitems[[#This Row],[unit_price]]</f>
        <v>55.24</v>
      </c>
      <c r="O917" t="str">
        <f>_xlfn.XLOOKUP(salesitems[[#This Row],[product_id]],products[product_id],products[product_name])</f>
        <v>Essential Crew Set</v>
      </c>
      <c r="P917" t="str">
        <f>_xlfn.XLOOKUP(salesitems[[#This Row],[product_id]],fashion_store_products!A:A,fashion_store_products!C:C)</f>
        <v>Sleepwear</v>
      </c>
    </row>
    <row r="918" spans="1:16" x14ac:dyDescent="0.45">
      <c r="A918">
        <v>1880</v>
      </c>
      <c r="B918">
        <v>23</v>
      </c>
      <c r="C918">
        <v>350</v>
      </c>
      <c r="D918">
        <v>2</v>
      </c>
      <c r="E918">
        <v>27.62</v>
      </c>
      <c r="F918">
        <v>27.62</v>
      </c>
      <c r="G918">
        <v>0</v>
      </c>
      <c r="H918" s="2">
        <v>0</v>
      </c>
      <c r="I918">
        <v>0</v>
      </c>
      <c r="J918">
        <v>55.24</v>
      </c>
      <c r="K918" s="1">
        <v>45775</v>
      </c>
      <c r="L918" t="s">
        <v>15</v>
      </c>
      <c r="M918" t="s">
        <v>15</v>
      </c>
      <c r="N918">
        <f>salesitems[[#This Row],[quantity]]*salesitems[[#This Row],[unit_price]]</f>
        <v>55.24</v>
      </c>
      <c r="O918" t="str">
        <f>_xlfn.XLOOKUP(salesitems[[#This Row],[product_id]],products[product_id],products[product_name])</f>
        <v>Essential Crew Set</v>
      </c>
      <c r="P918" t="str">
        <f>_xlfn.XLOOKUP(salesitems[[#This Row],[product_id]],fashion_store_products!A:A,fashion_store_products!C:C)</f>
        <v>Sleepwear</v>
      </c>
    </row>
    <row r="919" spans="1:16" x14ac:dyDescent="0.45">
      <c r="A919">
        <v>2256</v>
      </c>
      <c r="B919">
        <v>403</v>
      </c>
      <c r="C919">
        <v>65</v>
      </c>
      <c r="D919">
        <v>2</v>
      </c>
      <c r="E919">
        <v>27.45</v>
      </c>
      <c r="F919">
        <v>27.45</v>
      </c>
      <c r="G919">
        <v>0</v>
      </c>
      <c r="H919" s="2">
        <v>0</v>
      </c>
      <c r="I919">
        <v>0</v>
      </c>
      <c r="J919">
        <v>54.9</v>
      </c>
      <c r="K919" s="1">
        <v>45774</v>
      </c>
      <c r="L919" t="s">
        <v>15</v>
      </c>
      <c r="M919" t="s">
        <v>15</v>
      </c>
      <c r="N919">
        <f>salesitems[[#This Row],[quantity]]*salesitems[[#This Row],[unit_price]]</f>
        <v>54.9</v>
      </c>
      <c r="O919" t="str">
        <f>_xlfn.XLOOKUP(salesitems[[#This Row],[product_id]],products[product_id],products[product_name])</f>
        <v>Modern Silk Tee</v>
      </c>
      <c r="P919" t="str">
        <f>_xlfn.XLOOKUP(salesitems[[#This Row],[product_id]],fashion_store_products!A:A,fashion_store_products!C:C)</f>
        <v>T-Shirts</v>
      </c>
    </row>
    <row r="920" spans="1:16" x14ac:dyDescent="0.45">
      <c r="A920">
        <v>14</v>
      </c>
      <c r="B920">
        <v>336</v>
      </c>
      <c r="C920">
        <v>119</v>
      </c>
      <c r="D920">
        <v>2</v>
      </c>
      <c r="E920">
        <v>27.34</v>
      </c>
      <c r="F920">
        <v>27.34</v>
      </c>
      <c r="G920">
        <v>0</v>
      </c>
      <c r="H920" s="2">
        <v>0</v>
      </c>
      <c r="I920">
        <v>0</v>
      </c>
      <c r="J920">
        <v>54.68</v>
      </c>
      <c r="K920" s="1">
        <v>45825</v>
      </c>
      <c r="L920" t="s">
        <v>21</v>
      </c>
      <c r="M920" t="s">
        <v>18</v>
      </c>
      <c r="N920">
        <f>salesitems[[#This Row],[quantity]]*salesitems[[#This Row],[unit_price]]</f>
        <v>54.68</v>
      </c>
      <c r="O920" t="str">
        <f>_xlfn.XLOOKUP(salesitems[[#This Row],[product_id]],products[product_id],products[product_name])</f>
        <v>Vintage Linen Dress</v>
      </c>
      <c r="P920" t="str">
        <f>_xlfn.XLOOKUP(salesitems[[#This Row],[product_id]],fashion_store_products!A:A,fashion_store_products!C:C)</f>
        <v>Dresses</v>
      </c>
    </row>
    <row r="921" spans="1:16" x14ac:dyDescent="0.45">
      <c r="A921">
        <v>2124</v>
      </c>
      <c r="B921">
        <v>553</v>
      </c>
      <c r="C921">
        <v>438</v>
      </c>
      <c r="D921">
        <v>2</v>
      </c>
      <c r="E921">
        <v>38.74</v>
      </c>
      <c r="F921">
        <v>27.12</v>
      </c>
      <c r="G921">
        <v>11.62</v>
      </c>
      <c r="H921" s="2">
        <v>0.3</v>
      </c>
      <c r="I921">
        <v>1</v>
      </c>
      <c r="J921">
        <v>54.24</v>
      </c>
      <c r="K921" s="1">
        <v>45795</v>
      </c>
      <c r="L921" t="s">
        <v>15</v>
      </c>
      <c r="M921" t="s">
        <v>11</v>
      </c>
      <c r="N921">
        <f>salesitems[[#This Row],[quantity]]*salesitems[[#This Row],[unit_price]]</f>
        <v>54.24</v>
      </c>
      <c r="O921" t="str">
        <f>_xlfn.XLOOKUP(salesitems[[#This Row],[product_id]],products[product_id],products[product_name])</f>
        <v>Bold Wrap Dress</v>
      </c>
      <c r="P921" t="str">
        <f>_xlfn.XLOOKUP(salesitems[[#This Row],[product_id]],fashion_store_products!A:A,fashion_store_products!C:C)</f>
        <v>Dresses</v>
      </c>
    </row>
    <row r="922" spans="1:16" x14ac:dyDescent="0.45">
      <c r="A922">
        <v>818</v>
      </c>
      <c r="B922">
        <v>821</v>
      </c>
      <c r="C922">
        <v>256</v>
      </c>
      <c r="D922">
        <v>2</v>
      </c>
      <c r="E922">
        <v>38.409999999999997</v>
      </c>
      <c r="F922">
        <v>26.89</v>
      </c>
      <c r="G922">
        <v>11.52</v>
      </c>
      <c r="H922" s="2">
        <v>0.3</v>
      </c>
      <c r="I922">
        <v>1</v>
      </c>
      <c r="J922">
        <v>53.77</v>
      </c>
      <c r="K922" s="1">
        <v>45791</v>
      </c>
      <c r="L922" t="s">
        <v>15</v>
      </c>
      <c r="M922" t="s">
        <v>11</v>
      </c>
      <c r="N922">
        <f>salesitems[[#This Row],[quantity]]*salesitems[[#This Row],[unit_price]]</f>
        <v>53.78</v>
      </c>
      <c r="O922" t="str">
        <f>_xlfn.XLOOKUP(salesitems[[#This Row],[product_id]],products[product_id],products[product_name])</f>
        <v>Polished Crew Set</v>
      </c>
      <c r="P922" t="str">
        <f>_xlfn.XLOOKUP(salesitems[[#This Row],[product_id]],fashion_store_products!A:A,fashion_store_products!C:C)</f>
        <v>Sleepwear</v>
      </c>
    </row>
    <row r="923" spans="1:16" x14ac:dyDescent="0.45">
      <c r="A923">
        <v>1705</v>
      </c>
      <c r="B923">
        <v>785</v>
      </c>
      <c r="C923">
        <v>174</v>
      </c>
      <c r="D923">
        <v>2</v>
      </c>
      <c r="E923">
        <v>26.41</v>
      </c>
      <c r="F923">
        <v>26.41</v>
      </c>
      <c r="G923">
        <v>0</v>
      </c>
      <c r="H923" s="2">
        <v>0</v>
      </c>
      <c r="I923">
        <v>0</v>
      </c>
      <c r="J923">
        <v>52.82</v>
      </c>
      <c r="K923" s="1">
        <v>45808</v>
      </c>
      <c r="L923" t="s">
        <v>15</v>
      </c>
      <c r="M923" t="s">
        <v>15</v>
      </c>
      <c r="N923">
        <f>salesitems[[#This Row],[quantity]]*salesitems[[#This Row],[unit_price]]</f>
        <v>52.82</v>
      </c>
      <c r="O923" t="str">
        <f>_xlfn.XLOOKUP(salesitems[[#This Row],[product_id]],products[product_id],products[product_name])</f>
        <v>Vintage Ribbed Set</v>
      </c>
      <c r="P923" t="str">
        <f>_xlfn.XLOOKUP(salesitems[[#This Row],[product_id]],fashion_store_products!A:A,fashion_store_products!C:C)</f>
        <v>Sleepwear</v>
      </c>
    </row>
    <row r="924" spans="1:16" x14ac:dyDescent="0.45">
      <c r="A924">
        <v>1704</v>
      </c>
      <c r="B924">
        <v>1209</v>
      </c>
      <c r="C924">
        <v>120</v>
      </c>
      <c r="D924">
        <v>2</v>
      </c>
      <c r="E924">
        <v>25.7</v>
      </c>
      <c r="F924">
        <v>25.7</v>
      </c>
      <c r="G924">
        <v>0</v>
      </c>
      <c r="H924" s="2">
        <v>0</v>
      </c>
      <c r="I924">
        <v>0</v>
      </c>
      <c r="J924">
        <v>51.4</v>
      </c>
      <c r="K924" s="1">
        <v>45767</v>
      </c>
      <c r="L924" t="s">
        <v>21</v>
      </c>
      <c r="M924" t="s">
        <v>18</v>
      </c>
      <c r="N924">
        <f>salesitems[[#This Row],[quantity]]*salesitems[[#This Row],[unit_price]]</f>
        <v>51.4</v>
      </c>
      <c r="O924" t="str">
        <f>_xlfn.XLOOKUP(salesitems[[#This Row],[product_id]],products[product_id],products[product_name])</f>
        <v>Modern Boxy Set</v>
      </c>
      <c r="P924" t="str">
        <f>_xlfn.XLOOKUP(salesitems[[#This Row],[product_id]],fashion_store_products!A:A,fashion_store_products!C:C)</f>
        <v>Sleepwear</v>
      </c>
    </row>
    <row r="925" spans="1:16" x14ac:dyDescent="0.45">
      <c r="A925">
        <v>3226</v>
      </c>
      <c r="B925">
        <v>1187</v>
      </c>
      <c r="C925">
        <v>120</v>
      </c>
      <c r="D925">
        <v>2</v>
      </c>
      <c r="E925">
        <v>25.7</v>
      </c>
      <c r="F925">
        <v>25.7</v>
      </c>
      <c r="G925">
        <v>0</v>
      </c>
      <c r="H925" s="2">
        <v>0</v>
      </c>
      <c r="I925">
        <v>0</v>
      </c>
      <c r="J925">
        <v>51.4</v>
      </c>
      <c r="K925" s="1">
        <v>45761</v>
      </c>
      <c r="L925" t="s">
        <v>21</v>
      </c>
      <c r="M925" t="s">
        <v>18</v>
      </c>
      <c r="N925">
        <f>salesitems[[#This Row],[quantity]]*salesitems[[#This Row],[unit_price]]</f>
        <v>51.4</v>
      </c>
      <c r="O925" t="str">
        <f>_xlfn.XLOOKUP(salesitems[[#This Row],[product_id]],products[product_id],products[product_name])</f>
        <v>Modern Boxy Set</v>
      </c>
      <c r="P925" t="str">
        <f>_xlfn.XLOOKUP(salesitems[[#This Row],[product_id]],fashion_store_products!A:A,fashion_store_products!C:C)</f>
        <v>Sleepwear</v>
      </c>
    </row>
    <row r="926" spans="1:16" x14ac:dyDescent="0.45">
      <c r="A926">
        <v>728</v>
      </c>
      <c r="B926">
        <v>1291</v>
      </c>
      <c r="C926">
        <v>51</v>
      </c>
      <c r="D926">
        <v>2</v>
      </c>
      <c r="E926">
        <v>25.38</v>
      </c>
      <c r="F926">
        <v>25.38</v>
      </c>
      <c r="G926">
        <v>0</v>
      </c>
      <c r="H926" s="2">
        <v>0</v>
      </c>
      <c r="I926">
        <v>0</v>
      </c>
      <c r="J926">
        <v>50.76</v>
      </c>
      <c r="K926" s="1">
        <v>45796</v>
      </c>
      <c r="L926" t="s">
        <v>21</v>
      </c>
      <c r="M926" t="s">
        <v>18</v>
      </c>
      <c r="N926">
        <f>salesitems[[#This Row],[quantity]]*salesitems[[#This Row],[unit_price]]</f>
        <v>50.76</v>
      </c>
      <c r="O926" t="str">
        <f>_xlfn.XLOOKUP(salesitems[[#This Row],[product_id]],products[product_id],products[product_name])</f>
        <v>Soft Satin Set</v>
      </c>
      <c r="P926" t="str">
        <f>_xlfn.XLOOKUP(salesitems[[#This Row],[product_id]],fashion_store_products!A:A,fashion_store_products!C:C)</f>
        <v>Sleepwear</v>
      </c>
    </row>
    <row r="927" spans="1:16" x14ac:dyDescent="0.45">
      <c r="A927">
        <v>1658</v>
      </c>
      <c r="B927">
        <v>17</v>
      </c>
      <c r="C927">
        <v>51</v>
      </c>
      <c r="D927">
        <v>2</v>
      </c>
      <c r="E927">
        <v>25.38</v>
      </c>
      <c r="F927">
        <v>25.38</v>
      </c>
      <c r="G927">
        <v>0</v>
      </c>
      <c r="H927" s="2">
        <v>0</v>
      </c>
      <c r="I927">
        <v>0</v>
      </c>
      <c r="J927">
        <v>50.76</v>
      </c>
      <c r="K927" s="1">
        <v>45776</v>
      </c>
      <c r="L927" t="s">
        <v>21</v>
      </c>
      <c r="M927" t="s">
        <v>18</v>
      </c>
      <c r="N927">
        <f>salesitems[[#This Row],[quantity]]*salesitems[[#This Row],[unit_price]]</f>
        <v>50.76</v>
      </c>
      <c r="O927" t="str">
        <f>_xlfn.XLOOKUP(salesitems[[#This Row],[product_id]],products[product_id],products[product_name])</f>
        <v>Soft Satin Set</v>
      </c>
      <c r="P927" t="str">
        <f>_xlfn.XLOOKUP(salesitems[[#This Row],[product_id]],fashion_store_products!A:A,fashion_store_products!C:C)</f>
        <v>Sleepwear</v>
      </c>
    </row>
    <row r="928" spans="1:16" x14ac:dyDescent="0.45">
      <c r="A928">
        <v>620</v>
      </c>
      <c r="B928">
        <v>960</v>
      </c>
      <c r="C928">
        <v>14</v>
      </c>
      <c r="D928">
        <v>2</v>
      </c>
      <c r="E928">
        <v>24.96</v>
      </c>
      <c r="F928">
        <v>24.96</v>
      </c>
      <c r="G928">
        <v>0</v>
      </c>
      <c r="H928" s="2">
        <v>0</v>
      </c>
      <c r="I928">
        <v>0</v>
      </c>
      <c r="J928">
        <v>49.92</v>
      </c>
      <c r="K928" s="1">
        <v>45805</v>
      </c>
      <c r="L928" t="s">
        <v>21</v>
      </c>
      <c r="M928" t="s">
        <v>18</v>
      </c>
      <c r="N928">
        <f>salesitems[[#This Row],[quantity]]*salesitems[[#This Row],[unit_price]]</f>
        <v>49.92</v>
      </c>
      <c r="O928" t="str">
        <f>_xlfn.XLOOKUP(salesitems[[#This Row],[product_id]],products[product_id],products[product_name])</f>
        <v>Soft Cotton Dress</v>
      </c>
      <c r="P928" t="str">
        <f>_xlfn.XLOOKUP(salesitems[[#This Row],[product_id]],fashion_store_products!A:A,fashion_store_products!C:C)</f>
        <v>Dresses</v>
      </c>
    </row>
    <row r="929" spans="1:16" x14ac:dyDescent="0.45">
      <c r="A929">
        <v>2922</v>
      </c>
      <c r="B929">
        <v>1308</v>
      </c>
      <c r="C929">
        <v>122</v>
      </c>
      <c r="D929">
        <v>2</v>
      </c>
      <c r="E929">
        <v>24.8</v>
      </c>
      <c r="F929">
        <v>24.8</v>
      </c>
      <c r="G929">
        <v>0</v>
      </c>
      <c r="H929" s="2">
        <v>0</v>
      </c>
      <c r="I929">
        <v>0</v>
      </c>
      <c r="J929">
        <v>49.6</v>
      </c>
      <c r="K929" s="1">
        <v>45791</v>
      </c>
      <c r="L929" t="s">
        <v>21</v>
      </c>
      <c r="M929" t="s">
        <v>18</v>
      </c>
      <c r="N929">
        <f>salesitems[[#This Row],[quantity]]*salesitems[[#This Row],[unit_price]]</f>
        <v>49.6</v>
      </c>
      <c r="O929" t="str">
        <f>_xlfn.XLOOKUP(salesitems[[#This Row],[product_id]],products[product_id],products[product_name])</f>
        <v>Modern Boxy Trousers</v>
      </c>
      <c r="P929" t="str">
        <f>_xlfn.XLOOKUP(salesitems[[#This Row],[product_id]],fashion_store_products!A:A,fashion_store_products!C:C)</f>
        <v>Pants</v>
      </c>
    </row>
    <row r="930" spans="1:16" x14ac:dyDescent="0.45">
      <c r="A930">
        <v>1755</v>
      </c>
      <c r="B930">
        <v>632</v>
      </c>
      <c r="C930">
        <v>59</v>
      </c>
      <c r="D930">
        <v>2</v>
      </c>
      <c r="E930">
        <v>34.58</v>
      </c>
      <c r="F930">
        <v>24.21</v>
      </c>
      <c r="G930">
        <v>10.37</v>
      </c>
      <c r="H930" s="2">
        <v>0.3</v>
      </c>
      <c r="I930">
        <v>1</v>
      </c>
      <c r="J930">
        <v>48.41</v>
      </c>
      <c r="K930" s="1">
        <v>45793</v>
      </c>
      <c r="L930" t="s">
        <v>15</v>
      </c>
      <c r="M930" t="s">
        <v>11</v>
      </c>
      <c r="N930">
        <f>salesitems[[#This Row],[quantity]]*salesitems[[#This Row],[unit_price]]</f>
        <v>48.42</v>
      </c>
      <c r="O930" t="str">
        <f>_xlfn.XLOOKUP(salesitems[[#This Row],[product_id]],products[product_id],products[product_name])</f>
        <v>Soft Silk Set</v>
      </c>
      <c r="P930" t="str">
        <f>_xlfn.XLOOKUP(salesitems[[#This Row],[product_id]],fashion_store_products!A:A,fashion_store_products!C:C)</f>
        <v>Sleepwear</v>
      </c>
    </row>
    <row r="931" spans="1:16" x14ac:dyDescent="0.45">
      <c r="A931">
        <v>3199</v>
      </c>
      <c r="B931">
        <v>921</v>
      </c>
      <c r="C931">
        <v>59</v>
      </c>
      <c r="D931">
        <v>2</v>
      </c>
      <c r="E931">
        <v>34.58</v>
      </c>
      <c r="F931">
        <v>24.21</v>
      </c>
      <c r="G931">
        <v>10.37</v>
      </c>
      <c r="H931" s="2">
        <v>0.3</v>
      </c>
      <c r="I931">
        <v>1</v>
      </c>
      <c r="J931">
        <v>48.41</v>
      </c>
      <c r="K931" s="1">
        <v>45796</v>
      </c>
      <c r="L931" t="s">
        <v>15</v>
      </c>
      <c r="M931" t="s">
        <v>11</v>
      </c>
      <c r="N931">
        <f>salesitems[[#This Row],[quantity]]*salesitems[[#This Row],[unit_price]]</f>
        <v>48.42</v>
      </c>
      <c r="O931" t="str">
        <f>_xlfn.XLOOKUP(salesitems[[#This Row],[product_id]],products[product_id],products[product_name])</f>
        <v>Soft Silk Set</v>
      </c>
      <c r="P931" t="str">
        <f>_xlfn.XLOOKUP(salesitems[[#This Row],[product_id]],fashion_store_products!A:A,fashion_store_products!C:C)</f>
        <v>Sleepwear</v>
      </c>
    </row>
    <row r="932" spans="1:16" x14ac:dyDescent="0.45">
      <c r="A932">
        <v>1144</v>
      </c>
      <c r="B932">
        <v>180</v>
      </c>
      <c r="C932">
        <v>3</v>
      </c>
      <c r="D932">
        <v>2</v>
      </c>
      <c r="E932">
        <v>23.9</v>
      </c>
      <c r="F932">
        <v>23.9</v>
      </c>
      <c r="G932">
        <v>0</v>
      </c>
      <c r="H932" s="2">
        <v>0</v>
      </c>
      <c r="I932">
        <v>0</v>
      </c>
      <c r="J932">
        <v>47.8</v>
      </c>
      <c r="K932" s="1">
        <v>45821</v>
      </c>
      <c r="L932" t="s">
        <v>15</v>
      </c>
      <c r="M932" t="s">
        <v>15</v>
      </c>
      <c r="N932">
        <f>salesitems[[#This Row],[quantity]]*salesitems[[#This Row],[unit_price]]</f>
        <v>47.8</v>
      </c>
      <c r="O932" t="str">
        <f>_xlfn.XLOOKUP(salesitems[[#This Row],[product_id]],products[product_id],products[product_name])</f>
        <v>Soft Linen Tee</v>
      </c>
      <c r="P932" t="str">
        <f>_xlfn.XLOOKUP(salesitems[[#This Row],[product_id]],fashion_store_products!A:A,fashion_store_products!C:C)</f>
        <v>T-Shirts</v>
      </c>
    </row>
    <row r="933" spans="1:16" x14ac:dyDescent="0.45">
      <c r="A933">
        <v>2583</v>
      </c>
      <c r="B933">
        <v>152</v>
      </c>
      <c r="C933">
        <v>3</v>
      </c>
      <c r="D933">
        <v>2</v>
      </c>
      <c r="E933">
        <v>23.9</v>
      </c>
      <c r="F933">
        <v>23.9</v>
      </c>
      <c r="G933">
        <v>0</v>
      </c>
      <c r="H933" s="2">
        <v>0</v>
      </c>
      <c r="I933">
        <v>0</v>
      </c>
      <c r="J933">
        <v>47.8</v>
      </c>
      <c r="K933" s="1">
        <v>45781</v>
      </c>
      <c r="L933" t="s">
        <v>15</v>
      </c>
      <c r="M933" t="s">
        <v>15</v>
      </c>
      <c r="N933">
        <f>salesitems[[#This Row],[quantity]]*salesitems[[#This Row],[unit_price]]</f>
        <v>47.8</v>
      </c>
      <c r="O933" t="str">
        <f>_xlfn.XLOOKUP(salesitems[[#This Row],[product_id]],products[product_id],products[product_name])</f>
        <v>Soft Linen Tee</v>
      </c>
      <c r="P933" t="str">
        <f>_xlfn.XLOOKUP(salesitems[[#This Row],[product_id]],fashion_store_products!A:A,fashion_store_products!C:C)</f>
        <v>T-Shirts</v>
      </c>
    </row>
    <row r="934" spans="1:16" x14ac:dyDescent="0.45">
      <c r="A934">
        <v>2505</v>
      </c>
      <c r="B934">
        <v>812</v>
      </c>
      <c r="C934">
        <v>235</v>
      </c>
      <c r="D934">
        <v>2</v>
      </c>
      <c r="E934">
        <v>23.68</v>
      </c>
      <c r="F934">
        <v>23.68</v>
      </c>
      <c r="G934">
        <v>0</v>
      </c>
      <c r="H934" s="2">
        <v>0</v>
      </c>
      <c r="I934">
        <v>0</v>
      </c>
      <c r="J934">
        <v>47.36</v>
      </c>
      <c r="K934" s="1">
        <v>45768</v>
      </c>
      <c r="L934" t="s">
        <v>21</v>
      </c>
      <c r="M934" t="s">
        <v>18</v>
      </c>
      <c r="N934">
        <f>salesitems[[#This Row],[quantity]]*salesitems[[#This Row],[unit_price]]</f>
        <v>47.36</v>
      </c>
      <c r="O934" t="str">
        <f>_xlfn.XLOOKUP(salesitems[[#This Row],[product_id]],products[product_id],products[product_name])</f>
        <v>Polished Cotton Set</v>
      </c>
      <c r="P934" t="str">
        <f>_xlfn.XLOOKUP(salesitems[[#This Row],[product_id]],fashion_store_products!A:A,fashion_store_products!C:C)</f>
        <v>Sleepwear</v>
      </c>
    </row>
    <row r="935" spans="1:16" x14ac:dyDescent="0.45">
      <c r="A935">
        <v>652</v>
      </c>
      <c r="B935">
        <v>819</v>
      </c>
      <c r="C935">
        <v>355</v>
      </c>
      <c r="D935">
        <v>2</v>
      </c>
      <c r="E935">
        <v>21.38</v>
      </c>
      <c r="F935">
        <v>21.38</v>
      </c>
      <c r="G935">
        <v>0</v>
      </c>
      <c r="H935" s="2">
        <v>0</v>
      </c>
      <c r="I935">
        <v>0</v>
      </c>
      <c r="J935">
        <v>42.76</v>
      </c>
      <c r="K935" s="1">
        <v>45773</v>
      </c>
      <c r="L935" t="s">
        <v>21</v>
      </c>
      <c r="M935" t="s">
        <v>18</v>
      </c>
      <c r="N935">
        <f>salesitems[[#This Row],[quantity]]*salesitems[[#This Row],[unit_price]]</f>
        <v>42.76</v>
      </c>
      <c r="O935" t="str">
        <f>_xlfn.XLOOKUP(salesitems[[#This Row],[product_id]],products[product_id],products[product_name])</f>
        <v>Relaxed Boxy Trousers</v>
      </c>
      <c r="P935" t="str">
        <f>_xlfn.XLOOKUP(salesitems[[#This Row],[product_id]],fashion_store_products!A:A,fashion_store_products!C:C)</f>
        <v>Pants</v>
      </c>
    </row>
    <row r="936" spans="1:16" x14ac:dyDescent="0.45">
      <c r="A936">
        <v>2059</v>
      </c>
      <c r="B936">
        <v>328</v>
      </c>
      <c r="C936">
        <v>355</v>
      </c>
      <c r="D936">
        <v>2</v>
      </c>
      <c r="E936">
        <v>21.38</v>
      </c>
      <c r="F936">
        <v>21.38</v>
      </c>
      <c r="G936">
        <v>0</v>
      </c>
      <c r="H936" s="2">
        <v>0</v>
      </c>
      <c r="I936">
        <v>0</v>
      </c>
      <c r="J936">
        <v>42.76</v>
      </c>
      <c r="K936" s="1">
        <v>45790</v>
      </c>
      <c r="L936" t="s">
        <v>21</v>
      </c>
      <c r="M936" t="s">
        <v>18</v>
      </c>
      <c r="N936">
        <f>salesitems[[#This Row],[quantity]]*salesitems[[#This Row],[unit_price]]</f>
        <v>42.76</v>
      </c>
      <c r="O936" t="str">
        <f>_xlfn.XLOOKUP(salesitems[[#This Row],[product_id]],products[product_id],products[product_name])</f>
        <v>Relaxed Boxy Trousers</v>
      </c>
      <c r="P936" t="str">
        <f>_xlfn.XLOOKUP(salesitems[[#This Row],[product_id]],fashion_store_products!A:A,fashion_store_products!C:C)</f>
        <v>Pants</v>
      </c>
    </row>
    <row r="937" spans="1:16" x14ac:dyDescent="0.45">
      <c r="A937">
        <v>3306</v>
      </c>
      <c r="B937">
        <v>1173</v>
      </c>
      <c r="C937">
        <v>246</v>
      </c>
      <c r="D937">
        <v>2</v>
      </c>
      <c r="E937">
        <v>28.98</v>
      </c>
      <c r="F937">
        <v>20.29</v>
      </c>
      <c r="G937">
        <v>8.69</v>
      </c>
      <c r="H937" s="2">
        <v>0.3</v>
      </c>
      <c r="I937">
        <v>1</v>
      </c>
      <c r="J937">
        <v>40.57</v>
      </c>
      <c r="K937" s="1">
        <v>45793</v>
      </c>
      <c r="L937" t="s">
        <v>15</v>
      </c>
      <c r="M937" t="s">
        <v>11</v>
      </c>
      <c r="N937">
        <f>salesitems[[#This Row],[quantity]]*salesitems[[#This Row],[unit_price]]</f>
        <v>40.58</v>
      </c>
      <c r="O937" t="str">
        <f>_xlfn.XLOOKUP(salesitems[[#This Row],[product_id]],products[product_id],products[product_name])</f>
        <v>Relaxed Satin Dress</v>
      </c>
      <c r="P937" t="str">
        <f>_xlfn.XLOOKUP(salesitems[[#This Row],[product_id]],fashion_store_products!A:A,fashion_store_products!C:C)</f>
        <v>Dresses</v>
      </c>
    </row>
    <row r="938" spans="1:16" x14ac:dyDescent="0.45">
      <c r="A938">
        <v>423</v>
      </c>
      <c r="B938">
        <v>1060</v>
      </c>
      <c r="C938">
        <v>245</v>
      </c>
      <c r="D938">
        <v>2</v>
      </c>
      <c r="E938">
        <v>24.91</v>
      </c>
      <c r="F938">
        <v>17.440000000000001</v>
      </c>
      <c r="G938">
        <v>7.47</v>
      </c>
      <c r="H938" s="2">
        <v>0.3</v>
      </c>
      <c r="I938">
        <v>1</v>
      </c>
      <c r="J938">
        <v>34.869999999999997</v>
      </c>
      <c r="K938" s="1">
        <v>45795</v>
      </c>
      <c r="L938" t="s">
        <v>15</v>
      </c>
      <c r="M938" t="s">
        <v>11</v>
      </c>
      <c r="N938">
        <f>salesitems[[#This Row],[quantity]]*salesitems[[#This Row],[unit_price]]</f>
        <v>34.880000000000003</v>
      </c>
      <c r="O938" t="str">
        <f>_xlfn.XLOOKUP(salesitems[[#This Row],[product_id]],products[product_id],products[product_name])</f>
        <v>Relaxed Cotton Dress</v>
      </c>
      <c r="P938" t="str">
        <f>_xlfn.XLOOKUP(salesitems[[#This Row],[product_id]],fashion_store_products!A:A,fashion_store_products!C:C)</f>
        <v>Dresses</v>
      </c>
    </row>
    <row r="939" spans="1:16" x14ac:dyDescent="0.45">
      <c r="A939">
        <v>197</v>
      </c>
      <c r="B939">
        <v>1109</v>
      </c>
      <c r="C939">
        <v>198</v>
      </c>
      <c r="D939">
        <v>2</v>
      </c>
      <c r="E939">
        <v>14.64</v>
      </c>
      <c r="F939">
        <v>14.64</v>
      </c>
      <c r="G939">
        <v>0</v>
      </c>
      <c r="H939" s="2">
        <v>0</v>
      </c>
      <c r="I939">
        <v>0</v>
      </c>
      <c r="J939">
        <v>29.28</v>
      </c>
      <c r="K939" s="1">
        <v>45804</v>
      </c>
      <c r="L939" t="s">
        <v>21</v>
      </c>
      <c r="M939" t="s">
        <v>18</v>
      </c>
      <c r="N939">
        <f>salesitems[[#This Row],[quantity]]*salesitems[[#This Row],[unit_price]]</f>
        <v>29.28</v>
      </c>
      <c r="O939" t="str">
        <f>_xlfn.XLOOKUP(salesitems[[#This Row],[product_id]],products[product_id],products[product_name])</f>
        <v>Polished Crew Dress</v>
      </c>
      <c r="P939" t="str">
        <f>_xlfn.XLOOKUP(salesitems[[#This Row],[product_id]],fashion_store_products!A:A,fashion_store_products!C:C)</f>
        <v>Dresses</v>
      </c>
    </row>
    <row r="940" spans="1:16" x14ac:dyDescent="0.45">
      <c r="A940">
        <v>3337</v>
      </c>
      <c r="B940">
        <v>1304</v>
      </c>
      <c r="C940">
        <v>198</v>
      </c>
      <c r="D940">
        <v>2</v>
      </c>
      <c r="E940">
        <v>14.64</v>
      </c>
      <c r="F940">
        <v>14.64</v>
      </c>
      <c r="G940">
        <v>0</v>
      </c>
      <c r="H940" s="2">
        <v>0</v>
      </c>
      <c r="I940">
        <v>0</v>
      </c>
      <c r="J940">
        <v>29.28</v>
      </c>
      <c r="K940" s="1">
        <v>45761</v>
      </c>
      <c r="L940" t="s">
        <v>15</v>
      </c>
      <c r="M940" t="s">
        <v>15</v>
      </c>
      <c r="N940">
        <f>salesitems[[#This Row],[quantity]]*salesitems[[#This Row],[unit_price]]</f>
        <v>29.28</v>
      </c>
      <c r="O940" t="str">
        <f>_xlfn.XLOOKUP(salesitems[[#This Row],[product_id]],products[product_id],products[product_name])</f>
        <v>Polished Crew Dress</v>
      </c>
      <c r="P940" t="str">
        <f>_xlfn.XLOOKUP(salesitems[[#This Row],[product_id]],fashion_store_products!A:A,fashion_store_products!C:C)</f>
        <v>Dresses</v>
      </c>
    </row>
    <row r="941" spans="1:16" x14ac:dyDescent="0.45">
      <c r="A941">
        <v>715</v>
      </c>
      <c r="B941">
        <v>1042</v>
      </c>
      <c r="C941">
        <v>195</v>
      </c>
      <c r="D941">
        <v>2</v>
      </c>
      <c r="E941">
        <v>16.690000000000001</v>
      </c>
      <c r="F941">
        <v>11.68</v>
      </c>
      <c r="G941">
        <v>5.01</v>
      </c>
      <c r="H941" s="2">
        <v>0.3</v>
      </c>
      <c r="I941">
        <v>1</v>
      </c>
      <c r="J941">
        <v>23.37</v>
      </c>
      <c r="K941" s="1">
        <v>45790</v>
      </c>
      <c r="L941" t="s">
        <v>15</v>
      </c>
      <c r="M941" t="s">
        <v>11</v>
      </c>
      <c r="N941">
        <f>salesitems[[#This Row],[quantity]]*salesitems[[#This Row],[unit_price]]</f>
        <v>23.36</v>
      </c>
      <c r="O941" t="str">
        <f>_xlfn.XLOOKUP(salesitems[[#This Row],[product_id]],products[product_id],products[product_name])</f>
        <v>Vintage Crew Tee</v>
      </c>
      <c r="P941" t="str">
        <f>_xlfn.XLOOKUP(salesitems[[#This Row],[product_id]],fashion_store_products!A:A,fashion_store_products!C:C)</f>
        <v>T-Shirts</v>
      </c>
    </row>
    <row r="942" spans="1:16" x14ac:dyDescent="0.45">
      <c r="A942">
        <v>845</v>
      </c>
      <c r="B942">
        <v>576</v>
      </c>
      <c r="C942">
        <v>284</v>
      </c>
      <c r="D942">
        <v>3</v>
      </c>
      <c r="E942">
        <v>81.790000000000006</v>
      </c>
      <c r="F942">
        <v>81.790000000000006</v>
      </c>
      <c r="G942">
        <v>0</v>
      </c>
      <c r="H942" s="2">
        <v>0</v>
      </c>
      <c r="I942">
        <v>0</v>
      </c>
      <c r="J942">
        <v>245.37</v>
      </c>
      <c r="K942" s="1">
        <v>45821</v>
      </c>
      <c r="L942" t="s">
        <v>21</v>
      </c>
      <c r="M942" t="s">
        <v>18</v>
      </c>
      <c r="N942">
        <f>salesitems[[#This Row],[quantity]]*salesitems[[#This Row],[unit_price]]</f>
        <v>245.37</v>
      </c>
      <c r="O942" t="str">
        <f>_xlfn.XLOOKUP(salesitems[[#This Row],[product_id]],products[product_id],products[product_name])</f>
        <v>Essential Cotton Shoes</v>
      </c>
      <c r="P942" t="str">
        <f>_xlfn.XLOOKUP(salesitems[[#This Row],[product_id]],fashion_store_products!A:A,fashion_store_products!C:C)</f>
        <v>Shoes</v>
      </c>
    </row>
    <row r="943" spans="1:16" x14ac:dyDescent="0.45">
      <c r="A943">
        <v>1034</v>
      </c>
      <c r="B943">
        <v>488</v>
      </c>
      <c r="C943">
        <v>60</v>
      </c>
      <c r="D943">
        <v>3</v>
      </c>
      <c r="E943">
        <v>81.7</v>
      </c>
      <c r="F943">
        <v>81.7</v>
      </c>
      <c r="G943">
        <v>0</v>
      </c>
      <c r="H943" s="2">
        <v>0</v>
      </c>
      <c r="I943">
        <v>0</v>
      </c>
      <c r="J943">
        <v>245.1</v>
      </c>
      <c r="K943" s="1">
        <v>45792</v>
      </c>
      <c r="L943" t="s">
        <v>21</v>
      </c>
      <c r="M943" t="s">
        <v>18</v>
      </c>
      <c r="N943">
        <f>salesitems[[#This Row],[quantity]]*salesitems[[#This Row],[unit_price]]</f>
        <v>245.10000000000002</v>
      </c>
      <c r="O943" t="str">
        <f>_xlfn.XLOOKUP(salesitems[[#This Row],[product_id]],products[product_id],products[product_name])</f>
        <v>Modern Cotton Tee</v>
      </c>
      <c r="P943" t="str">
        <f>_xlfn.XLOOKUP(salesitems[[#This Row],[product_id]],fashion_store_products!A:A,fashion_store_products!C:C)</f>
        <v>T-Shirts</v>
      </c>
    </row>
    <row r="944" spans="1:16" x14ac:dyDescent="0.45">
      <c r="A944">
        <v>1217</v>
      </c>
      <c r="B944">
        <v>414</v>
      </c>
      <c r="C944">
        <v>60</v>
      </c>
      <c r="D944">
        <v>3</v>
      </c>
      <c r="E944">
        <v>81.7</v>
      </c>
      <c r="F944">
        <v>81.7</v>
      </c>
      <c r="G944">
        <v>0</v>
      </c>
      <c r="H944" s="2">
        <v>0</v>
      </c>
      <c r="I944">
        <v>0</v>
      </c>
      <c r="J944">
        <v>245.1</v>
      </c>
      <c r="K944" s="1">
        <v>45822</v>
      </c>
      <c r="L944" t="s">
        <v>15</v>
      </c>
      <c r="M944" t="s">
        <v>15</v>
      </c>
      <c r="N944">
        <f>salesitems[[#This Row],[quantity]]*salesitems[[#This Row],[unit_price]]</f>
        <v>245.10000000000002</v>
      </c>
      <c r="O944" t="str">
        <f>_xlfn.XLOOKUP(salesitems[[#This Row],[product_id]],products[product_id],products[product_name])</f>
        <v>Modern Cotton Tee</v>
      </c>
      <c r="P944" t="str">
        <f>_xlfn.XLOOKUP(salesitems[[#This Row],[product_id]],fashion_store_products!A:A,fashion_store_products!C:C)</f>
        <v>T-Shirts</v>
      </c>
    </row>
    <row r="945" spans="1:16" x14ac:dyDescent="0.45">
      <c r="A945">
        <v>1091</v>
      </c>
      <c r="B945">
        <v>505</v>
      </c>
      <c r="C945">
        <v>10</v>
      </c>
      <c r="D945">
        <v>3</v>
      </c>
      <c r="E945">
        <v>79.7</v>
      </c>
      <c r="F945">
        <v>79.7</v>
      </c>
      <c r="G945">
        <v>0</v>
      </c>
      <c r="H945" s="2">
        <v>0</v>
      </c>
      <c r="I945">
        <v>0</v>
      </c>
      <c r="J945">
        <v>239.1</v>
      </c>
      <c r="K945" s="1">
        <v>45800</v>
      </c>
      <c r="L945" t="s">
        <v>15</v>
      </c>
      <c r="M945" t="s">
        <v>15</v>
      </c>
      <c r="N945">
        <f>salesitems[[#This Row],[quantity]]*salesitems[[#This Row],[unit_price]]</f>
        <v>239.10000000000002</v>
      </c>
      <c r="O945" t="str">
        <f>_xlfn.XLOOKUP(salesitems[[#This Row],[product_id]],products[product_id],products[product_name])</f>
        <v>Soft Ribbed Trousers</v>
      </c>
      <c r="P945" t="str">
        <f>_xlfn.XLOOKUP(salesitems[[#This Row],[product_id]],fashion_store_products!A:A,fashion_store_products!C:C)</f>
        <v>Pants</v>
      </c>
    </row>
    <row r="946" spans="1:16" x14ac:dyDescent="0.45">
      <c r="A946">
        <v>2791</v>
      </c>
      <c r="B946">
        <v>234</v>
      </c>
      <c r="C946">
        <v>269</v>
      </c>
      <c r="D946">
        <v>3</v>
      </c>
      <c r="E946">
        <v>77.59</v>
      </c>
      <c r="F946">
        <v>77.59</v>
      </c>
      <c r="G946">
        <v>0</v>
      </c>
      <c r="H946" s="2">
        <v>0</v>
      </c>
      <c r="I946">
        <v>0</v>
      </c>
      <c r="J946">
        <v>232.77</v>
      </c>
      <c r="K946" s="1">
        <v>45797</v>
      </c>
      <c r="L946" t="s">
        <v>15</v>
      </c>
      <c r="M946" t="s">
        <v>15</v>
      </c>
      <c r="N946">
        <f>salesitems[[#This Row],[quantity]]*salesitems[[#This Row],[unit_price]]</f>
        <v>232.77</v>
      </c>
      <c r="O946" t="str">
        <f>_xlfn.XLOOKUP(salesitems[[#This Row],[product_id]],products[product_id],products[product_name])</f>
        <v>Relaxed Crew Dress</v>
      </c>
      <c r="P946" t="str">
        <f>_xlfn.XLOOKUP(salesitems[[#This Row],[product_id]],fashion_store_products!A:A,fashion_store_products!C:C)</f>
        <v>Dresses</v>
      </c>
    </row>
    <row r="947" spans="1:16" x14ac:dyDescent="0.45">
      <c r="A947">
        <v>1270</v>
      </c>
      <c r="B947">
        <v>318</v>
      </c>
      <c r="C947">
        <v>163</v>
      </c>
      <c r="D947">
        <v>3</v>
      </c>
      <c r="E947">
        <v>76.959999999999994</v>
      </c>
      <c r="F947">
        <v>76.959999999999994</v>
      </c>
      <c r="G947">
        <v>0</v>
      </c>
      <c r="H947" s="2">
        <v>0</v>
      </c>
      <c r="I947">
        <v>0</v>
      </c>
      <c r="J947">
        <v>230.88</v>
      </c>
      <c r="K947" s="1">
        <v>45764</v>
      </c>
      <c r="L947" t="s">
        <v>21</v>
      </c>
      <c r="M947" t="s">
        <v>18</v>
      </c>
      <c r="N947">
        <f>salesitems[[#This Row],[quantity]]*salesitems[[#This Row],[unit_price]]</f>
        <v>230.88</v>
      </c>
      <c r="O947" t="str">
        <f>_xlfn.XLOOKUP(salesitems[[#This Row],[product_id]],products[product_id],products[product_name])</f>
        <v>Vintage Wrap Set</v>
      </c>
      <c r="P947" t="str">
        <f>_xlfn.XLOOKUP(salesitems[[#This Row],[product_id]],fashion_store_products!A:A,fashion_store_products!C:C)</f>
        <v>Sleepwear</v>
      </c>
    </row>
    <row r="948" spans="1:16" x14ac:dyDescent="0.45">
      <c r="A948">
        <v>2842</v>
      </c>
      <c r="B948">
        <v>424</v>
      </c>
      <c r="C948">
        <v>163</v>
      </c>
      <c r="D948">
        <v>3</v>
      </c>
      <c r="E948">
        <v>76.959999999999994</v>
      </c>
      <c r="F948">
        <v>76.959999999999994</v>
      </c>
      <c r="G948">
        <v>0</v>
      </c>
      <c r="H948" s="2">
        <v>0</v>
      </c>
      <c r="I948">
        <v>0</v>
      </c>
      <c r="J948">
        <v>230.88</v>
      </c>
      <c r="K948" s="1">
        <v>45799</v>
      </c>
      <c r="L948" t="s">
        <v>15</v>
      </c>
      <c r="M948" t="s">
        <v>15</v>
      </c>
      <c r="N948">
        <f>salesitems[[#This Row],[quantity]]*salesitems[[#This Row],[unit_price]]</f>
        <v>230.88</v>
      </c>
      <c r="O948" t="str">
        <f>_xlfn.XLOOKUP(salesitems[[#This Row],[product_id]],products[product_id],products[product_name])</f>
        <v>Vintage Wrap Set</v>
      </c>
      <c r="P948" t="str">
        <f>_xlfn.XLOOKUP(salesitems[[#This Row],[product_id]],fashion_store_products!A:A,fashion_store_products!C:C)</f>
        <v>Sleepwear</v>
      </c>
    </row>
    <row r="949" spans="1:16" x14ac:dyDescent="0.45">
      <c r="A949">
        <v>1875</v>
      </c>
      <c r="B949">
        <v>433</v>
      </c>
      <c r="C949">
        <v>224</v>
      </c>
      <c r="D949">
        <v>3</v>
      </c>
      <c r="E949">
        <v>75.400000000000006</v>
      </c>
      <c r="F949">
        <v>75.400000000000006</v>
      </c>
      <c r="G949">
        <v>0</v>
      </c>
      <c r="H949" s="2">
        <v>0</v>
      </c>
      <c r="I949">
        <v>0</v>
      </c>
      <c r="J949">
        <v>226.2</v>
      </c>
      <c r="K949" s="1">
        <v>45807</v>
      </c>
      <c r="L949" t="s">
        <v>15</v>
      </c>
      <c r="M949" t="s">
        <v>15</v>
      </c>
      <c r="N949">
        <f>salesitems[[#This Row],[quantity]]*salesitems[[#This Row],[unit_price]]</f>
        <v>226.20000000000002</v>
      </c>
      <c r="O949" t="str">
        <f>_xlfn.XLOOKUP(salesitems[[#This Row],[product_id]],products[product_id],products[product_name])</f>
        <v>Relaxed Linen Dress</v>
      </c>
      <c r="P949" t="str">
        <f>_xlfn.XLOOKUP(salesitems[[#This Row],[product_id]],fashion_store_products!A:A,fashion_store_products!C:C)</f>
        <v>Dresses</v>
      </c>
    </row>
    <row r="950" spans="1:16" x14ac:dyDescent="0.45">
      <c r="A950">
        <v>2592</v>
      </c>
      <c r="B950">
        <v>927</v>
      </c>
      <c r="C950">
        <v>224</v>
      </c>
      <c r="D950">
        <v>3</v>
      </c>
      <c r="E950">
        <v>75.400000000000006</v>
      </c>
      <c r="F950">
        <v>75.400000000000006</v>
      </c>
      <c r="G950">
        <v>0</v>
      </c>
      <c r="H950" s="2">
        <v>0</v>
      </c>
      <c r="I950">
        <v>0</v>
      </c>
      <c r="J950">
        <v>226.2</v>
      </c>
      <c r="K950" s="1">
        <v>45823</v>
      </c>
      <c r="L950" t="s">
        <v>15</v>
      </c>
      <c r="M950" t="s">
        <v>15</v>
      </c>
      <c r="N950">
        <f>salesitems[[#This Row],[quantity]]*salesitems[[#This Row],[unit_price]]</f>
        <v>226.20000000000002</v>
      </c>
      <c r="O950" t="str">
        <f>_xlfn.XLOOKUP(salesitems[[#This Row],[product_id]],products[product_id],products[product_name])</f>
        <v>Relaxed Linen Dress</v>
      </c>
      <c r="P950" t="str">
        <f>_xlfn.XLOOKUP(salesitems[[#This Row],[product_id]],fashion_store_products!A:A,fashion_store_products!C:C)</f>
        <v>Dresses</v>
      </c>
    </row>
    <row r="951" spans="1:16" x14ac:dyDescent="0.45">
      <c r="A951">
        <v>985</v>
      </c>
      <c r="B951">
        <v>221</v>
      </c>
      <c r="C951">
        <v>459</v>
      </c>
      <c r="D951">
        <v>3</v>
      </c>
      <c r="E951">
        <v>75.17</v>
      </c>
      <c r="F951">
        <v>75.17</v>
      </c>
      <c r="G951">
        <v>0</v>
      </c>
      <c r="H951" s="2">
        <v>0</v>
      </c>
      <c r="I951">
        <v>0</v>
      </c>
      <c r="J951">
        <v>225.51</v>
      </c>
      <c r="K951" s="1">
        <v>45793</v>
      </c>
      <c r="L951" t="s">
        <v>21</v>
      </c>
      <c r="M951" t="s">
        <v>18</v>
      </c>
      <c r="N951">
        <f>salesitems[[#This Row],[quantity]]*salesitems[[#This Row],[unit_price]]</f>
        <v>225.51</v>
      </c>
      <c r="O951" t="str">
        <f>_xlfn.XLOOKUP(salesitems[[#This Row],[product_id]],products[product_id],products[product_name])</f>
        <v>Bold High-Waist Dress</v>
      </c>
      <c r="P951" t="str">
        <f>_xlfn.XLOOKUP(salesitems[[#This Row],[product_id]],fashion_store_products!A:A,fashion_store_products!C:C)</f>
        <v>Dresses</v>
      </c>
    </row>
    <row r="952" spans="1:16" x14ac:dyDescent="0.45">
      <c r="A952">
        <v>2978</v>
      </c>
      <c r="B952">
        <v>782</v>
      </c>
      <c r="C952">
        <v>116</v>
      </c>
      <c r="D952">
        <v>3</v>
      </c>
      <c r="E952">
        <v>74.81</v>
      </c>
      <c r="F952">
        <v>74.81</v>
      </c>
      <c r="G952">
        <v>0</v>
      </c>
      <c r="H952" s="2">
        <v>0</v>
      </c>
      <c r="I952">
        <v>0</v>
      </c>
      <c r="J952">
        <v>224.43</v>
      </c>
      <c r="K952" s="1">
        <v>45760</v>
      </c>
      <c r="L952" t="s">
        <v>15</v>
      </c>
      <c r="M952" t="s">
        <v>15</v>
      </c>
      <c r="N952">
        <f>salesitems[[#This Row],[quantity]]*salesitems[[#This Row],[unit_price]]</f>
        <v>224.43</v>
      </c>
      <c r="O952" t="str">
        <f>_xlfn.XLOOKUP(salesitems[[#This Row],[product_id]],products[product_id],products[product_name])</f>
        <v>Modern High-Waist Trousers</v>
      </c>
      <c r="P952" t="str">
        <f>_xlfn.XLOOKUP(salesitems[[#This Row],[product_id]],fashion_store_products!A:A,fashion_store_products!C:C)</f>
        <v>Pants</v>
      </c>
    </row>
    <row r="953" spans="1:16" x14ac:dyDescent="0.45">
      <c r="A953">
        <v>2215</v>
      </c>
      <c r="B953">
        <v>401</v>
      </c>
      <c r="C953">
        <v>359</v>
      </c>
      <c r="D953">
        <v>3</v>
      </c>
      <c r="E953">
        <v>74.28</v>
      </c>
      <c r="F953">
        <v>74.28</v>
      </c>
      <c r="G953">
        <v>0</v>
      </c>
      <c r="H953" s="2">
        <v>0</v>
      </c>
      <c r="I953">
        <v>0</v>
      </c>
      <c r="J953">
        <v>222.84</v>
      </c>
      <c r="K953" s="1">
        <v>45762</v>
      </c>
      <c r="L953" t="s">
        <v>21</v>
      </c>
      <c r="M953" t="s">
        <v>18</v>
      </c>
      <c r="N953">
        <f>salesitems[[#This Row],[quantity]]*salesitems[[#This Row],[unit_price]]</f>
        <v>222.84</v>
      </c>
      <c r="O953" t="str">
        <f>_xlfn.XLOOKUP(salesitems[[#This Row],[product_id]],products[product_id],products[product_name])</f>
        <v>Tailored Silk Shoes</v>
      </c>
      <c r="P953" t="str">
        <f>_xlfn.XLOOKUP(salesitems[[#This Row],[product_id]],fashion_store_products!A:A,fashion_store_products!C:C)</f>
        <v>Shoes</v>
      </c>
    </row>
    <row r="954" spans="1:16" x14ac:dyDescent="0.45">
      <c r="A954">
        <v>352</v>
      </c>
      <c r="B954">
        <v>210</v>
      </c>
      <c r="C954">
        <v>272</v>
      </c>
      <c r="D954">
        <v>3</v>
      </c>
      <c r="E954">
        <v>74.17</v>
      </c>
      <c r="F954">
        <v>74.17</v>
      </c>
      <c r="G954">
        <v>0</v>
      </c>
      <c r="H954" s="2">
        <v>0</v>
      </c>
      <c r="I954">
        <v>0</v>
      </c>
      <c r="J954">
        <v>222.51</v>
      </c>
      <c r="K954" s="1">
        <v>45799</v>
      </c>
      <c r="L954" t="s">
        <v>21</v>
      </c>
      <c r="M954" t="s">
        <v>18</v>
      </c>
      <c r="N954">
        <f>salesitems[[#This Row],[quantity]]*salesitems[[#This Row],[unit_price]]</f>
        <v>222.51</v>
      </c>
      <c r="O954" t="str">
        <f>_xlfn.XLOOKUP(salesitems[[#This Row],[product_id]],products[product_id],products[product_name])</f>
        <v>Essential Linen Shoes</v>
      </c>
      <c r="P954" t="str">
        <f>_xlfn.XLOOKUP(salesitems[[#This Row],[product_id]],fashion_store_products!A:A,fashion_store_products!C:C)</f>
        <v>Shoes</v>
      </c>
    </row>
    <row r="955" spans="1:16" x14ac:dyDescent="0.45">
      <c r="A955">
        <v>2027</v>
      </c>
      <c r="B955">
        <v>338</v>
      </c>
      <c r="C955">
        <v>212</v>
      </c>
      <c r="D955">
        <v>3</v>
      </c>
      <c r="E955">
        <v>74.13</v>
      </c>
      <c r="F955">
        <v>74.13</v>
      </c>
      <c r="G955">
        <v>0</v>
      </c>
      <c r="H955" s="2">
        <v>0</v>
      </c>
      <c r="I955">
        <v>0</v>
      </c>
      <c r="J955">
        <v>222.39</v>
      </c>
      <c r="K955" s="1">
        <v>45768</v>
      </c>
      <c r="L955" t="s">
        <v>21</v>
      </c>
      <c r="M955" t="s">
        <v>18</v>
      </c>
      <c r="N955">
        <f>salesitems[[#This Row],[quantity]]*salesitems[[#This Row],[unit_price]]</f>
        <v>222.39</v>
      </c>
      <c r="O955" t="str">
        <f>_xlfn.XLOOKUP(salesitems[[#This Row],[product_id]],products[product_id],products[product_name])</f>
        <v>Polished Linen Tee</v>
      </c>
      <c r="P955" t="str">
        <f>_xlfn.XLOOKUP(salesitems[[#This Row],[product_id]],fashion_store_products!A:A,fashion_store_products!C:C)</f>
        <v>T-Shirts</v>
      </c>
    </row>
    <row r="956" spans="1:16" x14ac:dyDescent="0.45">
      <c r="A956">
        <v>1332</v>
      </c>
      <c r="B956">
        <v>54</v>
      </c>
      <c r="C956">
        <v>104</v>
      </c>
      <c r="D956">
        <v>3</v>
      </c>
      <c r="E956">
        <v>73.78</v>
      </c>
      <c r="F956">
        <v>73.78</v>
      </c>
      <c r="G956">
        <v>0</v>
      </c>
      <c r="H956" s="2">
        <v>0</v>
      </c>
      <c r="I956">
        <v>0</v>
      </c>
      <c r="J956">
        <v>221.34</v>
      </c>
      <c r="K956" s="1">
        <v>45805</v>
      </c>
      <c r="L956" t="s">
        <v>15</v>
      </c>
      <c r="M956" t="s">
        <v>15</v>
      </c>
      <c r="N956">
        <f>salesitems[[#This Row],[quantity]]*salesitems[[#This Row],[unit_price]]</f>
        <v>221.34</v>
      </c>
      <c r="O956" t="str">
        <f>_xlfn.XLOOKUP(salesitems[[#This Row],[product_id]],products[product_id],products[product_name])</f>
        <v>Classic Wrap Shoes</v>
      </c>
      <c r="P956" t="str">
        <f>_xlfn.XLOOKUP(salesitems[[#This Row],[product_id]],fashion_store_products!A:A,fashion_store_products!C:C)</f>
        <v>Shoes</v>
      </c>
    </row>
    <row r="957" spans="1:16" x14ac:dyDescent="0.45">
      <c r="A957">
        <v>479</v>
      </c>
      <c r="B957">
        <v>495</v>
      </c>
      <c r="C957">
        <v>420</v>
      </c>
      <c r="D957">
        <v>3</v>
      </c>
      <c r="E957">
        <v>72.58</v>
      </c>
      <c r="F957">
        <v>72.58</v>
      </c>
      <c r="G957">
        <v>0</v>
      </c>
      <c r="H957" s="2">
        <v>0</v>
      </c>
      <c r="I957">
        <v>0</v>
      </c>
      <c r="J957">
        <v>217.74</v>
      </c>
      <c r="K957" s="1">
        <v>45776</v>
      </c>
      <c r="L957" t="s">
        <v>21</v>
      </c>
      <c r="M957" t="s">
        <v>18</v>
      </c>
      <c r="N957">
        <f>salesitems[[#This Row],[quantity]]*salesitems[[#This Row],[unit_price]]</f>
        <v>217.74</v>
      </c>
      <c r="O957" t="str">
        <f>_xlfn.XLOOKUP(salesitems[[#This Row],[product_id]],products[product_id],products[product_name])</f>
        <v>Elegant Sleeveless Shoes</v>
      </c>
      <c r="P957" t="str">
        <f>_xlfn.XLOOKUP(salesitems[[#This Row],[product_id]],fashion_store_products!A:A,fashion_store_products!C:C)</f>
        <v>Shoes</v>
      </c>
    </row>
    <row r="958" spans="1:16" x14ac:dyDescent="0.45">
      <c r="A958">
        <v>2254</v>
      </c>
      <c r="B958">
        <v>1087</v>
      </c>
      <c r="C958">
        <v>420</v>
      </c>
      <c r="D958">
        <v>3</v>
      </c>
      <c r="E958">
        <v>72.58</v>
      </c>
      <c r="F958">
        <v>72.58</v>
      </c>
      <c r="G958">
        <v>0</v>
      </c>
      <c r="H958" s="2">
        <v>0</v>
      </c>
      <c r="I958">
        <v>0</v>
      </c>
      <c r="J958">
        <v>217.74</v>
      </c>
      <c r="K958" s="1">
        <v>45801</v>
      </c>
      <c r="L958" t="s">
        <v>15</v>
      </c>
      <c r="M958" t="s">
        <v>15</v>
      </c>
      <c r="N958">
        <f>salesitems[[#This Row],[quantity]]*salesitems[[#This Row],[unit_price]]</f>
        <v>217.74</v>
      </c>
      <c r="O958" t="str">
        <f>_xlfn.XLOOKUP(salesitems[[#This Row],[product_id]],products[product_id],products[product_name])</f>
        <v>Elegant Sleeveless Shoes</v>
      </c>
      <c r="P958" t="str">
        <f>_xlfn.XLOOKUP(salesitems[[#This Row],[product_id]],fashion_store_products!A:A,fashion_store_products!C:C)</f>
        <v>Shoes</v>
      </c>
    </row>
    <row r="959" spans="1:16" x14ac:dyDescent="0.45">
      <c r="A959">
        <v>2530</v>
      </c>
      <c r="B959">
        <v>426</v>
      </c>
      <c r="C959">
        <v>420</v>
      </c>
      <c r="D959">
        <v>3</v>
      </c>
      <c r="E959">
        <v>72.58</v>
      </c>
      <c r="F959">
        <v>72.58</v>
      </c>
      <c r="G959">
        <v>0</v>
      </c>
      <c r="H959" s="2">
        <v>0</v>
      </c>
      <c r="I959">
        <v>0</v>
      </c>
      <c r="J959">
        <v>217.74</v>
      </c>
      <c r="K959" s="1">
        <v>45823</v>
      </c>
      <c r="L959" t="s">
        <v>21</v>
      </c>
      <c r="M959" t="s">
        <v>18</v>
      </c>
      <c r="N959">
        <f>salesitems[[#This Row],[quantity]]*salesitems[[#This Row],[unit_price]]</f>
        <v>217.74</v>
      </c>
      <c r="O959" t="str">
        <f>_xlfn.XLOOKUP(salesitems[[#This Row],[product_id]],products[product_id],products[product_name])</f>
        <v>Elegant Sleeveless Shoes</v>
      </c>
      <c r="P959" t="str">
        <f>_xlfn.XLOOKUP(salesitems[[#This Row],[product_id]],fashion_store_products!A:A,fashion_store_products!C:C)</f>
        <v>Shoes</v>
      </c>
    </row>
    <row r="960" spans="1:16" x14ac:dyDescent="0.45">
      <c r="A960">
        <v>137</v>
      </c>
      <c r="B960">
        <v>29</v>
      </c>
      <c r="C960">
        <v>356</v>
      </c>
      <c r="D960">
        <v>3</v>
      </c>
      <c r="E960">
        <v>72.41</v>
      </c>
      <c r="F960">
        <v>72.41</v>
      </c>
      <c r="G960">
        <v>0</v>
      </c>
      <c r="H960" s="2">
        <v>0</v>
      </c>
      <c r="I960">
        <v>0</v>
      </c>
      <c r="J960">
        <v>217.23</v>
      </c>
      <c r="K960" s="1">
        <v>45772</v>
      </c>
      <c r="L960" t="s">
        <v>15</v>
      </c>
      <c r="M960" t="s">
        <v>15</v>
      </c>
      <c r="N960">
        <f>salesitems[[#This Row],[quantity]]*salesitems[[#This Row],[unit_price]]</f>
        <v>217.23</v>
      </c>
      <c r="O960" t="str">
        <f>_xlfn.XLOOKUP(salesitems[[#This Row],[product_id]],products[product_id],products[product_name])</f>
        <v>Essential High-Waist Set</v>
      </c>
      <c r="P960" t="str">
        <f>_xlfn.XLOOKUP(salesitems[[#This Row],[product_id]],fashion_store_products!A:A,fashion_store_products!C:C)</f>
        <v>Sleepwear</v>
      </c>
    </row>
    <row r="961" spans="1:16" x14ac:dyDescent="0.45">
      <c r="A961">
        <v>239</v>
      </c>
      <c r="B961">
        <v>397</v>
      </c>
      <c r="C961">
        <v>310</v>
      </c>
      <c r="D961">
        <v>3</v>
      </c>
      <c r="E961">
        <v>72.099999999999994</v>
      </c>
      <c r="F961">
        <v>72.099999999999994</v>
      </c>
      <c r="G961">
        <v>0</v>
      </c>
      <c r="H961" s="2">
        <v>0</v>
      </c>
      <c r="I961">
        <v>0</v>
      </c>
      <c r="J961">
        <v>216.3</v>
      </c>
      <c r="K961" s="1">
        <v>45776</v>
      </c>
      <c r="L961" t="s">
        <v>21</v>
      </c>
      <c r="M961" t="s">
        <v>18</v>
      </c>
      <c r="N961">
        <f>salesitems[[#This Row],[quantity]]*salesitems[[#This Row],[unit_price]]</f>
        <v>216.29999999999998</v>
      </c>
      <c r="O961" t="str">
        <f>_xlfn.XLOOKUP(salesitems[[#This Row],[product_id]],products[product_id],products[product_name])</f>
        <v>Relaxed Ribbed Trousers</v>
      </c>
      <c r="P961" t="str">
        <f>_xlfn.XLOOKUP(salesitems[[#This Row],[product_id]],fashion_store_products!A:A,fashion_store_products!C:C)</f>
        <v>Pants</v>
      </c>
    </row>
    <row r="962" spans="1:16" x14ac:dyDescent="0.45">
      <c r="A962">
        <v>2136</v>
      </c>
      <c r="B962">
        <v>907</v>
      </c>
      <c r="C962">
        <v>310</v>
      </c>
      <c r="D962">
        <v>3</v>
      </c>
      <c r="E962">
        <v>72.099999999999994</v>
      </c>
      <c r="F962">
        <v>72.099999999999994</v>
      </c>
      <c r="G962">
        <v>0</v>
      </c>
      <c r="H962" s="2">
        <v>0</v>
      </c>
      <c r="I962">
        <v>0</v>
      </c>
      <c r="J962">
        <v>216.3</v>
      </c>
      <c r="K962" s="1">
        <v>45765</v>
      </c>
      <c r="L962" t="s">
        <v>21</v>
      </c>
      <c r="M962" t="s">
        <v>18</v>
      </c>
      <c r="N962">
        <f>salesitems[[#This Row],[quantity]]*salesitems[[#This Row],[unit_price]]</f>
        <v>216.29999999999998</v>
      </c>
      <c r="O962" t="str">
        <f>_xlfn.XLOOKUP(salesitems[[#This Row],[product_id]],products[product_id],products[product_name])</f>
        <v>Relaxed Ribbed Trousers</v>
      </c>
      <c r="P962" t="str">
        <f>_xlfn.XLOOKUP(salesitems[[#This Row],[product_id]],fashion_store_products!A:A,fashion_store_products!C:C)</f>
        <v>Pants</v>
      </c>
    </row>
    <row r="963" spans="1:16" x14ac:dyDescent="0.45">
      <c r="A963">
        <v>3053</v>
      </c>
      <c r="B963">
        <v>715</v>
      </c>
      <c r="C963">
        <v>36</v>
      </c>
      <c r="D963">
        <v>3</v>
      </c>
      <c r="E963">
        <v>72.06</v>
      </c>
      <c r="F963">
        <v>72.06</v>
      </c>
      <c r="G963">
        <v>0</v>
      </c>
      <c r="H963" s="2">
        <v>0</v>
      </c>
      <c r="I963">
        <v>0</v>
      </c>
      <c r="J963">
        <v>216.18</v>
      </c>
      <c r="K963" s="1">
        <v>45823</v>
      </c>
      <c r="L963" t="s">
        <v>21</v>
      </c>
      <c r="M963" t="s">
        <v>18</v>
      </c>
      <c r="N963">
        <f>salesitems[[#This Row],[quantity]]*salesitems[[#This Row],[unit_price]]</f>
        <v>216.18</v>
      </c>
      <c r="O963" t="str">
        <f>_xlfn.XLOOKUP(salesitems[[#This Row],[product_id]],products[product_id],products[product_name])</f>
        <v>Modern Cotton Dress</v>
      </c>
      <c r="P963" t="str">
        <f>_xlfn.XLOOKUP(salesitems[[#This Row],[product_id]],fashion_store_products!A:A,fashion_store_products!C:C)</f>
        <v>Dresses</v>
      </c>
    </row>
    <row r="964" spans="1:16" x14ac:dyDescent="0.45">
      <c r="A964">
        <v>2875</v>
      </c>
      <c r="B964">
        <v>427</v>
      </c>
      <c r="C964">
        <v>337</v>
      </c>
      <c r="D964">
        <v>3</v>
      </c>
      <c r="E964">
        <v>71.72</v>
      </c>
      <c r="F964">
        <v>71.72</v>
      </c>
      <c r="G964">
        <v>0</v>
      </c>
      <c r="H964" s="2">
        <v>0</v>
      </c>
      <c r="I964">
        <v>0</v>
      </c>
      <c r="J964">
        <v>215.16</v>
      </c>
      <c r="K964" s="1">
        <v>45825</v>
      </c>
      <c r="L964" t="s">
        <v>15</v>
      </c>
      <c r="M964" t="s">
        <v>15</v>
      </c>
      <c r="N964">
        <f>salesitems[[#This Row],[quantity]]*salesitems[[#This Row],[unit_price]]</f>
        <v>215.16</v>
      </c>
      <c r="O964" t="str">
        <f>_xlfn.XLOOKUP(salesitems[[#This Row],[product_id]],products[product_id],products[product_name])</f>
        <v>Essential Linen Set</v>
      </c>
      <c r="P964" t="str">
        <f>_xlfn.XLOOKUP(salesitems[[#This Row],[product_id]],fashion_store_products!A:A,fashion_store_products!C:C)</f>
        <v>Sleepwear</v>
      </c>
    </row>
    <row r="965" spans="1:16" x14ac:dyDescent="0.45">
      <c r="A965">
        <v>336</v>
      </c>
      <c r="B965">
        <v>229</v>
      </c>
      <c r="C965">
        <v>6</v>
      </c>
      <c r="D965">
        <v>3</v>
      </c>
      <c r="E965">
        <v>70.86</v>
      </c>
      <c r="F965">
        <v>70.86</v>
      </c>
      <c r="G965">
        <v>0</v>
      </c>
      <c r="H965" s="2">
        <v>0</v>
      </c>
      <c r="I965">
        <v>0</v>
      </c>
      <c r="J965">
        <v>212.58</v>
      </c>
      <c r="K965" s="1">
        <v>45824</v>
      </c>
      <c r="L965" t="s">
        <v>21</v>
      </c>
      <c r="M965" t="s">
        <v>18</v>
      </c>
      <c r="N965">
        <f>salesitems[[#This Row],[quantity]]*salesitems[[#This Row],[unit_price]]</f>
        <v>212.57999999999998</v>
      </c>
      <c r="O965" t="str">
        <f>_xlfn.XLOOKUP(salesitems[[#This Row],[product_id]],products[product_id],products[product_name])</f>
        <v>Soft Wrap Shoes</v>
      </c>
      <c r="P965" t="str">
        <f>_xlfn.XLOOKUP(salesitems[[#This Row],[product_id]],fashion_store_products!A:A,fashion_store_products!C:C)</f>
        <v>Shoes</v>
      </c>
    </row>
    <row r="966" spans="1:16" x14ac:dyDescent="0.45">
      <c r="A966">
        <v>2970</v>
      </c>
      <c r="B966">
        <v>1205</v>
      </c>
      <c r="C966">
        <v>167</v>
      </c>
      <c r="D966">
        <v>3</v>
      </c>
      <c r="E966">
        <v>70.55</v>
      </c>
      <c r="F966">
        <v>70.55</v>
      </c>
      <c r="G966">
        <v>0</v>
      </c>
      <c r="H966" s="2">
        <v>0</v>
      </c>
      <c r="I966">
        <v>0</v>
      </c>
      <c r="J966">
        <v>211.65</v>
      </c>
      <c r="K966" s="1">
        <v>45805</v>
      </c>
      <c r="L966" t="s">
        <v>21</v>
      </c>
      <c r="M966" t="s">
        <v>18</v>
      </c>
      <c r="N966">
        <f>salesitems[[#This Row],[quantity]]*salesitems[[#This Row],[unit_price]]</f>
        <v>211.64999999999998</v>
      </c>
      <c r="O966" t="str">
        <f>_xlfn.XLOOKUP(salesitems[[#This Row],[product_id]],products[product_id],products[product_name])</f>
        <v>Vintage Silk Shoes</v>
      </c>
      <c r="P966" t="str">
        <f>_xlfn.XLOOKUP(salesitems[[#This Row],[product_id]],fashion_store_products!A:A,fashion_store_products!C:C)</f>
        <v>Shoes</v>
      </c>
    </row>
    <row r="967" spans="1:16" x14ac:dyDescent="0.45">
      <c r="A967">
        <v>1080</v>
      </c>
      <c r="B967">
        <v>391</v>
      </c>
      <c r="C967">
        <v>270</v>
      </c>
      <c r="D967">
        <v>3</v>
      </c>
      <c r="E967">
        <v>70.459999999999994</v>
      </c>
      <c r="F967">
        <v>70.459999999999994</v>
      </c>
      <c r="G967">
        <v>0</v>
      </c>
      <c r="H967" s="2">
        <v>0</v>
      </c>
      <c r="I967">
        <v>0</v>
      </c>
      <c r="J967">
        <v>211.38</v>
      </c>
      <c r="K967" s="1">
        <v>45777</v>
      </c>
      <c r="L967" t="s">
        <v>21</v>
      </c>
      <c r="M967" t="s">
        <v>18</v>
      </c>
      <c r="N967">
        <f>salesitems[[#This Row],[quantity]]*salesitems[[#This Row],[unit_price]]</f>
        <v>211.38</v>
      </c>
      <c r="O967" t="str">
        <f>_xlfn.XLOOKUP(salesitems[[#This Row],[product_id]],products[product_id],products[product_name])</f>
        <v>Relaxed Silk Tee</v>
      </c>
      <c r="P967" t="str">
        <f>_xlfn.XLOOKUP(salesitems[[#This Row],[product_id]],fashion_store_products!A:A,fashion_store_products!C:C)</f>
        <v>T-Shirts</v>
      </c>
    </row>
    <row r="968" spans="1:16" x14ac:dyDescent="0.45">
      <c r="A968">
        <v>2497</v>
      </c>
      <c r="B968">
        <v>640</v>
      </c>
      <c r="C968">
        <v>360</v>
      </c>
      <c r="D968">
        <v>3</v>
      </c>
      <c r="E968">
        <v>69.48</v>
      </c>
      <c r="F968">
        <v>69.48</v>
      </c>
      <c r="G968">
        <v>0</v>
      </c>
      <c r="H968" s="2">
        <v>0</v>
      </c>
      <c r="I968">
        <v>0</v>
      </c>
      <c r="J968">
        <v>208.44</v>
      </c>
      <c r="K968" s="1">
        <v>45765</v>
      </c>
      <c r="L968" t="s">
        <v>15</v>
      </c>
      <c r="M968" t="s">
        <v>15</v>
      </c>
      <c r="N968">
        <f>salesitems[[#This Row],[quantity]]*salesitems[[#This Row],[unit_price]]</f>
        <v>208.44</v>
      </c>
      <c r="O968" t="str">
        <f>_xlfn.XLOOKUP(salesitems[[#This Row],[product_id]],products[product_id],products[product_name])</f>
        <v>Tailored Boxy Tee</v>
      </c>
      <c r="P968" t="str">
        <f>_xlfn.XLOOKUP(salesitems[[#This Row],[product_id]],fashion_store_products!A:A,fashion_store_products!C:C)</f>
        <v>T-Shirts</v>
      </c>
    </row>
    <row r="969" spans="1:16" x14ac:dyDescent="0.45">
      <c r="A969">
        <v>2557</v>
      </c>
      <c r="B969">
        <v>1273</v>
      </c>
      <c r="C969">
        <v>360</v>
      </c>
      <c r="D969">
        <v>3</v>
      </c>
      <c r="E969">
        <v>69.48</v>
      </c>
      <c r="F969">
        <v>69.48</v>
      </c>
      <c r="G969">
        <v>0</v>
      </c>
      <c r="H969" s="2">
        <v>0</v>
      </c>
      <c r="I969">
        <v>0</v>
      </c>
      <c r="J969">
        <v>208.44</v>
      </c>
      <c r="K969" s="1">
        <v>45801</v>
      </c>
      <c r="L969" t="s">
        <v>15</v>
      </c>
      <c r="M969" t="s">
        <v>15</v>
      </c>
      <c r="N969">
        <f>salesitems[[#This Row],[quantity]]*salesitems[[#This Row],[unit_price]]</f>
        <v>208.44</v>
      </c>
      <c r="O969" t="str">
        <f>_xlfn.XLOOKUP(salesitems[[#This Row],[product_id]],products[product_id],products[product_name])</f>
        <v>Tailored Boxy Tee</v>
      </c>
      <c r="P969" t="str">
        <f>_xlfn.XLOOKUP(salesitems[[#This Row],[product_id]],fashion_store_products!A:A,fashion_store_products!C:C)</f>
        <v>T-Shirts</v>
      </c>
    </row>
    <row r="970" spans="1:16" x14ac:dyDescent="0.45">
      <c r="A970">
        <v>1569</v>
      </c>
      <c r="B970">
        <v>772</v>
      </c>
      <c r="C970">
        <v>250</v>
      </c>
      <c r="D970">
        <v>3</v>
      </c>
      <c r="E970">
        <v>68.22</v>
      </c>
      <c r="F970">
        <v>68.22</v>
      </c>
      <c r="G970">
        <v>0</v>
      </c>
      <c r="H970" s="2">
        <v>0</v>
      </c>
      <c r="I970">
        <v>0</v>
      </c>
      <c r="J970">
        <v>204.66</v>
      </c>
      <c r="K970" s="1">
        <v>45775</v>
      </c>
      <c r="L970" t="s">
        <v>21</v>
      </c>
      <c r="M970" t="s">
        <v>18</v>
      </c>
      <c r="N970">
        <f>salesitems[[#This Row],[quantity]]*salesitems[[#This Row],[unit_price]]</f>
        <v>204.66</v>
      </c>
      <c r="O970" t="str">
        <f>_xlfn.XLOOKUP(salesitems[[#This Row],[product_id]],products[product_id],products[product_name])</f>
        <v>Relaxed Satin Shoes</v>
      </c>
      <c r="P970" t="str">
        <f>_xlfn.XLOOKUP(salesitems[[#This Row],[product_id]],fashion_store_products!A:A,fashion_store_products!C:C)</f>
        <v>Shoes</v>
      </c>
    </row>
    <row r="971" spans="1:16" x14ac:dyDescent="0.45">
      <c r="A971">
        <v>1776</v>
      </c>
      <c r="B971">
        <v>942</v>
      </c>
      <c r="C971">
        <v>250</v>
      </c>
      <c r="D971">
        <v>3</v>
      </c>
      <c r="E971">
        <v>68.22</v>
      </c>
      <c r="F971">
        <v>68.22</v>
      </c>
      <c r="G971">
        <v>0</v>
      </c>
      <c r="H971" s="2">
        <v>0</v>
      </c>
      <c r="I971">
        <v>0</v>
      </c>
      <c r="J971">
        <v>204.66</v>
      </c>
      <c r="K971" s="1">
        <v>45776</v>
      </c>
      <c r="L971" t="s">
        <v>21</v>
      </c>
      <c r="M971" t="s">
        <v>18</v>
      </c>
      <c r="N971">
        <f>salesitems[[#This Row],[quantity]]*salesitems[[#This Row],[unit_price]]</f>
        <v>204.66</v>
      </c>
      <c r="O971" t="str">
        <f>_xlfn.XLOOKUP(salesitems[[#This Row],[product_id]],products[product_id],products[product_name])</f>
        <v>Relaxed Satin Shoes</v>
      </c>
      <c r="P971" t="str">
        <f>_xlfn.XLOOKUP(salesitems[[#This Row],[product_id]],fashion_store_products!A:A,fashion_store_products!C:C)</f>
        <v>Shoes</v>
      </c>
    </row>
    <row r="972" spans="1:16" x14ac:dyDescent="0.45">
      <c r="A972">
        <v>2240</v>
      </c>
      <c r="B972">
        <v>1308</v>
      </c>
      <c r="C972">
        <v>250</v>
      </c>
      <c r="D972">
        <v>3</v>
      </c>
      <c r="E972">
        <v>68.22</v>
      </c>
      <c r="F972">
        <v>68.22</v>
      </c>
      <c r="G972">
        <v>0</v>
      </c>
      <c r="H972" s="2">
        <v>0</v>
      </c>
      <c r="I972">
        <v>0</v>
      </c>
      <c r="J972">
        <v>204.66</v>
      </c>
      <c r="K972" s="1">
        <v>45791</v>
      </c>
      <c r="L972" t="s">
        <v>21</v>
      </c>
      <c r="M972" t="s">
        <v>18</v>
      </c>
      <c r="N972">
        <f>salesitems[[#This Row],[quantity]]*salesitems[[#This Row],[unit_price]]</f>
        <v>204.66</v>
      </c>
      <c r="O972" t="str">
        <f>_xlfn.XLOOKUP(salesitems[[#This Row],[product_id]],products[product_id],products[product_name])</f>
        <v>Relaxed Satin Shoes</v>
      </c>
      <c r="P972" t="str">
        <f>_xlfn.XLOOKUP(salesitems[[#This Row],[product_id]],fashion_store_products!A:A,fashion_store_products!C:C)</f>
        <v>Shoes</v>
      </c>
    </row>
    <row r="973" spans="1:16" x14ac:dyDescent="0.45">
      <c r="A973">
        <v>1684</v>
      </c>
      <c r="B973">
        <v>207</v>
      </c>
      <c r="C973">
        <v>142</v>
      </c>
      <c r="D973">
        <v>3</v>
      </c>
      <c r="E973">
        <v>67.290000000000006</v>
      </c>
      <c r="F973">
        <v>67.290000000000006</v>
      </c>
      <c r="G973">
        <v>0</v>
      </c>
      <c r="H973" s="2">
        <v>0</v>
      </c>
      <c r="I973">
        <v>0</v>
      </c>
      <c r="J973">
        <v>201.87</v>
      </c>
      <c r="K973" s="1">
        <v>45792</v>
      </c>
      <c r="L973" t="s">
        <v>21</v>
      </c>
      <c r="M973" t="s">
        <v>18</v>
      </c>
      <c r="N973">
        <f>salesitems[[#This Row],[quantity]]*salesitems[[#This Row],[unit_price]]</f>
        <v>201.87</v>
      </c>
      <c r="O973" t="str">
        <f>_xlfn.XLOOKUP(salesitems[[#This Row],[product_id]],products[product_id],products[product_name])</f>
        <v>Vintage Satin Dress</v>
      </c>
      <c r="P973" t="str">
        <f>_xlfn.XLOOKUP(salesitems[[#This Row],[product_id]],fashion_store_products!A:A,fashion_store_products!C:C)</f>
        <v>Dresses</v>
      </c>
    </row>
    <row r="974" spans="1:16" x14ac:dyDescent="0.45">
      <c r="A974">
        <v>2971</v>
      </c>
      <c r="B974">
        <v>658</v>
      </c>
      <c r="C974">
        <v>296</v>
      </c>
      <c r="D974">
        <v>3</v>
      </c>
      <c r="E974">
        <v>67.069999999999993</v>
      </c>
      <c r="F974">
        <v>67.069999999999993</v>
      </c>
      <c r="G974">
        <v>0</v>
      </c>
      <c r="H974" s="2">
        <v>0</v>
      </c>
      <c r="I974">
        <v>0</v>
      </c>
      <c r="J974">
        <v>201.21</v>
      </c>
      <c r="K974" s="1">
        <v>45824</v>
      </c>
      <c r="L974" t="s">
        <v>15</v>
      </c>
      <c r="M974" t="s">
        <v>15</v>
      </c>
      <c r="N974">
        <f>salesitems[[#This Row],[quantity]]*salesitems[[#This Row],[unit_price]]</f>
        <v>201.20999999999998</v>
      </c>
      <c r="O974" t="str">
        <f>_xlfn.XLOOKUP(salesitems[[#This Row],[product_id]],products[product_id],products[product_name])</f>
        <v>Relaxed Boxy Dress</v>
      </c>
      <c r="P974" t="str">
        <f>_xlfn.XLOOKUP(salesitems[[#This Row],[product_id]],fashion_store_products!A:A,fashion_store_products!C:C)</f>
        <v>Dresses</v>
      </c>
    </row>
    <row r="975" spans="1:16" x14ac:dyDescent="0.45">
      <c r="A975">
        <v>3264</v>
      </c>
      <c r="B975">
        <v>944</v>
      </c>
      <c r="C975">
        <v>296</v>
      </c>
      <c r="D975">
        <v>3</v>
      </c>
      <c r="E975">
        <v>67.069999999999993</v>
      </c>
      <c r="F975">
        <v>67.069999999999993</v>
      </c>
      <c r="G975">
        <v>0</v>
      </c>
      <c r="H975" s="2">
        <v>0</v>
      </c>
      <c r="I975">
        <v>0</v>
      </c>
      <c r="J975">
        <v>201.21</v>
      </c>
      <c r="K975" s="1">
        <v>45822</v>
      </c>
      <c r="L975" t="s">
        <v>21</v>
      </c>
      <c r="M975" t="s">
        <v>18</v>
      </c>
      <c r="N975">
        <f>salesitems[[#This Row],[quantity]]*salesitems[[#This Row],[unit_price]]</f>
        <v>201.20999999999998</v>
      </c>
      <c r="O975" t="str">
        <f>_xlfn.XLOOKUP(salesitems[[#This Row],[product_id]],products[product_id],products[product_name])</f>
        <v>Relaxed Boxy Dress</v>
      </c>
      <c r="P975" t="str">
        <f>_xlfn.XLOOKUP(salesitems[[#This Row],[product_id]],fashion_store_products!A:A,fashion_store_products!C:C)</f>
        <v>Dresses</v>
      </c>
    </row>
    <row r="976" spans="1:16" x14ac:dyDescent="0.45">
      <c r="A976">
        <v>3297</v>
      </c>
      <c r="B976">
        <v>1259</v>
      </c>
      <c r="C976">
        <v>315</v>
      </c>
      <c r="D976">
        <v>3</v>
      </c>
      <c r="E976">
        <v>67.02</v>
      </c>
      <c r="F976">
        <v>67.02</v>
      </c>
      <c r="G976">
        <v>0</v>
      </c>
      <c r="H976" s="2">
        <v>0</v>
      </c>
      <c r="I976">
        <v>0</v>
      </c>
      <c r="J976">
        <v>201.06</v>
      </c>
      <c r="K976" s="1">
        <v>45762</v>
      </c>
      <c r="L976" t="s">
        <v>21</v>
      </c>
      <c r="M976" t="s">
        <v>18</v>
      </c>
      <c r="N976">
        <f>salesitems[[#This Row],[quantity]]*salesitems[[#This Row],[unit_price]]</f>
        <v>201.06</v>
      </c>
      <c r="O976" t="str">
        <f>_xlfn.XLOOKUP(salesitems[[#This Row],[product_id]],products[product_id],products[product_name])</f>
        <v>Essential Sleeveless Tee</v>
      </c>
      <c r="P976" t="str">
        <f>_xlfn.XLOOKUP(salesitems[[#This Row],[product_id]],fashion_store_products!A:A,fashion_store_products!C:C)</f>
        <v>T-Shirts</v>
      </c>
    </row>
    <row r="977" spans="1:16" x14ac:dyDescent="0.45">
      <c r="A977">
        <v>2024</v>
      </c>
      <c r="B977">
        <v>173</v>
      </c>
      <c r="C977">
        <v>239</v>
      </c>
      <c r="D977">
        <v>3</v>
      </c>
      <c r="E977">
        <v>66.989999999999995</v>
      </c>
      <c r="F977">
        <v>66.989999999999995</v>
      </c>
      <c r="G977">
        <v>0</v>
      </c>
      <c r="H977" s="2">
        <v>0</v>
      </c>
      <c r="I977">
        <v>0</v>
      </c>
      <c r="J977">
        <v>200.97</v>
      </c>
      <c r="K977" s="1">
        <v>45792</v>
      </c>
      <c r="L977" t="s">
        <v>21</v>
      </c>
      <c r="M977" t="s">
        <v>18</v>
      </c>
      <c r="N977">
        <f>salesitems[[#This Row],[quantity]]*salesitems[[#This Row],[unit_price]]</f>
        <v>200.96999999999997</v>
      </c>
      <c r="O977" t="str">
        <f>_xlfn.XLOOKUP(salesitems[[#This Row],[product_id]],products[product_id],products[product_name])</f>
        <v>Polished Wrap Trousers</v>
      </c>
      <c r="P977" t="str">
        <f>_xlfn.XLOOKUP(salesitems[[#This Row],[product_id]],fashion_store_products!A:A,fashion_store_products!C:C)</f>
        <v>Pants</v>
      </c>
    </row>
    <row r="978" spans="1:16" x14ac:dyDescent="0.45">
      <c r="A978">
        <v>1712</v>
      </c>
      <c r="B978">
        <v>112</v>
      </c>
      <c r="C978">
        <v>272</v>
      </c>
      <c r="D978">
        <v>3</v>
      </c>
      <c r="E978">
        <v>74.17</v>
      </c>
      <c r="F978">
        <v>66.75</v>
      </c>
      <c r="G978">
        <v>7.42</v>
      </c>
      <c r="H978" s="2">
        <v>0.1</v>
      </c>
      <c r="I978">
        <v>1</v>
      </c>
      <c r="J978">
        <v>200.26</v>
      </c>
      <c r="K978" s="1">
        <v>45814</v>
      </c>
      <c r="L978" t="s">
        <v>21</v>
      </c>
      <c r="M978" t="s">
        <v>18</v>
      </c>
      <c r="N978">
        <f>salesitems[[#This Row],[quantity]]*salesitems[[#This Row],[unit_price]]</f>
        <v>200.25</v>
      </c>
      <c r="O978" t="str">
        <f>_xlfn.XLOOKUP(salesitems[[#This Row],[product_id]],products[product_id],products[product_name])</f>
        <v>Essential Linen Shoes</v>
      </c>
      <c r="P978" t="str">
        <f>_xlfn.XLOOKUP(salesitems[[#This Row],[product_id]],fashion_store_products!A:A,fashion_store_products!C:C)</f>
        <v>Shoes</v>
      </c>
    </row>
    <row r="979" spans="1:16" x14ac:dyDescent="0.45">
      <c r="A979">
        <v>626</v>
      </c>
      <c r="B979">
        <v>1029</v>
      </c>
      <c r="C979">
        <v>131</v>
      </c>
      <c r="D979">
        <v>3</v>
      </c>
      <c r="E979">
        <v>66.63</v>
      </c>
      <c r="F979">
        <v>66.63</v>
      </c>
      <c r="G979">
        <v>0</v>
      </c>
      <c r="H979" s="2">
        <v>0</v>
      </c>
      <c r="I979">
        <v>0</v>
      </c>
      <c r="J979">
        <v>199.89</v>
      </c>
      <c r="K979" s="1">
        <v>45764</v>
      </c>
      <c r="L979" t="s">
        <v>21</v>
      </c>
      <c r="M979" t="s">
        <v>18</v>
      </c>
      <c r="N979">
        <f>salesitems[[#This Row],[quantity]]*salesitems[[#This Row],[unit_price]]</f>
        <v>199.89</v>
      </c>
      <c r="O979" t="str">
        <f>_xlfn.XLOOKUP(salesitems[[#This Row],[product_id]],products[product_id],products[product_name])</f>
        <v>Classic Cotton Set</v>
      </c>
      <c r="P979" t="str">
        <f>_xlfn.XLOOKUP(salesitems[[#This Row],[product_id]],fashion_store_products!A:A,fashion_store_products!C:C)</f>
        <v>Sleepwear</v>
      </c>
    </row>
    <row r="980" spans="1:16" x14ac:dyDescent="0.45">
      <c r="A980">
        <v>122</v>
      </c>
      <c r="B980">
        <v>240</v>
      </c>
      <c r="C980">
        <v>281</v>
      </c>
      <c r="D980">
        <v>3</v>
      </c>
      <c r="E980">
        <v>65.94</v>
      </c>
      <c r="F980">
        <v>65.94</v>
      </c>
      <c r="G980">
        <v>0</v>
      </c>
      <c r="H980" s="2">
        <v>0</v>
      </c>
      <c r="I980">
        <v>0</v>
      </c>
      <c r="J980">
        <v>197.82</v>
      </c>
      <c r="K980" s="1">
        <v>45808</v>
      </c>
      <c r="L980" t="s">
        <v>15</v>
      </c>
      <c r="M980" t="s">
        <v>15</v>
      </c>
      <c r="N980">
        <f>salesitems[[#This Row],[quantity]]*salesitems[[#This Row],[unit_price]]</f>
        <v>197.82</v>
      </c>
      <c r="O980" t="str">
        <f>_xlfn.XLOOKUP(salesitems[[#This Row],[product_id]],products[product_id],products[product_name])</f>
        <v>Polished Sleeveless Trousers</v>
      </c>
      <c r="P980" t="str">
        <f>_xlfn.XLOOKUP(salesitems[[#This Row],[product_id]],fashion_store_products!A:A,fashion_store_products!C:C)</f>
        <v>Pants</v>
      </c>
    </row>
    <row r="981" spans="1:16" x14ac:dyDescent="0.45">
      <c r="A981">
        <v>655</v>
      </c>
      <c r="B981">
        <v>164</v>
      </c>
      <c r="C981">
        <v>19</v>
      </c>
      <c r="D981">
        <v>3</v>
      </c>
      <c r="E981">
        <v>65.260000000000005</v>
      </c>
      <c r="F981">
        <v>65.260000000000005</v>
      </c>
      <c r="G981">
        <v>0</v>
      </c>
      <c r="H981" s="2">
        <v>0</v>
      </c>
      <c r="I981">
        <v>0</v>
      </c>
      <c r="J981">
        <v>195.78</v>
      </c>
      <c r="K981" s="1">
        <v>45764</v>
      </c>
      <c r="L981" t="s">
        <v>15</v>
      </c>
      <c r="M981" t="s">
        <v>15</v>
      </c>
      <c r="N981">
        <f>salesitems[[#This Row],[quantity]]*salesitems[[#This Row],[unit_price]]</f>
        <v>195.78000000000003</v>
      </c>
      <c r="O981" t="str">
        <f>_xlfn.XLOOKUP(salesitems[[#This Row],[product_id]],products[product_id],products[product_name])</f>
        <v>Soft Silk Dress</v>
      </c>
      <c r="P981" t="str">
        <f>_xlfn.XLOOKUP(salesitems[[#This Row],[product_id]],fashion_store_products!A:A,fashion_store_products!C:C)</f>
        <v>Dresses</v>
      </c>
    </row>
    <row r="982" spans="1:16" x14ac:dyDescent="0.45">
      <c r="A982">
        <v>1611</v>
      </c>
      <c r="B982">
        <v>820</v>
      </c>
      <c r="C982">
        <v>166</v>
      </c>
      <c r="D982">
        <v>3</v>
      </c>
      <c r="E982">
        <v>65.260000000000005</v>
      </c>
      <c r="F982">
        <v>65.260000000000005</v>
      </c>
      <c r="G982">
        <v>0</v>
      </c>
      <c r="H982" s="2">
        <v>0</v>
      </c>
      <c r="I982">
        <v>0</v>
      </c>
      <c r="J982">
        <v>195.78</v>
      </c>
      <c r="K982" s="1">
        <v>45767</v>
      </c>
      <c r="L982" t="s">
        <v>21</v>
      </c>
      <c r="M982" t="s">
        <v>18</v>
      </c>
      <c r="N982">
        <f>salesitems[[#This Row],[quantity]]*salesitems[[#This Row],[unit_price]]</f>
        <v>195.78000000000003</v>
      </c>
      <c r="O982" t="str">
        <f>_xlfn.XLOOKUP(salesitems[[#This Row],[product_id]],products[product_id],products[product_name])</f>
        <v>Vintage Satin Shoes</v>
      </c>
      <c r="P982" t="str">
        <f>_xlfn.XLOOKUP(salesitems[[#This Row],[product_id]],fashion_store_products!A:A,fashion_store_products!C:C)</f>
        <v>Shoes</v>
      </c>
    </row>
    <row r="983" spans="1:16" x14ac:dyDescent="0.45">
      <c r="A983">
        <v>3294</v>
      </c>
      <c r="B983">
        <v>1225</v>
      </c>
      <c r="C983">
        <v>166</v>
      </c>
      <c r="D983">
        <v>3</v>
      </c>
      <c r="E983">
        <v>65.260000000000005</v>
      </c>
      <c r="F983">
        <v>65.260000000000005</v>
      </c>
      <c r="G983">
        <v>0</v>
      </c>
      <c r="H983" s="2">
        <v>0</v>
      </c>
      <c r="I983">
        <v>0</v>
      </c>
      <c r="J983">
        <v>195.78</v>
      </c>
      <c r="K983" s="1">
        <v>45774</v>
      </c>
      <c r="L983" t="s">
        <v>15</v>
      </c>
      <c r="M983" t="s">
        <v>15</v>
      </c>
      <c r="N983">
        <f>salesitems[[#This Row],[quantity]]*salesitems[[#This Row],[unit_price]]</f>
        <v>195.78000000000003</v>
      </c>
      <c r="O983" t="str">
        <f>_xlfn.XLOOKUP(salesitems[[#This Row],[product_id]],products[product_id],products[product_name])</f>
        <v>Vintage Satin Shoes</v>
      </c>
      <c r="P983" t="str">
        <f>_xlfn.XLOOKUP(salesitems[[#This Row],[product_id]],fashion_store_products!A:A,fashion_store_products!C:C)</f>
        <v>Shoes</v>
      </c>
    </row>
    <row r="984" spans="1:16" x14ac:dyDescent="0.45">
      <c r="A984">
        <v>901</v>
      </c>
      <c r="B984">
        <v>378</v>
      </c>
      <c r="C984">
        <v>297</v>
      </c>
      <c r="D984">
        <v>3</v>
      </c>
      <c r="E984">
        <v>65.17</v>
      </c>
      <c r="F984">
        <v>65.17</v>
      </c>
      <c r="G984">
        <v>0</v>
      </c>
      <c r="H984" s="2">
        <v>0</v>
      </c>
      <c r="I984">
        <v>0</v>
      </c>
      <c r="J984">
        <v>195.51</v>
      </c>
      <c r="K984" s="1">
        <v>45764</v>
      </c>
      <c r="L984" t="s">
        <v>15</v>
      </c>
      <c r="M984" t="s">
        <v>15</v>
      </c>
      <c r="N984">
        <f>salesitems[[#This Row],[quantity]]*salesitems[[#This Row],[unit_price]]</f>
        <v>195.51</v>
      </c>
      <c r="O984" t="str">
        <f>_xlfn.XLOOKUP(salesitems[[#This Row],[product_id]],products[product_id],products[product_name])</f>
        <v>Essential High-Waist Shoes</v>
      </c>
      <c r="P984" t="str">
        <f>_xlfn.XLOOKUP(salesitems[[#This Row],[product_id]],fashion_store_products!A:A,fashion_store_products!C:C)</f>
        <v>Shoes</v>
      </c>
    </row>
    <row r="985" spans="1:16" x14ac:dyDescent="0.45">
      <c r="A985">
        <v>1201</v>
      </c>
      <c r="B985">
        <v>1006</v>
      </c>
      <c r="C985">
        <v>297</v>
      </c>
      <c r="D985">
        <v>3</v>
      </c>
      <c r="E985">
        <v>65.17</v>
      </c>
      <c r="F985">
        <v>65.17</v>
      </c>
      <c r="G985">
        <v>0</v>
      </c>
      <c r="H985" s="2">
        <v>0</v>
      </c>
      <c r="I985">
        <v>0</v>
      </c>
      <c r="J985">
        <v>195.51</v>
      </c>
      <c r="K985" s="1">
        <v>45782</v>
      </c>
      <c r="L985" t="s">
        <v>21</v>
      </c>
      <c r="M985" t="s">
        <v>18</v>
      </c>
      <c r="N985">
        <f>salesitems[[#This Row],[quantity]]*salesitems[[#This Row],[unit_price]]</f>
        <v>195.51</v>
      </c>
      <c r="O985" t="str">
        <f>_xlfn.XLOOKUP(salesitems[[#This Row],[product_id]],products[product_id],products[product_name])</f>
        <v>Essential High-Waist Shoes</v>
      </c>
      <c r="P985" t="str">
        <f>_xlfn.XLOOKUP(salesitems[[#This Row],[product_id]],fashion_store_products!A:A,fashion_store_products!C:C)</f>
        <v>Shoes</v>
      </c>
    </row>
    <row r="986" spans="1:16" x14ac:dyDescent="0.45">
      <c r="A986">
        <v>2895</v>
      </c>
      <c r="B986">
        <v>383</v>
      </c>
      <c r="C986">
        <v>297</v>
      </c>
      <c r="D986">
        <v>3</v>
      </c>
      <c r="E986">
        <v>65.17</v>
      </c>
      <c r="F986">
        <v>65.17</v>
      </c>
      <c r="G986">
        <v>0</v>
      </c>
      <c r="H986" s="2">
        <v>0</v>
      </c>
      <c r="I986">
        <v>0</v>
      </c>
      <c r="J986">
        <v>195.51</v>
      </c>
      <c r="K986" s="1">
        <v>45762</v>
      </c>
      <c r="L986" t="s">
        <v>15</v>
      </c>
      <c r="M986" t="s">
        <v>15</v>
      </c>
      <c r="N986">
        <f>salesitems[[#This Row],[quantity]]*salesitems[[#This Row],[unit_price]]</f>
        <v>195.51</v>
      </c>
      <c r="O986" t="str">
        <f>_xlfn.XLOOKUP(salesitems[[#This Row],[product_id]],products[product_id],products[product_name])</f>
        <v>Essential High-Waist Shoes</v>
      </c>
      <c r="P986" t="str">
        <f>_xlfn.XLOOKUP(salesitems[[#This Row],[product_id]],fashion_store_products!A:A,fashion_store_products!C:C)</f>
        <v>Shoes</v>
      </c>
    </row>
    <row r="987" spans="1:16" x14ac:dyDescent="0.45">
      <c r="A987">
        <v>2880</v>
      </c>
      <c r="B987">
        <v>242</v>
      </c>
      <c r="C987">
        <v>276</v>
      </c>
      <c r="D987">
        <v>3</v>
      </c>
      <c r="E987">
        <v>64.44</v>
      </c>
      <c r="F987">
        <v>64.44</v>
      </c>
      <c r="G987">
        <v>0</v>
      </c>
      <c r="H987" s="2">
        <v>0</v>
      </c>
      <c r="I987">
        <v>0</v>
      </c>
      <c r="J987">
        <v>193.32</v>
      </c>
      <c r="K987" s="1">
        <v>45800</v>
      </c>
      <c r="L987" t="s">
        <v>15</v>
      </c>
      <c r="M987" t="s">
        <v>15</v>
      </c>
      <c r="N987">
        <f>salesitems[[#This Row],[quantity]]*salesitems[[#This Row],[unit_price]]</f>
        <v>193.32</v>
      </c>
      <c r="O987" t="str">
        <f>_xlfn.XLOOKUP(salesitems[[#This Row],[product_id]],products[product_id],products[product_name])</f>
        <v>Relaxed High-Waist Tee</v>
      </c>
      <c r="P987" t="str">
        <f>_xlfn.XLOOKUP(salesitems[[#This Row],[product_id]],fashion_store_products!A:A,fashion_store_products!C:C)</f>
        <v>T-Shirts</v>
      </c>
    </row>
    <row r="988" spans="1:16" x14ac:dyDescent="0.45">
      <c r="A988">
        <v>1563</v>
      </c>
      <c r="B988">
        <v>350</v>
      </c>
      <c r="C988">
        <v>260</v>
      </c>
      <c r="D988">
        <v>3</v>
      </c>
      <c r="E988">
        <v>64.28</v>
      </c>
      <c r="F988">
        <v>64.28</v>
      </c>
      <c r="G988">
        <v>0</v>
      </c>
      <c r="H988" s="2">
        <v>0</v>
      </c>
      <c r="I988">
        <v>0</v>
      </c>
      <c r="J988">
        <v>192.84</v>
      </c>
      <c r="K988" s="1">
        <v>45766</v>
      </c>
      <c r="L988" t="s">
        <v>21</v>
      </c>
      <c r="M988" t="s">
        <v>18</v>
      </c>
      <c r="N988">
        <f>salesitems[[#This Row],[quantity]]*salesitems[[#This Row],[unit_price]]</f>
        <v>192.84</v>
      </c>
      <c r="O988" t="str">
        <f>_xlfn.XLOOKUP(salesitems[[#This Row],[product_id]],products[product_id],products[product_name])</f>
        <v>Relaxed Silk Dress</v>
      </c>
      <c r="P988" t="str">
        <f>_xlfn.XLOOKUP(salesitems[[#This Row],[product_id]],fashion_store_products!A:A,fashion_store_products!C:C)</f>
        <v>Dresses</v>
      </c>
    </row>
    <row r="989" spans="1:16" x14ac:dyDescent="0.45">
      <c r="A989">
        <v>256</v>
      </c>
      <c r="B989">
        <v>285</v>
      </c>
      <c r="C989">
        <v>194</v>
      </c>
      <c r="D989">
        <v>3</v>
      </c>
      <c r="E989">
        <v>64.11</v>
      </c>
      <c r="F989">
        <v>64.11</v>
      </c>
      <c r="G989">
        <v>0</v>
      </c>
      <c r="H989" s="2">
        <v>0</v>
      </c>
      <c r="I989">
        <v>0</v>
      </c>
      <c r="J989">
        <v>192.33</v>
      </c>
      <c r="K989" s="1">
        <v>45806</v>
      </c>
      <c r="L989" t="s">
        <v>15</v>
      </c>
      <c r="M989" t="s">
        <v>15</v>
      </c>
      <c r="N989">
        <f>salesitems[[#This Row],[quantity]]*salesitems[[#This Row],[unit_price]]</f>
        <v>192.32999999999998</v>
      </c>
      <c r="O989" t="str">
        <f>_xlfn.XLOOKUP(salesitems[[#This Row],[product_id]],products[product_id],products[product_name])</f>
        <v>Vintage Sleeveless Set</v>
      </c>
      <c r="P989" t="str">
        <f>_xlfn.XLOOKUP(salesitems[[#This Row],[product_id]],fashion_store_products!A:A,fashion_store_products!C:C)</f>
        <v>Sleepwear</v>
      </c>
    </row>
    <row r="990" spans="1:16" x14ac:dyDescent="0.45">
      <c r="A990">
        <v>1802</v>
      </c>
      <c r="B990">
        <v>1001</v>
      </c>
      <c r="C990">
        <v>194</v>
      </c>
      <c r="D990">
        <v>3</v>
      </c>
      <c r="E990">
        <v>64.11</v>
      </c>
      <c r="F990">
        <v>64.11</v>
      </c>
      <c r="G990">
        <v>0</v>
      </c>
      <c r="H990" s="2">
        <v>0</v>
      </c>
      <c r="I990">
        <v>0</v>
      </c>
      <c r="J990">
        <v>192.33</v>
      </c>
      <c r="K990" s="1">
        <v>45781</v>
      </c>
      <c r="L990" t="s">
        <v>21</v>
      </c>
      <c r="M990" t="s">
        <v>18</v>
      </c>
      <c r="N990">
        <f>salesitems[[#This Row],[quantity]]*salesitems[[#This Row],[unit_price]]</f>
        <v>192.32999999999998</v>
      </c>
      <c r="O990" t="str">
        <f>_xlfn.XLOOKUP(salesitems[[#This Row],[product_id]],products[product_id],products[product_name])</f>
        <v>Vintage Sleeveless Set</v>
      </c>
      <c r="P990" t="str">
        <f>_xlfn.XLOOKUP(salesitems[[#This Row],[product_id]],fashion_store_products!A:A,fashion_store_products!C:C)</f>
        <v>Sleepwear</v>
      </c>
    </row>
    <row r="991" spans="1:16" x14ac:dyDescent="0.45">
      <c r="A991">
        <v>439</v>
      </c>
      <c r="B991">
        <v>68</v>
      </c>
      <c r="C991">
        <v>237</v>
      </c>
      <c r="D991">
        <v>3</v>
      </c>
      <c r="E991">
        <v>64.08</v>
      </c>
      <c r="F991">
        <v>64.08</v>
      </c>
      <c r="G991">
        <v>0</v>
      </c>
      <c r="H991" s="2">
        <v>0</v>
      </c>
      <c r="I991">
        <v>0</v>
      </c>
      <c r="J991">
        <v>192.24</v>
      </c>
      <c r="K991" s="1">
        <v>45800</v>
      </c>
      <c r="L991" t="s">
        <v>21</v>
      </c>
      <c r="M991" t="s">
        <v>18</v>
      </c>
      <c r="N991">
        <f>salesitems[[#This Row],[quantity]]*salesitems[[#This Row],[unit_price]]</f>
        <v>192.24</v>
      </c>
      <c r="O991" t="str">
        <f>_xlfn.XLOOKUP(salesitems[[#This Row],[product_id]],products[product_id],products[product_name])</f>
        <v>Relaxed Ribbed Dress</v>
      </c>
      <c r="P991" t="str">
        <f>_xlfn.XLOOKUP(salesitems[[#This Row],[product_id]],fashion_store_products!A:A,fashion_store_products!C:C)</f>
        <v>Dresses</v>
      </c>
    </row>
    <row r="992" spans="1:16" x14ac:dyDescent="0.45">
      <c r="A992">
        <v>777</v>
      </c>
      <c r="B992">
        <v>1179</v>
      </c>
      <c r="C992">
        <v>469</v>
      </c>
      <c r="D992">
        <v>3</v>
      </c>
      <c r="E992">
        <v>64.08</v>
      </c>
      <c r="F992">
        <v>64.08</v>
      </c>
      <c r="G992">
        <v>0</v>
      </c>
      <c r="H992" s="2">
        <v>0</v>
      </c>
      <c r="I992">
        <v>0</v>
      </c>
      <c r="J992">
        <v>192.24</v>
      </c>
      <c r="K992" s="1">
        <v>45776</v>
      </c>
      <c r="L992" t="s">
        <v>21</v>
      </c>
      <c r="M992" t="s">
        <v>18</v>
      </c>
      <c r="N992">
        <f>salesitems[[#This Row],[quantity]]*salesitems[[#This Row],[unit_price]]</f>
        <v>192.24</v>
      </c>
      <c r="O992" t="str">
        <f>_xlfn.XLOOKUP(salesitems[[#This Row],[product_id]],products[product_id],products[product_name])</f>
        <v>Dresses Drop 1</v>
      </c>
      <c r="P992" t="str">
        <f>_xlfn.XLOOKUP(salesitems[[#This Row],[product_id]],fashion_store_products!A:A,fashion_store_products!C:C)</f>
        <v>Dresses</v>
      </c>
    </row>
    <row r="993" spans="1:16" x14ac:dyDescent="0.45">
      <c r="A993">
        <v>1136</v>
      </c>
      <c r="B993">
        <v>17</v>
      </c>
      <c r="C993">
        <v>371</v>
      </c>
      <c r="D993">
        <v>3</v>
      </c>
      <c r="E993">
        <v>63.82</v>
      </c>
      <c r="F993">
        <v>63.82</v>
      </c>
      <c r="G993">
        <v>0</v>
      </c>
      <c r="H993" s="2">
        <v>0</v>
      </c>
      <c r="I993">
        <v>0</v>
      </c>
      <c r="J993">
        <v>191.46</v>
      </c>
      <c r="K993" s="1">
        <v>45776</v>
      </c>
      <c r="L993" t="s">
        <v>21</v>
      </c>
      <c r="M993" t="s">
        <v>18</v>
      </c>
      <c r="N993">
        <f>salesitems[[#This Row],[quantity]]*salesitems[[#This Row],[unit_price]]</f>
        <v>191.46</v>
      </c>
      <c r="O993" t="str">
        <f>_xlfn.XLOOKUP(salesitems[[#This Row],[product_id]],products[product_id],products[product_name])</f>
        <v>Elegant Cotton Tee</v>
      </c>
      <c r="P993" t="str">
        <f>_xlfn.XLOOKUP(salesitems[[#This Row],[product_id]],fashion_store_products!A:A,fashion_store_products!C:C)</f>
        <v>T-Shirts</v>
      </c>
    </row>
    <row r="994" spans="1:16" x14ac:dyDescent="0.45">
      <c r="A994">
        <v>1281</v>
      </c>
      <c r="B994">
        <v>620</v>
      </c>
      <c r="C994">
        <v>371</v>
      </c>
      <c r="D994">
        <v>3</v>
      </c>
      <c r="E994">
        <v>63.82</v>
      </c>
      <c r="F994">
        <v>63.82</v>
      </c>
      <c r="G994">
        <v>0</v>
      </c>
      <c r="H994" s="2">
        <v>0</v>
      </c>
      <c r="I994">
        <v>0</v>
      </c>
      <c r="J994">
        <v>191.46</v>
      </c>
      <c r="K994" s="1">
        <v>45797</v>
      </c>
      <c r="L994" t="s">
        <v>21</v>
      </c>
      <c r="M994" t="s">
        <v>18</v>
      </c>
      <c r="N994">
        <f>salesitems[[#This Row],[quantity]]*salesitems[[#This Row],[unit_price]]</f>
        <v>191.46</v>
      </c>
      <c r="O994" t="str">
        <f>_xlfn.XLOOKUP(salesitems[[#This Row],[product_id]],products[product_id],products[product_name])</f>
        <v>Elegant Cotton Tee</v>
      </c>
      <c r="P994" t="str">
        <f>_xlfn.XLOOKUP(salesitems[[#This Row],[product_id]],fashion_store_products!A:A,fashion_store_products!C:C)</f>
        <v>T-Shirts</v>
      </c>
    </row>
    <row r="995" spans="1:16" x14ac:dyDescent="0.45">
      <c r="A995">
        <v>2896</v>
      </c>
      <c r="B995">
        <v>1237</v>
      </c>
      <c r="C995">
        <v>371</v>
      </c>
      <c r="D995">
        <v>3</v>
      </c>
      <c r="E995">
        <v>63.82</v>
      </c>
      <c r="F995">
        <v>63.82</v>
      </c>
      <c r="G995">
        <v>0</v>
      </c>
      <c r="H995" s="2">
        <v>0</v>
      </c>
      <c r="I995">
        <v>0</v>
      </c>
      <c r="J995">
        <v>191.46</v>
      </c>
      <c r="K995" s="1">
        <v>45775</v>
      </c>
      <c r="L995" t="s">
        <v>21</v>
      </c>
      <c r="M995" t="s">
        <v>18</v>
      </c>
      <c r="N995">
        <f>salesitems[[#This Row],[quantity]]*salesitems[[#This Row],[unit_price]]</f>
        <v>191.46</v>
      </c>
      <c r="O995" t="str">
        <f>_xlfn.XLOOKUP(salesitems[[#This Row],[product_id]],products[product_id],products[product_name])</f>
        <v>Elegant Cotton Tee</v>
      </c>
      <c r="P995" t="str">
        <f>_xlfn.XLOOKUP(salesitems[[#This Row],[product_id]],fashion_store_products!A:A,fashion_store_products!C:C)</f>
        <v>T-Shirts</v>
      </c>
    </row>
    <row r="996" spans="1:16" x14ac:dyDescent="0.45">
      <c r="A996">
        <v>959</v>
      </c>
      <c r="B996">
        <v>397</v>
      </c>
      <c r="C996">
        <v>372</v>
      </c>
      <c r="D996">
        <v>3</v>
      </c>
      <c r="E996">
        <v>63.79</v>
      </c>
      <c r="F996">
        <v>63.79</v>
      </c>
      <c r="G996">
        <v>0</v>
      </c>
      <c r="H996" s="2">
        <v>0</v>
      </c>
      <c r="I996">
        <v>0</v>
      </c>
      <c r="J996">
        <v>191.37</v>
      </c>
      <c r="K996" s="1">
        <v>45776</v>
      </c>
      <c r="L996" t="s">
        <v>21</v>
      </c>
      <c r="M996" t="s">
        <v>18</v>
      </c>
      <c r="N996">
        <f>salesitems[[#This Row],[quantity]]*salesitems[[#This Row],[unit_price]]</f>
        <v>191.37</v>
      </c>
      <c r="O996" t="str">
        <f>_xlfn.XLOOKUP(salesitems[[#This Row],[product_id]],products[product_id],products[product_name])</f>
        <v>Essential Linen Trousers</v>
      </c>
      <c r="P996" t="str">
        <f>_xlfn.XLOOKUP(salesitems[[#This Row],[product_id]],fashion_store_products!A:A,fashion_store_products!C:C)</f>
        <v>Pants</v>
      </c>
    </row>
    <row r="997" spans="1:16" x14ac:dyDescent="0.45">
      <c r="A997">
        <v>667</v>
      </c>
      <c r="B997">
        <v>645</v>
      </c>
      <c r="C997">
        <v>385</v>
      </c>
      <c r="D997">
        <v>3</v>
      </c>
      <c r="E997">
        <v>63.23</v>
      </c>
      <c r="F997">
        <v>63.23</v>
      </c>
      <c r="G997">
        <v>0</v>
      </c>
      <c r="H997" s="2">
        <v>0</v>
      </c>
      <c r="I997">
        <v>0</v>
      </c>
      <c r="J997">
        <v>189.69</v>
      </c>
      <c r="K997" s="1">
        <v>45761</v>
      </c>
      <c r="L997" t="s">
        <v>21</v>
      </c>
      <c r="M997" t="s">
        <v>18</v>
      </c>
      <c r="N997">
        <f>salesitems[[#This Row],[quantity]]*salesitems[[#This Row],[unit_price]]</f>
        <v>189.69</v>
      </c>
      <c r="O997" t="str">
        <f>_xlfn.XLOOKUP(salesitems[[#This Row],[product_id]],products[product_id],products[product_name])</f>
        <v>Essential Satin Trousers</v>
      </c>
      <c r="P997" t="str">
        <f>_xlfn.XLOOKUP(salesitems[[#This Row],[product_id]],fashion_store_products!A:A,fashion_store_products!C:C)</f>
        <v>Pants</v>
      </c>
    </row>
    <row r="998" spans="1:16" x14ac:dyDescent="0.45">
      <c r="A998">
        <v>549</v>
      </c>
      <c r="B998">
        <v>1277</v>
      </c>
      <c r="C998">
        <v>79</v>
      </c>
      <c r="D998">
        <v>3</v>
      </c>
      <c r="E998">
        <v>63.22</v>
      </c>
      <c r="F998">
        <v>63.22</v>
      </c>
      <c r="G998">
        <v>0</v>
      </c>
      <c r="H998" s="2">
        <v>0</v>
      </c>
      <c r="I998">
        <v>0</v>
      </c>
      <c r="J998">
        <v>189.66</v>
      </c>
      <c r="K998" s="1">
        <v>45783</v>
      </c>
      <c r="L998" t="s">
        <v>15</v>
      </c>
      <c r="M998" t="s">
        <v>15</v>
      </c>
      <c r="N998">
        <f>salesitems[[#This Row],[quantity]]*salesitems[[#This Row],[unit_price]]</f>
        <v>189.66</v>
      </c>
      <c r="O998" t="str">
        <f>_xlfn.XLOOKUP(salesitems[[#This Row],[product_id]],products[product_id],products[product_name])</f>
        <v>Modern Satin Trousers</v>
      </c>
      <c r="P998" t="str">
        <f>_xlfn.XLOOKUP(salesitems[[#This Row],[product_id]],fashion_store_products!A:A,fashion_store_products!C:C)</f>
        <v>Pants</v>
      </c>
    </row>
    <row r="999" spans="1:16" x14ac:dyDescent="0.45">
      <c r="A999">
        <v>514</v>
      </c>
      <c r="B999">
        <v>329</v>
      </c>
      <c r="C999">
        <v>206</v>
      </c>
      <c r="D999">
        <v>3</v>
      </c>
      <c r="E999">
        <v>63.03</v>
      </c>
      <c r="F999">
        <v>63.03</v>
      </c>
      <c r="G999">
        <v>0</v>
      </c>
      <c r="H999" s="2">
        <v>0</v>
      </c>
      <c r="I999">
        <v>0</v>
      </c>
      <c r="J999">
        <v>189.09</v>
      </c>
      <c r="K999" s="1">
        <v>45751</v>
      </c>
      <c r="L999" t="s">
        <v>21</v>
      </c>
      <c r="M999" t="s">
        <v>18</v>
      </c>
      <c r="N999">
        <f>salesitems[[#This Row],[quantity]]*salesitems[[#This Row],[unit_price]]</f>
        <v>189.09</v>
      </c>
      <c r="O999" t="str">
        <f>_xlfn.XLOOKUP(salesitems[[#This Row],[product_id]],products[product_id],products[product_name])</f>
        <v>Vintage Silk Trousers</v>
      </c>
      <c r="P999" t="str">
        <f>_xlfn.XLOOKUP(salesitems[[#This Row],[product_id]],fashion_store_products!A:A,fashion_store_products!C:C)</f>
        <v>Pants</v>
      </c>
    </row>
    <row r="1000" spans="1:16" x14ac:dyDescent="0.45">
      <c r="A1000">
        <v>1038</v>
      </c>
      <c r="B1000">
        <v>1016</v>
      </c>
      <c r="C1000">
        <v>206</v>
      </c>
      <c r="D1000">
        <v>3</v>
      </c>
      <c r="E1000">
        <v>63.03</v>
      </c>
      <c r="F1000">
        <v>63.03</v>
      </c>
      <c r="G1000">
        <v>0</v>
      </c>
      <c r="H1000" s="2">
        <v>0</v>
      </c>
      <c r="I1000">
        <v>0</v>
      </c>
      <c r="J1000">
        <v>189.09</v>
      </c>
      <c r="K1000" s="1">
        <v>45769</v>
      </c>
      <c r="L1000" t="s">
        <v>21</v>
      </c>
      <c r="M1000" t="s">
        <v>18</v>
      </c>
      <c r="N1000">
        <f>salesitems[[#This Row],[quantity]]*salesitems[[#This Row],[unit_price]]</f>
        <v>189.09</v>
      </c>
      <c r="O1000" t="str">
        <f>_xlfn.XLOOKUP(salesitems[[#This Row],[product_id]],products[product_id],products[product_name])</f>
        <v>Vintage Silk Trousers</v>
      </c>
      <c r="P1000" t="str">
        <f>_xlfn.XLOOKUP(salesitems[[#This Row],[product_id]],fashion_store_products!A:A,fashion_store_products!C:C)</f>
        <v>Pants</v>
      </c>
    </row>
    <row r="1001" spans="1:16" x14ac:dyDescent="0.45">
      <c r="A1001">
        <v>1623</v>
      </c>
      <c r="B1001">
        <v>486</v>
      </c>
      <c r="C1001">
        <v>236</v>
      </c>
      <c r="D1001">
        <v>3</v>
      </c>
      <c r="E1001">
        <v>62.93</v>
      </c>
      <c r="F1001">
        <v>62.93</v>
      </c>
      <c r="G1001">
        <v>0</v>
      </c>
      <c r="H1001" s="2">
        <v>0</v>
      </c>
      <c r="I1001">
        <v>0</v>
      </c>
      <c r="J1001">
        <v>188.79</v>
      </c>
      <c r="K1001" s="1">
        <v>45766</v>
      </c>
      <c r="L1001" t="s">
        <v>15</v>
      </c>
      <c r="M1001" t="s">
        <v>15</v>
      </c>
      <c r="N1001">
        <f>salesitems[[#This Row],[quantity]]*salesitems[[#This Row],[unit_price]]</f>
        <v>188.79</v>
      </c>
      <c r="O1001" t="str">
        <f>_xlfn.XLOOKUP(salesitems[[#This Row],[product_id]],products[product_id],products[product_name])</f>
        <v>Relaxed Linen Shoes</v>
      </c>
      <c r="P1001" t="str">
        <f>_xlfn.XLOOKUP(salesitems[[#This Row],[product_id]],fashion_store_products!A:A,fashion_store_products!C:C)</f>
        <v>Shoes</v>
      </c>
    </row>
    <row r="1002" spans="1:16" x14ac:dyDescent="0.45">
      <c r="A1002">
        <v>2106</v>
      </c>
      <c r="B1002">
        <v>314</v>
      </c>
      <c r="C1002">
        <v>317</v>
      </c>
      <c r="D1002">
        <v>3</v>
      </c>
      <c r="E1002">
        <v>62.63</v>
      </c>
      <c r="F1002">
        <v>62.63</v>
      </c>
      <c r="G1002">
        <v>0</v>
      </c>
      <c r="H1002" s="2">
        <v>0</v>
      </c>
      <c r="I1002">
        <v>0</v>
      </c>
      <c r="J1002">
        <v>187.89</v>
      </c>
      <c r="K1002" s="1">
        <v>45795</v>
      </c>
      <c r="L1002" t="s">
        <v>21</v>
      </c>
      <c r="M1002" t="s">
        <v>18</v>
      </c>
      <c r="N1002">
        <f>salesitems[[#This Row],[quantity]]*salesitems[[#This Row],[unit_price]]</f>
        <v>187.89000000000001</v>
      </c>
      <c r="O1002" t="str">
        <f>_xlfn.XLOOKUP(salesitems[[#This Row],[product_id]],products[product_id],products[product_name])</f>
        <v>Relaxed High-Waist Set</v>
      </c>
      <c r="P1002" t="str">
        <f>_xlfn.XLOOKUP(salesitems[[#This Row],[product_id]],fashion_store_products!A:A,fashion_store_products!C:C)</f>
        <v>Sleepwear</v>
      </c>
    </row>
    <row r="1003" spans="1:16" x14ac:dyDescent="0.45">
      <c r="A1003">
        <v>2699</v>
      </c>
      <c r="B1003">
        <v>343</v>
      </c>
      <c r="C1003">
        <v>382</v>
      </c>
      <c r="D1003">
        <v>3</v>
      </c>
      <c r="E1003">
        <v>62.52</v>
      </c>
      <c r="F1003">
        <v>62.52</v>
      </c>
      <c r="G1003">
        <v>0</v>
      </c>
      <c r="H1003" s="2">
        <v>0</v>
      </c>
      <c r="I1003">
        <v>0</v>
      </c>
      <c r="J1003">
        <v>187.56</v>
      </c>
      <c r="K1003" s="1">
        <v>45825</v>
      </c>
      <c r="L1003" t="s">
        <v>15</v>
      </c>
      <c r="M1003" t="s">
        <v>15</v>
      </c>
      <c r="N1003">
        <f>salesitems[[#This Row],[quantity]]*salesitems[[#This Row],[unit_price]]</f>
        <v>187.56</v>
      </c>
      <c r="O1003" t="str">
        <f>_xlfn.XLOOKUP(salesitems[[#This Row],[product_id]],products[product_id],products[product_name])</f>
        <v>Tailored Sleeveless Dress</v>
      </c>
      <c r="P1003" t="str">
        <f>_xlfn.XLOOKUP(salesitems[[#This Row],[product_id]],fashion_store_products!A:A,fashion_store_products!C:C)</f>
        <v>Dresses</v>
      </c>
    </row>
    <row r="1004" spans="1:16" x14ac:dyDescent="0.45">
      <c r="A1004">
        <v>2466</v>
      </c>
      <c r="B1004">
        <v>399</v>
      </c>
      <c r="C1004">
        <v>192</v>
      </c>
      <c r="D1004">
        <v>3</v>
      </c>
      <c r="E1004">
        <v>62.48</v>
      </c>
      <c r="F1004">
        <v>62.48</v>
      </c>
      <c r="G1004">
        <v>0</v>
      </c>
      <c r="H1004" s="2">
        <v>0</v>
      </c>
      <c r="I1004">
        <v>0</v>
      </c>
      <c r="J1004">
        <v>187.44</v>
      </c>
      <c r="K1004" s="1">
        <v>45781</v>
      </c>
      <c r="L1004" t="s">
        <v>15</v>
      </c>
      <c r="M1004" t="s">
        <v>15</v>
      </c>
      <c r="N1004">
        <f>salesitems[[#This Row],[quantity]]*salesitems[[#This Row],[unit_price]]</f>
        <v>187.44</v>
      </c>
      <c r="O1004" t="str">
        <f>_xlfn.XLOOKUP(salesitems[[#This Row],[product_id]],products[product_id],products[product_name])</f>
        <v>Polished Silk Dress</v>
      </c>
      <c r="P1004" t="str">
        <f>_xlfn.XLOOKUP(salesitems[[#This Row],[product_id]],fashion_store_products!A:A,fashion_store_products!C:C)</f>
        <v>Dresses</v>
      </c>
    </row>
    <row r="1005" spans="1:16" x14ac:dyDescent="0.45">
      <c r="A1005">
        <v>2761</v>
      </c>
      <c r="B1005">
        <v>201</v>
      </c>
      <c r="C1005">
        <v>192</v>
      </c>
      <c r="D1005">
        <v>3</v>
      </c>
      <c r="E1005">
        <v>62.48</v>
      </c>
      <c r="F1005">
        <v>62.48</v>
      </c>
      <c r="G1005">
        <v>0</v>
      </c>
      <c r="H1005" s="2">
        <v>0</v>
      </c>
      <c r="I1005">
        <v>0</v>
      </c>
      <c r="J1005">
        <v>187.44</v>
      </c>
      <c r="K1005" s="1">
        <v>45804</v>
      </c>
      <c r="L1005" t="s">
        <v>15</v>
      </c>
      <c r="M1005" t="s">
        <v>15</v>
      </c>
      <c r="N1005">
        <f>salesitems[[#This Row],[quantity]]*salesitems[[#This Row],[unit_price]]</f>
        <v>187.44</v>
      </c>
      <c r="O1005" t="str">
        <f>_xlfn.XLOOKUP(salesitems[[#This Row],[product_id]],products[product_id],products[product_name])</f>
        <v>Polished Silk Dress</v>
      </c>
      <c r="P1005" t="str">
        <f>_xlfn.XLOOKUP(salesitems[[#This Row],[product_id]],fashion_store_products!A:A,fashion_store_products!C:C)</f>
        <v>Dresses</v>
      </c>
    </row>
    <row r="1006" spans="1:16" x14ac:dyDescent="0.45">
      <c r="A1006">
        <v>1870</v>
      </c>
      <c r="B1006">
        <v>96</v>
      </c>
      <c r="C1006">
        <v>378</v>
      </c>
      <c r="D1006">
        <v>3</v>
      </c>
      <c r="E1006">
        <v>62.39</v>
      </c>
      <c r="F1006">
        <v>62.39</v>
      </c>
      <c r="G1006">
        <v>0</v>
      </c>
      <c r="H1006" s="2">
        <v>0</v>
      </c>
      <c r="I1006">
        <v>0</v>
      </c>
      <c r="J1006">
        <v>187.17</v>
      </c>
      <c r="K1006" s="1">
        <v>45767</v>
      </c>
      <c r="L1006" t="s">
        <v>21</v>
      </c>
      <c r="M1006" t="s">
        <v>18</v>
      </c>
      <c r="N1006">
        <f>salesitems[[#This Row],[quantity]]*salesitems[[#This Row],[unit_price]]</f>
        <v>187.17000000000002</v>
      </c>
      <c r="O1006" t="str">
        <f>_xlfn.XLOOKUP(salesitems[[#This Row],[product_id]],products[product_id],products[product_name])</f>
        <v>Essential Ribbed Trousers</v>
      </c>
      <c r="P1006" t="str">
        <f>_xlfn.XLOOKUP(salesitems[[#This Row],[product_id]],fashion_store_products!A:A,fashion_store_products!C:C)</f>
        <v>Pants</v>
      </c>
    </row>
    <row r="1007" spans="1:16" x14ac:dyDescent="0.45">
      <c r="A1007">
        <v>93</v>
      </c>
      <c r="B1007">
        <v>490</v>
      </c>
      <c r="C1007">
        <v>323</v>
      </c>
      <c r="D1007">
        <v>3</v>
      </c>
      <c r="E1007">
        <v>62.34</v>
      </c>
      <c r="F1007">
        <v>62.34</v>
      </c>
      <c r="G1007">
        <v>0</v>
      </c>
      <c r="H1007" s="2">
        <v>0</v>
      </c>
      <c r="I1007">
        <v>0</v>
      </c>
      <c r="J1007">
        <v>187.02</v>
      </c>
      <c r="K1007" s="1">
        <v>45801</v>
      </c>
      <c r="L1007" t="s">
        <v>15</v>
      </c>
      <c r="M1007" t="s">
        <v>15</v>
      </c>
      <c r="N1007">
        <f>salesitems[[#This Row],[quantity]]*salesitems[[#This Row],[unit_price]]</f>
        <v>187.02</v>
      </c>
      <c r="O1007" t="str">
        <f>_xlfn.XLOOKUP(salesitems[[#This Row],[product_id]],products[product_id],products[product_name])</f>
        <v>Tailored Wrap Tee</v>
      </c>
      <c r="P1007" t="str">
        <f>_xlfn.XLOOKUP(salesitems[[#This Row],[product_id]],fashion_store_products!A:A,fashion_store_products!C:C)</f>
        <v>T-Shirts</v>
      </c>
    </row>
    <row r="1008" spans="1:16" x14ac:dyDescent="0.45">
      <c r="A1008">
        <v>2335</v>
      </c>
      <c r="B1008">
        <v>700</v>
      </c>
      <c r="C1008">
        <v>323</v>
      </c>
      <c r="D1008">
        <v>3</v>
      </c>
      <c r="E1008">
        <v>62.34</v>
      </c>
      <c r="F1008">
        <v>62.34</v>
      </c>
      <c r="G1008">
        <v>0</v>
      </c>
      <c r="H1008" s="2">
        <v>0</v>
      </c>
      <c r="I1008">
        <v>0</v>
      </c>
      <c r="J1008">
        <v>187.02</v>
      </c>
      <c r="K1008" s="1">
        <v>45803</v>
      </c>
      <c r="L1008" t="s">
        <v>21</v>
      </c>
      <c r="M1008" t="s">
        <v>18</v>
      </c>
      <c r="N1008">
        <f>salesitems[[#This Row],[quantity]]*salesitems[[#This Row],[unit_price]]</f>
        <v>187.02</v>
      </c>
      <c r="O1008" t="str">
        <f>_xlfn.XLOOKUP(salesitems[[#This Row],[product_id]],products[product_id],products[product_name])</f>
        <v>Tailored Wrap Tee</v>
      </c>
      <c r="P1008" t="str">
        <f>_xlfn.XLOOKUP(salesitems[[#This Row],[product_id]],fashion_store_products!A:A,fashion_store_products!C:C)</f>
        <v>T-Shirts</v>
      </c>
    </row>
    <row r="1009" spans="1:16" x14ac:dyDescent="0.45">
      <c r="A1009">
        <v>1898</v>
      </c>
      <c r="B1009">
        <v>525</v>
      </c>
      <c r="C1009">
        <v>437</v>
      </c>
      <c r="D1009">
        <v>3</v>
      </c>
      <c r="E1009">
        <v>62.17</v>
      </c>
      <c r="F1009">
        <v>62.17</v>
      </c>
      <c r="G1009">
        <v>0</v>
      </c>
      <c r="H1009" s="2">
        <v>0</v>
      </c>
      <c r="I1009">
        <v>0</v>
      </c>
      <c r="J1009">
        <v>186.51</v>
      </c>
      <c r="K1009" s="1">
        <v>45798</v>
      </c>
      <c r="L1009" t="s">
        <v>15</v>
      </c>
      <c r="M1009" t="s">
        <v>15</v>
      </c>
      <c r="N1009">
        <f>salesitems[[#This Row],[quantity]]*salesitems[[#This Row],[unit_price]]</f>
        <v>186.51</v>
      </c>
      <c r="O1009" t="str">
        <f>_xlfn.XLOOKUP(salesitems[[#This Row],[product_id]],products[product_id],products[product_name])</f>
        <v>Elegant Boxy Dress</v>
      </c>
      <c r="P1009" t="str">
        <f>_xlfn.XLOOKUP(salesitems[[#This Row],[product_id]],fashion_store_products!A:A,fashion_store_products!C:C)</f>
        <v>Dresses</v>
      </c>
    </row>
    <row r="1010" spans="1:16" x14ac:dyDescent="0.45">
      <c r="A1010">
        <v>2667</v>
      </c>
      <c r="B1010">
        <v>1054</v>
      </c>
      <c r="C1010">
        <v>50</v>
      </c>
      <c r="D1010">
        <v>3</v>
      </c>
      <c r="E1010">
        <v>61.95</v>
      </c>
      <c r="F1010">
        <v>61.95</v>
      </c>
      <c r="G1010">
        <v>0</v>
      </c>
      <c r="H1010" s="2">
        <v>0</v>
      </c>
      <c r="I1010">
        <v>0</v>
      </c>
      <c r="J1010">
        <v>185.85</v>
      </c>
      <c r="K1010" s="1">
        <v>45775</v>
      </c>
      <c r="L1010" t="s">
        <v>15</v>
      </c>
      <c r="M1010" t="s">
        <v>15</v>
      </c>
      <c r="N1010">
        <f>salesitems[[#This Row],[quantity]]*salesitems[[#This Row],[unit_price]]</f>
        <v>185.85000000000002</v>
      </c>
      <c r="O1010" t="str">
        <f>_xlfn.XLOOKUP(salesitems[[#This Row],[product_id]],products[product_id],products[product_name])</f>
        <v>Modern Wrap Tee</v>
      </c>
      <c r="P1010" t="str">
        <f>_xlfn.XLOOKUP(salesitems[[#This Row],[product_id]],fashion_store_products!A:A,fashion_store_products!C:C)</f>
        <v>T-Shirts</v>
      </c>
    </row>
    <row r="1011" spans="1:16" x14ac:dyDescent="0.45">
      <c r="A1011">
        <v>1418</v>
      </c>
      <c r="B1011">
        <v>253</v>
      </c>
      <c r="C1011">
        <v>444</v>
      </c>
      <c r="D1011">
        <v>3</v>
      </c>
      <c r="E1011">
        <v>61.78</v>
      </c>
      <c r="F1011">
        <v>61.78</v>
      </c>
      <c r="G1011">
        <v>0</v>
      </c>
      <c r="H1011" s="2">
        <v>0</v>
      </c>
      <c r="I1011">
        <v>0</v>
      </c>
      <c r="J1011">
        <v>185.34</v>
      </c>
      <c r="K1011" s="1">
        <v>45774</v>
      </c>
      <c r="L1011" t="s">
        <v>15</v>
      </c>
      <c r="M1011" t="s">
        <v>15</v>
      </c>
      <c r="N1011">
        <f>salesitems[[#This Row],[quantity]]*salesitems[[#This Row],[unit_price]]</f>
        <v>185.34</v>
      </c>
      <c r="O1011" t="str">
        <f>_xlfn.XLOOKUP(salesitems[[#This Row],[product_id]],products[product_id],products[product_name])</f>
        <v>Bold Cotton Dress</v>
      </c>
      <c r="P1011" t="str">
        <f>_xlfn.XLOOKUP(salesitems[[#This Row],[product_id]],fashion_store_products!A:A,fashion_store_products!C:C)</f>
        <v>Dresses</v>
      </c>
    </row>
    <row r="1012" spans="1:16" x14ac:dyDescent="0.45">
      <c r="A1012">
        <v>3342</v>
      </c>
      <c r="B1012">
        <v>702</v>
      </c>
      <c r="C1012">
        <v>134</v>
      </c>
      <c r="D1012">
        <v>3</v>
      </c>
      <c r="E1012">
        <v>61.75</v>
      </c>
      <c r="F1012">
        <v>61.75</v>
      </c>
      <c r="G1012">
        <v>0</v>
      </c>
      <c r="H1012" s="2">
        <v>0</v>
      </c>
      <c r="I1012">
        <v>0</v>
      </c>
      <c r="J1012">
        <v>185.25</v>
      </c>
      <c r="K1012" s="1">
        <v>45806</v>
      </c>
      <c r="L1012" t="s">
        <v>15</v>
      </c>
      <c r="M1012" t="s">
        <v>15</v>
      </c>
      <c r="N1012">
        <f>salesitems[[#This Row],[quantity]]*salesitems[[#This Row],[unit_price]]</f>
        <v>185.25</v>
      </c>
      <c r="O1012" t="str">
        <f>_xlfn.XLOOKUP(salesitems[[#This Row],[product_id]],products[product_id],products[product_name])</f>
        <v>Classic Ribbed Trousers</v>
      </c>
      <c r="P1012" t="str">
        <f>_xlfn.XLOOKUP(salesitems[[#This Row],[product_id]],fashion_store_products!A:A,fashion_store_products!C:C)</f>
        <v>Pants</v>
      </c>
    </row>
    <row r="1013" spans="1:16" x14ac:dyDescent="0.45">
      <c r="A1013">
        <v>1161</v>
      </c>
      <c r="B1013">
        <v>142</v>
      </c>
      <c r="C1013">
        <v>266</v>
      </c>
      <c r="D1013">
        <v>3</v>
      </c>
      <c r="E1013">
        <v>61.67</v>
      </c>
      <c r="F1013">
        <v>61.67</v>
      </c>
      <c r="G1013">
        <v>0</v>
      </c>
      <c r="H1013" s="2">
        <v>0</v>
      </c>
      <c r="I1013">
        <v>0</v>
      </c>
      <c r="J1013">
        <v>185.01</v>
      </c>
      <c r="K1013" s="1">
        <v>45802</v>
      </c>
      <c r="L1013" t="s">
        <v>21</v>
      </c>
      <c r="M1013" t="s">
        <v>18</v>
      </c>
      <c r="N1013">
        <f>salesitems[[#This Row],[quantity]]*salesitems[[#This Row],[unit_price]]</f>
        <v>185.01</v>
      </c>
      <c r="O1013" t="str">
        <f>_xlfn.XLOOKUP(salesitems[[#This Row],[product_id]],products[product_id],products[product_name])</f>
        <v>Polished Crew Trousers</v>
      </c>
      <c r="P1013" t="str">
        <f>_xlfn.XLOOKUP(salesitems[[#This Row],[product_id]],fashion_store_products!A:A,fashion_store_products!C:C)</f>
        <v>Pants</v>
      </c>
    </row>
    <row r="1014" spans="1:16" x14ac:dyDescent="0.45">
      <c r="A1014">
        <v>1452</v>
      </c>
      <c r="B1014">
        <v>400</v>
      </c>
      <c r="C1014">
        <v>35</v>
      </c>
      <c r="D1014">
        <v>3</v>
      </c>
      <c r="E1014">
        <v>61.61</v>
      </c>
      <c r="F1014">
        <v>61.61</v>
      </c>
      <c r="G1014">
        <v>0</v>
      </c>
      <c r="H1014" s="2">
        <v>0</v>
      </c>
      <c r="I1014">
        <v>0</v>
      </c>
      <c r="J1014">
        <v>184.83</v>
      </c>
      <c r="K1014" s="1">
        <v>45768</v>
      </c>
      <c r="L1014" t="s">
        <v>15</v>
      </c>
      <c r="M1014" t="s">
        <v>15</v>
      </c>
      <c r="N1014">
        <f>salesitems[[#This Row],[quantity]]*salesitems[[#This Row],[unit_price]]</f>
        <v>184.82999999999998</v>
      </c>
      <c r="O1014" t="str">
        <f>_xlfn.XLOOKUP(salesitems[[#This Row],[product_id]],products[product_id],products[product_name])</f>
        <v>Modern Ribbed Dress</v>
      </c>
      <c r="P1014" t="str">
        <f>_xlfn.XLOOKUP(salesitems[[#This Row],[product_id]],fashion_store_products!A:A,fashion_store_products!C:C)</f>
        <v>Dresses</v>
      </c>
    </row>
    <row r="1015" spans="1:16" x14ac:dyDescent="0.45">
      <c r="A1015">
        <v>2551</v>
      </c>
      <c r="B1015">
        <v>90</v>
      </c>
      <c r="C1015">
        <v>399</v>
      </c>
      <c r="D1015">
        <v>3</v>
      </c>
      <c r="E1015">
        <v>61.6</v>
      </c>
      <c r="F1015">
        <v>61.6</v>
      </c>
      <c r="G1015">
        <v>0</v>
      </c>
      <c r="H1015" s="2">
        <v>0</v>
      </c>
      <c r="I1015">
        <v>0</v>
      </c>
      <c r="J1015">
        <v>184.8</v>
      </c>
      <c r="K1015" s="1">
        <v>45803</v>
      </c>
      <c r="L1015" t="s">
        <v>21</v>
      </c>
      <c r="M1015" t="s">
        <v>18</v>
      </c>
      <c r="N1015">
        <f>salesitems[[#This Row],[quantity]]*salesitems[[#This Row],[unit_price]]</f>
        <v>184.8</v>
      </c>
      <c r="O1015" t="str">
        <f>_xlfn.XLOOKUP(salesitems[[#This Row],[product_id]],products[product_id],products[product_name])</f>
        <v>Elegant Linen Shoes</v>
      </c>
      <c r="P1015" t="str">
        <f>_xlfn.XLOOKUP(salesitems[[#This Row],[product_id]],fashion_store_products!A:A,fashion_store_products!C:C)</f>
        <v>Shoes</v>
      </c>
    </row>
    <row r="1016" spans="1:16" x14ac:dyDescent="0.45">
      <c r="A1016">
        <v>2732</v>
      </c>
      <c r="B1016">
        <v>75</v>
      </c>
      <c r="C1016">
        <v>399</v>
      </c>
      <c r="D1016">
        <v>3</v>
      </c>
      <c r="E1016">
        <v>61.6</v>
      </c>
      <c r="F1016">
        <v>61.6</v>
      </c>
      <c r="G1016">
        <v>0</v>
      </c>
      <c r="H1016" s="2">
        <v>0</v>
      </c>
      <c r="I1016">
        <v>0</v>
      </c>
      <c r="J1016">
        <v>184.8</v>
      </c>
      <c r="K1016" s="1">
        <v>45799</v>
      </c>
      <c r="L1016" t="s">
        <v>15</v>
      </c>
      <c r="M1016" t="s">
        <v>15</v>
      </c>
      <c r="N1016">
        <f>salesitems[[#This Row],[quantity]]*salesitems[[#This Row],[unit_price]]</f>
        <v>184.8</v>
      </c>
      <c r="O1016" t="str">
        <f>_xlfn.XLOOKUP(salesitems[[#This Row],[product_id]],products[product_id],products[product_name])</f>
        <v>Elegant Linen Shoes</v>
      </c>
      <c r="P1016" t="str">
        <f>_xlfn.XLOOKUP(salesitems[[#This Row],[product_id]],fashion_store_products!A:A,fashion_store_products!C:C)</f>
        <v>Shoes</v>
      </c>
    </row>
    <row r="1017" spans="1:16" x14ac:dyDescent="0.45">
      <c r="A1017">
        <v>76</v>
      </c>
      <c r="B1017">
        <v>85</v>
      </c>
      <c r="C1017">
        <v>123</v>
      </c>
      <c r="D1017">
        <v>3</v>
      </c>
      <c r="E1017">
        <v>61.51</v>
      </c>
      <c r="F1017">
        <v>61.51</v>
      </c>
      <c r="G1017">
        <v>0</v>
      </c>
      <c r="H1017" s="2">
        <v>0</v>
      </c>
      <c r="I1017">
        <v>0</v>
      </c>
      <c r="J1017">
        <v>184.53</v>
      </c>
      <c r="K1017" s="1">
        <v>45792</v>
      </c>
      <c r="L1017" t="s">
        <v>21</v>
      </c>
      <c r="M1017" t="s">
        <v>18</v>
      </c>
      <c r="N1017">
        <f>salesitems[[#This Row],[quantity]]*salesitems[[#This Row],[unit_price]]</f>
        <v>184.53</v>
      </c>
      <c r="O1017" t="str">
        <f>_xlfn.XLOOKUP(salesitems[[#This Row],[product_id]],products[product_id],products[product_name])</f>
        <v>Classic Wrap Set</v>
      </c>
      <c r="P1017" t="str">
        <f>_xlfn.XLOOKUP(salesitems[[#This Row],[product_id]],fashion_store_products!A:A,fashion_store_products!C:C)</f>
        <v>Sleepwear</v>
      </c>
    </row>
    <row r="1018" spans="1:16" x14ac:dyDescent="0.45">
      <c r="A1018">
        <v>3324</v>
      </c>
      <c r="B1018">
        <v>1219</v>
      </c>
      <c r="C1018">
        <v>125</v>
      </c>
      <c r="D1018">
        <v>3</v>
      </c>
      <c r="E1018">
        <v>61.27</v>
      </c>
      <c r="F1018">
        <v>61.27</v>
      </c>
      <c r="G1018">
        <v>0</v>
      </c>
      <c r="H1018" s="2">
        <v>0</v>
      </c>
      <c r="I1018">
        <v>0</v>
      </c>
      <c r="J1018">
        <v>183.81</v>
      </c>
      <c r="K1018" s="1">
        <v>45791</v>
      </c>
      <c r="L1018" t="s">
        <v>21</v>
      </c>
      <c r="M1018" t="s">
        <v>18</v>
      </c>
      <c r="N1018">
        <f>salesitems[[#This Row],[quantity]]*salesitems[[#This Row],[unit_price]]</f>
        <v>183.81</v>
      </c>
      <c r="O1018" t="str">
        <f>_xlfn.XLOOKUP(salesitems[[#This Row],[product_id]],products[product_id],products[product_name])</f>
        <v>Classic Satin Shoes</v>
      </c>
      <c r="P1018" t="str">
        <f>_xlfn.XLOOKUP(salesitems[[#This Row],[product_id]],fashion_store_products!A:A,fashion_store_products!C:C)</f>
        <v>Shoes</v>
      </c>
    </row>
    <row r="1019" spans="1:16" x14ac:dyDescent="0.45">
      <c r="A1019">
        <v>752</v>
      </c>
      <c r="B1019">
        <v>190</v>
      </c>
      <c r="C1019">
        <v>15</v>
      </c>
      <c r="D1019">
        <v>3</v>
      </c>
      <c r="E1019">
        <v>61.26</v>
      </c>
      <c r="F1019">
        <v>61.26</v>
      </c>
      <c r="G1019">
        <v>0</v>
      </c>
      <c r="H1019" s="2">
        <v>0</v>
      </c>
      <c r="I1019">
        <v>0</v>
      </c>
      <c r="J1019">
        <v>183.78</v>
      </c>
      <c r="K1019" s="1">
        <v>45825</v>
      </c>
      <c r="L1019" t="s">
        <v>15</v>
      </c>
      <c r="M1019" t="s">
        <v>15</v>
      </c>
      <c r="N1019">
        <f>salesitems[[#This Row],[quantity]]*salesitems[[#This Row],[unit_price]]</f>
        <v>183.78</v>
      </c>
      <c r="O1019" t="str">
        <f>_xlfn.XLOOKUP(salesitems[[#This Row],[product_id]],products[product_id],products[product_name])</f>
        <v>Soft Cotton Tee</v>
      </c>
      <c r="P1019" t="str">
        <f>_xlfn.XLOOKUP(salesitems[[#This Row],[product_id]],fashion_store_products!A:A,fashion_store_products!C:C)</f>
        <v>T-Shirts</v>
      </c>
    </row>
    <row r="1020" spans="1:16" x14ac:dyDescent="0.45">
      <c r="A1020">
        <v>3105</v>
      </c>
      <c r="B1020">
        <v>305</v>
      </c>
      <c r="C1020">
        <v>305</v>
      </c>
      <c r="D1020">
        <v>3</v>
      </c>
      <c r="E1020">
        <v>60.79</v>
      </c>
      <c r="F1020">
        <v>60.79</v>
      </c>
      <c r="G1020">
        <v>0</v>
      </c>
      <c r="H1020" s="2">
        <v>0</v>
      </c>
      <c r="I1020">
        <v>0</v>
      </c>
      <c r="J1020">
        <v>182.37</v>
      </c>
      <c r="K1020" s="1">
        <v>45775</v>
      </c>
      <c r="L1020" t="s">
        <v>21</v>
      </c>
      <c r="M1020" t="s">
        <v>18</v>
      </c>
      <c r="N1020">
        <f>salesitems[[#This Row],[quantity]]*salesitems[[#This Row],[unit_price]]</f>
        <v>182.37</v>
      </c>
      <c r="O1020" t="str">
        <f>_xlfn.XLOOKUP(salesitems[[#This Row],[product_id]],products[product_id],products[product_name])</f>
        <v>Relaxed Wrap Trousers</v>
      </c>
      <c r="P1020" t="str">
        <f>_xlfn.XLOOKUP(salesitems[[#This Row],[product_id]],fashion_store_products!A:A,fashion_store_products!C:C)</f>
        <v>Pants</v>
      </c>
    </row>
    <row r="1021" spans="1:16" x14ac:dyDescent="0.45">
      <c r="A1021">
        <v>2026</v>
      </c>
      <c r="B1021">
        <v>430</v>
      </c>
      <c r="C1021">
        <v>129</v>
      </c>
      <c r="D1021">
        <v>3</v>
      </c>
      <c r="E1021">
        <v>60.68</v>
      </c>
      <c r="F1021">
        <v>60.68</v>
      </c>
      <c r="G1021">
        <v>0</v>
      </c>
      <c r="H1021" s="2">
        <v>0</v>
      </c>
      <c r="I1021">
        <v>0</v>
      </c>
      <c r="J1021">
        <v>182.04</v>
      </c>
      <c r="K1021" s="1">
        <v>45765</v>
      </c>
      <c r="L1021" t="s">
        <v>21</v>
      </c>
      <c r="M1021" t="s">
        <v>18</v>
      </c>
      <c r="N1021">
        <f>salesitems[[#This Row],[quantity]]*salesitems[[#This Row],[unit_price]]</f>
        <v>182.04</v>
      </c>
      <c r="O1021" t="str">
        <f>_xlfn.XLOOKUP(salesitems[[#This Row],[product_id]],products[product_id],products[product_name])</f>
        <v>Classic Linen Trousers</v>
      </c>
      <c r="P1021" t="str">
        <f>_xlfn.XLOOKUP(salesitems[[#This Row],[product_id]],fashion_store_products!A:A,fashion_store_products!C:C)</f>
        <v>Pants</v>
      </c>
    </row>
    <row r="1022" spans="1:16" x14ac:dyDescent="0.45">
      <c r="A1022">
        <v>2540</v>
      </c>
      <c r="B1022">
        <v>1306</v>
      </c>
      <c r="C1022">
        <v>191</v>
      </c>
      <c r="D1022">
        <v>3</v>
      </c>
      <c r="E1022">
        <v>60.52</v>
      </c>
      <c r="F1022">
        <v>60.52</v>
      </c>
      <c r="G1022">
        <v>0</v>
      </c>
      <c r="H1022" s="2">
        <v>0</v>
      </c>
      <c r="I1022">
        <v>0</v>
      </c>
      <c r="J1022">
        <v>181.56</v>
      </c>
      <c r="K1022" s="1">
        <v>45823</v>
      </c>
      <c r="L1022" t="s">
        <v>21</v>
      </c>
      <c r="M1022" t="s">
        <v>18</v>
      </c>
      <c r="N1022">
        <f>salesitems[[#This Row],[quantity]]*salesitems[[#This Row],[unit_price]]</f>
        <v>181.56</v>
      </c>
      <c r="O1022" t="str">
        <f>_xlfn.XLOOKUP(salesitems[[#This Row],[product_id]],products[product_id],products[product_name])</f>
        <v>Polished Satin Dress</v>
      </c>
      <c r="P1022" t="str">
        <f>_xlfn.XLOOKUP(salesitems[[#This Row],[product_id]],fashion_store_products!A:A,fashion_store_products!C:C)</f>
        <v>Dresses</v>
      </c>
    </row>
    <row r="1023" spans="1:16" x14ac:dyDescent="0.45">
      <c r="A1023">
        <v>3159</v>
      </c>
      <c r="B1023">
        <v>362</v>
      </c>
      <c r="C1023">
        <v>191</v>
      </c>
      <c r="D1023">
        <v>3</v>
      </c>
      <c r="E1023">
        <v>60.52</v>
      </c>
      <c r="F1023">
        <v>60.52</v>
      </c>
      <c r="G1023">
        <v>0</v>
      </c>
      <c r="H1023" s="2">
        <v>0</v>
      </c>
      <c r="I1023">
        <v>0</v>
      </c>
      <c r="J1023">
        <v>181.56</v>
      </c>
      <c r="K1023" s="1">
        <v>45802</v>
      </c>
      <c r="L1023" t="s">
        <v>15</v>
      </c>
      <c r="M1023" t="s">
        <v>15</v>
      </c>
      <c r="N1023">
        <f>salesitems[[#This Row],[quantity]]*salesitems[[#This Row],[unit_price]]</f>
        <v>181.56</v>
      </c>
      <c r="O1023" t="str">
        <f>_xlfn.XLOOKUP(salesitems[[#This Row],[product_id]],products[product_id],products[product_name])</f>
        <v>Polished Satin Dress</v>
      </c>
      <c r="P1023" t="str">
        <f>_xlfn.XLOOKUP(salesitems[[#This Row],[product_id]],fashion_store_products!A:A,fashion_store_products!C:C)</f>
        <v>Dresses</v>
      </c>
    </row>
    <row r="1024" spans="1:16" x14ac:dyDescent="0.45">
      <c r="A1024">
        <v>574</v>
      </c>
      <c r="B1024">
        <v>1055</v>
      </c>
      <c r="C1024">
        <v>111</v>
      </c>
      <c r="D1024">
        <v>3</v>
      </c>
      <c r="E1024">
        <v>60.36</v>
      </c>
      <c r="F1024">
        <v>60.36</v>
      </c>
      <c r="G1024">
        <v>0</v>
      </c>
      <c r="H1024" s="2">
        <v>0</v>
      </c>
      <c r="I1024">
        <v>0</v>
      </c>
      <c r="J1024">
        <v>181.08</v>
      </c>
      <c r="K1024" s="1">
        <v>45798</v>
      </c>
      <c r="L1024" t="s">
        <v>15</v>
      </c>
      <c r="M1024" t="s">
        <v>15</v>
      </c>
      <c r="N1024">
        <f>salesitems[[#This Row],[quantity]]*salesitems[[#This Row],[unit_price]]</f>
        <v>181.07999999999998</v>
      </c>
      <c r="O1024" t="str">
        <f>_xlfn.XLOOKUP(salesitems[[#This Row],[product_id]],products[product_id],products[product_name])</f>
        <v>Modern Sleeveless Trousers</v>
      </c>
      <c r="P1024" t="str">
        <f>_xlfn.XLOOKUP(salesitems[[#This Row],[product_id]],fashion_store_products!A:A,fashion_store_products!C:C)</f>
        <v>Pants</v>
      </c>
    </row>
    <row r="1025" spans="1:16" x14ac:dyDescent="0.45">
      <c r="A1025">
        <v>1212</v>
      </c>
      <c r="B1025">
        <v>854</v>
      </c>
      <c r="C1025">
        <v>111</v>
      </c>
      <c r="D1025">
        <v>3</v>
      </c>
      <c r="E1025">
        <v>60.36</v>
      </c>
      <c r="F1025">
        <v>60.36</v>
      </c>
      <c r="G1025">
        <v>0</v>
      </c>
      <c r="H1025" s="2">
        <v>0</v>
      </c>
      <c r="I1025">
        <v>0</v>
      </c>
      <c r="J1025">
        <v>181.08</v>
      </c>
      <c r="K1025" s="1">
        <v>45763</v>
      </c>
      <c r="L1025" t="s">
        <v>21</v>
      </c>
      <c r="M1025" t="s">
        <v>18</v>
      </c>
      <c r="N1025">
        <f>salesitems[[#This Row],[quantity]]*salesitems[[#This Row],[unit_price]]</f>
        <v>181.07999999999998</v>
      </c>
      <c r="O1025" t="str">
        <f>_xlfn.XLOOKUP(salesitems[[#This Row],[product_id]],products[product_id],products[product_name])</f>
        <v>Modern Sleeveless Trousers</v>
      </c>
      <c r="P1025" t="str">
        <f>_xlfn.XLOOKUP(salesitems[[#This Row],[product_id]],fashion_store_products!A:A,fashion_store_products!C:C)</f>
        <v>Pants</v>
      </c>
    </row>
    <row r="1026" spans="1:16" x14ac:dyDescent="0.45">
      <c r="A1026">
        <v>178</v>
      </c>
      <c r="B1026">
        <v>503</v>
      </c>
      <c r="C1026">
        <v>347</v>
      </c>
      <c r="D1026">
        <v>3</v>
      </c>
      <c r="E1026">
        <v>59.92</v>
      </c>
      <c r="F1026">
        <v>59.92</v>
      </c>
      <c r="G1026">
        <v>0</v>
      </c>
      <c r="H1026" s="2">
        <v>0</v>
      </c>
      <c r="I1026">
        <v>0</v>
      </c>
      <c r="J1026">
        <v>179.76</v>
      </c>
      <c r="K1026" s="1">
        <v>45799</v>
      </c>
      <c r="L1026" t="s">
        <v>21</v>
      </c>
      <c r="M1026" t="s">
        <v>18</v>
      </c>
      <c r="N1026">
        <f>salesitems[[#This Row],[quantity]]*salesitems[[#This Row],[unit_price]]</f>
        <v>179.76</v>
      </c>
      <c r="O1026" t="str">
        <f>_xlfn.XLOOKUP(salesitems[[#This Row],[product_id]],products[product_id],products[product_name])</f>
        <v>Tailored Sleeveless Tee</v>
      </c>
      <c r="P1026" t="str">
        <f>_xlfn.XLOOKUP(salesitems[[#This Row],[product_id]],fashion_store_products!A:A,fashion_store_products!C:C)</f>
        <v>T-Shirts</v>
      </c>
    </row>
    <row r="1027" spans="1:16" x14ac:dyDescent="0.45">
      <c r="A1027">
        <v>1675</v>
      </c>
      <c r="B1027">
        <v>222</v>
      </c>
      <c r="C1027">
        <v>347</v>
      </c>
      <c r="D1027">
        <v>3</v>
      </c>
      <c r="E1027">
        <v>59.92</v>
      </c>
      <c r="F1027">
        <v>59.92</v>
      </c>
      <c r="G1027">
        <v>0</v>
      </c>
      <c r="H1027" s="2">
        <v>0</v>
      </c>
      <c r="I1027">
        <v>0</v>
      </c>
      <c r="J1027">
        <v>179.76</v>
      </c>
      <c r="K1027" s="1">
        <v>45798</v>
      </c>
      <c r="L1027" t="s">
        <v>15</v>
      </c>
      <c r="M1027" t="s">
        <v>15</v>
      </c>
      <c r="N1027">
        <f>salesitems[[#This Row],[quantity]]*salesitems[[#This Row],[unit_price]]</f>
        <v>179.76</v>
      </c>
      <c r="O1027" t="str">
        <f>_xlfn.XLOOKUP(salesitems[[#This Row],[product_id]],products[product_id],products[product_name])</f>
        <v>Tailored Sleeveless Tee</v>
      </c>
      <c r="P1027" t="str">
        <f>_xlfn.XLOOKUP(salesitems[[#This Row],[product_id]],fashion_store_products!A:A,fashion_store_products!C:C)</f>
        <v>T-Shirts</v>
      </c>
    </row>
    <row r="1028" spans="1:16" x14ac:dyDescent="0.45">
      <c r="A1028">
        <v>785</v>
      </c>
      <c r="B1028">
        <v>198</v>
      </c>
      <c r="C1028">
        <v>466</v>
      </c>
      <c r="D1028">
        <v>3</v>
      </c>
      <c r="E1028">
        <v>59.9</v>
      </c>
      <c r="F1028">
        <v>59.9</v>
      </c>
      <c r="G1028">
        <v>0</v>
      </c>
      <c r="H1028" s="2">
        <v>0</v>
      </c>
      <c r="I1028">
        <v>0</v>
      </c>
      <c r="J1028">
        <v>179.7</v>
      </c>
      <c r="K1028" s="1">
        <v>45770</v>
      </c>
      <c r="L1028" t="s">
        <v>15</v>
      </c>
      <c r="M1028" t="s">
        <v>15</v>
      </c>
      <c r="N1028">
        <f>salesitems[[#This Row],[quantity]]*salesitems[[#This Row],[unit_price]]</f>
        <v>179.7</v>
      </c>
      <c r="O1028" t="str">
        <f>_xlfn.XLOOKUP(salesitems[[#This Row],[product_id]],products[product_id],products[product_name])</f>
        <v>Bold Boxy Tee</v>
      </c>
      <c r="P1028" t="str">
        <f>_xlfn.XLOOKUP(salesitems[[#This Row],[product_id]],fashion_store_products!A:A,fashion_store_products!C:C)</f>
        <v>T-Shirts</v>
      </c>
    </row>
    <row r="1029" spans="1:16" x14ac:dyDescent="0.45">
      <c r="A1029">
        <v>1975</v>
      </c>
      <c r="B1029">
        <v>1262</v>
      </c>
      <c r="C1029">
        <v>472</v>
      </c>
      <c r="D1029">
        <v>3</v>
      </c>
      <c r="E1029">
        <v>59.9</v>
      </c>
      <c r="F1029">
        <v>59.9</v>
      </c>
      <c r="G1029">
        <v>0</v>
      </c>
      <c r="H1029" s="2">
        <v>0</v>
      </c>
      <c r="I1029">
        <v>0</v>
      </c>
      <c r="J1029">
        <v>179.7</v>
      </c>
      <c r="K1029" s="1">
        <v>45775</v>
      </c>
      <c r="L1029" t="s">
        <v>21</v>
      </c>
      <c r="M1029" t="s">
        <v>18</v>
      </c>
      <c r="N1029">
        <f>salesitems[[#This Row],[quantity]]*salesitems[[#This Row],[unit_price]]</f>
        <v>179.7</v>
      </c>
      <c r="O1029" t="str">
        <f>_xlfn.XLOOKUP(salesitems[[#This Row],[product_id]],products[product_id],products[product_name])</f>
        <v>Tailored Satin Trousers</v>
      </c>
      <c r="P1029" t="str">
        <f>_xlfn.XLOOKUP(salesitems[[#This Row],[product_id]],fashion_store_products!A:A,fashion_store_products!C:C)</f>
        <v>Pants</v>
      </c>
    </row>
    <row r="1030" spans="1:16" x14ac:dyDescent="0.45">
      <c r="A1030">
        <v>1924</v>
      </c>
      <c r="B1030">
        <v>878</v>
      </c>
      <c r="C1030">
        <v>391</v>
      </c>
      <c r="D1030">
        <v>3</v>
      </c>
      <c r="E1030">
        <v>59.77</v>
      </c>
      <c r="F1030">
        <v>59.77</v>
      </c>
      <c r="G1030">
        <v>0</v>
      </c>
      <c r="H1030" s="2">
        <v>0</v>
      </c>
      <c r="I1030">
        <v>0</v>
      </c>
      <c r="J1030">
        <v>179.31</v>
      </c>
      <c r="K1030" s="1">
        <v>45763</v>
      </c>
      <c r="L1030" t="s">
        <v>21</v>
      </c>
      <c r="M1030" t="s">
        <v>18</v>
      </c>
      <c r="N1030">
        <f>salesitems[[#This Row],[quantity]]*salesitems[[#This Row],[unit_price]]</f>
        <v>179.31</v>
      </c>
      <c r="O1030" t="str">
        <f>_xlfn.XLOOKUP(salesitems[[#This Row],[product_id]],products[product_id],products[product_name])</f>
        <v>Elegant Wrap Dress</v>
      </c>
      <c r="P1030" t="str">
        <f>_xlfn.XLOOKUP(salesitems[[#This Row],[product_id]],fashion_store_products!A:A,fashion_store_products!C:C)</f>
        <v>Dresses</v>
      </c>
    </row>
    <row r="1031" spans="1:16" x14ac:dyDescent="0.45">
      <c r="A1031">
        <v>2418</v>
      </c>
      <c r="B1031">
        <v>823</v>
      </c>
      <c r="C1031">
        <v>391</v>
      </c>
      <c r="D1031">
        <v>3</v>
      </c>
      <c r="E1031">
        <v>59.77</v>
      </c>
      <c r="F1031">
        <v>59.77</v>
      </c>
      <c r="G1031">
        <v>0</v>
      </c>
      <c r="H1031" s="2">
        <v>0</v>
      </c>
      <c r="I1031">
        <v>0</v>
      </c>
      <c r="J1031">
        <v>179.31</v>
      </c>
      <c r="K1031" s="1">
        <v>45771</v>
      </c>
      <c r="L1031" t="s">
        <v>15</v>
      </c>
      <c r="M1031" t="s">
        <v>15</v>
      </c>
      <c r="N1031">
        <f>salesitems[[#This Row],[quantity]]*salesitems[[#This Row],[unit_price]]</f>
        <v>179.31</v>
      </c>
      <c r="O1031" t="str">
        <f>_xlfn.XLOOKUP(salesitems[[#This Row],[product_id]],products[product_id],products[product_name])</f>
        <v>Elegant Wrap Dress</v>
      </c>
      <c r="P1031" t="str">
        <f>_xlfn.XLOOKUP(salesitems[[#This Row],[product_id]],fashion_store_products!A:A,fashion_store_products!C:C)</f>
        <v>Dresses</v>
      </c>
    </row>
    <row r="1032" spans="1:16" x14ac:dyDescent="0.45">
      <c r="A1032">
        <v>2806</v>
      </c>
      <c r="B1032">
        <v>1031</v>
      </c>
      <c r="C1032">
        <v>391</v>
      </c>
      <c r="D1032">
        <v>3</v>
      </c>
      <c r="E1032">
        <v>59.77</v>
      </c>
      <c r="F1032">
        <v>59.77</v>
      </c>
      <c r="G1032">
        <v>0</v>
      </c>
      <c r="H1032" s="2">
        <v>0</v>
      </c>
      <c r="I1032">
        <v>0</v>
      </c>
      <c r="J1032">
        <v>179.31</v>
      </c>
      <c r="K1032" s="1">
        <v>45812</v>
      </c>
      <c r="L1032" t="s">
        <v>15</v>
      </c>
      <c r="M1032" t="s">
        <v>15</v>
      </c>
      <c r="N1032">
        <f>salesitems[[#This Row],[quantity]]*salesitems[[#This Row],[unit_price]]</f>
        <v>179.31</v>
      </c>
      <c r="O1032" t="str">
        <f>_xlfn.XLOOKUP(salesitems[[#This Row],[product_id]],products[product_id],products[product_name])</f>
        <v>Elegant Wrap Dress</v>
      </c>
      <c r="P1032" t="str">
        <f>_xlfn.XLOOKUP(salesitems[[#This Row],[product_id]],fashion_store_products!A:A,fashion_store_products!C:C)</f>
        <v>Dresses</v>
      </c>
    </row>
    <row r="1033" spans="1:16" x14ac:dyDescent="0.45">
      <c r="A1033">
        <v>1351</v>
      </c>
      <c r="B1033">
        <v>475</v>
      </c>
      <c r="C1033">
        <v>464</v>
      </c>
      <c r="D1033">
        <v>3</v>
      </c>
      <c r="E1033">
        <v>59.58</v>
      </c>
      <c r="F1033">
        <v>59.58</v>
      </c>
      <c r="G1033">
        <v>0</v>
      </c>
      <c r="H1033" s="2">
        <v>0</v>
      </c>
      <c r="I1033">
        <v>0</v>
      </c>
      <c r="J1033">
        <v>178.74</v>
      </c>
      <c r="K1033" s="1">
        <v>45775</v>
      </c>
      <c r="L1033" t="s">
        <v>15</v>
      </c>
      <c r="M1033" t="s">
        <v>15</v>
      </c>
      <c r="N1033">
        <f>salesitems[[#This Row],[quantity]]*salesitems[[#This Row],[unit_price]]</f>
        <v>178.74</v>
      </c>
      <c r="O1033" t="str">
        <f>_xlfn.XLOOKUP(salesitems[[#This Row],[product_id]],products[product_id],products[product_name])</f>
        <v>Bold Ribbed Shoes</v>
      </c>
      <c r="P1033" t="str">
        <f>_xlfn.XLOOKUP(salesitems[[#This Row],[product_id]],fashion_store_products!A:A,fashion_store_products!C:C)</f>
        <v>Shoes</v>
      </c>
    </row>
    <row r="1034" spans="1:16" x14ac:dyDescent="0.45">
      <c r="A1034">
        <v>1088</v>
      </c>
      <c r="B1034">
        <v>167</v>
      </c>
      <c r="C1034">
        <v>160</v>
      </c>
      <c r="D1034">
        <v>3</v>
      </c>
      <c r="E1034">
        <v>59.38</v>
      </c>
      <c r="F1034">
        <v>59.38</v>
      </c>
      <c r="G1034">
        <v>0</v>
      </c>
      <c r="H1034" s="2">
        <v>0</v>
      </c>
      <c r="I1034">
        <v>0</v>
      </c>
      <c r="J1034">
        <v>178.14</v>
      </c>
      <c r="K1034" s="1">
        <v>45795</v>
      </c>
      <c r="L1034" t="s">
        <v>21</v>
      </c>
      <c r="M1034" t="s">
        <v>18</v>
      </c>
      <c r="N1034">
        <f>salesitems[[#This Row],[quantity]]*salesitems[[#This Row],[unit_price]]</f>
        <v>178.14000000000001</v>
      </c>
      <c r="O1034" t="str">
        <f>_xlfn.XLOOKUP(salesitems[[#This Row],[product_id]],products[product_id],products[product_name])</f>
        <v>Classic High-Waist Set</v>
      </c>
      <c r="P1034" t="str">
        <f>_xlfn.XLOOKUP(salesitems[[#This Row],[product_id]],fashion_store_products!A:A,fashion_store_products!C:C)</f>
        <v>Sleepwear</v>
      </c>
    </row>
    <row r="1035" spans="1:16" x14ac:dyDescent="0.45">
      <c r="A1035">
        <v>3100</v>
      </c>
      <c r="B1035">
        <v>620</v>
      </c>
      <c r="C1035">
        <v>160</v>
      </c>
      <c r="D1035">
        <v>3</v>
      </c>
      <c r="E1035">
        <v>59.38</v>
      </c>
      <c r="F1035">
        <v>59.38</v>
      </c>
      <c r="G1035">
        <v>0</v>
      </c>
      <c r="H1035" s="2">
        <v>0</v>
      </c>
      <c r="I1035">
        <v>0</v>
      </c>
      <c r="J1035">
        <v>178.14</v>
      </c>
      <c r="K1035" s="1">
        <v>45797</v>
      </c>
      <c r="L1035" t="s">
        <v>21</v>
      </c>
      <c r="M1035" t="s">
        <v>18</v>
      </c>
      <c r="N1035">
        <f>salesitems[[#This Row],[quantity]]*salesitems[[#This Row],[unit_price]]</f>
        <v>178.14000000000001</v>
      </c>
      <c r="O1035" t="str">
        <f>_xlfn.XLOOKUP(salesitems[[#This Row],[product_id]],products[product_id],products[product_name])</f>
        <v>Classic High-Waist Set</v>
      </c>
      <c r="P1035" t="str">
        <f>_xlfn.XLOOKUP(salesitems[[#This Row],[product_id]],fashion_store_products!A:A,fashion_store_products!C:C)</f>
        <v>Sleepwear</v>
      </c>
    </row>
    <row r="1036" spans="1:16" x14ac:dyDescent="0.45">
      <c r="A1036">
        <v>3234</v>
      </c>
      <c r="B1036">
        <v>603</v>
      </c>
      <c r="C1036">
        <v>186</v>
      </c>
      <c r="D1036">
        <v>3</v>
      </c>
      <c r="E1036">
        <v>59.35</v>
      </c>
      <c r="F1036">
        <v>59.35</v>
      </c>
      <c r="G1036">
        <v>0</v>
      </c>
      <c r="H1036" s="2">
        <v>0</v>
      </c>
      <c r="I1036">
        <v>0</v>
      </c>
      <c r="J1036">
        <v>178.05</v>
      </c>
      <c r="K1036" s="1">
        <v>45808</v>
      </c>
      <c r="L1036" t="s">
        <v>15</v>
      </c>
      <c r="M1036" t="s">
        <v>15</v>
      </c>
      <c r="N1036">
        <f>salesitems[[#This Row],[quantity]]*salesitems[[#This Row],[unit_price]]</f>
        <v>178.05</v>
      </c>
      <c r="O1036" t="str">
        <f>_xlfn.XLOOKUP(salesitems[[#This Row],[product_id]],products[product_id],products[product_name])</f>
        <v>Vintage Boxy Shoes</v>
      </c>
      <c r="P1036" t="str">
        <f>_xlfn.XLOOKUP(salesitems[[#This Row],[product_id]],fashion_store_products!A:A,fashion_store_products!C:C)</f>
        <v>Shoes</v>
      </c>
    </row>
    <row r="1037" spans="1:16" x14ac:dyDescent="0.45">
      <c r="A1037">
        <v>426</v>
      </c>
      <c r="B1037">
        <v>312</v>
      </c>
      <c r="C1037">
        <v>390</v>
      </c>
      <c r="D1037">
        <v>3</v>
      </c>
      <c r="E1037">
        <v>59.33</v>
      </c>
      <c r="F1037">
        <v>59.33</v>
      </c>
      <c r="G1037">
        <v>0</v>
      </c>
      <c r="H1037" s="2">
        <v>0</v>
      </c>
      <c r="I1037">
        <v>0</v>
      </c>
      <c r="J1037">
        <v>177.99</v>
      </c>
      <c r="K1037" s="1">
        <v>45808</v>
      </c>
      <c r="L1037" t="s">
        <v>21</v>
      </c>
      <c r="M1037" t="s">
        <v>18</v>
      </c>
      <c r="N1037">
        <f>salesitems[[#This Row],[quantity]]*salesitems[[#This Row],[unit_price]]</f>
        <v>177.99</v>
      </c>
      <c r="O1037" t="str">
        <f>_xlfn.XLOOKUP(salesitems[[#This Row],[product_id]],products[product_id],products[product_name])</f>
        <v>Tailored Boxy Shoes</v>
      </c>
      <c r="P1037" t="str">
        <f>_xlfn.XLOOKUP(salesitems[[#This Row],[product_id]],fashion_store_products!A:A,fashion_store_products!C:C)</f>
        <v>Shoes</v>
      </c>
    </row>
    <row r="1038" spans="1:16" x14ac:dyDescent="0.45">
      <c r="A1038">
        <v>2210</v>
      </c>
      <c r="B1038">
        <v>1113</v>
      </c>
      <c r="C1038">
        <v>390</v>
      </c>
      <c r="D1038">
        <v>3</v>
      </c>
      <c r="E1038">
        <v>59.33</v>
      </c>
      <c r="F1038">
        <v>59.33</v>
      </c>
      <c r="G1038">
        <v>0</v>
      </c>
      <c r="H1038" s="2">
        <v>0</v>
      </c>
      <c r="I1038">
        <v>0</v>
      </c>
      <c r="J1038">
        <v>177.99</v>
      </c>
      <c r="K1038" s="1">
        <v>45766</v>
      </c>
      <c r="L1038" t="s">
        <v>15</v>
      </c>
      <c r="M1038" t="s">
        <v>15</v>
      </c>
      <c r="N1038">
        <f>salesitems[[#This Row],[quantity]]*salesitems[[#This Row],[unit_price]]</f>
        <v>177.99</v>
      </c>
      <c r="O1038" t="str">
        <f>_xlfn.XLOOKUP(salesitems[[#This Row],[product_id]],products[product_id],products[product_name])</f>
        <v>Tailored Boxy Shoes</v>
      </c>
      <c r="P1038" t="str">
        <f>_xlfn.XLOOKUP(salesitems[[#This Row],[product_id]],fashion_store_products!A:A,fashion_store_products!C:C)</f>
        <v>Shoes</v>
      </c>
    </row>
    <row r="1039" spans="1:16" x14ac:dyDescent="0.45">
      <c r="A1039">
        <v>2334</v>
      </c>
      <c r="B1039">
        <v>545</v>
      </c>
      <c r="C1039">
        <v>390</v>
      </c>
      <c r="D1039">
        <v>3</v>
      </c>
      <c r="E1039">
        <v>59.33</v>
      </c>
      <c r="F1039">
        <v>59.33</v>
      </c>
      <c r="G1039">
        <v>0</v>
      </c>
      <c r="H1039" s="2">
        <v>0</v>
      </c>
      <c r="I1039">
        <v>0</v>
      </c>
      <c r="J1039">
        <v>177.99</v>
      </c>
      <c r="K1039" s="1">
        <v>45781</v>
      </c>
      <c r="L1039" t="s">
        <v>21</v>
      </c>
      <c r="M1039" t="s">
        <v>18</v>
      </c>
      <c r="N1039">
        <f>salesitems[[#This Row],[quantity]]*salesitems[[#This Row],[unit_price]]</f>
        <v>177.99</v>
      </c>
      <c r="O1039" t="str">
        <f>_xlfn.XLOOKUP(salesitems[[#This Row],[product_id]],products[product_id],products[product_name])</f>
        <v>Tailored Boxy Shoes</v>
      </c>
      <c r="P1039" t="str">
        <f>_xlfn.XLOOKUP(salesitems[[#This Row],[product_id]],fashion_store_products!A:A,fashion_store_products!C:C)</f>
        <v>Shoes</v>
      </c>
    </row>
    <row r="1040" spans="1:16" x14ac:dyDescent="0.45">
      <c r="A1040">
        <v>1548</v>
      </c>
      <c r="B1040">
        <v>469</v>
      </c>
      <c r="C1040">
        <v>244</v>
      </c>
      <c r="D1040">
        <v>3</v>
      </c>
      <c r="E1040">
        <v>59.32</v>
      </c>
      <c r="F1040">
        <v>59.32</v>
      </c>
      <c r="G1040">
        <v>0</v>
      </c>
      <c r="H1040" s="2">
        <v>0</v>
      </c>
      <c r="I1040">
        <v>0</v>
      </c>
      <c r="J1040">
        <v>177.96</v>
      </c>
      <c r="K1040" s="1">
        <v>45802</v>
      </c>
      <c r="L1040" t="s">
        <v>21</v>
      </c>
      <c r="M1040" t="s">
        <v>18</v>
      </c>
      <c r="N1040">
        <f>salesitems[[#This Row],[quantity]]*salesitems[[#This Row],[unit_price]]</f>
        <v>177.96</v>
      </c>
      <c r="O1040" t="str">
        <f>_xlfn.XLOOKUP(salesitems[[#This Row],[product_id]],products[product_id],products[product_name])</f>
        <v>Relaxed Cotton Shoes</v>
      </c>
      <c r="P1040" t="str">
        <f>_xlfn.XLOOKUP(salesitems[[#This Row],[product_id]],fashion_store_products!A:A,fashion_store_products!C:C)</f>
        <v>Shoes</v>
      </c>
    </row>
    <row r="1041" spans="1:16" x14ac:dyDescent="0.45">
      <c r="A1041">
        <v>805</v>
      </c>
      <c r="B1041">
        <v>129</v>
      </c>
      <c r="C1041">
        <v>78</v>
      </c>
      <c r="D1041">
        <v>3</v>
      </c>
      <c r="E1041">
        <v>59.21</v>
      </c>
      <c r="F1041">
        <v>59.21</v>
      </c>
      <c r="G1041">
        <v>0</v>
      </c>
      <c r="H1041" s="2">
        <v>0</v>
      </c>
      <c r="I1041">
        <v>0</v>
      </c>
      <c r="J1041">
        <v>177.63</v>
      </c>
      <c r="K1041" s="1">
        <v>45803</v>
      </c>
      <c r="L1041" t="s">
        <v>15</v>
      </c>
      <c r="M1041" t="s">
        <v>15</v>
      </c>
      <c r="N1041">
        <f>salesitems[[#This Row],[quantity]]*salesitems[[#This Row],[unit_price]]</f>
        <v>177.63</v>
      </c>
      <c r="O1041" t="str">
        <f>_xlfn.XLOOKUP(salesitems[[#This Row],[product_id]],products[product_id],products[product_name])</f>
        <v>Modern Ribbed Shoes</v>
      </c>
      <c r="P1041" t="str">
        <f>_xlfn.XLOOKUP(salesitems[[#This Row],[product_id]],fashion_store_products!A:A,fashion_store_products!C:C)</f>
        <v>Shoes</v>
      </c>
    </row>
    <row r="1042" spans="1:16" x14ac:dyDescent="0.45">
      <c r="A1042">
        <v>1109</v>
      </c>
      <c r="B1042">
        <v>394</v>
      </c>
      <c r="C1042">
        <v>78</v>
      </c>
      <c r="D1042">
        <v>3</v>
      </c>
      <c r="E1042">
        <v>59.21</v>
      </c>
      <c r="F1042">
        <v>59.21</v>
      </c>
      <c r="G1042">
        <v>0</v>
      </c>
      <c r="H1042" s="2">
        <v>0</v>
      </c>
      <c r="I1042">
        <v>0</v>
      </c>
      <c r="J1042">
        <v>177.63</v>
      </c>
      <c r="K1042" s="1">
        <v>45823</v>
      </c>
      <c r="L1042" t="s">
        <v>21</v>
      </c>
      <c r="M1042" t="s">
        <v>18</v>
      </c>
      <c r="N1042">
        <f>salesitems[[#This Row],[quantity]]*salesitems[[#This Row],[unit_price]]</f>
        <v>177.63</v>
      </c>
      <c r="O1042" t="str">
        <f>_xlfn.XLOOKUP(salesitems[[#This Row],[product_id]],products[product_id],products[product_name])</f>
        <v>Modern Ribbed Shoes</v>
      </c>
      <c r="P1042" t="str">
        <f>_xlfn.XLOOKUP(salesitems[[#This Row],[product_id]],fashion_store_products!A:A,fashion_store_products!C:C)</f>
        <v>Shoes</v>
      </c>
    </row>
    <row r="1043" spans="1:16" x14ac:dyDescent="0.45">
      <c r="A1043">
        <v>2058</v>
      </c>
      <c r="B1043">
        <v>1189</v>
      </c>
      <c r="C1043">
        <v>78</v>
      </c>
      <c r="D1043">
        <v>3</v>
      </c>
      <c r="E1043">
        <v>59.21</v>
      </c>
      <c r="F1043">
        <v>59.21</v>
      </c>
      <c r="G1043">
        <v>0</v>
      </c>
      <c r="H1043" s="2">
        <v>0</v>
      </c>
      <c r="I1043">
        <v>0</v>
      </c>
      <c r="J1043">
        <v>177.63</v>
      </c>
      <c r="K1043" s="1">
        <v>45771</v>
      </c>
      <c r="L1043" t="s">
        <v>21</v>
      </c>
      <c r="M1043" t="s">
        <v>18</v>
      </c>
      <c r="N1043">
        <f>salesitems[[#This Row],[quantity]]*salesitems[[#This Row],[unit_price]]</f>
        <v>177.63</v>
      </c>
      <c r="O1043" t="str">
        <f>_xlfn.XLOOKUP(salesitems[[#This Row],[product_id]],products[product_id],products[product_name])</f>
        <v>Modern Ribbed Shoes</v>
      </c>
      <c r="P1043" t="str">
        <f>_xlfn.XLOOKUP(salesitems[[#This Row],[product_id]],fashion_store_products!A:A,fashion_store_products!C:C)</f>
        <v>Shoes</v>
      </c>
    </row>
    <row r="1044" spans="1:16" x14ac:dyDescent="0.45">
      <c r="A1044">
        <v>290</v>
      </c>
      <c r="B1044">
        <v>1112</v>
      </c>
      <c r="C1044">
        <v>384</v>
      </c>
      <c r="D1044">
        <v>3</v>
      </c>
      <c r="E1044">
        <v>58.94</v>
      </c>
      <c r="F1044">
        <v>58.94</v>
      </c>
      <c r="G1044">
        <v>0</v>
      </c>
      <c r="H1044" s="2">
        <v>0</v>
      </c>
      <c r="I1044">
        <v>0</v>
      </c>
      <c r="J1044">
        <v>176.82</v>
      </c>
      <c r="K1044" s="1">
        <v>45772</v>
      </c>
      <c r="L1044" t="s">
        <v>15</v>
      </c>
      <c r="M1044" t="s">
        <v>15</v>
      </c>
      <c r="N1044">
        <f>salesitems[[#This Row],[quantity]]*salesitems[[#This Row],[unit_price]]</f>
        <v>176.82</v>
      </c>
      <c r="O1044" t="str">
        <f>_xlfn.XLOOKUP(salesitems[[#This Row],[product_id]],products[product_id],products[product_name])</f>
        <v>Tailored Sleeveless Set</v>
      </c>
      <c r="P1044" t="str">
        <f>_xlfn.XLOOKUP(salesitems[[#This Row],[product_id]],fashion_store_products!A:A,fashion_store_products!C:C)</f>
        <v>Sleepwear</v>
      </c>
    </row>
    <row r="1045" spans="1:16" x14ac:dyDescent="0.45">
      <c r="A1045">
        <v>1720</v>
      </c>
      <c r="B1045">
        <v>382</v>
      </c>
      <c r="C1045">
        <v>384</v>
      </c>
      <c r="D1045">
        <v>3</v>
      </c>
      <c r="E1045">
        <v>58.94</v>
      </c>
      <c r="F1045">
        <v>58.94</v>
      </c>
      <c r="G1045">
        <v>0</v>
      </c>
      <c r="H1045" s="2">
        <v>0</v>
      </c>
      <c r="I1045">
        <v>0</v>
      </c>
      <c r="J1045">
        <v>176.82</v>
      </c>
      <c r="K1045" s="1">
        <v>45773</v>
      </c>
      <c r="L1045" t="s">
        <v>21</v>
      </c>
      <c r="M1045" t="s">
        <v>18</v>
      </c>
      <c r="N1045">
        <f>salesitems[[#This Row],[quantity]]*salesitems[[#This Row],[unit_price]]</f>
        <v>176.82</v>
      </c>
      <c r="O1045" t="str">
        <f>_xlfn.XLOOKUP(salesitems[[#This Row],[product_id]],products[product_id],products[product_name])</f>
        <v>Tailored Sleeveless Set</v>
      </c>
      <c r="P1045" t="str">
        <f>_xlfn.XLOOKUP(salesitems[[#This Row],[product_id]],fashion_store_products!A:A,fashion_store_products!C:C)</f>
        <v>Sleepwear</v>
      </c>
    </row>
    <row r="1046" spans="1:16" x14ac:dyDescent="0.45">
      <c r="A1046">
        <v>3260</v>
      </c>
      <c r="B1046">
        <v>708</v>
      </c>
      <c r="C1046">
        <v>247</v>
      </c>
      <c r="D1046">
        <v>3</v>
      </c>
      <c r="E1046">
        <v>58.86</v>
      </c>
      <c r="F1046">
        <v>58.86</v>
      </c>
      <c r="G1046">
        <v>0</v>
      </c>
      <c r="H1046" s="2">
        <v>0</v>
      </c>
      <c r="I1046">
        <v>0</v>
      </c>
      <c r="J1046">
        <v>176.58</v>
      </c>
      <c r="K1046" s="1">
        <v>45763</v>
      </c>
      <c r="L1046" t="s">
        <v>15</v>
      </c>
      <c r="M1046" t="s">
        <v>15</v>
      </c>
      <c r="N1046">
        <f>salesitems[[#This Row],[quantity]]*salesitems[[#This Row],[unit_price]]</f>
        <v>176.57999999999998</v>
      </c>
      <c r="O1046" t="str">
        <f>_xlfn.XLOOKUP(salesitems[[#This Row],[product_id]],products[product_id],products[product_name])</f>
        <v>Polished Cotton Trousers</v>
      </c>
      <c r="P1046" t="str">
        <f>_xlfn.XLOOKUP(salesitems[[#This Row],[product_id]],fashion_store_products!A:A,fashion_store_products!C:C)</f>
        <v>Pants</v>
      </c>
    </row>
    <row r="1047" spans="1:16" x14ac:dyDescent="0.45">
      <c r="A1047">
        <v>2747</v>
      </c>
      <c r="B1047">
        <v>782</v>
      </c>
      <c r="C1047">
        <v>63</v>
      </c>
      <c r="D1047">
        <v>3</v>
      </c>
      <c r="E1047">
        <v>58.67</v>
      </c>
      <c r="F1047">
        <v>58.67</v>
      </c>
      <c r="G1047">
        <v>0</v>
      </c>
      <c r="H1047" s="2">
        <v>0</v>
      </c>
      <c r="I1047">
        <v>0</v>
      </c>
      <c r="J1047">
        <v>176.01</v>
      </c>
      <c r="K1047" s="1">
        <v>45760</v>
      </c>
      <c r="L1047" t="s">
        <v>15</v>
      </c>
      <c r="M1047" t="s">
        <v>15</v>
      </c>
      <c r="N1047">
        <f>salesitems[[#This Row],[quantity]]*salesitems[[#This Row],[unit_price]]</f>
        <v>176.01</v>
      </c>
      <c r="O1047" t="str">
        <f>_xlfn.XLOOKUP(salesitems[[#This Row],[product_id]],products[product_id],products[product_name])</f>
        <v>Soft Crew Set</v>
      </c>
      <c r="P1047" t="str">
        <f>_xlfn.XLOOKUP(salesitems[[#This Row],[product_id]],fashion_store_products!A:A,fashion_store_products!C:C)</f>
        <v>Sleepwear</v>
      </c>
    </row>
    <row r="1048" spans="1:16" x14ac:dyDescent="0.45">
      <c r="A1048">
        <v>2575</v>
      </c>
      <c r="B1048">
        <v>125</v>
      </c>
      <c r="C1048">
        <v>366</v>
      </c>
      <c r="D1048">
        <v>3</v>
      </c>
      <c r="E1048">
        <v>58.34</v>
      </c>
      <c r="F1048">
        <v>58.34</v>
      </c>
      <c r="G1048">
        <v>0</v>
      </c>
      <c r="H1048" s="2">
        <v>0</v>
      </c>
      <c r="I1048">
        <v>0</v>
      </c>
      <c r="J1048">
        <v>175.02</v>
      </c>
      <c r="K1048" s="1">
        <v>45813</v>
      </c>
      <c r="L1048" t="s">
        <v>15</v>
      </c>
      <c r="M1048" t="s">
        <v>15</v>
      </c>
      <c r="N1048">
        <f>salesitems[[#This Row],[quantity]]*salesitems[[#This Row],[unit_price]]</f>
        <v>175.02</v>
      </c>
      <c r="O1048" t="str">
        <f>_xlfn.XLOOKUP(salesitems[[#This Row],[product_id]],products[product_id],products[product_name])</f>
        <v>Essential Wrap Trousers</v>
      </c>
      <c r="P1048" t="str">
        <f>_xlfn.XLOOKUP(salesitems[[#This Row],[product_id]],fashion_store_products!A:A,fashion_store_products!C:C)</f>
        <v>Pants</v>
      </c>
    </row>
    <row r="1049" spans="1:16" x14ac:dyDescent="0.45">
      <c r="A1049">
        <v>313</v>
      </c>
      <c r="B1049">
        <v>747</v>
      </c>
      <c r="C1049">
        <v>22</v>
      </c>
      <c r="D1049">
        <v>3</v>
      </c>
      <c r="E1049">
        <v>58.26</v>
      </c>
      <c r="F1049">
        <v>58.26</v>
      </c>
      <c r="G1049">
        <v>0</v>
      </c>
      <c r="H1049" s="2">
        <v>0</v>
      </c>
      <c r="I1049">
        <v>0</v>
      </c>
      <c r="J1049">
        <v>174.78</v>
      </c>
      <c r="K1049" s="1">
        <v>45768</v>
      </c>
      <c r="L1049" t="s">
        <v>15</v>
      </c>
      <c r="M1049" t="s">
        <v>15</v>
      </c>
      <c r="N1049">
        <f>salesitems[[#This Row],[quantity]]*salesitems[[#This Row],[unit_price]]</f>
        <v>174.78</v>
      </c>
      <c r="O1049" t="str">
        <f>_xlfn.XLOOKUP(salesitems[[#This Row],[product_id]],products[product_id],products[product_name])</f>
        <v>Soft Satin Tee</v>
      </c>
      <c r="P1049" t="str">
        <f>_xlfn.XLOOKUP(salesitems[[#This Row],[product_id]],fashion_store_products!A:A,fashion_store_products!C:C)</f>
        <v>T-Shirts</v>
      </c>
    </row>
    <row r="1050" spans="1:16" x14ac:dyDescent="0.45">
      <c r="A1050">
        <v>512</v>
      </c>
      <c r="B1050">
        <v>86</v>
      </c>
      <c r="C1050">
        <v>22</v>
      </c>
      <c r="D1050">
        <v>3</v>
      </c>
      <c r="E1050">
        <v>58.26</v>
      </c>
      <c r="F1050">
        <v>58.26</v>
      </c>
      <c r="G1050">
        <v>0</v>
      </c>
      <c r="H1050" s="2">
        <v>0</v>
      </c>
      <c r="I1050">
        <v>0</v>
      </c>
      <c r="J1050">
        <v>174.78</v>
      </c>
      <c r="K1050" s="1">
        <v>45823</v>
      </c>
      <c r="L1050" t="s">
        <v>15</v>
      </c>
      <c r="M1050" t="s">
        <v>15</v>
      </c>
      <c r="N1050">
        <f>salesitems[[#This Row],[quantity]]*salesitems[[#This Row],[unit_price]]</f>
        <v>174.78</v>
      </c>
      <c r="O1050" t="str">
        <f>_xlfn.XLOOKUP(salesitems[[#This Row],[product_id]],products[product_id],products[product_name])</f>
        <v>Soft Satin Tee</v>
      </c>
      <c r="P1050" t="str">
        <f>_xlfn.XLOOKUP(salesitems[[#This Row],[product_id]],fashion_store_products!A:A,fashion_store_products!C:C)</f>
        <v>T-Shirts</v>
      </c>
    </row>
    <row r="1051" spans="1:16" x14ac:dyDescent="0.45">
      <c r="A1051">
        <v>477</v>
      </c>
      <c r="B1051">
        <v>952</v>
      </c>
      <c r="C1051">
        <v>225</v>
      </c>
      <c r="D1051">
        <v>3</v>
      </c>
      <c r="E1051">
        <v>58.11</v>
      </c>
      <c r="F1051">
        <v>58.11</v>
      </c>
      <c r="G1051">
        <v>0</v>
      </c>
      <c r="H1051" s="2">
        <v>0</v>
      </c>
      <c r="I1051">
        <v>0</v>
      </c>
      <c r="J1051">
        <v>174.33</v>
      </c>
      <c r="K1051" s="1">
        <v>45772</v>
      </c>
      <c r="L1051" t="s">
        <v>21</v>
      </c>
      <c r="M1051" t="s">
        <v>18</v>
      </c>
      <c r="N1051">
        <f>salesitems[[#This Row],[quantity]]*salesitems[[#This Row],[unit_price]]</f>
        <v>174.32999999999998</v>
      </c>
      <c r="O1051" t="str">
        <f>_xlfn.XLOOKUP(salesitems[[#This Row],[product_id]],products[product_id],products[product_name])</f>
        <v>Polished Crew Shoes</v>
      </c>
      <c r="P1051" t="str">
        <f>_xlfn.XLOOKUP(salesitems[[#This Row],[product_id]],fashion_store_products!A:A,fashion_store_products!C:C)</f>
        <v>Shoes</v>
      </c>
    </row>
    <row r="1052" spans="1:16" x14ac:dyDescent="0.45">
      <c r="A1052">
        <v>743</v>
      </c>
      <c r="B1052">
        <v>195</v>
      </c>
      <c r="C1052">
        <v>101</v>
      </c>
      <c r="D1052">
        <v>3</v>
      </c>
      <c r="E1052">
        <v>58.11</v>
      </c>
      <c r="F1052">
        <v>58.11</v>
      </c>
      <c r="G1052">
        <v>0</v>
      </c>
      <c r="H1052" s="2">
        <v>0</v>
      </c>
      <c r="I1052">
        <v>0</v>
      </c>
      <c r="J1052">
        <v>174.33</v>
      </c>
      <c r="K1052" s="1">
        <v>45797</v>
      </c>
      <c r="L1052" t="s">
        <v>15</v>
      </c>
      <c r="M1052" t="s">
        <v>15</v>
      </c>
      <c r="N1052">
        <f>salesitems[[#This Row],[quantity]]*salesitems[[#This Row],[unit_price]]</f>
        <v>174.32999999999998</v>
      </c>
      <c r="O1052" t="str">
        <f>_xlfn.XLOOKUP(salesitems[[#This Row],[product_id]],products[product_id],products[product_name])</f>
        <v>Classic Wrap Tee</v>
      </c>
      <c r="P1052" t="str">
        <f>_xlfn.XLOOKUP(salesitems[[#This Row],[product_id]],fashion_store_products!A:A,fashion_store_products!C:C)</f>
        <v>T-Shirts</v>
      </c>
    </row>
    <row r="1053" spans="1:16" x14ac:dyDescent="0.45">
      <c r="A1053">
        <v>3310</v>
      </c>
      <c r="B1053">
        <v>859</v>
      </c>
      <c r="C1053">
        <v>225</v>
      </c>
      <c r="D1053">
        <v>3</v>
      </c>
      <c r="E1053">
        <v>58.11</v>
      </c>
      <c r="F1053">
        <v>58.11</v>
      </c>
      <c r="G1053">
        <v>0</v>
      </c>
      <c r="H1053" s="2">
        <v>0</v>
      </c>
      <c r="I1053">
        <v>0</v>
      </c>
      <c r="J1053">
        <v>174.33</v>
      </c>
      <c r="K1053" s="1">
        <v>45799</v>
      </c>
      <c r="L1053" t="s">
        <v>21</v>
      </c>
      <c r="M1053" t="s">
        <v>18</v>
      </c>
      <c r="N1053">
        <f>salesitems[[#This Row],[quantity]]*salesitems[[#This Row],[unit_price]]</f>
        <v>174.32999999999998</v>
      </c>
      <c r="O1053" t="str">
        <f>_xlfn.XLOOKUP(salesitems[[#This Row],[product_id]],products[product_id],products[product_name])</f>
        <v>Polished Crew Shoes</v>
      </c>
      <c r="P1053" t="str">
        <f>_xlfn.XLOOKUP(salesitems[[#This Row],[product_id]],fashion_store_products!A:A,fashion_store_products!C:C)</f>
        <v>Shoes</v>
      </c>
    </row>
    <row r="1054" spans="1:16" x14ac:dyDescent="0.45">
      <c r="A1054">
        <v>2288</v>
      </c>
      <c r="B1054">
        <v>1007</v>
      </c>
      <c r="C1054">
        <v>321</v>
      </c>
      <c r="D1054">
        <v>3</v>
      </c>
      <c r="E1054">
        <v>58.09</v>
      </c>
      <c r="F1054">
        <v>58.09</v>
      </c>
      <c r="G1054">
        <v>0</v>
      </c>
      <c r="H1054" s="2">
        <v>0</v>
      </c>
      <c r="I1054">
        <v>0</v>
      </c>
      <c r="J1054">
        <v>174.27</v>
      </c>
      <c r="K1054" s="1">
        <v>45763</v>
      </c>
      <c r="L1054" t="s">
        <v>15</v>
      </c>
      <c r="M1054" t="s">
        <v>15</v>
      </c>
      <c r="N1054">
        <f>salesitems[[#This Row],[quantity]]*salesitems[[#This Row],[unit_price]]</f>
        <v>174.27</v>
      </c>
      <c r="O1054" t="str">
        <f>_xlfn.XLOOKUP(salesitems[[#This Row],[product_id]],products[product_id],products[product_name])</f>
        <v>Relaxed Cotton Trousers</v>
      </c>
      <c r="P1054" t="str">
        <f>_xlfn.XLOOKUP(salesitems[[#This Row],[product_id]],fashion_store_products!A:A,fashion_store_products!C:C)</f>
        <v>Pants</v>
      </c>
    </row>
    <row r="1055" spans="1:16" x14ac:dyDescent="0.45">
      <c r="A1055">
        <v>3018</v>
      </c>
      <c r="B1055">
        <v>559</v>
      </c>
      <c r="C1055">
        <v>237</v>
      </c>
      <c r="D1055">
        <v>3</v>
      </c>
      <c r="E1055">
        <v>64.08</v>
      </c>
      <c r="F1055">
        <v>57.67</v>
      </c>
      <c r="G1055">
        <v>6.41</v>
      </c>
      <c r="H1055" s="2">
        <v>0.1</v>
      </c>
      <c r="I1055">
        <v>1</v>
      </c>
      <c r="J1055">
        <v>173.02</v>
      </c>
      <c r="K1055" s="1">
        <v>45812</v>
      </c>
      <c r="L1055" t="s">
        <v>21</v>
      </c>
      <c r="M1055" t="s">
        <v>18</v>
      </c>
      <c r="N1055">
        <f>salesitems[[#This Row],[quantity]]*salesitems[[#This Row],[unit_price]]</f>
        <v>173.01</v>
      </c>
      <c r="O1055" t="str">
        <f>_xlfn.XLOOKUP(salesitems[[#This Row],[product_id]],products[product_id],products[product_name])</f>
        <v>Relaxed Ribbed Dress</v>
      </c>
      <c r="P1055" t="str">
        <f>_xlfn.XLOOKUP(salesitems[[#This Row],[product_id]],fashion_store_products!A:A,fashion_store_products!C:C)</f>
        <v>Dresses</v>
      </c>
    </row>
    <row r="1056" spans="1:16" x14ac:dyDescent="0.45">
      <c r="A1056">
        <v>2930</v>
      </c>
      <c r="B1056">
        <v>870</v>
      </c>
      <c r="C1056">
        <v>223</v>
      </c>
      <c r="D1056">
        <v>3</v>
      </c>
      <c r="E1056">
        <v>57.36</v>
      </c>
      <c r="F1056">
        <v>57.36</v>
      </c>
      <c r="G1056">
        <v>0</v>
      </c>
      <c r="H1056" s="2">
        <v>0</v>
      </c>
      <c r="I1056">
        <v>0</v>
      </c>
      <c r="J1056">
        <v>172.08</v>
      </c>
      <c r="K1056" s="1">
        <v>45805</v>
      </c>
      <c r="L1056" t="s">
        <v>15</v>
      </c>
      <c r="M1056" t="s">
        <v>15</v>
      </c>
      <c r="N1056">
        <f>salesitems[[#This Row],[quantity]]*salesitems[[#This Row],[unit_price]]</f>
        <v>172.07999999999998</v>
      </c>
      <c r="O1056" t="str">
        <f>_xlfn.XLOOKUP(salesitems[[#This Row],[product_id]],products[product_id],products[product_name])</f>
        <v>Vintage High-Waist Trousers</v>
      </c>
      <c r="P1056" t="str">
        <f>_xlfn.XLOOKUP(salesitems[[#This Row],[product_id]],fashion_store_products!A:A,fashion_store_products!C:C)</f>
        <v>Pants</v>
      </c>
    </row>
    <row r="1057" spans="1:16" x14ac:dyDescent="0.45">
      <c r="A1057">
        <v>1218</v>
      </c>
      <c r="B1057">
        <v>774</v>
      </c>
      <c r="C1057">
        <v>27</v>
      </c>
      <c r="D1057">
        <v>3</v>
      </c>
      <c r="E1057">
        <v>57.35</v>
      </c>
      <c r="F1057">
        <v>57.35</v>
      </c>
      <c r="G1057">
        <v>0</v>
      </c>
      <c r="H1057" s="2">
        <v>0</v>
      </c>
      <c r="I1057">
        <v>0</v>
      </c>
      <c r="J1057">
        <v>172.05</v>
      </c>
      <c r="K1057" s="1">
        <v>45799</v>
      </c>
      <c r="L1057" t="s">
        <v>15</v>
      </c>
      <c r="M1057" t="s">
        <v>15</v>
      </c>
      <c r="N1057">
        <f>salesitems[[#This Row],[quantity]]*salesitems[[#This Row],[unit_price]]</f>
        <v>172.05</v>
      </c>
      <c r="O1057" t="str">
        <f>_xlfn.XLOOKUP(salesitems[[#This Row],[product_id]],products[product_id],products[product_name])</f>
        <v>Soft Boxy Dress</v>
      </c>
      <c r="P1057" t="str">
        <f>_xlfn.XLOOKUP(salesitems[[#This Row],[product_id]],fashion_store_products!A:A,fashion_store_products!C:C)</f>
        <v>Dresses</v>
      </c>
    </row>
    <row r="1058" spans="1:16" x14ac:dyDescent="0.45">
      <c r="A1058">
        <v>1525</v>
      </c>
      <c r="B1058">
        <v>217</v>
      </c>
      <c r="C1058">
        <v>27</v>
      </c>
      <c r="D1058">
        <v>3</v>
      </c>
      <c r="E1058">
        <v>57.35</v>
      </c>
      <c r="F1058">
        <v>57.35</v>
      </c>
      <c r="G1058">
        <v>0</v>
      </c>
      <c r="H1058" s="2">
        <v>0</v>
      </c>
      <c r="I1058">
        <v>0</v>
      </c>
      <c r="J1058">
        <v>172.05</v>
      </c>
      <c r="K1058" s="1">
        <v>45753</v>
      </c>
      <c r="L1058" t="s">
        <v>21</v>
      </c>
      <c r="M1058" t="s">
        <v>18</v>
      </c>
      <c r="N1058">
        <f>salesitems[[#This Row],[quantity]]*salesitems[[#This Row],[unit_price]]</f>
        <v>172.05</v>
      </c>
      <c r="O1058" t="str">
        <f>_xlfn.XLOOKUP(salesitems[[#This Row],[product_id]],products[product_id],products[product_name])</f>
        <v>Soft Boxy Dress</v>
      </c>
      <c r="P1058" t="str">
        <f>_xlfn.XLOOKUP(salesitems[[#This Row],[product_id]],fashion_store_products!A:A,fashion_store_products!C:C)</f>
        <v>Dresses</v>
      </c>
    </row>
    <row r="1059" spans="1:16" x14ac:dyDescent="0.45">
      <c r="A1059">
        <v>2096</v>
      </c>
      <c r="B1059">
        <v>924</v>
      </c>
      <c r="C1059">
        <v>49</v>
      </c>
      <c r="D1059">
        <v>3</v>
      </c>
      <c r="E1059">
        <v>57.35</v>
      </c>
      <c r="F1059">
        <v>57.35</v>
      </c>
      <c r="G1059">
        <v>0</v>
      </c>
      <c r="H1059" s="2">
        <v>0</v>
      </c>
      <c r="I1059">
        <v>0</v>
      </c>
      <c r="J1059">
        <v>172.05</v>
      </c>
      <c r="K1059" s="1">
        <v>45752</v>
      </c>
      <c r="L1059" t="s">
        <v>21</v>
      </c>
      <c r="M1059" t="s">
        <v>18</v>
      </c>
      <c r="N1059">
        <f>salesitems[[#This Row],[quantity]]*salesitems[[#This Row],[unit_price]]</f>
        <v>172.05</v>
      </c>
      <c r="O1059" t="str">
        <f>_xlfn.XLOOKUP(salesitems[[#This Row],[product_id]],products[product_id],products[product_name])</f>
        <v>Soft Boxy Tee</v>
      </c>
      <c r="P1059" t="str">
        <f>_xlfn.XLOOKUP(salesitems[[#This Row],[product_id]],fashion_store_products!A:A,fashion_store_products!C:C)</f>
        <v>T-Shirts</v>
      </c>
    </row>
    <row r="1060" spans="1:16" x14ac:dyDescent="0.45">
      <c r="A1060">
        <v>2253</v>
      </c>
      <c r="B1060">
        <v>1236</v>
      </c>
      <c r="C1060">
        <v>27</v>
      </c>
      <c r="D1060">
        <v>3</v>
      </c>
      <c r="E1060">
        <v>57.35</v>
      </c>
      <c r="F1060">
        <v>57.35</v>
      </c>
      <c r="G1060">
        <v>0</v>
      </c>
      <c r="H1060" s="2">
        <v>0</v>
      </c>
      <c r="I1060">
        <v>0</v>
      </c>
      <c r="J1060">
        <v>172.05</v>
      </c>
      <c r="K1060" s="1">
        <v>45783</v>
      </c>
      <c r="L1060" t="s">
        <v>21</v>
      </c>
      <c r="M1060" t="s">
        <v>18</v>
      </c>
      <c r="N1060">
        <f>salesitems[[#This Row],[quantity]]*salesitems[[#This Row],[unit_price]]</f>
        <v>172.05</v>
      </c>
      <c r="O1060" t="str">
        <f>_xlfn.XLOOKUP(salesitems[[#This Row],[product_id]],products[product_id],products[product_name])</f>
        <v>Soft Boxy Dress</v>
      </c>
      <c r="P1060" t="str">
        <f>_xlfn.XLOOKUP(salesitems[[#This Row],[product_id]],fashion_store_products!A:A,fashion_store_products!C:C)</f>
        <v>Dresses</v>
      </c>
    </row>
    <row r="1061" spans="1:16" x14ac:dyDescent="0.45">
      <c r="A1061">
        <v>550</v>
      </c>
      <c r="B1061">
        <v>795</v>
      </c>
      <c r="C1061">
        <v>210</v>
      </c>
      <c r="D1061">
        <v>3</v>
      </c>
      <c r="E1061">
        <v>57.32</v>
      </c>
      <c r="F1061">
        <v>57.32</v>
      </c>
      <c r="G1061">
        <v>0</v>
      </c>
      <c r="H1061" s="2">
        <v>0</v>
      </c>
      <c r="I1061">
        <v>0</v>
      </c>
      <c r="J1061">
        <v>171.96</v>
      </c>
      <c r="K1061" s="1">
        <v>45768</v>
      </c>
      <c r="L1061" t="s">
        <v>15</v>
      </c>
      <c r="M1061" t="s">
        <v>15</v>
      </c>
      <c r="N1061">
        <f>salesitems[[#This Row],[quantity]]*salesitems[[#This Row],[unit_price]]</f>
        <v>171.96</v>
      </c>
      <c r="O1061" t="str">
        <f>_xlfn.XLOOKUP(salesitems[[#This Row],[product_id]],products[product_id],products[product_name])</f>
        <v>Vintage Boxy Set</v>
      </c>
      <c r="P1061" t="str">
        <f>_xlfn.XLOOKUP(salesitems[[#This Row],[product_id]],fashion_store_products!A:A,fashion_store_products!C:C)</f>
        <v>Sleepwear</v>
      </c>
    </row>
    <row r="1062" spans="1:16" x14ac:dyDescent="0.45">
      <c r="A1062">
        <v>1343</v>
      </c>
      <c r="B1062">
        <v>461</v>
      </c>
      <c r="C1062">
        <v>213</v>
      </c>
      <c r="D1062">
        <v>3</v>
      </c>
      <c r="E1062">
        <v>57.31</v>
      </c>
      <c r="F1062">
        <v>57.31</v>
      </c>
      <c r="G1062">
        <v>0</v>
      </c>
      <c r="H1062" s="2">
        <v>0</v>
      </c>
      <c r="I1062">
        <v>0</v>
      </c>
      <c r="J1062">
        <v>171.93</v>
      </c>
      <c r="K1062" s="1">
        <v>45804</v>
      </c>
      <c r="L1062" t="s">
        <v>21</v>
      </c>
      <c r="M1062" t="s">
        <v>18</v>
      </c>
      <c r="N1062">
        <f>salesitems[[#This Row],[quantity]]*salesitems[[#This Row],[unit_price]]</f>
        <v>171.93</v>
      </c>
      <c r="O1062" t="str">
        <f>_xlfn.XLOOKUP(salesitems[[#This Row],[product_id]],products[product_id],products[product_name])</f>
        <v>Polished Ribbed Tee</v>
      </c>
      <c r="P1062" t="str">
        <f>_xlfn.XLOOKUP(salesitems[[#This Row],[product_id]],fashion_store_products!A:A,fashion_store_products!C:C)</f>
        <v>T-Shirts</v>
      </c>
    </row>
    <row r="1063" spans="1:16" x14ac:dyDescent="0.45">
      <c r="A1063">
        <v>3320</v>
      </c>
      <c r="B1063">
        <v>288</v>
      </c>
      <c r="C1063">
        <v>213</v>
      </c>
      <c r="D1063">
        <v>3</v>
      </c>
      <c r="E1063">
        <v>57.31</v>
      </c>
      <c r="F1063">
        <v>57.31</v>
      </c>
      <c r="G1063">
        <v>0</v>
      </c>
      <c r="H1063" s="2">
        <v>0</v>
      </c>
      <c r="I1063">
        <v>0</v>
      </c>
      <c r="J1063">
        <v>171.93</v>
      </c>
      <c r="K1063" s="1">
        <v>45781</v>
      </c>
      <c r="L1063" t="s">
        <v>15</v>
      </c>
      <c r="M1063" t="s">
        <v>15</v>
      </c>
      <c r="N1063">
        <f>salesitems[[#This Row],[quantity]]*salesitems[[#This Row],[unit_price]]</f>
        <v>171.93</v>
      </c>
      <c r="O1063" t="str">
        <f>_xlfn.XLOOKUP(salesitems[[#This Row],[product_id]],products[product_id],products[product_name])</f>
        <v>Polished Ribbed Tee</v>
      </c>
      <c r="P1063" t="str">
        <f>_xlfn.XLOOKUP(salesitems[[#This Row],[product_id]],fashion_store_products!A:A,fashion_store_products!C:C)</f>
        <v>T-Shirts</v>
      </c>
    </row>
    <row r="1064" spans="1:16" x14ac:dyDescent="0.45">
      <c r="A1064">
        <v>2190</v>
      </c>
      <c r="B1064">
        <v>667</v>
      </c>
      <c r="C1064">
        <v>53</v>
      </c>
      <c r="D1064">
        <v>3</v>
      </c>
      <c r="E1064">
        <v>57.17</v>
      </c>
      <c r="F1064">
        <v>57.17</v>
      </c>
      <c r="G1064">
        <v>0</v>
      </c>
      <c r="H1064" s="2">
        <v>0</v>
      </c>
      <c r="I1064">
        <v>0</v>
      </c>
      <c r="J1064">
        <v>171.51</v>
      </c>
      <c r="K1064" s="1">
        <v>45762</v>
      </c>
      <c r="L1064" t="s">
        <v>15</v>
      </c>
      <c r="M1064" t="s">
        <v>15</v>
      </c>
      <c r="N1064">
        <f>salesitems[[#This Row],[quantity]]*salesitems[[#This Row],[unit_price]]</f>
        <v>171.51</v>
      </c>
      <c r="O1064" t="str">
        <f>_xlfn.XLOOKUP(salesitems[[#This Row],[product_id]],products[product_id],products[product_name])</f>
        <v>Soft Boxy Shoes</v>
      </c>
      <c r="P1064" t="str">
        <f>_xlfn.XLOOKUP(salesitems[[#This Row],[product_id]],fashion_store_products!A:A,fashion_store_products!C:C)</f>
        <v>Shoes</v>
      </c>
    </row>
    <row r="1065" spans="1:16" x14ac:dyDescent="0.45">
      <c r="A1065">
        <v>2301</v>
      </c>
      <c r="B1065">
        <v>942</v>
      </c>
      <c r="C1065">
        <v>53</v>
      </c>
      <c r="D1065">
        <v>3</v>
      </c>
      <c r="E1065">
        <v>57.17</v>
      </c>
      <c r="F1065">
        <v>57.17</v>
      </c>
      <c r="G1065">
        <v>0</v>
      </c>
      <c r="H1065" s="2">
        <v>0</v>
      </c>
      <c r="I1065">
        <v>0</v>
      </c>
      <c r="J1065">
        <v>171.51</v>
      </c>
      <c r="K1065" s="1">
        <v>45776</v>
      </c>
      <c r="L1065" t="s">
        <v>21</v>
      </c>
      <c r="M1065" t="s">
        <v>18</v>
      </c>
      <c r="N1065">
        <f>salesitems[[#This Row],[quantity]]*salesitems[[#This Row],[unit_price]]</f>
        <v>171.51</v>
      </c>
      <c r="O1065" t="str">
        <f>_xlfn.XLOOKUP(salesitems[[#This Row],[product_id]],products[product_id],products[product_name])</f>
        <v>Soft Boxy Shoes</v>
      </c>
      <c r="P1065" t="str">
        <f>_xlfn.XLOOKUP(salesitems[[#This Row],[product_id]],fashion_store_products!A:A,fashion_store_products!C:C)</f>
        <v>Shoes</v>
      </c>
    </row>
    <row r="1066" spans="1:16" x14ac:dyDescent="0.45">
      <c r="A1066">
        <v>1250</v>
      </c>
      <c r="B1066">
        <v>566</v>
      </c>
      <c r="C1066">
        <v>288</v>
      </c>
      <c r="D1066">
        <v>3</v>
      </c>
      <c r="E1066">
        <v>57.11</v>
      </c>
      <c r="F1066">
        <v>57.11</v>
      </c>
      <c r="G1066">
        <v>0</v>
      </c>
      <c r="H1066" s="2">
        <v>0</v>
      </c>
      <c r="I1066">
        <v>0</v>
      </c>
      <c r="J1066">
        <v>171.33</v>
      </c>
      <c r="K1066" s="1">
        <v>45768</v>
      </c>
      <c r="L1066" t="s">
        <v>21</v>
      </c>
      <c r="M1066" t="s">
        <v>18</v>
      </c>
      <c r="N1066">
        <f>salesitems[[#This Row],[quantity]]*salesitems[[#This Row],[unit_price]]</f>
        <v>171.32999999999998</v>
      </c>
      <c r="O1066" t="str">
        <f>_xlfn.XLOOKUP(salesitems[[#This Row],[product_id]],products[product_id],products[product_name])</f>
        <v>Essential Ribbed Tee</v>
      </c>
      <c r="P1066" t="str">
        <f>_xlfn.XLOOKUP(salesitems[[#This Row],[product_id]],fashion_store_products!A:A,fashion_store_products!C:C)</f>
        <v>T-Shirts</v>
      </c>
    </row>
    <row r="1067" spans="1:16" x14ac:dyDescent="0.45">
      <c r="A1067">
        <v>1066</v>
      </c>
      <c r="B1067">
        <v>602</v>
      </c>
      <c r="C1067">
        <v>103</v>
      </c>
      <c r="D1067">
        <v>3</v>
      </c>
      <c r="E1067">
        <v>57</v>
      </c>
      <c r="F1067">
        <v>57</v>
      </c>
      <c r="G1067">
        <v>0</v>
      </c>
      <c r="H1067" s="2">
        <v>0</v>
      </c>
      <c r="I1067">
        <v>0</v>
      </c>
      <c r="J1067">
        <v>171</v>
      </c>
      <c r="K1067" s="1">
        <v>45775</v>
      </c>
      <c r="L1067" t="s">
        <v>21</v>
      </c>
      <c r="M1067" t="s">
        <v>18</v>
      </c>
      <c r="N1067">
        <f>salesitems[[#This Row],[quantity]]*salesitems[[#This Row],[unit_price]]</f>
        <v>171</v>
      </c>
      <c r="O1067" t="str">
        <f>_xlfn.XLOOKUP(salesitems[[#This Row],[product_id]],products[product_id],products[product_name])</f>
        <v>Classic Ribbed Tee</v>
      </c>
      <c r="P1067" t="str">
        <f>_xlfn.XLOOKUP(salesitems[[#This Row],[product_id]],fashion_store_products!A:A,fashion_store_products!C:C)</f>
        <v>T-Shirts</v>
      </c>
    </row>
    <row r="1068" spans="1:16" x14ac:dyDescent="0.45">
      <c r="A1068">
        <v>2160</v>
      </c>
      <c r="B1068">
        <v>703</v>
      </c>
      <c r="C1068">
        <v>103</v>
      </c>
      <c r="D1068">
        <v>3</v>
      </c>
      <c r="E1068">
        <v>57</v>
      </c>
      <c r="F1068">
        <v>57</v>
      </c>
      <c r="G1068">
        <v>0</v>
      </c>
      <c r="H1068" s="2">
        <v>0</v>
      </c>
      <c r="I1068">
        <v>0</v>
      </c>
      <c r="J1068">
        <v>171</v>
      </c>
      <c r="K1068" s="1">
        <v>45782</v>
      </c>
      <c r="L1068" t="s">
        <v>21</v>
      </c>
      <c r="M1068" t="s">
        <v>18</v>
      </c>
      <c r="N1068">
        <f>salesitems[[#This Row],[quantity]]*salesitems[[#This Row],[unit_price]]</f>
        <v>171</v>
      </c>
      <c r="O1068" t="str">
        <f>_xlfn.XLOOKUP(salesitems[[#This Row],[product_id]],products[product_id],products[product_name])</f>
        <v>Classic Ribbed Tee</v>
      </c>
      <c r="P1068" t="str">
        <f>_xlfn.XLOOKUP(salesitems[[#This Row],[product_id]],fashion_store_products!A:A,fashion_store_products!C:C)</f>
        <v>T-Shirts</v>
      </c>
    </row>
    <row r="1069" spans="1:16" x14ac:dyDescent="0.45">
      <c r="A1069">
        <v>1348</v>
      </c>
      <c r="B1069">
        <v>247</v>
      </c>
      <c r="C1069">
        <v>407</v>
      </c>
      <c r="D1069">
        <v>3</v>
      </c>
      <c r="E1069">
        <v>56.84</v>
      </c>
      <c r="F1069">
        <v>56.84</v>
      </c>
      <c r="G1069">
        <v>0</v>
      </c>
      <c r="H1069" s="2">
        <v>0</v>
      </c>
      <c r="I1069">
        <v>0</v>
      </c>
      <c r="J1069">
        <v>170.52</v>
      </c>
      <c r="K1069" s="1">
        <v>45751</v>
      </c>
      <c r="L1069" t="s">
        <v>15</v>
      </c>
      <c r="M1069" t="s">
        <v>15</v>
      </c>
      <c r="N1069">
        <f>salesitems[[#This Row],[quantity]]*salesitems[[#This Row],[unit_price]]</f>
        <v>170.52</v>
      </c>
      <c r="O1069" t="str">
        <f>_xlfn.XLOOKUP(salesitems[[#This Row],[product_id]],products[product_id],products[product_name])</f>
        <v>Elegant Sleeveless Tee</v>
      </c>
      <c r="P1069" t="str">
        <f>_xlfn.XLOOKUP(salesitems[[#This Row],[product_id]],fashion_store_products!A:A,fashion_store_products!C:C)</f>
        <v>T-Shirts</v>
      </c>
    </row>
    <row r="1070" spans="1:16" x14ac:dyDescent="0.45">
      <c r="A1070">
        <v>19</v>
      </c>
      <c r="B1070">
        <v>1218</v>
      </c>
      <c r="C1070">
        <v>100</v>
      </c>
      <c r="D1070">
        <v>3</v>
      </c>
      <c r="E1070">
        <v>56.44</v>
      </c>
      <c r="F1070">
        <v>56.44</v>
      </c>
      <c r="G1070">
        <v>0</v>
      </c>
      <c r="H1070" s="2">
        <v>0</v>
      </c>
      <c r="I1070">
        <v>0</v>
      </c>
      <c r="J1070">
        <v>169.32</v>
      </c>
      <c r="K1070" s="1">
        <v>45770</v>
      </c>
      <c r="L1070" t="s">
        <v>15</v>
      </c>
      <c r="M1070" t="s">
        <v>15</v>
      </c>
      <c r="N1070">
        <f>salesitems[[#This Row],[quantity]]*salesitems[[#This Row],[unit_price]]</f>
        <v>169.32</v>
      </c>
      <c r="O1070" t="str">
        <f>_xlfn.XLOOKUP(salesitems[[#This Row],[product_id]],products[product_id],products[product_name])</f>
        <v>Classic Crew Dress</v>
      </c>
      <c r="P1070" t="str">
        <f>_xlfn.XLOOKUP(salesitems[[#This Row],[product_id]],fashion_store_products!A:A,fashion_store_products!C:C)</f>
        <v>Dresses</v>
      </c>
    </row>
    <row r="1071" spans="1:16" x14ac:dyDescent="0.45">
      <c r="A1071">
        <v>1327</v>
      </c>
      <c r="B1071">
        <v>548</v>
      </c>
      <c r="C1071">
        <v>485</v>
      </c>
      <c r="D1071">
        <v>3</v>
      </c>
      <c r="E1071">
        <v>56.2</v>
      </c>
      <c r="F1071">
        <v>56.2</v>
      </c>
      <c r="G1071">
        <v>0</v>
      </c>
      <c r="H1071" s="2">
        <v>0</v>
      </c>
      <c r="I1071">
        <v>0</v>
      </c>
      <c r="J1071">
        <v>168.6</v>
      </c>
      <c r="K1071" s="1">
        <v>45772</v>
      </c>
      <c r="L1071" t="s">
        <v>15</v>
      </c>
      <c r="M1071" t="s">
        <v>15</v>
      </c>
      <c r="N1071">
        <f>salesitems[[#This Row],[quantity]]*salesitems[[#This Row],[unit_price]]</f>
        <v>168.60000000000002</v>
      </c>
      <c r="O1071" t="str">
        <f>_xlfn.XLOOKUP(salesitems[[#This Row],[product_id]],products[product_id],products[product_name])</f>
        <v>Bold Sleeveless Shoes</v>
      </c>
      <c r="P1071" t="str">
        <f>_xlfn.XLOOKUP(salesitems[[#This Row],[product_id]],fashion_store_products!A:A,fashion_store_products!C:C)</f>
        <v>Shoes</v>
      </c>
    </row>
    <row r="1072" spans="1:16" x14ac:dyDescent="0.45">
      <c r="A1072">
        <v>1637</v>
      </c>
      <c r="B1072">
        <v>164</v>
      </c>
      <c r="C1072">
        <v>485</v>
      </c>
      <c r="D1072">
        <v>3</v>
      </c>
      <c r="E1072">
        <v>56.2</v>
      </c>
      <c r="F1072">
        <v>56.2</v>
      </c>
      <c r="G1072">
        <v>0</v>
      </c>
      <c r="H1072" s="2">
        <v>0</v>
      </c>
      <c r="I1072">
        <v>0</v>
      </c>
      <c r="J1072">
        <v>168.6</v>
      </c>
      <c r="K1072" s="1">
        <v>45764</v>
      </c>
      <c r="L1072" t="s">
        <v>15</v>
      </c>
      <c r="M1072" t="s">
        <v>15</v>
      </c>
      <c r="N1072">
        <f>salesitems[[#This Row],[quantity]]*salesitems[[#This Row],[unit_price]]</f>
        <v>168.60000000000002</v>
      </c>
      <c r="O1072" t="str">
        <f>_xlfn.XLOOKUP(salesitems[[#This Row],[product_id]],products[product_id],products[product_name])</f>
        <v>Bold Sleeveless Shoes</v>
      </c>
      <c r="P1072" t="str">
        <f>_xlfn.XLOOKUP(salesitems[[#This Row],[product_id]],fashion_store_products!A:A,fashion_store_products!C:C)</f>
        <v>Shoes</v>
      </c>
    </row>
    <row r="1073" spans="1:16" x14ac:dyDescent="0.45">
      <c r="A1073">
        <v>3042</v>
      </c>
      <c r="B1073">
        <v>275</v>
      </c>
      <c r="C1073">
        <v>117</v>
      </c>
      <c r="D1073">
        <v>3</v>
      </c>
      <c r="E1073">
        <v>56.06</v>
      </c>
      <c r="F1073">
        <v>56.06</v>
      </c>
      <c r="G1073">
        <v>0</v>
      </c>
      <c r="H1073" s="2">
        <v>0</v>
      </c>
      <c r="I1073">
        <v>0</v>
      </c>
      <c r="J1073">
        <v>168.18</v>
      </c>
      <c r="K1073" s="1">
        <v>45765</v>
      </c>
      <c r="L1073" t="s">
        <v>15</v>
      </c>
      <c r="M1073" t="s">
        <v>15</v>
      </c>
      <c r="N1073">
        <f>salesitems[[#This Row],[quantity]]*salesitems[[#This Row],[unit_price]]</f>
        <v>168.18</v>
      </c>
      <c r="O1073" t="str">
        <f>_xlfn.XLOOKUP(salesitems[[#This Row],[product_id]],products[product_id],products[product_name])</f>
        <v>Vintage Wrap Dress</v>
      </c>
      <c r="P1073" t="str">
        <f>_xlfn.XLOOKUP(salesitems[[#This Row],[product_id]],fashion_store_products!A:A,fashion_store_products!C:C)</f>
        <v>Dresses</v>
      </c>
    </row>
    <row r="1074" spans="1:16" x14ac:dyDescent="0.45">
      <c r="A1074">
        <v>3008</v>
      </c>
      <c r="B1074">
        <v>214</v>
      </c>
      <c r="C1074">
        <v>422</v>
      </c>
      <c r="D1074">
        <v>3</v>
      </c>
      <c r="E1074">
        <v>55.91</v>
      </c>
      <c r="F1074">
        <v>55.91</v>
      </c>
      <c r="G1074">
        <v>0</v>
      </c>
      <c r="H1074" s="2">
        <v>0</v>
      </c>
      <c r="I1074">
        <v>0</v>
      </c>
      <c r="J1074">
        <v>167.73</v>
      </c>
      <c r="K1074" s="1">
        <v>45775</v>
      </c>
      <c r="L1074" t="s">
        <v>15</v>
      </c>
      <c r="M1074" t="s">
        <v>15</v>
      </c>
      <c r="N1074">
        <f>salesitems[[#This Row],[quantity]]*salesitems[[#This Row],[unit_price]]</f>
        <v>167.73</v>
      </c>
      <c r="O1074" t="str">
        <f>_xlfn.XLOOKUP(salesitems[[#This Row],[product_id]],products[product_id],products[product_name])</f>
        <v>Elegant High-Waist Set</v>
      </c>
      <c r="P1074" t="str">
        <f>_xlfn.XLOOKUP(salesitems[[#This Row],[product_id]],fashion_store_products!A:A,fashion_store_products!C:C)</f>
        <v>Sleepwear</v>
      </c>
    </row>
    <row r="1075" spans="1:16" x14ac:dyDescent="0.45">
      <c r="A1075">
        <v>2475</v>
      </c>
      <c r="B1075">
        <v>85</v>
      </c>
      <c r="C1075">
        <v>156</v>
      </c>
      <c r="D1075">
        <v>3</v>
      </c>
      <c r="E1075">
        <v>55.52</v>
      </c>
      <c r="F1075">
        <v>55.52</v>
      </c>
      <c r="G1075">
        <v>0</v>
      </c>
      <c r="H1075" s="2">
        <v>0</v>
      </c>
      <c r="I1075">
        <v>0</v>
      </c>
      <c r="J1075">
        <v>166.56</v>
      </c>
      <c r="K1075" s="1">
        <v>45792</v>
      </c>
      <c r="L1075" t="s">
        <v>21</v>
      </c>
      <c r="M1075" t="s">
        <v>18</v>
      </c>
      <c r="N1075">
        <f>salesitems[[#This Row],[quantity]]*salesitems[[#This Row],[unit_price]]</f>
        <v>166.56</v>
      </c>
      <c r="O1075" t="str">
        <f>_xlfn.XLOOKUP(salesitems[[#This Row],[product_id]],products[product_id],products[product_name])</f>
        <v>Vintage Crew Dress</v>
      </c>
      <c r="P1075" t="str">
        <f>_xlfn.XLOOKUP(salesitems[[#This Row],[product_id]],fashion_store_products!A:A,fashion_store_products!C:C)</f>
        <v>Dresses</v>
      </c>
    </row>
    <row r="1076" spans="1:16" x14ac:dyDescent="0.45">
      <c r="A1076">
        <v>3314</v>
      </c>
      <c r="B1076">
        <v>1285</v>
      </c>
      <c r="C1076">
        <v>156</v>
      </c>
      <c r="D1076">
        <v>3</v>
      </c>
      <c r="E1076">
        <v>55.52</v>
      </c>
      <c r="F1076">
        <v>55.52</v>
      </c>
      <c r="G1076">
        <v>0</v>
      </c>
      <c r="H1076" s="2">
        <v>0</v>
      </c>
      <c r="I1076">
        <v>0</v>
      </c>
      <c r="J1076">
        <v>166.56</v>
      </c>
      <c r="K1076" s="1">
        <v>45808</v>
      </c>
      <c r="L1076" t="s">
        <v>15</v>
      </c>
      <c r="M1076" t="s">
        <v>15</v>
      </c>
      <c r="N1076">
        <f>salesitems[[#This Row],[quantity]]*salesitems[[#This Row],[unit_price]]</f>
        <v>166.56</v>
      </c>
      <c r="O1076" t="str">
        <f>_xlfn.XLOOKUP(salesitems[[#This Row],[product_id]],products[product_id],products[product_name])</f>
        <v>Vintage Crew Dress</v>
      </c>
      <c r="P1076" t="str">
        <f>_xlfn.XLOOKUP(salesitems[[#This Row],[product_id]],fashion_store_products!A:A,fashion_store_products!C:C)</f>
        <v>Dresses</v>
      </c>
    </row>
    <row r="1077" spans="1:16" x14ac:dyDescent="0.45">
      <c r="A1077">
        <v>167</v>
      </c>
      <c r="B1077">
        <v>106</v>
      </c>
      <c r="C1077">
        <v>97</v>
      </c>
      <c r="D1077">
        <v>3</v>
      </c>
      <c r="E1077">
        <v>55.27</v>
      </c>
      <c r="F1077">
        <v>55.27</v>
      </c>
      <c r="G1077">
        <v>0</v>
      </c>
      <c r="H1077" s="2">
        <v>0</v>
      </c>
      <c r="I1077">
        <v>0</v>
      </c>
      <c r="J1077">
        <v>165.81</v>
      </c>
      <c r="K1077" s="1">
        <v>45772</v>
      </c>
      <c r="L1077" t="s">
        <v>21</v>
      </c>
      <c r="M1077" t="s">
        <v>18</v>
      </c>
      <c r="N1077">
        <f>salesitems[[#This Row],[quantity]]*salesitems[[#This Row],[unit_price]]</f>
        <v>165.81</v>
      </c>
      <c r="O1077" t="str">
        <f>_xlfn.XLOOKUP(salesitems[[#This Row],[product_id]],products[product_id],products[product_name])</f>
        <v>Modern High-Waist Shoes</v>
      </c>
      <c r="P1077" t="str">
        <f>_xlfn.XLOOKUP(salesitems[[#This Row],[product_id]],fashion_store_products!A:A,fashion_store_products!C:C)</f>
        <v>Shoes</v>
      </c>
    </row>
    <row r="1078" spans="1:16" x14ac:dyDescent="0.45">
      <c r="A1078">
        <v>703</v>
      </c>
      <c r="B1078">
        <v>1201</v>
      </c>
      <c r="C1078">
        <v>107</v>
      </c>
      <c r="D1078">
        <v>3</v>
      </c>
      <c r="E1078">
        <v>55.06</v>
      </c>
      <c r="F1078">
        <v>55.06</v>
      </c>
      <c r="G1078">
        <v>0</v>
      </c>
      <c r="H1078" s="2">
        <v>0</v>
      </c>
      <c r="I1078">
        <v>0</v>
      </c>
      <c r="J1078">
        <v>165.18</v>
      </c>
      <c r="K1078" s="1">
        <v>45764</v>
      </c>
      <c r="L1078" t="s">
        <v>15</v>
      </c>
      <c r="M1078" t="s">
        <v>15</v>
      </c>
      <c r="N1078">
        <f>salesitems[[#This Row],[quantity]]*salesitems[[#This Row],[unit_price]]</f>
        <v>165.18</v>
      </c>
      <c r="O1078" t="str">
        <f>_xlfn.XLOOKUP(salesitems[[#This Row],[product_id]],products[product_id],products[product_name])</f>
        <v>Classic Linen Shoes</v>
      </c>
      <c r="P1078" t="str">
        <f>_xlfn.XLOOKUP(salesitems[[#This Row],[product_id]],fashion_store_products!A:A,fashion_store_products!C:C)</f>
        <v>Shoes</v>
      </c>
    </row>
    <row r="1079" spans="1:16" x14ac:dyDescent="0.45">
      <c r="A1079">
        <v>1120</v>
      </c>
      <c r="B1079">
        <v>818</v>
      </c>
      <c r="C1079">
        <v>107</v>
      </c>
      <c r="D1079">
        <v>3</v>
      </c>
      <c r="E1079">
        <v>55.06</v>
      </c>
      <c r="F1079">
        <v>55.06</v>
      </c>
      <c r="G1079">
        <v>0</v>
      </c>
      <c r="H1079" s="2">
        <v>0</v>
      </c>
      <c r="I1079">
        <v>0</v>
      </c>
      <c r="J1079">
        <v>165.18</v>
      </c>
      <c r="K1079" s="1">
        <v>45824</v>
      </c>
      <c r="L1079" t="s">
        <v>21</v>
      </c>
      <c r="M1079" t="s">
        <v>18</v>
      </c>
      <c r="N1079">
        <f>salesitems[[#This Row],[quantity]]*salesitems[[#This Row],[unit_price]]</f>
        <v>165.18</v>
      </c>
      <c r="O1079" t="str">
        <f>_xlfn.XLOOKUP(salesitems[[#This Row],[product_id]],products[product_id],products[product_name])</f>
        <v>Classic Linen Shoes</v>
      </c>
      <c r="P1079" t="str">
        <f>_xlfn.XLOOKUP(salesitems[[#This Row],[product_id]],fashion_store_products!A:A,fashion_store_products!C:C)</f>
        <v>Shoes</v>
      </c>
    </row>
    <row r="1080" spans="1:16" x14ac:dyDescent="0.45">
      <c r="A1080">
        <v>3360</v>
      </c>
      <c r="B1080">
        <v>1230</v>
      </c>
      <c r="C1080">
        <v>107</v>
      </c>
      <c r="D1080">
        <v>3</v>
      </c>
      <c r="E1080">
        <v>55.06</v>
      </c>
      <c r="F1080">
        <v>55.06</v>
      </c>
      <c r="G1080">
        <v>0</v>
      </c>
      <c r="H1080" s="2">
        <v>0</v>
      </c>
      <c r="I1080">
        <v>0</v>
      </c>
      <c r="J1080">
        <v>165.18</v>
      </c>
      <c r="K1080" s="1">
        <v>45796</v>
      </c>
      <c r="L1080" t="s">
        <v>21</v>
      </c>
      <c r="M1080" t="s">
        <v>18</v>
      </c>
      <c r="N1080">
        <f>salesitems[[#This Row],[quantity]]*salesitems[[#This Row],[unit_price]]</f>
        <v>165.18</v>
      </c>
      <c r="O1080" t="str">
        <f>_xlfn.XLOOKUP(salesitems[[#This Row],[product_id]],products[product_id],products[product_name])</f>
        <v>Classic Linen Shoes</v>
      </c>
      <c r="P1080" t="str">
        <f>_xlfn.XLOOKUP(salesitems[[#This Row],[product_id]],fashion_store_products!A:A,fashion_store_products!C:C)</f>
        <v>Shoes</v>
      </c>
    </row>
    <row r="1081" spans="1:16" x14ac:dyDescent="0.45">
      <c r="A1081">
        <v>2346</v>
      </c>
      <c r="B1081">
        <v>452</v>
      </c>
      <c r="C1081">
        <v>264</v>
      </c>
      <c r="D1081">
        <v>3</v>
      </c>
      <c r="E1081">
        <v>55.01</v>
      </c>
      <c r="F1081">
        <v>55.01</v>
      </c>
      <c r="G1081">
        <v>0</v>
      </c>
      <c r="H1081" s="2">
        <v>0</v>
      </c>
      <c r="I1081">
        <v>0</v>
      </c>
      <c r="J1081">
        <v>165.03</v>
      </c>
      <c r="K1081" s="1">
        <v>45772</v>
      </c>
      <c r="L1081" t="s">
        <v>15</v>
      </c>
      <c r="M1081" t="s">
        <v>15</v>
      </c>
      <c r="N1081">
        <f>salesitems[[#This Row],[quantity]]*salesitems[[#This Row],[unit_price]]</f>
        <v>165.03</v>
      </c>
      <c r="O1081" t="str">
        <f>_xlfn.XLOOKUP(salesitems[[#This Row],[product_id]],products[product_id],products[product_name])</f>
        <v>Relaxed Satin Tee</v>
      </c>
      <c r="P1081" t="str">
        <f>_xlfn.XLOOKUP(salesitems[[#This Row],[product_id]],fashion_store_products!A:A,fashion_store_products!C:C)</f>
        <v>T-Shirts</v>
      </c>
    </row>
    <row r="1082" spans="1:16" x14ac:dyDescent="0.45">
      <c r="A1082">
        <v>2002</v>
      </c>
      <c r="B1082">
        <v>136</v>
      </c>
      <c r="C1082">
        <v>461</v>
      </c>
      <c r="D1082">
        <v>3</v>
      </c>
      <c r="E1082">
        <v>54.91</v>
      </c>
      <c r="F1082">
        <v>54.91</v>
      </c>
      <c r="G1082">
        <v>0</v>
      </c>
      <c r="H1082" s="2">
        <v>0</v>
      </c>
      <c r="I1082">
        <v>0</v>
      </c>
      <c r="J1082">
        <v>164.73</v>
      </c>
      <c r="K1082" s="1">
        <v>45822</v>
      </c>
      <c r="L1082" t="s">
        <v>21</v>
      </c>
      <c r="M1082" t="s">
        <v>18</v>
      </c>
      <c r="N1082">
        <f>salesitems[[#This Row],[quantity]]*salesitems[[#This Row],[unit_price]]</f>
        <v>164.73</v>
      </c>
      <c r="O1082" t="str">
        <f>_xlfn.XLOOKUP(salesitems[[#This Row],[product_id]],products[product_id],products[product_name])</f>
        <v>Bold High-Waist Tee</v>
      </c>
      <c r="P1082" t="str">
        <f>_xlfn.XLOOKUP(salesitems[[#This Row],[product_id]],fashion_store_products!A:A,fashion_store_products!C:C)</f>
        <v>T-Shirts</v>
      </c>
    </row>
    <row r="1083" spans="1:16" x14ac:dyDescent="0.45">
      <c r="A1083">
        <v>120</v>
      </c>
      <c r="B1083">
        <v>1108</v>
      </c>
      <c r="C1083">
        <v>481</v>
      </c>
      <c r="D1083">
        <v>3</v>
      </c>
      <c r="E1083">
        <v>54.87</v>
      </c>
      <c r="F1083">
        <v>54.87</v>
      </c>
      <c r="G1083">
        <v>0</v>
      </c>
      <c r="H1083" s="2">
        <v>0</v>
      </c>
      <c r="I1083">
        <v>0</v>
      </c>
      <c r="J1083">
        <v>164.61</v>
      </c>
      <c r="K1083" s="1">
        <v>45804</v>
      </c>
      <c r="L1083" t="s">
        <v>21</v>
      </c>
      <c r="M1083" t="s">
        <v>18</v>
      </c>
      <c r="N1083">
        <f>salesitems[[#This Row],[quantity]]*salesitems[[#This Row],[unit_price]]</f>
        <v>164.60999999999999</v>
      </c>
      <c r="O1083" t="str">
        <f>_xlfn.XLOOKUP(salesitems[[#This Row],[product_id]],products[product_id],products[product_name])</f>
        <v>Bold Crew Shoes</v>
      </c>
      <c r="P1083" t="str">
        <f>_xlfn.XLOOKUP(salesitems[[#This Row],[product_id]],fashion_store_products!A:A,fashion_store_products!C:C)</f>
        <v>Shoes</v>
      </c>
    </row>
    <row r="1084" spans="1:16" x14ac:dyDescent="0.45">
      <c r="A1084">
        <v>3336</v>
      </c>
      <c r="B1084">
        <v>1071</v>
      </c>
      <c r="C1084">
        <v>389</v>
      </c>
      <c r="D1084">
        <v>3</v>
      </c>
      <c r="E1084">
        <v>54.76</v>
      </c>
      <c r="F1084">
        <v>54.76</v>
      </c>
      <c r="G1084">
        <v>0</v>
      </c>
      <c r="H1084" s="2">
        <v>0</v>
      </c>
      <c r="I1084">
        <v>0</v>
      </c>
      <c r="J1084">
        <v>164.28</v>
      </c>
      <c r="K1084" s="1">
        <v>45783</v>
      </c>
      <c r="L1084" t="s">
        <v>15</v>
      </c>
      <c r="M1084" t="s">
        <v>15</v>
      </c>
      <c r="N1084">
        <f>salesitems[[#This Row],[quantity]]*salesitems[[#This Row],[unit_price]]</f>
        <v>164.28</v>
      </c>
      <c r="O1084" t="str">
        <f>_xlfn.XLOOKUP(salesitems[[#This Row],[product_id]],products[product_id],products[product_name])</f>
        <v>Tailored Boxy Set</v>
      </c>
      <c r="P1084" t="str">
        <f>_xlfn.XLOOKUP(salesitems[[#This Row],[product_id]],fashion_store_products!A:A,fashion_store_products!C:C)</f>
        <v>Sleepwear</v>
      </c>
    </row>
    <row r="1085" spans="1:16" x14ac:dyDescent="0.45">
      <c r="A1085">
        <v>1568</v>
      </c>
      <c r="B1085">
        <v>407</v>
      </c>
      <c r="C1085">
        <v>45</v>
      </c>
      <c r="D1085">
        <v>3</v>
      </c>
      <c r="E1085">
        <v>54.16</v>
      </c>
      <c r="F1085">
        <v>54.16</v>
      </c>
      <c r="G1085">
        <v>0</v>
      </c>
      <c r="H1085" s="2">
        <v>0</v>
      </c>
      <c r="I1085">
        <v>0</v>
      </c>
      <c r="J1085">
        <v>162.47999999999999</v>
      </c>
      <c r="K1085" s="1">
        <v>45768</v>
      </c>
      <c r="L1085" t="s">
        <v>15</v>
      </c>
      <c r="M1085" t="s">
        <v>15</v>
      </c>
      <c r="N1085">
        <f>salesitems[[#This Row],[quantity]]*salesitems[[#This Row],[unit_price]]</f>
        <v>162.47999999999999</v>
      </c>
      <c r="O1085" t="str">
        <f>_xlfn.XLOOKUP(salesitems[[#This Row],[product_id]],products[product_id],products[product_name])</f>
        <v>Soft Sleeveless Tee</v>
      </c>
      <c r="P1085" t="str">
        <f>_xlfn.XLOOKUP(salesitems[[#This Row],[product_id]],fashion_store_products!A:A,fashion_store_products!C:C)</f>
        <v>T-Shirts</v>
      </c>
    </row>
    <row r="1086" spans="1:16" x14ac:dyDescent="0.45">
      <c r="A1086">
        <v>1803</v>
      </c>
      <c r="B1086">
        <v>330</v>
      </c>
      <c r="C1086">
        <v>267</v>
      </c>
      <c r="D1086">
        <v>3</v>
      </c>
      <c r="E1086">
        <v>53.91</v>
      </c>
      <c r="F1086">
        <v>53.91</v>
      </c>
      <c r="G1086">
        <v>0</v>
      </c>
      <c r="H1086" s="2">
        <v>0</v>
      </c>
      <c r="I1086">
        <v>0</v>
      </c>
      <c r="J1086">
        <v>161.72999999999999</v>
      </c>
      <c r="K1086" s="1">
        <v>45771</v>
      </c>
      <c r="L1086" t="s">
        <v>21</v>
      </c>
      <c r="M1086" t="s">
        <v>18</v>
      </c>
      <c r="N1086">
        <f>salesitems[[#This Row],[quantity]]*salesitems[[#This Row],[unit_price]]</f>
        <v>161.72999999999999</v>
      </c>
      <c r="O1086" t="str">
        <f>_xlfn.XLOOKUP(salesitems[[#This Row],[product_id]],products[product_id],products[product_name])</f>
        <v>Polished High-Waist Set</v>
      </c>
      <c r="P1086" t="str">
        <f>_xlfn.XLOOKUP(salesitems[[#This Row],[product_id]],fashion_store_products!A:A,fashion_store_products!C:C)</f>
        <v>Sleepwear</v>
      </c>
    </row>
    <row r="1087" spans="1:16" x14ac:dyDescent="0.45">
      <c r="A1087">
        <v>3114</v>
      </c>
      <c r="B1087">
        <v>857</v>
      </c>
      <c r="C1087">
        <v>154</v>
      </c>
      <c r="D1087">
        <v>3</v>
      </c>
      <c r="E1087">
        <v>53.74</v>
      </c>
      <c r="F1087">
        <v>53.74</v>
      </c>
      <c r="G1087">
        <v>0</v>
      </c>
      <c r="H1087" s="2">
        <v>0</v>
      </c>
      <c r="I1087">
        <v>0</v>
      </c>
      <c r="J1087">
        <v>161.22</v>
      </c>
      <c r="K1087" s="1">
        <v>45763</v>
      </c>
      <c r="L1087" t="s">
        <v>15</v>
      </c>
      <c r="M1087" t="s">
        <v>15</v>
      </c>
      <c r="N1087">
        <f>salesitems[[#This Row],[quantity]]*salesitems[[#This Row],[unit_price]]</f>
        <v>161.22</v>
      </c>
      <c r="O1087" t="str">
        <f>_xlfn.XLOOKUP(salesitems[[#This Row],[product_id]],products[product_id],products[product_name])</f>
        <v>Classic Crew Set</v>
      </c>
      <c r="P1087" t="str">
        <f>_xlfn.XLOOKUP(salesitems[[#This Row],[product_id]],fashion_store_products!A:A,fashion_store_products!C:C)</f>
        <v>Sleepwear</v>
      </c>
    </row>
    <row r="1088" spans="1:16" x14ac:dyDescent="0.45">
      <c r="A1088">
        <v>1191</v>
      </c>
      <c r="B1088">
        <v>1309</v>
      </c>
      <c r="C1088">
        <v>47</v>
      </c>
      <c r="D1088">
        <v>3</v>
      </c>
      <c r="E1088">
        <v>53.73</v>
      </c>
      <c r="F1088">
        <v>53.73</v>
      </c>
      <c r="G1088">
        <v>0</v>
      </c>
      <c r="H1088" s="2">
        <v>0</v>
      </c>
      <c r="I1088">
        <v>0</v>
      </c>
      <c r="J1088">
        <v>161.19</v>
      </c>
      <c r="K1088" s="1">
        <v>45766</v>
      </c>
      <c r="L1088" t="s">
        <v>15</v>
      </c>
      <c r="M1088" t="s">
        <v>15</v>
      </c>
      <c r="N1088">
        <f>salesitems[[#This Row],[quantity]]*salesitems[[#This Row],[unit_price]]</f>
        <v>161.19</v>
      </c>
      <c r="O1088" t="str">
        <f>_xlfn.XLOOKUP(salesitems[[#This Row],[product_id]],products[product_id],products[product_name])</f>
        <v>Soft High-Waist Tee</v>
      </c>
      <c r="P1088" t="str">
        <f>_xlfn.XLOOKUP(salesitems[[#This Row],[product_id]],fashion_store_products!A:A,fashion_store_products!C:C)</f>
        <v>T-Shirts</v>
      </c>
    </row>
    <row r="1089" spans="1:16" x14ac:dyDescent="0.45">
      <c r="A1089">
        <v>1288</v>
      </c>
      <c r="B1089">
        <v>3</v>
      </c>
      <c r="C1089">
        <v>127</v>
      </c>
      <c r="D1089">
        <v>3</v>
      </c>
      <c r="E1089">
        <v>53.67</v>
      </c>
      <c r="F1089">
        <v>53.67</v>
      </c>
      <c r="G1089">
        <v>0</v>
      </c>
      <c r="H1089" s="2">
        <v>0</v>
      </c>
      <c r="I1089">
        <v>0</v>
      </c>
      <c r="J1089">
        <v>161.01</v>
      </c>
      <c r="K1089" s="1">
        <v>45769</v>
      </c>
      <c r="L1089" t="s">
        <v>15</v>
      </c>
      <c r="M1089" t="s">
        <v>15</v>
      </c>
      <c r="N1089">
        <f>salesitems[[#This Row],[quantity]]*salesitems[[#This Row],[unit_price]]</f>
        <v>161.01</v>
      </c>
      <c r="O1089" t="str">
        <f>_xlfn.XLOOKUP(salesitems[[#This Row],[product_id]],products[product_id],products[product_name])</f>
        <v>Classic Wrap Trousers</v>
      </c>
      <c r="P1089" t="str">
        <f>_xlfn.XLOOKUP(salesitems[[#This Row],[product_id]],fashion_store_products!A:A,fashion_store_products!C:C)</f>
        <v>Pants</v>
      </c>
    </row>
    <row r="1090" spans="1:16" x14ac:dyDescent="0.45">
      <c r="A1090">
        <v>2660</v>
      </c>
      <c r="B1090">
        <v>557</v>
      </c>
      <c r="C1090">
        <v>52</v>
      </c>
      <c r="D1090">
        <v>3</v>
      </c>
      <c r="E1090">
        <v>53.61</v>
      </c>
      <c r="F1090">
        <v>53.61</v>
      </c>
      <c r="G1090">
        <v>0</v>
      </c>
      <c r="H1090" s="2">
        <v>0</v>
      </c>
      <c r="I1090">
        <v>0</v>
      </c>
      <c r="J1090">
        <v>160.83000000000001</v>
      </c>
      <c r="K1090" s="1">
        <v>45772</v>
      </c>
      <c r="L1090" t="s">
        <v>15</v>
      </c>
      <c r="M1090" t="s">
        <v>15</v>
      </c>
      <c r="N1090">
        <f>salesitems[[#This Row],[quantity]]*salesitems[[#This Row],[unit_price]]</f>
        <v>160.82999999999998</v>
      </c>
      <c r="O1090" t="str">
        <f>_xlfn.XLOOKUP(salesitems[[#This Row],[product_id]],products[product_id],products[product_name])</f>
        <v>Modern Linen Tee</v>
      </c>
      <c r="P1090" t="str">
        <f>_xlfn.XLOOKUP(salesitems[[#This Row],[product_id]],fashion_store_products!A:A,fashion_store_products!C:C)</f>
        <v>T-Shirts</v>
      </c>
    </row>
    <row r="1091" spans="1:16" x14ac:dyDescent="0.45">
      <c r="A1091">
        <v>2087</v>
      </c>
      <c r="B1091">
        <v>1161</v>
      </c>
      <c r="C1091">
        <v>494</v>
      </c>
      <c r="D1091">
        <v>3</v>
      </c>
      <c r="E1091">
        <v>53.52</v>
      </c>
      <c r="F1091">
        <v>53.52</v>
      </c>
      <c r="G1091">
        <v>0</v>
      </c>
      <c r="H1091" s="2">
        <v>0</v>
      </c>
      <c r="I1091">
        <v>0</v>
      </c>
      <c r="J1091">
        <v>160.56</v>
      </c>
      <c r="K1091" s="1">
        <v>45773</v>
      </c>
      <c r="L1091" t="s">
        <v>15</v>
      </c>
      <c r="M1091" t="s">
        <v>15</v>
      </c>
      <c r="N1091">
        <f>salesitems[[#This Row],[quantity]]*salesitems[[#This Row],[unit_price]]</f>
        <v>160.56</v>
      </c>
      <c r="O1091" t="str">
        <f>_xlfn.XLOOKUP(salesitems[[#This Row],[product_id]],products[product_id],products[product_name])</f>
        <v>T-Shirts Drop 7</v>
      </c>
      <c r="P1091" t="str">
        <f>_xlfn.XLOOKUP(salesitems[[#This Row],[product_id]],fashion_store_products!A:A,fashion_store_products!C:C)</f>
        <v>T-Shirts</v>
      </c>
    </row>
    <row r="1092" spans="1:16" x14ac:dyDescent="0.45">
      <c r="A1092">
        <v>564</v>
      </c>
      <c r="B1092">
        <v>976</v>
      </c>
      <c r="C1092">
        <v>196</v>
      </c>
      <c r="D1092">
        <v>3</v>
      </c>
      <c r="E1092">
        <v>59.41</v>
      </c>
      <c r="F1092">
        <v>53.47</v>
      </c>
      <c r="G1092">
        <v>5.94</v>
      </c>
      <c r="H1092" s="2">
        <v>0.1</v>
      </c>
      <c r="I1092">
        <v>1</v>
      </c>
      <c r="J1092">
        <v>160.41</v>
      </c>
      <c r="K1092" s="1">
        <v>45814</v>
      </c>
      <c r="L1092" t="s">
        <v>21</v>
      </c>
      <c r="M1092" t="s">
        <v>18</v>
      </c>
      <c r="N1092">
        <f>salesitems[[#This Row],[quantity]]*salesitems[[#This Row],[unit_price]]</f>
        <v>160.41</v>
      </c>
      <c r="O1092" t="str">
        <f>_xlfn.XLOOKUP(salesitems[[#This Row],[product_id]],products[product_id],products[product_name])</f>
        <v>Vintage Cotton Trousers</v>
      </c>
      <c r="P1092" t="str">
        <f>_xlfn.XLOOKUP(salesitems[[#This Row],[product_id]],fashion_store_products!A:A,fashion_store_products!C:C)</f>
        <v>Pants</v>
      </c>
    </row>
    <row r="1093" spans="1:16" x14ac:dyDescent="0.45">
      <c r="A1093">
        <v>809</v>
      </c>
      <c r="B1093">
        <v>258</v>
      </c>
      <c r="C1093">
        <v>331</v>
      </c>
      <c r="D1093">
        <v>3</v>
      </c>
      <c r="E1093">
        <v>53.34</v>
      </c>
      <c r="F1093">
        <v>53.34</v>
      </c>
      <c r="G1093">
        <v>0</v>
      </c>
      <c r="H1093" s="2">
        <v>0</v>
      </c>
      <c r="I1093">
        <v>0</v>
      </c>
      <c r="J1093">
        <v>160.02000000000001</v>
      </c>
      <c r="K1093" s="1">
        <v>45806</v>
      </c>
      <c r="L1093" t="s">
        <v>21</v>
      </c>
      <c r="M1093" t="s">
        <v>18</v>
      </c>
      <c r="N1093">
        <f>salesitems[[#This Row],[quantity]]*salesitems[[#This Row],[unit_price]]</f>
        <v>160.02000000000001</v>
      </c>
      <c r="O1093" t="str">
        <f>_xlfn.XLOOKUP(salesitems[[#This Row],[product_id]],products[product_id],products[product_name])</f>
        <v>Relaxed Satin Trousers</v>
      </c>
      <c r="P1093" t="str">
        <f>_xlfn.XLOOKUP(salesitems[[#This Row],[product_id]],fashion_store_products!A:A,fashion_store_products!C:C)</f>
        <v>Pants</v>
      </c>
    </row>
    <row r="1094" spans="1:16" x14ac:dyDescent="0.45">
      <c r="A1094">
        <v>2549</v>
      </c>
      <c r="B1094">
        <v>351</v>
      </c>
      <c r="C1094">
        <v>73</v>
      </c>
      <c r="D1094">
        <v>3</v>
      </c>
      <c r="E1094">
        <v>53.25</v>
      </c>
      <c r="F1094">
        <v>53.25</v>
      </c>
      <c r="G1094">
        <v>0</v>
      </c>
      <c r="H1094" s="2">
        <v>0</v>
      </c>
      <c r="I1094">
        <v>0</v>
      </c>
      <c r="J1094">
        <v>159.75</v>
      </c>
      <c r="K1094" s="1">
        <v>45804</v>
      </c>
      <c r="L1094" t="s">
        <v>21</v>
      </c>
      <c r="M1094" t="s">
        <v>18</v>
      </c>
      <c r="N1094">
        <f>salesitems[[#This Row],[quantity]]*salesitems[[#This Row],[unit_price]]</f>
        <v>159.75</v>
      </c>
      <c r="O1094" t="str">
        <f>_xlfn.XLOOKUP(salesitems[[#This Row],[product_id]],products[product_id],products[product_name])</f>
        <v>Soft Boxy Set</v>
      </c>
      <c r="P1094" t="str">
        <f>_xlfn.XLOOKUP(salesitems[[#This Row],[product_id]],fashion_store_products!A:A,fashion_store_products!C:C)</f>
        <v>Sleepwear</v>
      </c>
    </row>
    <row r="1095" spans="1:16" x14ac:dyDescent="0.45">
      <c r="A1095">
        <v>1372</v>
      </c>
      <c r="B1095">
        <v>833</v>
      </c>
      <c r="C1095">
        <v>40</v>
      </c>
      <c r="D1095">
        <v>3</v>
      </c>
      <c r="E1095">
        <v>53.19</v>
      </c>
      <c r="F1095">
        <v>53.19</v>
      </c>
      <c r="G1095">
        <v>0</v>
      </c>
      <c r="H1095" s="2">
        <v>0</v>
      </c>
      <c r="I1095">
        <v>0</v>
      </c>
      <c r="J1095">
        <v>159.57</v>
      </c>
      <c r="K1095" s="1">
        <v>45776</v>
      </c>
      <c r="L1095" t="s">
        <v>21</v>
      </c>
      <c r="M1095" t="s">
        <v>18</v>
      </c>
      <c r="N1095">
        <f>salesitems[[#This Row],[quantity]]*salesitems[[#This Row],[unit_price]]</f>
        <v>159.57</v>
      </c>
      <c r="O1095" t="str">
        <f>_xlfn.XLOOKUP(salesitems[[#This Row],[product_id]],products[product_id],products[product_name])</f>
        <v>Soft High-Waist Trousers</v>
      </c>
      <c r="P1095" t="str">
        <f>_xlfn.XLOOKUP(salesitems[[#This Row],[product_id]],fashion_store_products!A:A,fashion_store_products!C:C)</f>
        <v>Pants</v>
      </c>
    </row>
    <row r="1096" spans="1:16" x14ac:dyDescent="0.45">
      <c r="A1096">
        <v>2365</v>
      </c>
      <c r="B1096">
        <v>130</v>
      </c>
      <c r="C1096">
        <v>133</v>
      </c>
      <c r="D1096">
        <v>3</v>
      </c>
      <c r="E1096">
        <v>53.05</v>
      </c>
      <c r="F1096">
        <v>53.05</v>
      </c>
      <c r="G1096">
        <v>0</v>
      </c>
      <c r="H1096" s="2">
        <v>0</v>
      </c>
      <c r="I1096">
        <v>0</v>
      </c>
      <c r="J1096">
        <v>159.15</v>
      </c>
      <c r="K1096" s="1">
        <v>45781</v>
      </c>
      <c r="L1096" t="s">
        <v>15</v>
      </c>
      <c r="M1096" t="s">
        <v>15</v>
      </c>
      <c r="N1096">
        <f>salesitems[[#This Row],[quantity]]*salesitems[[#This Row],[unit_price]]</f>
        <v>159.14999999999998</v>
      </c>
      <c r="O1096" t="str">
        <f>_xlfn.XLOOKUP(salesitems[[#This Row],[product_id]],products[product_id],products[product_name])</f>
        <v>Classic Sleeveless Tee</v>
      </c>
      <c r="P1096" t="str">
        <f>_xlfn.XLOOKUP(salesitems[[#This Row],[product_id]],fashion_store_products!A:A,fashion_store_products!C:C)</f>
        <v>T-Shirts</v>
      </c>
    </row>
    <row r="1097" spans="1:16" x14ac:dyDescent="0.45">
      <c r="A1097">
        <v>2616</v>
      </c>
      <c r="B1097">
        <v>375</v>
      </c>
      <c r="C1097">
        <v>133</v>
      </c>
      <c r="D1097">
        <v>3</v>
      </c>
      <c r="E1097">
        <v>53.05</v>
      </c>
      <c r="F1097">
        <v>53.05</v>
      </c>
      <c r="G1097">
        <v>0</v>
      </c>
      <c r="H1097" s="2">
        <v>0</v>
      </c>
      <c r="I1097">
        <v>0</v>
      </c>
      <c r="J1097">
        <v>159.15</v>
      </c>
      <c r="K1097" s="1">
        <v>45761</v>
      </c>
      <c r="L1097" t="s">
        <v>21</v>
      </c>
      <c r="M1097" t="s">
        <v>18</v>
      </c>
      <c r="N1097">
        <f>salesitems[[#This Row],[quantity]]*salesitems[[#This Row],[unit_price]]</f>
        <v>159.14999999999998</v>
      </c>
      <c r="O1097" t="str">
        <f>_xlfn.XLOOKUP(salesitems[[#This Row],[product_id]],products[product_id],products[product_name])</f>
        <v>Classic Sleeveless Tee</v>
      </c>
      <c r="P1097" t="str">
        <f>_xlfn.XLOOKUP(salesitems[[#This Row],[product_id]],fashion_store_products!A:A,fashion_store_products!C:C)</f>
        <v>T-Shirts</v>
      </c>
    </row>
    <row r="1098" spans="1:16" x14ac:dyDescent="0.45">
      <c r="A1098">
        <v>1430</v>
      </c>
      <c r="B1098">
        <v>65</v>
      </c>
      <c r="C1098">
        <v>25</v>
      </c>
      <c r="D1098">
        <v>3</v>
      </c>
      <c r="E1098">
        <v>52.94</v>
      </c>
      <c r="F1098">
        <v>52.94</v>
      </c>
      <c r="G1098">
        <v>0</v>
      </c>
      <c r="H1098" s="2">
        <v>0</v>
      </c>
      <c r="I1098">
        <v>0</v>
      </c>
      <c r="J1098">
        <v>158.82</v>
      </c>
      <c r="K1098" s="1">
        <v>45783</v>
      </c>
      <c r="L1098" t="s">
        <v>21</v>
      </c>
      <c r="M1098" t="s">
        <v>18</v>
      </c>
      <c r="N1098">
        <f>salesitems[[#This Row],[quantity]]*salesitems[[#This Row],[unit_price]]</f>
        <v>158.82</v>
      </c>
      <c r="O1098" t="str">
        <f>_xlfn.XLOOKUP(salesitems[[#This Row],[product_id]],products[product_id],products[product_name])</f>
        <v>Soft Wrap Set</v>
      </c>
      <c r="P1098" t="str">
        <f>_xlfn.XLOOKUP(salesitems[[#This Row],[product_id]],fashion_store_products!A:A,fashion_store_products!C:C)</f>
        <v>Sleepwear</v>
      </c>
    </row>
    <row r="1099" spans="1:16" x14ac:dyDescent="0.45">
      <c r="A1099">
        <v>2300</v>
      </c>
      <c r="B1099">
        <v>640</v>
      </c>
      <c r="C1099">
        <v>262</v>
      </c>
      <c r="D1099">
        <v>3</v>
      </c>
      <c r="E1099">
        <v>52.94</v>
      </c>
      <c r="F1099">
        <v>52.94</v>
      </c>
      <c r="G1099">
        <v>0</v>
      </c>
      <c r="H1099" s="2">
        <v>0</v>
      </c>
      <c r="I1099">
        <v>0</v>
      </c>
      <c r="J1099">
        <v>158.82</v>
      </c>
      <c r="K1099" s="1">
        <v>45765</v>
      </c>
      <c r="L1099" t="s">
        <v>15</v>
      </c>
      <c r="M1099" t="s">
        <v>15</v>
      </c>
      <c r="N1099">
        <f>salesitems[[#This Row],[quantity]]*salesitems[[#This Row],[unit_price]]</f>
        <v>158.82</v>
      </c>
      <c r="O1099" t="str">
        <f>_xlfn.XLOOKUP(salesitems[[#This Row],[product_id]],products[product_id],products[product_name])</f>
        <v>Polished Sleeveless Set</v>
      </c>
      <c r="P1099" t="str">
        <f>_xlfn.XLOOKUP(salesitems[[#This Row],[product_id]],fashion_store_products!A:A,fashion_store_products!C:C)</f>
        <v>Sleepwear</v>
      </c>
    </row>
    <row r="1100" spans="1:16" x14ac:dyDescent="0.45">
      <c r="A1100">
        <v>3016</v>
      </c>
      <c r="B1100">
        <v>184</v>
      </c>
      <c r="C1100">
        <v>25</v>
      </c>
      <c r="D1100">
        <v>3</v>
      </c>
      <c r="E1100">
        <v>52.94</v>
      </c>
      <c r="F1100">
        <v>52.94</v>
      </c>
      <c r="G1100">
        <v>0</v>
      </c>
      <c r="H1100" s="2">
        <v>0</v>
      </c>
      <c r="I1100">
        <v>0</v>
      </c>
      <c r="J1100">
        <v>158.82</v>
      </c>
      <c r="K1100" s="1">
        <v>45765</v>
      </c>
      <c r="L1100" t="s">
        <v>21</v>
      </c>
      <c r="M1100" t="s">
        <v>18</v>
      </c>
      <c r="N1100">
        <f>salesitems[[#This Row],[quantity]]*salesitems[[#This Row],[unit_price]]</f>
        <v>158.82</v>
      </c>
      <c r="O1100" t="str">
        <f>_xlfn.XLOOKUP(salesitems[[#This Row],[product_id]],products[product_id],products[product_name])</f>
        <v>Soft Wrap Set</v>
      </c>
      <c r="P1100" t="str">
        <f>_xlfn.XLOOKUP(salesitems[[#This Row],[product_id]],fashion_store_products!A:A,fashion_store_products!C:C)</f>
        <v>Sleepwear</v>
      </c>
    </row>
    <row r="1101" spans="1:16" x14ac:dyDescent="0.45">
      <c r="A1101">
        <v>3344</v>
      </c>
      <c r="B1101">
        <v>163</v>
      </c>
      <c r="C1101">
        <v>25</v>
      </c>
      <c r="D1101">
        <v>3</v>
      </c>
      <c r="E1101">
        <v>52.94</v>
      </c>
      <c r="F1101">
        <v>52.94</v>
      </c>
      <c r="G1101">
        <v>0</v>
      </c>
      <c r="H1101" s="2">
        <v>0</v>
      </c>
      <c r="I1101">
        <v>0</v>
      </c>
      <c r="J1101">
        <v>158.82</v>
      </c>
      <c r="K1101" s="1">
        <v>45797</v>
      </c>
      <c r="L1101" t="s">
        <v>15</v>
      </c>
      <c r="M1101" t="s">
        <v>15</v>
      </c>
      <c r="N1101">
        <f>salesitems[[#This Row],[quantity]]*salesitems[[#This Row],[unit_price]]</f>
        <v>158.82</v>
      </c>
      <c r="O1101" t="str">
        <f>_xlfn.XLOOKUP(salesitems[[#This Row],[product_id]],products[product_id],products[product_name])</f>
        <v>Soft Wrap Set</v>
      </c>
      <c r="P1101" t="str">
        <f>_xlfn.XLOOKUP(salesitems[[#This Row],[product_id]],fashion_store_products!A:A,fashion_store_products!C:C)</f>
        <v>Sleepwear</v>
      </c>
    </row>
    <row r="1102" spans="1:16" x14ac:dyDescent="0.45">
      <c r="A1102">
        <v>59</v>
      </c>
      <c r="B1102">
        <v>1206</v>
      </c>
      <c r="C1102">
        <v>75</v>
      </c>
      <c r="D1102">
        <v>3</v>
      </c>
      <c r="E1102">
        <v>52.83</v>
      </c>
      <c r="F1102">
        <v>52.83</v>
      </c>
      <c r="G1102">
        <v>0</v>
      </c>
      <c r="H1102" s="2">
        <v>0</v>
      </c>
      <c r="I1102">
        <v>0</v>
      </c>
      <c r="J1102">
        <v>158.49</v>
      </c>
      <c r="K1102" s="1">
        <v>45766</v>
      </c>
      <c r="L1102" t="s">
        <v>21</v>
      </c>
      <c r="M1102" t="s">
        <v>18</v>
      </c>
      <c r="N1102">
        <f>salesitems[[#This Row],[quantity]]*salesitems[[#This Row],[unit_price]]</f>
        <v>158.49</v>
      </c>
      <c r="O1102" t="str">
        <f>_xlfn.XLOOKUP(salesitems[[#This Row],[product_id]],products[product_id],products[product_name])</f>
        <v>Modern Linen Set</v>
      </c>
      <c r="P1102" t="str">
        <f>_xlfn.XLOOKUP(salesitems[[#This Row],[product_id]],fashion_store_products!A:A,fashion_store_products!C:C)</f>
        <v>Sleepwear</v>
      </c>
    </row>
    <row r="1103" spans="1:16" x14ac:dyDescent="0.45">
      <c r="A1103">
        <v>756</v>
      </c>
      <c r="B1103">
        <v>515</v>
      </c>
      <c r="C1103">
        <v>299</v>
      </c>
      <c r="D1103">
        <v>3</v>
      </c>
      <c r="E1103">
        <v>52.65</v>
      </c>
      <c r="F1103">
        <v>52.65</v>
      </c>
      <c r="G1103">
        <v>0</v>
      </c>
      <c r="H1103" s="2">
        <v>0</v>
      </c>
      <c r="I1103">
        <v>0</v>
      </c>
      <c r="J1103">
        <v>157.94999999999999</v>
      </c>
      <c r="K1103" s="1">
        <v>45797</v>
      </c>
      <c r="L1103" t="s">
        <v>21</v>
      </c>
      <c r="M1103" t="s">
        <v>18</v>
      </c>
      <c r="N1103">
        <f>salesitems[[#This Row],[quantity]]*salesitems[[#This Row],[unit_price]]</f>
        <v>157.94999999999999</v>
      </c>
      <c r="O1103" t="str">
        <f>_xlfn.XLOOKUP(salesitems[[#This Row],[product_id]],products[product_id],products[product_name])</f>
        <v>Essential Wrap Dress</v>
      </c>
      <c r="P1103" t="str">
        <f>_xlfn.XLOOKUP(salesitems[[#This Row],[product_id]],fashion_store_products!A:A,fashion_store_products!C:C)</f>
        <v>Dresses</v>
      </c>
    </row>
    <row r="1104" spans="1:16" x14ac:dyDescent="0.45">
      <c r="A1104">
        <v>592</v>
      </c>
      <c r="B1104">
        <v>345</v>
      </c>
      <c r="C1104">
        <v>220</v>
      </c>
      <c r="D1104">
        <v>3</v>
      </c>
      <c r="E1104">
        <v>52.6</v>
      </c>
      <c r="F1104">
        <v>52.6</v>
      </c>
      <c r="G1104">
        <v>0</v>
      </c>
      <c r="H1104" s="2">
        <v>0</v>
      </c>
      <c r="I1104">
        <v>0</v>
      </c>
      <c r="J1104">
        <v>157.80000000000001</v>
      </c>
      <c r="K1104" s="1">
        <v>45761</v>
      </c>
      <c r="L1104" t="s">
        <v>21</v>
      </c>
      <c r="M1104" t="s">
        <v>18</v>
      </c>
      <c r="N1104">
        <f>salesitems[[#This Row],[quantity]]*salesitems[[#This Row],[unit_price]]</f>
        <v>157.80000000000001</v>
      </c>
      <c r="O1104" t="str">
        <f>_xlfn.XLOOKUP(salesitems[[#This Row],[product_id]],products[product_id],products[product_name])</f>
        <v>Polished Wrap Set</v>
      </c>
      <c r="P1104" t="str">
        <f>_xlfn.XLOOKUP(salesitems[[#This Row],[product_id]],fashion_store_products!A:A,fashion_store_products!C:C)</f>
        <v>Sleepwear</v>
      </c>
    </row>
    <row r="1105" spans="1:16" x14ac:dyDescent="0.45">
      <c r="A1105">
        <v>1139</v>
      </c>
      <c r="B1105">
        <v>1209</v>
      </c>
      <c r="C1105">
        <v>432</v>
      </c>
      <c r="D1105">
        <v>3</v>
      </c>
      <c r="E1105">
        <v>52.39</v>
      </c>
      <c r="F1105">
        <v>52.39</v>
      </c>
      <c r="G1105">
        <v>0</v>
      </c>
      <c r="H1105" s="2">
        <v>0</v>
      </c>
      <c r="I1105">
        <v>0</v>
      </c>
      <c r="J1105">
        <v>157.16999999999999</v>
      </c>
      <c r="K1105" s="1">
        <v>45767</v>
      </c>
      <c r="L1105" t="s">
        <v>21</v>
      </c>
      <c r="M1105" t="s">
        <v>18</v>
      </c>
      <c r="N1105">
        <f>salesitems[[#This Row],[quantity]]*salesitems[[#This Row],[unit_price]]</f>
        <v>157.17000000000002</v>
      </c>
      <c r="O1105" t="str">
        <f>_xlfn.XLOOKUP(salesitems[[#This Row],[product_id]],products[product_id],products[product_name])</f>
        <v>Bold Linen Tee</v>
      </c>
      <c r="P1105" t="str">
        <f>_xlfn.XLOOKUP(salesitems[[#This Row],[product_id]],fashion_store_products!A:A,fashion_store_products!C:C)</f>
        <v>T-Shirts</v>
      </c>
    </row>
    <row r="1106" spans="1:16" x14ac:dyDescent="0.45">
      <c r="A1106">
        <v>3004</v>
      </c>
      <c r="B1106">
        <v>605</v>
      </c>
      <c r="C1106">
        <v>181</v>
      </c>
      <c r="D1106">
        <v>3</v>
      </c>
      <c r="E1106">
        <v>52.18</v>
      </c>
      <c r="F1106">
        <v>52.18</v>
      </c>
      <c r="G1106">
        <v>0</v>
      </c>
      <c r="H1106" s="2">
        <v>0</v>
      </c>
      <c r="I1106">
        <v>0</v>
      </c>
      <c r="J1106">
        <v>156.54</v>
      </c>
      <c r="K1106" s="1">
        <v>45753</v>
      </c>
      <c r="L1106" t="s">
        <v>15</v>
      </c>
      <c r="M1106" t="s">
        <v>15</v>
      </c>
      <c r="N1106">
        <f>salesitems[[#This Row],[quantity]]*salesitems[[#This Row],[unit_price]]</f>
        <v>156.54</v>
      </c>
      <c r="O1106" t="str">
        <f>_xlfn.XLOOKUP(salesitems[[#This Row],[product_id]],products[product_id],products[product_name])</f>
        <v>Vintage High-Waist Shoes</v>
      </c>
      <c r="P1106" t="str">
        <f>_xlfn.XLOOKUP(salesitems[[#This Row],[product_id]],fashion_store_products!A:A,fashion_store_products!C:C)</f>
        <v>Shoes</v>
      </c>
    </row>
    <row r="1107" spans="1:16" x14ac:dyDescent="0.45">
      <c r="A1107">
        <v>1816</v>
      </c>
      <c r="B1107">
        <v>225</v>
      </c>
      <c r="C1107">
        <v>440</v>
      </c>
      <c r="D1107">
        <v>3</v>
      </c>
      <c r="E1107">
        <v>52.08</v>
      </c>
      <c r="F1107">
        <v>52.08</v>
      </c>
      <c r="G1107">
        <v>0</v>
      </c>
      <c r="H1107" s="2">
        <v>0</v>
      </c>
      <c r="I1107">
        <v>0</v>
      </c>
      <c r="J1107">
        <v>156.24</v>
      </c>
      <c r="K1107" s="1">
        <v>45797</v>
      </c>
      <c r="L1107" t="s">
        <v>15</v>
      </c>
      <c r="M1107" t="s">
        <v>15</v>
      </c>
      <c r="N1107">
        <f>salesitems[[#This Row],[quantity]]*salesitems[[#This Row],[unit_price]]</f>
        <v>156.24</v>
      </c>
      <c r="O1107" t="str">
        <f>_xlfn.XLOOKUP(salesitems[[#This Row],[product_id]],products[product_id],products[product_name])</f>
        <v>Bold Linen Shoes</v>
      </c>
      <c r="P1107" t="str">
        <f>_xlfn.XLOOKUP(salesitems[[#This Row],[product_id]],fashion_store_products!A:A,fashion_store_products!C:C)</f>
        <v>Shoes</v>
      </c>
    </row>
    <row r="1108" spans="1:16" x14ac:dyDescent="0.45">
      <c r="A1108">
        <v>1876</v>
      </c>
      <c r="B1108">
        <v>103</v>
      </c>
      <c r="C1108">
        <v>440</v>
      </c>
      <c r="D1108">
        <v>3</v>
      </c>
      <c r="E1108">
        <v>52.08</v>
      </c>
      <c r="F1108">
        <v>52.08</v>
      </c>
      <c r="G1108">
        <v>0</v>
      </c>
      <c r="H1108" s="2">
        <v>0</v>
      </c>
      <c r="I1108">
        <v>0</v>
      </c>
      <c r="J1108">
        <v>156.24</v>
      </c>
      <c r="K1108" s="1">
        <v>45821</v>
      </c>
      <c r="L1108" t="s">
        <v>21</v>
      </c>
      <c r="M1108" t="s">
        <v>18</v>
      </c>
      <c r="N1108">
        <f>salesitems[[#This Row],[quantity]]*salesitems[[#This Row],[unit_price]]</f>
        <v>156.24</v>
      </c>
      <c r="O1108" t="str">
        <f>_xlfn.XLOOKUP(salesitems[[#This Row],[product_id]],products[product_id],products[product_name])</f>
        <v>Bold Linen Shoes</v>
      </c>
      <c r="P1108" t="str">
        <f>_xlfn.XLOOKUP(salesitems[[#This Row],[product_id]],fashion_store_products!A:A,fashion_store_products!C:C)</f>
        <v>Shoes</v>
      </c>
    </row>
    <row r="1109" spans="1:16" x14ac:dyDescent="0.45">
      <c r="A1109">
        <v>3051</v>
      </c>
      <c r="B1109">
        <v>1229</v>
      </c>
      <c r="C1109">
        <v>440</v>
      </c>
      <c r="D1109">
        <v>3</v>
      </c>
      <c r="E1109">
        <v>52.08</v>
      </c>
      <c r="F1109">
        <v>52.08</v>
      </c>
      <c r="G1109">
        <v>0</v>
      </c>
      <c r="H1109" s="2">
        <v>0</v>
      </c>
      <c r="I1109">
        <v>0</v>
      </c>
      <c r="J1109">
        <v>156.24</v>
      </c>
      <c r="K1109" s="1">
        <v>45806</v>
      </c>
      <c r="L1109" t="s">
        <v>15</v>
      </c>
      <c r="M1109" t="s">
        <v>15</v>
      </c>
      <c r="N1109">
        <f>salesitems[[#This Row],[quantity]]*salesitems[[#This Row],[unit_price]]</f>
        <v>156.24</v>
      </c>
      <c r="O1109" t="str">
        <f>_xlfn.XLOOKUP(salesitems[[#This Row],[product_id]],products[product_id],products[product_name])</f>
        <v>Bold Linen Shoes</v>
      </c>
      <c r="P1109" t="str">
        <f>_xlfn.XLOOKUP(salesitems[[#This Row],[product_id]],fashion_store_products!A:A,fashion_store_products!C:C)</f>
        <v>Shoes</v>
      </c>
    </row>
    <row r="1110" spans="1:16" x14ac:dyDescent="0.45">
      <c r="A1110">
        <v>465</v>
      </c>
      <c r="B1110">
        <v>500</v>
      </c>
      <c r="C1110">
        <v>76</v>
      </c>
      <c r="D1110">
        <v>3</v>
      </c>
      <c r="E1110">
        <v>51.7</v>
      </c>
      <c r="F1110">
        <v>51.7</v>
      </c>
      <c r="G1110">
        <v>0</v>
      </c>
      <c r="H1110" s="2">
        <v>0</v>
      </c>
      <c r="I1110">
        <v>0</v>
      </c>
      <c r="J1110">
        <v>155.1</v>
      </c>
      <c r="K1110" s="1">
        <v>45773</v>
      </c>
      <c r="L1110" t="s">
        <v>21</v>
      </c>
      <c r="M1110" t="s">
        <v>18</v>
      </c>
      <c r="N1110">
        <f>salesitems[[#This Row],[quantity]]*salesitems[[#This Row],[unit_price]]</f>
        <v>155.10000000000002</v>
      </c>
      <c r="O1110" t="str">
        <f>_xlfn.XLOOKUP(salesitems[[#This Row],[product_id]],products[product_id],products[product_name])</f>
        <v>Modern Cotton Trousers</v>
      </c>
      <c r="P1110" t="str">
        <f>_xlfn.XLOOKUP(salesitems[[#This Row],[product_id]],fashion_store_products!A:A,fashion_store_products!C:C)</f>
        <v>Pants</v>
      </c>
    </row>
    <row r="1111" spans="1:16" x14ac:dyDescent="0.45">
      <c r="A1111">
        <v>2881</v>
      </c>
      <c r="B1111">
        <v>225</v>
      </c>
      <c r="C1111">
        <v>76</v>
      </c>
      <c r="D1111">
        <v>3</v>
      </c>
      <c r="E1111">
        <v>51.7</v>
      </c>
      <c r="F1111">
        <v>51.7</v>
      </c>
      <c r="G1111">
        <v>0</v>
      </c>
      <c r="H1111" s="2">
        <v>0</v>
      </c>
      <c r="I1111">
        <v>0</v>
      </c>
      <c r="J1111">
        <v>155.1</v>
      </c>
      <c r="K1111" s="1">
        <v>45797</v>
      </c>
      <c r="L1111" t="s">
        <v>15</v>
      </c>
      <c r="M1111" t="s">
        <v>15</v>
      </c>
      <c r="N1111">
        <f>salesitems[[#This Row],[quantity]]*salesitems[[#This Row],[unit_price]]</f>
        <v>155.10000000000002</v>
      </c>
      <c r="O1111" t="str">
        <f>_xlfn.XLOOKUP(salesitems[[#This Row],[product_id]],products[product_id],products[product_name])</f>
        <v>Modern Cotton Trousers</v>
      </c>
      <c r="P1111" t="str">
        <f>_xlfn.XLOOKUP(salesitems[[#This Row],[product_id]],fashion_store_products!A:A,fashion_store_products!C:C)</f>
        <v>Pants</v>
      </c>
    </row>
    <row r="1112" spans="1:16" x14ac:dyDescent="0.45">
      <c r="A1112">
        <v>1747</v>
      </c>
      <c r="B1112">
        <v>252</v>
      </c>
      <c r="C1112">
        <v>480</v>
      </c>
      <c r="D1112">
        <v>3</v>
      </c>
      <c r="E1112">
        <v>51.63</v>
      </c>
      <c r="F1112">
        <v>51.63</v>
      </c>
      <c r="G1112">
        <v>0</v>
      </c>
      <c r="H1112" s="2">
        <v>0</v>
      </c>
      <c r="I1112">
        <v>0</v>
      </c>
      <c r="J1112">
        <v>154.88999999999999</v>
      </c>
      <c r="K1112" s="1">
        <v>45765</v>
      </c>
      <c r="L1112" t="s">
        <v>15</v>
      </c>
      <c r="M1112" t="s">
        <v>15</v>
      </c>
      <c r="N1112">
        <f>salesitems[[#This Row],[quantity]]*salesitems[[#This Row],[unit_price]]</f>
        <v>154.89000000000001</v>
      </c>
      <c r="O1112" t="str">
        <f>_xlfn.XLOOKUP(salesitems[[#This Row],[product_id]],products[product_id],products[product_name])</f>
        <v>Dresses Drop 5</v>
      </c>
      <c r="P1112" t="str">
        <f>_xlfn.XLOOKUP(salesitems[[#This Row],[product_id]],fashion_store_products!A:A,fashion_store_products!C:C)</f>
        <v>Dresses</v>
      </c>
    </row>
    <row r="1113" spans="1:16" x14ac:dyDescent="0.45">
      <c r="A1113">
        <v>3164</v>
      </c>
      <c r="B1113">
        <v>1123</v>
      </c>
      <c r="C1113">
        <v>480</v>
      </c>
      <c r="D1113">
        <v>3</v>
      </c>
      <c r="E1113">
        <v>51.63</v>
      </c>
      <c r="F1113">
        <v>51.63</v>
      </c>
      <c r="G1113">
        <v>0</v>
      </c>
      <c r="H1113" s="2">
        <v>0</v>
      </c>
      <c r="I1113">
        <v>0</v>
      </c>
      <c r="J1113">
        <v>154.88999999999999</v>
      </c>
      <c r="K1113" s="1">
        <v>45804</v>
      </c>
      <c r="L1113" t="s">
        <v>21</v>
      </c>
      <c r="M1113" t="s">
        <v>18</v>
      </c>
      <c r="N1113">
        <f>salesitems[[#This Row],[quantity]]*salesitems[[#This Row],[unit_price]]</f>
        <v>154.89000000000001</v>
      </c>
      <c r="O1113" t="str">
        <f>_xlfn.XLOOKUP(salesitems[[#This Row],[product_id]],products[product_id],products[product_name])</f>
        <v>Dresses Drop 5</v>
      </c>
      <c r="P1113" t="str">
        <f>_xlfn.XLOOKUP(salesitems[[#This Row],[product_id]],fashion_store_products!A:A,fashion_store_products!C:C)</f>
        <v>Dresses</v>
      </c>
    </row>
    <row r="1114" spans="1:16" x14ac:dyDescent="0.45">
      <c r="A1114">
        <v>519</v>
      </c>
      <c r="B1114">
        <v>416</v>
      </c>
      <c r="C1114">
        <v>279</v>
      </c>
      <c r="D1114">
        <v>3</v>
      </c>
      <c r="E1114">
        <v>51.58</v>
      </c>
      <c r="F1114">
        <v>51.58</v>
      </c>
      <c r="G1114">
        <v>0</v>
      </c>
      <c r="H1114" s="2">
        <v>0</v>
      </c>
      <c r="I1114">
        <v>0</v>
      </c>
      <c r="J1114">
        <v>154.74</v>
      </c>
      <c r="K1114" s="1">
        <v>45812</v>
      </c>
      <c r="L1114" t="s">
        <v>15</v>
      </c>
      <c r="M1114" t="s">
        <v>15</v>
      </c>
      <c r="N1114">
        <f>salesitems[[#This Row],[quantity]]*salesitems[[#This Row],[unit_price]]</f>
        <v>154.74</v>
      </c>
      <c r="O1114" t="str">
        <f>_xlfn.XLOOKUP(salesitems[[#This Row],[product_id]],products[product_id],products[product_name])</f>
        <v>Relaxed Linen Set</v>
      </c>
      <c r="P1114" t="str">
        <f>_xlfn.XLOOKUP(salesitems[[#This Row],[product_id]],fashion_store_products!A:A,fashion_store_products!C:C)</f>
        <v>Sleepwear</v>
      </c>
    </row>
    <row r="1115" spans="1:16" x14ac:dyDescent="0.45">
      <c r="A1115">
        <v>2281</v>
      </c>
      <c r="B1115">
        <v>1342</v>
      </c>
      <c r="C1115">
        <v>279</v>
      </c>
      <c r="D1115">
        <v>3</v>
      </c>
      <c r="E1115">
        <v>51.58</v>
      </c>
      <c r="F1115">
        <v>51.58</v>
      </c>
      <c r="G1115">
        <v>0</v>
      </c>
      <c r="H1115" s="2">
        <v>0</v>
      </c>
      <c r="I1115">
        <v>0</v>
      </c>
      <c r="J1115">
        <v>154.74</v>
      </c>
      <c r="K1115" s="1">
        <v>45800</v>
      </c>
      <c r="L1115" t="s">
        <v>21</v>
      </c>
      <c r="M1115" t="s">
        <v>18</v>
      </c>
      <c r="N1115">
        <f>salesitems[[#This Row],[quantity]]*salesitems[[#This Row],[unit_price]]</f>
        <v>154.74</v>
      </c>
      <c r="O1115" t="str">
        <f>_xlfn.XLOOKUP(salesitems[[#This Row],[product_id]],products[product_id],products[product_name])</f>
        <v>Relaxed Linen Set</v>
      </c>
      <c r="P1115" t="str">
        <f>_xlfn.XLOOKUP(salesitems[[#This Row],[product_id]],fashion_store_products!A:A,fashion_store_products!C:C)</f>
        <v>Sleepwear</v>
      </c>
    </row>
    <row r="1116" spans="1:16" x14ac:dyDescent="0.45">
      <c r="A1116">
        <v>2618</v>
      </c>
      <c r="B1116">
        <v>705</v>
      </c>
      <c r="C1116">
        <v>37</v>
      </c>
      <c r="D1116">
        <v>3</v>
      </c>
      <c r="E1116">
        <v>51.33</v>
      </c>
      <c r="F1116">
        <v>51.33</v>
      </c>
      <c r="G1116">
        <v>0</v>
      </c>
      <c r="H1116" s="2">
        <v>0</v>
      </c>
      <c r="I1116">
        <v>0</v>
      </c>
      <c r="J1116">
        <v>153.99</v>
      </c>
      <c r="K1116" s="1">
        <v>45765</v>
      </c>
      <c r="L1116" t="s">
        <v>21</v>
      </c>
      <c r="M1116" t="s">
        <v>18</v>
      </c>
      <c r="N1116">
        <f>salesitems[[#This Row],[quantity]]*salesitems[[#This Row],[unit_price]]</f>
        <v>153.99</v>
      </c>
      <c r="O1116" t="str">
        <f>_xlfn.XLOOKUP(salesitems[[#This Row],[product_id]],products[product_id],products[product_name])</f>
        <v>Soft Crew Trousers</v>
      </c>
      <c r="P1116" t="str">
        <f>_xlfn.XLOOKUP(salesitems[[#This Row],[product_id]],fashion_store_products!A:A,fashion_store_products!C:C)</f>
        <v>Pants</v>
      </c>
    </row>
    <row r="1117" spans="1:16" x14ac:dyDescent="0.45">
      <c r="A1117">
        <v>1401</v>
      </c>
      <c r="B1117">
        <v>396</v>
      </c>
      <c r="C1117">
        <v>170</v>
      </c>
      <c r="D1117">
        <v>3</v>
      </c>
      <c r="E1117">
        <v>51.27</v>
      </c>
      <c r="F1117">
        <v>51.27</v>
      </c>
      <c r="G1117">
        <v>0</v>
      </c>
      <c r="H1117" s="2">
        <v>0</v>
      </c>
      <c r="I1117">
        <v>0</v>
      </c>
      <c r="J1117">
        <v>153.81</v>
      </c>
      <c r="K1117" s="1">
        <v>45805</v>
      </c>
      <c r="L1117" t="s">
        <v>21</v>
      </c>
      <c r="M1117" t="s">
        <v>18</v>
      </c>
      <c r="N1117">
        <f>salesitems[[#This Row],[quantity]]*salesitems[[#This Row],[unit_price]]</f>
        <v>153.81</v>
      </c>
      <c r="O1117" t="str">
        <f>_xlfn.XLOOKUP(salesitems[[#This Row],[product_id]],products[product_id],products[product_name])</f>
        <v>Vintage Boxy Dress</v>
      </c>
      <c r="P1117" t="str">
        <f>_xlfn.XLOOKUP(salesitems[[#This Row],[product_id]],fashion_store_products!A:A,fashion_store_products!C:C)</f>
        <v>Dresses</v>
      </c>
    </row>
    <row r="1118" spans="1:16" x14ac:dyDescent="0.45">
      <c r="A1118">
        <v>807</v>
      </c>
      <c r="B1118">
        <v>575</v>
      </c>
      <c r="C1118">
        <v>336</v>
      </c>
      <c r="D1118">
        <v>3</v>
      </c>
      <c r="E1118">
        <v>51.22</v>
      </c>
      <c r="F1118">
        <v>51.22</v>
      </c>
      <c r="G1118">
        <v>0</v>
      </c>
      <c r="H1118" s="2">
        <v>0</v>
      </c>
      <c r="I1118">
        <v>0</v>
      </c>
      <c r="J1118">
        <v>153.66</v>
      </c>
      <c r="K1118" s="1">
        <v>45774</v>
      </c>
      <c r="L1118" t="s">
        <v>15</v>
      </c>
      <c r="M1118" t="s">
        <v>15</v>
      </c>
      <c r="N1118">
        <f>salesitems[[#This Row],[quantity]]*salesitems[[#This Row],[unit_price]]</f>
        <v>153.66</v>
      </c>
      <c r="O1118" t="str">
        <f>_xlfn.XLOOKUP(salesitems[[#This Row],[product_id]],products[product_id],products[product_name])</f>
        <v>Tailored Ribbed Tee</v>
      </c>
      <c r="P1118" t="str">
        <f>_xlfn.XLOOKUP(salesitems[[#This Row],[product_id]],fashion_store_products!A:A,fashion_store_products!C:C)</f>
        <v>T-Shirts</v>
      </c>
    </row>
    <row r="1119" spans="1:16" x14ac:dyDescent="0.45">
      <c r="A1119">
        <v>1447</v>
      </c>
      <c r="B1119">
        <v>989</v>
      </c>
      <c r="C1119">
        <v>336</v>
      </c>
      <c r="D1119">
        <v>3</v>
      </c>
      <c r="E1119">
        <v>51.22</v>
      </c>
      <c r="F1119">
        <v>51.22</v>
      </c>
      <c r="G1119">
        <v>0</v>
      </c>
      <c r="H1119" s="2">
        <v>0</v>
      </c>
      <c r="I1119">
        <v>0</v>
      </c>
      <c r="J1119">
        <v>153.66</v>
      </c>
      <c r="K1119" s="1">
        <v>45804</v>
      </c>
      <c r="L1119" t="s">
        <v>21</v>
      </c>
      <c r="M1119" t="s">
        <v>18</v>
      </c>
      <c r="N1119">
        <f>salesitems[[#This Row],[quantity]]*salesitems[[#This Row],[unit_price]]</f>
        <v>153.66</v>
      </c>
      <c r="O1119" t="str">
        <f>_xlfn.XLOOKUP(salesitems[[#This Row],[product_id]],products[product_id],products[product_name])</f>
        <v>Tailored Ribbed Tee</v>
      </c>
      <c r="P1119" t="str">
        <f>_xlfn.XLOOKUP(salesitems[[#This Row],[product_id]],fashion_store_products!A:A,fashion_store_products!C:C)</f>
        <v>T-Shirts</v>
      </c>
    </row>
    <row r="1120" spans="1:16" x14ac:dyDescent="0.45">
      <c r="A1120">
        <v>2100</v>
      </c>
      <c r="B1120">
        <v>1322</v>
      </c>
      <c r="C1120">
        <v>336</v>
      </c>
      <c r="D1120">
        <v>3</v>
      </c>
      <c r="E1120">
        <v>51.22</v>
      </c>
      <c r="F1120">
        <v>51.22</v>
      </c>
      <c r="G1120">
        <v>0</v>
      </c>
      <c r="H1120" s="2">
        <v>0</v>
      </c>
      <c r="I1120">
        <v>0</v>
      </c>
      <c r="J1120">
        <v>153.66</v>
      </c>
      <c r="K1120" s="1">
        <v>45804</v>
      </c>
      <c r="L1120" t="s">
        <v>21</v>
      </c>
      <c r="M1120" t="s">
        <v>18</v>
      </c>
      <c r="N1120">
        <f>salesitems[[#This Row],[quantity]]*salesitems[[#This Row],[unit_price]]</f>
        <v>153.66</v>
      </c>
      <c r="O1120" t="str">
        <f>_xlfn.XLOOKUP(salesitems[[#This Row],[product_id]],products[product_id],products[product_name])</f>
        <v>Tailored Ribbed Tee</v>
      </c>
      <c r="P1120" t="str">
        <f>_xlfn.XLOOKUP(salesitems[[#This Row],[product_id]],fashion_store_products!A:A,fashion_store_products!C:C)</f>
        <v>T-Shirts</v>
      </c>
    </row>
    <row r="1121" spans="1:16" x14ac:dyDescent="0.45">
      <c r="A1121">
        <v>3275</v>
      </c>
      <c r="B1121">
        <v>798</v>
      </c>
      <c r="C1121">
        <v>336</v>
      </c>
      <c r="D1121">
        <v>3</v>
      </c>
      <c r="E1121">
        <v>51.22</v>
      </c>
      <c r="F1121">
        <v>51.22</v>
      </c>
      <c r="G1121">
        <v>0</v>
      </c>
      <c r="H1121" s="2">
        <v>0</v>
      </c>
      <c r="I1121">
        <v>0</v>
      </c>
      <c r="J1121">
        <v>153.66</v>
      </c>
      <c r="K1121" s="1">
        <v>45751</v>
      </c>
      <c r="L1121" t="s">
        <v>21</v>
      </c>
      <c r="M1121" t="s">
        <v>18</v>
      </c>
      <c r="N1121">
        <f>salesitems[[#This Row],[quantity]]*salesitems[[#This Row],[unit_price]]</f>
        <v>153.66</v>
      </c>
      <c r="O1121" t="str">
        <f>_xlfn.XLOOKUP(salesitems[[#This Row],[product_id]],products[product_id],products[product_name])</f>
        <v>Tailored Ribbed Tee</v>
      </c>
      <c r="P1121" t="str">
        <f>_xlfn.XLOOKUP(salesitems[[#This Row],[product_id]],fashion_store_products!A:A,fashion_store_products!C:C)</f>
        <v>T-Shirts</v>
      </c>
    </row>
    <row r="1122" spans="1:16" x14ac:dyDescent="0.45">
      <c r="A1122">
        <v>224</v>
      </c>
      <c r="B1122">
        <v>463</v>
      </c>
      <c r="C1122">
        <v>252</v>
      </c>
      <c r="D1122">
        <v>3</v>
      </c>
      <c r="E1122">
        <v>51.17</v>
      </c>
      <c r="F1122">
        <v>51.17</v>
      </c>
      <c r="G1122">
        <v>0</v>
      </c>
      <c r="H1122" s="2">
        <v>0</v>
      </c>
      <c r="I1122">
        <v>0</v>
      </c>
      <c r="J1122">
        <v>153.51</v>
      </c>
      <c r="K1122" s="1">
        <v>45821</v>
      </c>
      <c r="L1122" t="s">
        <v>15</v>
      </c>
      <c r="M1122" t="s">
        <v>15</v>
      </c>
      <c r="N1122">
        <f>salesitems[[#This Row],[quantity]]*salesitems[[#This Row],[unit_price]]</f>
        <v>153.51</v>
      </c>
      <c r="O1122" t="str">
        <f>_xlfn.XLOOKUP(salesitems[[#This Row],[product_id]],products[product_id],products[product_name])</f>
        <v>Relaxed Linen Tee</v>
      </c>
      <c r="P1122" t="str">
        <f>_xlfn.XLOOKUP(salesitems[[#This Row],[product_id]],fashion_store_products!A:A,fashion_store_products!C:C)</f>
        <v>T-Shirts</v>
      </c>
    </row>
    <row r="1123" spans="1:16" x14ac:dyDescent="0.45">
      <c r="A1123">
        <v>63</v>
      </c>
      <c r="B1123">
        <v>965</v>
      </c>
      <c r="C1123">
        <v>255</v>
      </c>
      <c r="D1123">
        <v>3</v>
      </c>
      <c r="E1123">
        <v>51</v>
      </c>
      <c r="F1123">
        <v>51</v>
      </c>
      <c r="G1123">
        <v>0</v>
      </c>
      <c r="H1123" s="2">
        <v>0</v>
      </c>
      <c r="I1123">
        <v>0</v>
      </c>
      <c r="J1123">
        <v>153</v>
      </c>
      <c r="K1123" s="1">
        <v>45804</v>
      </c>
      <c r="L1123" t="s">
        <v>21</v>
      </c>
      <c r="M1123" t="s">
        <v>18</v>
      </c>
      <c r="N1123">
        <f>salesitems[[#This Row],[quantity]]*salesitems[[#This Row],[unit_price]]</f>
        <v>153</v>
      </c>
      <c r="O1123" t="str">
        <f>_xlfn.XLOOKUP(salesitems[[#This Row],[product_id]],products[product_id],products[product_name])</f>
        <v>Polished Satin Trousers</v>
      </c>
      <c r="P1123" t="str">
        <f>_xlfn.XLOOKUP(salesitems[[#This Row],[product_id]],fashion_store_products!A:A,fashion_store_products!C:C)</f>
        <v>Pants</v>
      </c>
    </row>
    <row r="1124" spans="1:16" x14ac:dyDescent="0.45">
      <c r="A1124">
        <v>911</v>
      </c>
      <c r="B1124">
        <v>525</v>
      </c>
      <c r="C1124">
        <v>255</v>
      </c>
      <c r="D1124">
        <v>3</v>
      </c>
      <c r="E1124">
        <v>51</v>
      </c>
      <c r="F1124">
        <v>51</v>
      </c>
      <c r="G1124">
        <v>0</v>
      </c>
      <c r="H1124" s="2">
        <v>0</v>
      </c>
      <c r="I1124">
        <v>0</v>
      </c>
      <c r="J1124">
        <v>153</v>
      </c>
      <c r="K1124" s="1">
        <v>45798</v>
      </c>
      <c r="L1124" t="s">
        <v>15</v>
      </c>
      <c r="M1124" t="s">
        <v>15</v>
      </c>
      <c r="N1124">
        <f>salesitems[[#This Row],[quantity]]*salesitems[[#This Row],[unit_price]]</f>
        <v>153</v>
      </c>
      <c r="O1124" t="str">
        <f>_xlfn.XLOOKUP(salesitems[[#This Row],[product_id]],products[product_id],products[product_name])</f>
        <v>Polished Satin Trousers</v>
      </c>
      <c r="P1124" t="str">
        <f>_xlfn.XLOOKUP(salesitems[[#This Row],[product_id]],fashion_store_products!A:A,fashion_store_products!C:C)</f>
        <v>Pants</v>
      </c>
    </row>
    <row r="1125" spans="1:16" x14ac:dyDescent="0.45">
      <c r="A1125">
        <v>2889</v>
      </c>
      <c r="B1125">
        <v>1306</v>
      </c>
      <c r="C1125">
        <v>255</v>
      </c>
      <c r="D1125">
        <v>3</v>
      </c>
      <c r="E1125">
        <v>51</v>
      </c>
      <c r="F1125">
        <v>51</v>
      </c>
      <c r="G1125">
        <v>0</v>
      </c>
      <c r="H1125" s="2">
        <v>0</v>
      </c>
      <c r="I1125">
        <v>0</v>
      </c>
      <c r="J1125">
        <v>153</v>
      </c>
      <c r="K1125" s="1">
        <v>45823</v>
      </c>
      <c r="L1125" t="s">
        <v>21</v>
      </c>
      <c r="M1125" t="s">
        <v>18</v>
      </c>
      <c r="N1125">
        <f>salesitems[[#This Row],[quantity]]*salesitems[[#This Row],[unit_price]]</f>
        <v>153</v>
      </c>
      <c r="O1125" t="str">
        <f>_xlfn.XLOOKUP(salesitems[[#This Row],[product_id]],products[product_id],products[product_name])</f>
        <v>Polished Satin Trousers</v>
      </c>
      <c r="P1125" t="str">
        <f>_xlfn.XLOOKUP(salesitems[[#This Row],[product_id]],fashion_store_products!A:A,fashion_store_products!C:C)</f>
        <v>Pants</v>
      </c>
    </row>
    <row r="1126" spans="1:16" x14ac:dyDescent="0.45">
      <c r="A1126">
        <v>53</v>
      </c>
      <c r="B1126">
        <v>1053</v>
      </c>
      <c r="C1126">
        <v>421</v>
      </c>
      <c r="D1126">
        <v>3</v>
      </c>
      <c r="E1126">
        <v>50.89</v>
      </c>
      <c r="F1126">
        <v>50.89</v>
      </c>
      <c r="G1126">
        <v>0</v>
      </c>
      <c r="H1126" s="2">
        <v>0</v>
      </c>
      <c r="I1126">
        <v>0</v>
      </c>
      <c r="J1126">
        <v>152.66999999999999</v>
      </c>
      <c r="K1126" s="1">
        <v>45761</v>
      </c>
      <c r="L1126" t="s">
        <v>21</v>
      </c>
      <c r="M1126" t="s">
        <v>18</v>
      </c>
      <c r="N1126">
        <f>salesitems[[#This Row],[quantity]]*salesitems[[#This Row],[unit_price]]</f>
        <v>152.67000000000002</v>
      </c>
      <c r="O1126" t="str">
        <f>_xlfn.XLOOKUP(salesitems[[#This Row],[product_id]],products[product_id],products[product_name])</f>
        <v>Elegant Sleeveless Set</v>
      </c>
      <c r="P1126" t="str">
        <f>_xlfn.XLOOKUP(salesitems[[#This Row],[product_id]],fashion_store_products!A:A,fashion_store_products!C:C)</f>
        <v>Sleepwear</v>
      </c>
    </row>
    <row r="1127" spans="1:16" x14ac:dyDescent="0.45">
      <c r="A1127">
        <v>171</v>
      </c>
      <c r="B1127">
        <v>801</v>
      </c>
      <c r="C1127">
        <v>421</v>
      </c>
      <c r="D1127">
        <v>3</v>
      </c>
      <c r="E1127">
        <v>50.89</v>
      </c>
      <c r="F1127">
        <v>50.89</v>
      </c>
      <c r="G1127">
        <v>0</v>
      </c>
      <c r="H1127" s="2">
        <v>0</v>
      </c>
      <c r="I1127">
        <v>0</v>
      </c>
      <c r="J1127">
        <v>152.66999999999999</v>
      </c>
      <c r="K1127" s="1">
        <v>45751</v>
      </c>
      <c r="L1127" t="s">
        <v>21</v>
      </c>
      <c r="M1127" t="s">
        <v>18</v>
      </c>
      <c r="N1127">
        <f>salesitems[[#This Row],[quantity]]*salesitems[[#This Row],[unit_price]]</f>
        <v>152.67000000000002</v>
      </c>
      <c r="O1127" t="str">
        <f>_xlfn.XLOOKUP(salesitems[[#This Row],[product_id]],products[product_id],products[product_name])</f>
        <v>Elegant Sleeveless Set</v>
      </c>
      <c r="P1127" t="str">
        <f>_xlfn.XLOOKUP(salesitems[[#This Row],[product_id]],fashion_store_products!A:A,fashion_store_products!C:C)</f>
        <v>Sleepwear</v>
      </c>
    </row>
    <row r="1128" spans="1:16" x14ac:dyDescent="0.45">
      <c r="A1128">
        <v>2574</v>
      </c>
      <c r="B1128">
        <v>135</v>
      </c>
      <c r="C1128">
        <v>421</v>
      </c>
      <c r="D1128">
        <v>3</v>
      </c>
      <c r="E1128">
        <v>50.89</v>
      </c>
      <c r="F1128">
        <v>50.89</v>
      </c>
      <c r="G1128">
        <v>0</v>
      </c>
      <c r="H1128" s="2">
        <v>0</v>
      </c>
      <c r="I1128">
        <v>0</v>
      </c>
      <c r="J1128">
        <v>152.66999999999999</v>
      </c>
      <c r="K1128" s="1">
        <v>45792</v>
      </c>
      <c r="L1128" t="s">
        <v>21</v>
      </c>
      <c r="M1128" t="s">
        <v>18</v>
      </c>
      <c r="N1128">
        <f>salesitems[[#This Row],[quantity]]*salesitems[[#This Row],[unit_price]]</f>
        <v>152.67000000000002</v>
      </c>
      <c r="O1128" t="str">
        <f>_xlfn.XLOOKUP(salesitems[[#This Row],[product_id]],products[product_id],products[product_name])</f>
        <v>Elegant Sleeveless Set</v>
      </c>
      <c r="P1128" t="str">
        <f>_xlfn.XLOOKUP(salesitems[[#This Row],[product_id]],fashion_store_products!A:A,fashion_store_products!C:C)</f>
        <v>Sleepwear</v>
      </c>
    </row>
    <row r="1129" spans="1:16" x14ac:dyDescent="0.45">
      <c r="A1129">
        <v>1032</v>
      </c>
      <c r="B1129">
        <v>467</v>
      </c>
      <c r="C1129">
        <v>290</v>
      </c>
      <c r="D1129">
        <v>3</v>
      </c>
      <c r="E1129">
        <v>50.86</v>
      </c>
      <c r="F1129">
        <v>50.86</v>
      </c>
      <c r="G1129">
        <v>0</v>
      </c>
      <c r="H1129" s="2">
        <v>0</v>
      </c>
      <c r="I1129">
        <v>0</v>
      </c>
      <c r="J1129">
        <v>152.58000000000001</v>
      </c>
      <c r="K1129" s="1">
        <v>45767</v>
      </c>
      <c r="L1129" t="s">
        <v>15</v>
      </c>
      <c r="M1129" t="s">
        <v>15</v>
      </c>
      <c r="N1129">
        <f>salesitems[[#This Row],[quantity]]*salesitems[[#This Row],[unit_price]]</f>
        <v>152.57999999999998</v>
      </c>
      <c r="O1129" t="str">
        <f>_xlfn.XLOOKUP(salesitems[[#This Row],[product_id]],products[product_id],products[product_name])</f>
        <v>Relaxed Cotton Set</v>
      </c>
      <c r="P1129" t="str">
        <f>_xlfn.XLOOKUP(salesitems[[#This Row],[product_id]],fashion_store_products!A:A,fashion_store_products!C:C)</f>
        <v>Sleepwear</v>
      </c>
    </row>
    <row r="1130" spans="1:16" x14ac:dyDescent="0.45">
      <c r="A1130">
        <v>34</v>
      </c>
      <c r="B1130">
        <v>112</v>
      </c>
      <c r="C1130">
        <v>100</v>
      </c>
      <c r="D1130">
        <v>3</v>
      </c>
      <c r="E1130">
        <v>56.44</v>
      </c>
      <c r="F1130">
        <v>50.8</v>
      </c>
      <c r="G1130">
        <v>5.64</v>
      </c>
      <c r="H1130" s="2">
        <v>0.1</v>
      </c>
      <c r="I1130">
        <v>1</v>
      </c>
      <c r="J1130">
        <v>152.38999999999999</v>
      </c>
      <c r="K1130" s="1">
        <v>45814</v>
      </c>
      <c r="L1130" t="s">
        <v>21</v>
      </c>
      <c r="M1130" t="s">
        <v>18</v>
      </c>
      <c r="N1130">
        <f>salesitems[[#This Row],[quantity]]*salesitems[[#This Row],[unit_price]]</f>
        <v>152.39999999999998</v>
      </c>
      <c r="O1130" t="str">
        <f>_xlfn.XLOOKUP(salesitems[[#This Row],[product_id]],products[product_id],products[product_name])</f>
        <v>Classic Crew Dress</v>
      </c>
      <c r="P1130" t="str">
        <f>_xlfn.XLOOKUP(salesitems[[#This Row],[product_id]],fashion_store_products!A:A,fashion_store_products!C:C)</f>
        <v>Dresses</v>
      </c>
    </row>
    <row r="1131" spans="1:16" x14ac:dyDescent="0.45">
      <c r="A1131">
        <v>1561</v>
      </c>
      <c r="B1131">
        <v>272</v>
      </c>
      <c r="C1131">
        <v>278</v>
      </c>
      <c r="D1131">
        <v>3</v>
      </c>
      <c r="E1131">
        <v>50.41</v>
      </c>
      <c r="F1131">
        <v>50.41</v>
      </c>
      <c r="G1131">
        <v>0</v>
      </c>
      <c r="H1131" s="2">
        <v>0</v>
      </c>
      <c r="I1131">
        <v>0</v>
      </c>
      <c r="J1131">
        <v>151.22999999999999</v>
      </c>
      <c r="K1131" s="1">
        <v>45782</v>
      </c>
      <c r="L1131" t="s">
        <v>15</v>
      </c>
      <c r="M1131" t="s">
        <v>15</v>
      </c>
      <c r="N1131">
        <f>salesitems[[#This Row],[quantity]]*salesitems[[#This Row],[unit_price]]</f>
        <v>151.22999999999999</v>
      </c>
      <c r="O1131" t="str">
        <f>_xlfn.XLOOKUP(salesitems[[#This Row],[product_id]],products[product_id],products[product_name])</f>
        <v>Essential Wrap Tee</v>
      </c>
      <c r="P1131" t="str">
        <f>_xlfn.XLOOKUP(salesitems[[#This Row],[product_id]],fashion_store_products!A:A,fashion_store_products!C:C)</f>
        <v>T-Shirts</v>
      </c>
    </row>
    <row r="1132" spans="1:16" x14ac:dyDescent="0.45">
      <c r="A1132">
        <v>1630</v>
      </c>
      <c r="B1132">
        <v>603</v>
      </c>
      <c r="C1132">
        <v>419</v>
      </c>
      <c r="D1132">
        <v>3</v>
      </c>
      <c r="E1132">
        <v>50.34</v>
      </c>
      <c r="F1132">
        <v>50.34</v>
      </c>
      <c r="G1132">
        <v>0</v>
      </c>
      <c r="H1132" s="2">
        <v>0</v>
      </c>
      <c r="I1132">
        <v>0</v>
      </c>
      <c r="J1132">
        <v>151.02000000000001</v>
      </c>
      <c r="K1132" s="1">
        <v>45808</v>
      </c>
      <c r="L1132" t="s">
        <v>15</v>
      </c>
      <c r="M1132" t="s">
        <v>15</v>
      </c>
      <c r="N1132">
        <f>salesitems[[#This Row],[quantity]]*salesitems[[#This Row],[unit_price]]</f>
        <v>151.02000000000001</v>
      </c>
      <c r="O1132" t="str">
        <f>_xlfn.XLOOKUP(salesitems[[#This Row],[product_id]],products[product_id],products[product_name])</f>
        <v>Elegant Crew Dress</v>
      </c>
      <c r="P1132" t="str">
        <f>_xlfn.XLOOKUP(salesitems[[#This Row],[product_id]],fashion_store_products!A:A,fashion_store_products!C:C)</f>
        <v>Dresses</v>
      </c>
    </row>
    <row r="1133" spans="1:16" x14ac:dyDescent="0.45">
      <c r="A1133">
        <v>1108</v>
      </c>
      <c r="B1133">
        <v>1062</v>
      </c>
      <c r="C1133">
        <v>69</v>
      </c>
      <c r="D1133">
        <v>3</v>
      </c>
      <c r="E1133">
        <v>49.98</v>
      </c>
      <c r="F1133">
        <v>49.98</v>
      </c>
      <c r="G1133">
        <v>0</v>
      </c>
      <c r="H1133" s="2">
        <v>0</v>
      </c>
      <c r="I1133">
        <v>0</v>
      </c>
      <c r="J1133">
        <v>149.94</v>
      </c>
      <c r="K1133" s="1">
        <v>45782</v>
      </c>
      <c r="L1133" t="s">
        <v>15</v>
      </c>
      <c r="M1133" t="s">
        <v>15</v>
      </c>
      <c r="N1133">
        <f>salesitems[[#This Row],[quantity]]*salesitems[[#This Row],[unit_price]]</f>
        <v>149.94</v>
      </c>
      <c r="O1133" t="str">
        <f>_xlfn.XLOOKUP(salesitems[[#This Row],[product_id]],products[product_id],products[product_name])</f>
        <v>Modern Linen Shoes</v>
      </c>
      <c r="P1133" t="str">
        <f>_xlfn.XLOOKUP(salesitems[[#This Row],[product_id]],fashion_store_products!A:A,fashion_store_products!C:C)</f>
        <v>Shoes</v>
      </c>
    </row>
    <row r="1134" spans="1:16" x14ac:dyDescent="0.45">
      <c r="A1134">
        <v>3287</v>
      </c>
      <c r="B1134">
        <v>285</v>
      </c>
      <c r="C1134">
        <v>69</v>
      </c>
      <c r="D1134">
        <v>3</v>
      </c>
      <c r="E1134">
        <v>49.98</v>
      </c>
      <c r="F1134">
        <v>49.98</v>
      </c>
      <c r="G1134">
        <v>0</v>
      </c>
      <c r="H1134" s="2">
        <v>0</v>
      </c>
      <c r="I1134">
        <v>0</v>
      </c>
      <c r="J1134">
        <v>149.94</v>
      </c>
      <c r="K1134" s="1">
        <v>45806</v>
      </c>
      <c r="L1134" t="s">
        <v>15</v>
      </c>
      <c r="M1134" t="s">
        <v>15</v>
      </c>
      <c r="N1134">
        <f>salesitems[[#This Row],[quantity]]*salesitems[[#This Row],[unit_price]]</f>
        <v>149.94</v>
      </c>
      <c r="O1134" t="str">
        <f>_xlfn.XLOOKUP(salesitems[[#This Row],[product_id]],products[product_id],products[product_name])</f>
        <v>Modern Linen Shoes</v>
      </c>
      <c r="P1134" t="str">
        <f>_xlfn.XLOOKUP(salesitems[[#This Row],[product_id]],fashion_store_products!A:A,fashion_store_products!C:C)</f>
        <v>Shoes</v>
      </c>
    </row>
    <row r="1135" spans="1:16" x14ac:dyDescent="0.45">
      <c r="A1135">
        <v>781</v>
      </c>
      <c r="B1135">
        <v>760</v>
      </c>
      <c r="C1135">
        <v>219</v>
      </c>
      <c r="D1135">
        <v>3</v>
      </c>
      <c r="E1135">
        <v>49.76</v>
      </c>
      <c r="F1135">
        <v>49.76</v>
      </c>
      <c r="G1135">
        <v>0</v>
      </c>
      <c r="H1135" s="2">
        <v>0</v>
      </c>
      <c r="I1135">
        <v>0</v>
      </c>
      <c r="J1135">
        <v>149.28</v>
      </c>
      <c r="K1135" s="1">
        <v>45751</v>
      </c>
      <c r="L1135" t="s">
        <v>21</v>
      </c>
      <c r="M1135" t="s">
        <v>18</v>
      </c>
      <c r="N1135">
        <f>salesitems[[#This Row],[quantity]]*salesitems[[#This Row],[unit_price]]</f>
        <v>149.28</v>
      </c>
      <c r="O1135" t="str">
        <f>_xlfn.XLOOKUP(salesitems[[#This Row],[product_id]],products[product_id],products[product_name])</f>
        <v>Polished Silk Shoes</v>
      </c>
      <c r="P1135" t="str">
        <f>_xlfn.XLOOKUP(salesitems[[#This Row],[product_id]],fashion_store_products!A:A,fashion_store_products!C:C)</f>
        <v>Shoes</v>
      </c>
    </row>
    <row r="1136" spans="1:16" x14ac:dyDescent="0.45">
      <c r="A1136">
        <v>883</v>
      </c>
      <c r="B1136">
        <v>470</v>
      </c>
      <c r="C1136">
        <v>219</v>
      </c>
      <c r="D1136">
        <v>3</v>
      </c>
      <c r="E1136">
        <v>49.76</v>
      </c>
      <c r="F1136">
        <v>49.76</v>
      </c>
      <c r="G1136">
        <v>0</v>
      </c>
      <c r="H1136" s="2">
        <v>0</v>
      </c>
      <c r="I1136">
        <v>0</v>
      </c>
      <c r="J1136">
        <v>149.28</v>
      </c>
      <c r="K1136" s="1">
        <v>45777</v>
      </c>
      <c r="L1136" t="s">
        <v>15</v>
      </c>
      <c r="M1136" t="s">
        <v>15</v>
      </c>
      <c r="N1136">
        <f>salesitems[[#This Row],[quantity]]*salesitems[[#This Row],[unit_price]]</f>
        <v>149.28</v>
      </c>
      <c r="O1136" t="str">
        <f>_xlfn.XLOOKUP(salesitems[[#This Row],[product_id]],products[product_id],products[product_name])</f>
        <v>Polished Silk Shoes</v>
      </c>
      <c r="P1136" t="str">
        <f>_xlfn.XLOOKUP(salesitems[[#This Row],[product_id]],fashion_store_products!A:A,fashion_store_products!C:C)</f>
        <v>Shoes</v>
      </c>
    </row>
    <row r="1137" spans="1:16" x14ac:dyDescent="0.45">
      <c r="A1137">
        <v>266</v>
      </c>
      <c r="B1137">
        <v>842</v>
      </c>
      <c r="C1137">
        <v>173</v>
      </c>
      <c r="D1137">
        <v>3</v>
      </c>
      <c r="E1137">
        <v>49.74</v>
      </c>
      <c r="F1137">
        <v>49.74</v>
      </c>
      <c r="G1137">
        <v>0</v>
      </c>
      <c r="H1137" s="2">
        <v>0</v>
      </c>
      <c r="I1137">
        <v>0</v>
      </c>
      <c r="J1137">
        <v>149.22</v>
      </c>
      <c r="K1137" s="1">
        <v>45768</v>
      </c>
      <c r="L1137" t="s">
        <v>15</v>
      </c>
      <c r="M1137" t="s">
        <v>15</v>
      </c>
      <c r="N1137">
        <f>salesitems[[#This Row],[quantity]]*salesitems[[#This Row],[unit_price]]</f>
        <v>149.22</v>
      </c>
      <c r="O1137" t="str">
        <f>_xlfn.XLOOKUP(salesitems[[#This Row],[product_id]],products[product_id],products[product_name])</f>
        <v>Polished Linen Dress</v>
      </c>
      <c r="P1137" t="str">
        <f>_xlfn.XLOOKUP(salesitems[[#This Row],[product_id]],fashion_store_products!A:A,fashion_store_products!C:C)</f>
        <v>Dresses</v>
      </c>
    </row>
    <row r="1138" spans="1:16" x14ac:dyDescent="0.45">
      <c r="A1138">
        <v>388</v>
      </c>
      <c r="B1138">
        <v>421</v>
      </c>
      <c r="C1138">
        <v>268</v>
      </c>
      <c r="D1138">
        <v>3</v>
      </c>
      <c r="E1138">
        <v>49.59</v>
      </c>
      <c r="F1138">
        <v>49.59</v>
      </c>
      <c r="G1138">
        <v>0</v>
      </c>
      <c r="H1138" s="2">
        <v>0</v>
      </c>
      <c r="I1138">
        <v>0</v>
      </c>
      <c r="J1138">
        <v>148.77000000000001</v>
      </c>
      <c r="K1138" s="1">
        <v>45796</v>
      </c>
      <c r="L1138" t="s">
        <v>21</v>
      </c>
      <c r="M1138" t="s">
        <v>18</v>
      </c>
      <c r="N1138">
        <f>salesitems[[#This Row],[quantity]]*salesitems[[#This Row],[unit_price]]</f>
        <v>148.77000000000001</v>
      </c>
      <c r="O1138" t="str">
        <f>_xlfn.XLOOKUP(salesitems[[#This Row],[product_id]],products[product_id],products[product_name])</f>
        <v>Polished Boxy Set</v>
      </c>
      <c r="P1138" t="str">
        <f>_xlfn.XLOOKUP(salesitems[[#This Row],[product_id]],fashion_store_products!A:A,fashion_store_products!C:C)</f>
        <v>Sleepwear</v>
      </c>
    </row>
    <row r="1139" spans="1:16" x14ac:dyDescent="0.45">
      <c r="A1139">
        <v>3188</v>
      </c>
      <c r="B1139">
        <v>871</v>
      </c>
      <c r="C1139">
        <v>268</v>
      </c>
      <c r="D1139">
        <v>3</v>
      </c>
      <c r="E1139">
        <v>49.59</v>
      </c>
      <c r="F1139">
        <v>49.59</v>
      </c>
      <c r="G1139">
        <v>0</v>
      </c>
      <c r="H1139" s="2">
        <v>0</v>
      </c>
      <c r="I1139">
        <v>0</v>
      </c>
      <c r="J1139">
        <v>148.77000000000001</v>
      </c>
      <c r="K1139" s="1">
        <v>45781</v>
      </c>
      <c r="L1139" t="s">
        <v>21</v>
      </c>
      <c r="M1139" t="s">
        <v>18</v>
      </c>
      <c r="N1139">
        <f>salesitems[[#This Row],[quantity]]*salesitems[[#This Row],[unit_price]]</f>
        <v>148.77000000000001</v>
      </c>
      <c r="O1139" t="str">
        <f>_xlfn.XLOOKUP(salesitems[[#This Row],[product_id]],products[product_id],products[product_name])</f>
        <v>Polished Boxy Set</v>
      </c>
      <c r="P1139" t="str">
        <f>_xlfn.XLOOKUP(salesitems[[#This Row],[product_id]],fashion_store_products!A:A,fashion_store_products!C:C)</f>
        <v>Sleepwear</v>
      </c>
    </row>
    <row r="1140" spans="1:16" x14ac:dyDescent="0.45">
      <c r="A1140">
        <v>1096</v>
      </c>
      <c r="B1140">
        <v>158</v>
      </c>
      <c r="C1140">
        <v>43</v>
      </c>
      <c r="D1140">
        <v>3</v>
      </c>
      <c r="E1140">
        <v>49.4</v>
      </c>
      <c r="F1140">
        <v>49.4</v>
      </c>
      <c r="G1140">
        <v>0</v>
      </c>
      <c r="H1140" s="2">
        <v>0</v>
      </c>
      <c r="I1140">
        <v>0</v>
      </c>
      <c r="J1140">
        <v>148.19999999999999</v>
      </c>
      <c r="K1140" s="1">
        <v>45760</v>
      </c>
      <c r="L1140" t="s">
        <v>21</v>
      </c>
      <c r="M1140" t="s">
        <v>18</v>
      </c>
      <c r="N1140">
        <f>salesitems[[#This Row],[quantity]]*salesitems[[#This Row],[unit_price]]</f>
        <v>148.19999999999999</v>
      </c>
      <c r="O1140" t="str">
        <f>_xlfn.XLOOKUP(salesitems[[#This Row],[product_id]],products[product_id],products[product_name])</f>
        <v>Modern Satin Dress</v>
      </c>
      <c r="P1140" t="str">
        <f>_xlfn.XLOOKUP(salesitems[[#This Row],[product_id]],fashion_store_products!A:A,fashion_store_products!C:C)</f>
        <v>Dresses</v>
      </c>
    </row>
    <row r="1141" spans="1:16" x14ac:dyDescent="0.45">
      <c r="A1141">
        <v>1541</v>
      </c>
      <c r="B1141">
        <v>306</v>
      </c>
      <c r="C1141">
        <v>232</v>
      </c>
      <c r="D1141">
        <v>3</v>
      </c>
      <c r="E1141">
        <v>49.34</v>
      </c>
      <c r="F1141">
        <v>49.34</v>
      </c>
      <c r="G1141">
        <v>0</v>
      </c>
      <c r="H1141" s="2">
        <v>0</v>
      </c>
      <c r="I1141">
        <v>0</v>
      </c>
      <c r="J1141">
        <v>148.02000000000001</v>
      </c>
      <c r="K1141" s="1">
        <v>45773</v>
      </c>
      <c r="L1141" t="s">
        <v>21</v>
      </c>
      <c r="M1141" t="s">
        <v>18</v>
      </c>
      <c r="N1141">
        <f>salesitems[[#This Row],[quantity]]*salesitems[[#This Row],[unit_price]]</f>
        <v>148.02000000000001</v>
      </c>
      <c r="O1141" t="str">
        <f>_xlfn.XLOOKUP(salesitems[[#This Row],[product_id]],products[product_id],products[product_name])</f>
        <v>Polished Boxy Shoes</v>
      </c>
      <c r="P1141" t="str">
        <f>_xlfn.XLOOKUP(salesitems[[#This Row],[product_id]],fashion_store_products!A:A,fashion_store_products!C:C)</f>
        <v>Shoes</v>
      </c>
    </row>
    <row r="1142" spans="1:16" x14ac:dyDescent="0.45">
      <c r="A1142">
        <v>1983</v>
      </c>
      <c r="B1142">
        <v>922</v>
      </c>
      <c r="C1142">
        <v>232</v>
      </c>
      <c r="D1142">
        <v>3</v>
      </c>
      <c r="E1142">
        <v>49.34</v>
      </c>
      <c r="F1142">
        <v>49.34</v>
      </c>
      <c r="G1142">
        <v>0</v>
      </c>
      <c r="H1142" s="2">
        <v>0</v>
      </c>
      <c r="I1142">
        <v>0</v>
      </c>
      <c r="J1142">
        <v>148.02000000000001</v>
      </c>
      <c r="K1142" s="1">
        <v>45800</v>
      </c>
      <c r="L1142" t="s">
        <v>21</v>
      </c>
      <c r="M1142" t="s">
        <v>18</v>
      </c>
      <c r="N1142">
        <f>salesitems[[#This Row],[quantity]]*salesitems[[#This Row],[unit_price]]</f>
        <v>148.02000000000001</v>
      </c>
      <c r="O1142" t="str">
        <f>_xlfn.XLOOKUP(salesitems[[#This Row],[product_id]],products[product_id],products[product_name])</f>
        <v>Polished Boxy Shoes</v>
      </c>
      <c r="P1142" t="str">
        <f>_xlfn.XLOOKUP(salesitems[[#This Row],[product_id]],fashion_store_products!A:A,fashion_store_products!C:C)</f>
        <v>Shoes</v>
      </c>
    </row>
    <row r="1143" spans="1:16" x14ac:dyDescent="0.45">
      <c r="A1143">
        <v>3002</v>
      </c>
      <c r="B1143">
        <v>556</v>
      </c>
      <c r="C1143">
        <v>232</v>
      </c>
      <c r="D1143">
        <v>3</v>
      </c>
      <c r="E1143">
        <v>49.34</v>
      </c>
      <c r="F1143">
        <v>49.34</v>
      </c>
      <c r="G1143">
        <v>0</v>
      </c>
      <c r="H1143" s="2">
        <v>0</v>
      </c>
      <c r="I1143">
        <v>0</v>
      </c>
      <c r="J1143">
        <v>148.02000000000001</v>
      </c>
      <c r="K1143" s="1">
        <v>45777</v>
      </c>
      <c r="L1143" t="s">
        <v>21</v>
      </c>
      <c r="M1143" t="s">
        <v>18</v>
      </c>
      <c r="N1143">
        <f>salesitems[[#This Row],[quantity]]*salesitems[[#This Row],[unit_price]]</f>
        <v>148.02000000000001</v>
      </c>
      <c r="O1143" t="str">
        <f>_xlfn.XLOOKUP(salesitems[[#This Row],[product_id]],products[product_id],products[product_name])</f>
        <v>Polished Boxy Shoes</v>
      </c>
      <c r="P1143" t="str">
        <f>_xlfn.XLOOKUP(salesitems[[#This Row],[product_id]],fashion_store_products!A:A,fashion_store_products!C:C)</f>
        <v>Shoes</v>
      </c>
    </row>
    <row r="1144" spans="1:16" x14ac:dyDescent="0.45">
      <c r="A1144">
        <v>2129</v>
      </c>
      <c r="B1144">
        <v>256</v>
      </c>
      <c r="C1144">
        <v>138</v>
      </c>
      <c r="D1144">
        <v>3</v>
      </c>
      <c r="E1144">
        <v>49.21</v>
      </c>
      <c r="F1144">
        <v>49.21</v>
      </c>
      <c r="G1144">
        <v>0</v>
      </c>
      <c r="H1144" s="2">
        <v>0</v>
      </c>
      <c r="I1144">
        <v>0</v>
      </c>
      <c r="J1144">
        <v>147.63</v>
      </c>
      <c r="K1144" s="1">
        <v>45798</v>
      </c>
      <c r="L1144" t="s">
        <v>21</v>
      </c>
      <c r="M1144" t="s">
        <v>18</v>
      </c>
      <c r="N1144">
        <f>salesitems[[#This Row],[quantity]]*salesitems[[#This Row],[unit_price]]</f>
        <v>147.63</v>
      </c>
      <c r="O1144" t="str">
        <f>_xlfn.XLOOKUP(salesitems[[#This Row],[product_id]],products[product_id],products[product_name])</f>
        <v>Classic High-Waist Shoes</v>
      </c>
      <c r="P1144" t="str">
        <f>_xlfn.XLOOKUP(salesitems[[#This Row],[product_id]],fashion_store_products!A:A,fashion_store_products!C:C)</f>
        <v>Shoes</v>
      </c>
    </row>
    <row r="1145" spans="1:16" x14ac:dyDescent="0.45">
      <c r="A1145">
        <v>2844</v>
      </c>
      <c r="B1145">
        <v>238</v>
      </c>
      <c r="C1145">
        <v>175</v>
      </c>
      <c r="D1145">
        <v>3</v>
      </c>
      <c r="E1145">
        <v>49.16</v>
      </c>
      <c r="F1145">
        <v>49.16</v>
      </c>
      <c r="G1145">
        <v>0</v>
      </c>
      <c r="H1145" s="2">
        <v>0</v>
      </c>
      <c r="I1145">
        <v>0</v>
      </c>
      <c r="J1145">
        <v>147.47999999999999</v>
      </c>
      <c r="K1145" s="1">
        <v>45796</v>
      </c>
      <c r="L1145" t="s">
        <v>21</v>
      </c>
      <c r="M1145" t="s">
        <v>18</v>
      </c>
      <c r="N1145">
        <f>salesitems[[#This Row],[quantity]]*salesitems[[#This Row],[unit_price]]</f>
        <v>147.47999999999999</v>
      </c>
      <c r="O1145" t="str">
        <f>_xlfn.XLOOKUP(salesitems[[#This Row],[product_id]],products[product_id],products[product_name])</f>
        <v>Vintage Cotton Tee</v>
      </c>
      <c r="P1145" t="str">
        <f>_xlfn.XLOOKUP(salesitems[[#This Row],[product_id]],fashion_store_products!A:A,fashion_store_products!C:C)</f>
        <v>T-Shirts</v>
      </c>
    </row>
    <row r="1146" spans="1:16" x14ac:dyDescent="0.45">
      <c r="A1146">
        <v>1255</v>
      </c>
      <c r="B1146">
        <v>672</v>
      </c>
      <c r="C1146">
        <v>300</v>
      </c>
      <c r="D1146">
        <v>3</v>
      </c>
      <c r="E1146">
        <v>48.88</v>
      </c>
      <c r="F1146">
        <v>48.88</v>
      </c>
      <c r="G1146">
        <v>0</v>
      </c>
      <c r="H1146" s="2">
        <v>0</v>
      </c>
      <c r="I1146">
        <v>0</v>
      </c>
      <c r="J1146">
        <v>146.63999999999999</v>
      </c>
      <c r="K1146" s="1">
        <v>45772</v>
      </c>
      <c r="L1146" t="s">
        <v>15</v>
      </c>
      <c r="M1146" t="s">
        <v>15</v>
      </c>
      <c r="N1146">
        <f>salesitems[[#This Row],[quantity]]*salesitems[[#This Row],[unit_price]]</f>
        <v>146.64000000000001</v>
      </c>
      <c r="O1146" t="str">
        <f>_xlfn.XLOOKUP(salesitems[[#This Row],[product_id]],products[product_id],products[product_name])</f>
        <v>Tailored Wrap Shoes</v>
      </c>
      <c r="P1146" t="str">
        <f>_xlfn.XLOOKUP(salesitems[[#This Row],[product_id]],fashion_store_products!A:A,fashion_store_products!C:C)</f>
        <v>Shoes</v>
      </c>
    </row>
    <row r="1147" spans="1:16" x14ac:dyDescent="0.45">
      <c r="A1147">
        <v>988</v>
      </c>
      <c r="B1147">
        <v>909</v>
      </c>
      <c r="C1147">
        <v>295</v>
      </c>
      <c r="D1147">
        <v>3</v>
      </c>
      <c r="E1147">
        <v>48.73</v>
      </c>
      <c r="F1147">
        <v>48.73</v>
      </c>
      <c r="G1147">
        <v>0</v>
      </c>
      <c r="H1147" s="2">
        <v>0</v>
      </c>
      <c r="I1147">
        <v>0</v>
      </c>
      <c r="J1147">
        <v>146.19</v>
      </c>
      <c r="K1147" s="1">
        <v>45769</v>
      </c>
      <c r="L1147" t="s">
        <v>15</v>
      </c>
      <c r="M1147" t="s">
        <v>15</v>
      </c>
      <c r="N1147">
        <f>salesitems[[#This Row],[quantity]]*salesitems[[#This Row],[unit_price]]</f>
        <v>146.19</v>
      </c>
      <c r="O1147" t="str">
        <f>_xlfn.XLOOKUP(salesitems[[#This Row],[product_id]],products[product_id],products[product_name])</f>
        <v>Polished Boxy Trousers</v>
      </c>
      <c r="P1147" t="str">
        <f>_xlfn.XLOOKUP(salesitems[[#This Row],[product_id]],fashion_store_products!A:A,fashion_store_products!C:C)</f>
        <v>Pants</v>
      </c>
    </row>
    <row r="1148" spans="1:16" x14ac:dyDescent="0.45">
      <c r="A1148">
        <v>2572</v>
      </c>
      <c r="B1148">
        <v>986</v>
      </c>
      <c r="C1148">
        <v>295</v>
      </c>
      <c r="D1148">
        <v>3</v>
      </c>
      <c r="E1148">
        <v>48.73</v>
      </c>
      <c r="F1148">
        <v>48.73</v>
      </c>
      <c r="G1148">
        <v>0</v>
      </c>
      <c r="H1148" s="2">
        <v>0</v>
      </c>
      <c r="I1148">
        <v>0</v>
      </c>
      <c r="J1148">
        <v>146.19</v>
      </c>
      <c r="K1148" s="1">
        <v>45800</v>
      </c>
      <c r="L1148" t="s">
        <v>15</v>
      </c>
      <c r="M1148" t="s">
        <v>15</v>
      </c>
      <c r="N1148">
        <f>salesitems[[#This Row],[quantity]]*salesitems[[#This Row],[unit_price]]</f>
        <v>146.19</v>
      </c>
      <c r="O1148" t="str">
        <f>_xlfn.XLOOKUP(salesitems[[#This Row],[product_id]],products[product_id],products[product_name])</f>
        <v>Polished Boxy Trousers</v>
      </c>
      <c r="P1148" t="str">
        <f>_xlfn.XLOOKUP(salesitems[[#This Row],[product_id]],fashion_store_products!A:A,fashion_store_products!C:C)</f>
        <v>Pants</v>
      </c>
    </row>
    <row r="1149" spans="1:16" x14ac:dyDescent="0.45">
      <c r="A1149">
        <v>2282</v>
      </c>
      <c r="B1149">
        <v>979</v>
      </c>
      <c r="C1149">
        <v>301</v>
      </c>
      <c r="D1149">
        <v>3</v>
      </c>
      <c r="E1149">
        <v>48.72</v>
      </c>
      <c r="F1149">
        <v>48.72</v>
      </c>
      <c r="G1149">
        <v>0</v>
      </c>
      <c r="H1149" s="2">
        <v>0</v>
      </c>
      <c r="I1149">
        <v>0</v>
      </c>
      <c r="J1149">
        <v>146.16</v>
      </c>
      <c r="K1149" s="1">
        <v>45769</v>
      </c>
      <c r="L1149" t="s">
        <v>21</v>
      </c>
      <c r="M1149" t="s">
        <v>18</v>
      </c>
      <c r="N1149">
        <f>salesitems[[#This Row],[quantity]]*salesitems[[#This Row],[unit_price]]</f>
        <v>146.16</v>
      </c>
      <c r="O1149" t="str">
        <f>_xlfn.XLOOKUP(salesitems[[#This Row],[product_id]],products[product_id],products[product_name])</f>
        <v>Essential Linen Dress</v>
      </c>
      <c r="P1149" t="str">
        <f>_xlfn.XLOOKUP(salesitems[[#This Row],[product_id]],fashion_store_products!A:A,fashion_store_products!C:C)</f>
        <v>Dresses</v>
      </c>
    </row>
    <row r="1150" spans="1:16" x14ac:dyDescent="0.45">
      <c r="A1150">
        <v>2457</v>
      </c>
      <c r="B1150">
        <v>328</v>
      </c>
      <c r="C1150">
        <v>34</v>
      </c>
      <c r="D1150">
        <v>3</v>
      </c>
      <c r="E1150">
        <v>48.34</v>
      </c>
      <c r="F1150">
        <v>48.34</v>
      </c>
      <c r="G1150">
        <v>0</v>
      </c>
      <c r="H1150" s="2">
        <v>0</v>
      </c>
      <c r="I1150">
        <v>0</v>
      </c>
      <c r="J1150">
        <v>145.02000000000001</v>
      </c>
      <c r="K1150" s="1">
        <v>45790</v>
      </c>
      <c r="L1150" t="s">
        <v>21</v>
      </c>
      <c r="M1150" t="s">
        <v>18</v>
      </c>
      <c r="N1150">
        <f>salesitems[[#This Row],[quantity]]*salesitems[[#This Row],[unit_price]]</f>
        <v>145.02000000000001</v>
      </c>
      <c r="O1150" t="str">
        <f>_xlfn.XLOOKUP(salesitems[[#This Row],[product_id]],products[product_id],products[product_name])</f>
        <v>Modern Linen Dress</v>
      </c>
      <c r="P1150" t="str">
        <f>_xlfn.XLOOKUP(salesitems[[#This Row],[product_id]],fashion_store_products!A:A,fashion_store_products!C:C)</f>
        <v>Dresses</v>
      </c>
    </row>
    <row r="1151" spans="1:16" x14ac:dyDescent="0.45">
      <c r="A1151">
        <v>3332</v>
      </c>
      <c r="B1151">
        <v>971</v>
      </c>
      <c r="C1151">
        <v>34</v>
      </c>
      <c r="D1151">
        <v>3</v>
      </c>
      <c r="E1151">
        <v>48.34</v>
      </c>
      <c r="F1151">
        <v>48.34</v>
      </c>
      <c r="G1151">
        <v>0</v>
      </c>
      <c r="H1151" s="2">
        <v>0</v>
      </c>
      <c r="I1151">
        <v>0</v>
      </c>
      <c r="J1151">
        <v>145.02000000000001</v>
      </c>
      <c r="K1151" s="1">
        <v>45798</v>
      </c>
      <c r="L1151" t="s">
        <v>15</v>
      </c>
      <c r="M1151" t="s">
        <v>15</v>
      </c>
      <c r="N1151">
        <f>salesitems[[#This Row],[quantity]]*salesitems[[#This Row],[unit_price]]</f>
        <v>145.02000000000001</v>
      </c>
      <c r="O1151" t="str">
        <f>_xlfn.XLOOKUP(salesitems[[#This Row],[product_id]],products[product_id],products[product_name])</f>
        <v>Modern Linen Dress</v>
      </c>
      <c r="P1151" t="str">
        <f>_xlfn.XLOOKUP(salesitems[[#This Row],[product_id]],fashion_store_products!A:A,fashion_store_products!C:C)</f>
        <v>Dresses</v>
      </c>
    </row>
    <row r="1152" spans="1:16" x14ac:dyDescent="0.45">
      <c r="A1152">
        <v>1265</v>
      </c>
      <c r="B1152">
        <v>797</v>
      </c>
      <c r="C1152">
        <v>189</v>
      </c>
      <c r="D1152">
        <v>3</v>
      </c>
      <c r="E1152">
        <v>48.12</v>
      </c>
      <c r="F1152">
        <v>48.12</v>
      </c>
      <c r="G1152">
        <v>0</v>
      </c>
      <c r="H1152" s="2">
        <v>0</v>
      </c>
      <c r="I1152">
        <v>0</v>
      </c>
      <c r="J1152">
        <v>144.36000000000001</v>
      </c>
      <c r="K1152" s="1">
        <v>45798</v>
      </c>
      <c r="L1152" t="s">
        <v>21</v>
      </c>
      <c r="M1152" t="s">
        <v>18</v>
      </c>
      <c r="N1152">
        <f>salesitems[[#This Row],[quantity]]*salesitems[[#This Row],[unit_price]]</f>
        <v>144.35999999999999</v>
      </c>
      <c r="O1152" t="str">
        <f>_xlfn.XLOOKUP(salesitems[[#This Row],[product_id]],products[product_id],products[product_name])</f>
        <v>Vintage Crew Set</v>
      </c>
      <c r="P1152" t="str">
        <f>_xlfn.XLOOKUP(salesitems[[#This Row],[product_id]],fashion_store_products!A:A,fashion_store_products!C:C)</f>
        <v>Sleepwear</v>
      </c>
    </row>
    <row r="1153" spans="1:16" x14ac:dyDescent="0.45">
      <c r="A1153">
        <v>1558</v>
      </c>
      <c r="B1153">
        <v>580</v>
      </c>
      <c r="C1153">
        <v>455</v>
      </c>
      <c r="D1153">
        <v>3</v>
      </c>
      <c r="E1153">
        <v>48.03</v>
      </c>
      <c r="F1153">
        <v>48.03</v>
      </c>
      <c r="G1153">
        <v>0</v>
      </c>
      <c r="H1153" s="2">
        <v>0</v>
      </c>
      <c r="I1153">
        <v>0</v>
      </c>
      <c r="J1153">
        <v>144.09</v>
      </c>
      <c r="K1153" s="1">
        <v>45808</v>
      </c>
      <c r="L1153" t="s">
        <v>15</v>
      </c>
      <c r="M1153" t="s">
        <v>15</v>
      </c>
      <c r="N1153">
        <f>salesitems[[#This Row],[quantity]]*salesitems[[#This Row],[unit_price]]</f>
        <v>144.09</v>
      </c>
      <c r="O1153" t="str">
        <f>_xlfn.XLOOKUP(salesitems[[#This Row],[product_id]],products[product_id],products[product_name])</f>
        <v>Tailored Ribbed Trousers</v>
      </c>
      <c r="P1153" t="str">
        <f>_xlfn.XLOOKUP(salesitems[[#This Row],[product_id]],fashion_store_products!A:A,fashion_store_products!C:C)</f>
        <v>Pants</v>
      </c>
    </row>
    <row r="1154" spans="1:16" x14ac:dyDescent="0.45">
      <c r="A1154">
        <v>2064</v>
      </c>
      <c r="B1154">
        <v>1017</v>
      </c>
      <c r="C1154">
        <v>455</v>
      </c>
      <c r="D1154">
        <v>3</v>
      </c>
      <c r="E1154">
        <v>48.03</v>
      </c>
      <c r="F1154">
        <v>48.03</v>
      </c>
      <c r="G1154">
        <v>0</v>
      </c>
      <c r="H1154" s="2">
        <v>0</v>
      </c>
      <c r="I1154">
        <v>0</v>
      </c>
      <c r="J1154">
        <v>144.09</v>
      </c>
      <c r="K1154" s="1">
        <v>45799</v>
      </c>
      <c r="L1154" t="s">
        <v>15</v>
      </c>
      <c r="M1154" t="s">
        <v>15</v>
      </c>
      <c r="N1154">
        <f>salesitems[[#This Row],[quantity]]*salesitems[[#This Row],[unit_price]]</f>
        <v>144.09</v>
      </c>
      <c r="O1154" t="str">
        <f>_xlfn.XLOOKUP(salesitems[[#This Row],[product_id]],products[product_id],products[product_name])</f>
        <v>Tailored Ribbed Trousers</v>
      </c>
      <c r="P1154" t="str">
        <f>_xlfn.XLOOKUP(salesitems[[#This Row],[product_id]],fashion_store_products!A:A,fashion_store_products!C:C)</f>
        <v>Pants</v>
      </c>
    </row>
    <row r="1155" spans="1:16" x14ac:dyDescent="0.45">
      <c r="A1155">
        <v>144</v>
      </c>
      <c r="B1155">
        <v>389</v>
      </c>
      <c r="C1155">
        <v>121</v>
      </c>
      <c r="D1155">
        <v>3</v>
      </c>
      <c r="E1155">
        <v>47.91</v>
      </c>
      <c r="F1155">
        <v>47.91</v>
      </c>
      <c r="G1155">
        <v>0</v>
      </c>
      <c r="H1155" s="2">
        <v>0</v>
      </c>
      <c r="I1155">
        <v>0</v>
      </c>
      <c r="J1155">
        <v>143.72999999999999</v>
      </c>
      <c r="K1155" s="1">
        <v>45765</v>
      </c>
      <c r="L1155" t="s">
        <v>21</v>
      </c>
      <c r="M1155" t="s">
        <v>18</v>
      </c>
      <c r="N1155">
        <f>salesitems[[#This Row],[quantity]]*salesitems[[#This Row],[unit_price]]</f>
        <v>143.72999999999999</v>
      </c>
      <c r="O1155" t="str">
        <f>_xlfn.XLOOKUP(salesitems[[#This Row],[product_id]],products[product_id],products[product_name])</f>
        <v>Classic Cotton Shoes</v>
      </c>
      <c r="P1155" t="str">
        <f>_xlfn.XLOOKUP(salesitems[[#This Row],[product_id]],fashion_store_products!A:A,fashion_store_products!C:C)</f>
        <v>Shoes</v>
      </c>
    </row>
    <row r="1156" spans="1:16" x14ac:dyDescent="0.45">
      <c r="A1156">
        <v>749</v>
      </c>
      <c r="B1156">
        <v>221</v>
      </c>
      <c r="C1156">
        <v>185</v>
      </c>
      <c r="D1156">
        <v>3</v>
      </c>
      <c r="E1156">
        <v>47.73</v>
      </c>
      <c r="F1156">
        <v>47.73</v>
      </c>
      <c r="G1156">
        <v>0</v>
      </c>
      <c r="H1156" s="2">
        <v>0</v>
      </c>
      <c r="I1156">
        <v>0</v>
      </c>
      <c r="J1156">
        <v>143.19</v>
      </c>
      <c r="K1156" s="1">
        <v>45793</v>
      </c>
      <c r="L1156" t="s">
        <v>21</v>
      </c>
      <c r="M1156" t="s">
        <v>18</v>
      </c>
      <c r="N1156">
        <f>salesitems[[#This Row],[quantity]]*salesitems[[#This Row],[unit_price]]</f>
        <v>143.19</v>
      </c>
      <c r="O1156" t="str">
        <f>_xlfn.XLOOKUP(salesitems[[#This Row],[product_id]],products[product_id],products[product_name])</f>
        <v>Vintage Linen Trousers</v>
      </c>
      <c r="P1156" t="str">
        <f>_xlfn.XLOOKUP(salesitems[[#This Row],[product_id]],fashion_store_products!A:A,fashion_store_products!C:C)</f>
        <v>Pants</v>
      </c>
    </row>
    <row r="1157" spans="1:16" x14ac:dyDescent="0.45">
      <c r="A1157">
        <v>2471</v>
      </c>
      <c r="B1157">
        <v>375</v>
      </c>
      <c r="C1157">
        <v>185</v>
      </c>
      <c r="D1157">
        <v>3</v>
      </c>
      <c r="E1157">
        <v>47.73</v>
      </c>
      <c r="F1157">
        <v>47.73</v>
      </c>
      <c r="G1157">
        <v>0</v>
      </c>
      <c r="H1157" s="2">
        <v>0</v>
      </c>
      <c r="I1157">
        <v>0</v>
      </c>
      <c r="J1157">
        <v>143.19</v>
      </c>
      <c r="K1157" s="1">
        <v>45761</v>
      </c>
      <c r="L1157" t="s">
        <v>21</v>
      </c>
      <c r="M1157" t="s">
        <v>18</v>
      </c>
      <c r="N1157">
        <f>salesitems[[#This Row],[quantity]]*salesitems[[#This Row],[unit_price]]</f>
        <v>143.19</v>
      </c>
      <c r="O1157" t="str">
        <f>_xlfn.XLOOKUP(salesitems[[#This Row],[product_id]],products[product_id],products[product_name])</f>
        <v>Vintage Linen Trousers</v>
      </c>
      <c r="P1157" t="str">
        <f>_xlfn.XLOOKUP(salesitems[[#This Row],[product_id]],fashion_store_products!A:A,fashion_store_products!C:C)</f>
        <v>Pants</v>
      </c>
    </row>
    <row r="1158" spans="1:16" x14ac:dyDescent="0.45">
      <c r="A1158">
        <v>114</v>
      </c>
      <c r="B1158">
        <v>1198</v>
      </c>
      <c r="C1158">
        <v>147</v>
      </c>
      <c r="D1158">
        <v>3</v>
      </c>
      <c r="E1158">
        <v>52.91</v>
      </c>
      <c r="F1158">
        <v>47.62</v>
      </c>
      <c r="G1158">
        <v>5.29</v>
      </c>
      <c r="H1158" s="2">
        <v>0.1</v>
      </c>
      <c r="I1158">
        <v>1</v>
      </c>
      <c r="J1158">
        <v>142.86000000000001</v>
      </c>
      <c r="K1158" s="1">
        <v>45813</v>
      </c>
      <c r="L1158" t="s">
        <v>21</v>
      </c>
      <c r="M1158" t="s">
        <v>18</v>
      </c>
      <c r="N1158">
        <f>salesitems[[#This Row],[quantity]]*salesitems[[#This Row],[unit_price]]</f>
        <v>142.85999999999999</v>
      </c>
      <c r="O1158" t="str">
        <f>_xlfn.XLOOKUP(salesitems[[#This Row],[product_id]],products[product_id],products[product_name])</f>
        <v>Vintage Linen Shoes</v>
      </c>
      <c r="P1158" t="str">
        <f>_xlfn.XLOOKUP(salesitems[[#This Row],[product_id]],fashion_store_products!A:A,fashion_store_products!C:C)</f>
        <v>Shoes</v>
      </c>
    </row>
    <row r="1159" spans="1:16" x14ac:dyDescent="0.45">
      <c r="A1159">
        <v>3325</v>
      </c>
      <c r="B1159">
        <v>299</v>
      </c>
      <c r="C1159">
        <v>486</v>
      </c>
      <c r="D1159">
        <v>3</v>
      </c>
      <c r="E1159">
        <v>68.03</v>
      </c>
      <c r="F1159">
        <v>47.62</v>
      </c>
      <c r="G1159">
        <v>20.41</v>
      </c>
      <c r="H1159" s="2">
        <v>0.3</v>
      </c>
      <c r="I1159">
        <v>1</v>
      </c>
      <c r="J1159">
        <v>142.86000000000001</v>
      </c>
      <c r="K1159" s="1">
        <v>45790</v>
      </c>
      <c r="L1159" t="s">
        <v>15</v>
      </c>
      <c r="M1159" t="s">
        <v>11</v>
      </c>
      <c r="N1159">
        <f>salesitems[[#This Row],[quantity]]*salesitems[[#This Row],[unit_price]]</f>
        <v>142.85999999999999</v>
      </c>
      <c r="O1159" t="str">
        <f>_xlfn.XLOOKUP(salesitems[[#This Row],[product_id]],products[product_id],products[product_name])</f>
        <v>T-Shirts Drop 4</v>
      </c>
      <c r="P1159" t="str">
        <f>_xlfn.XLOOKUP(salesitems[[#This Row],[product_id]],fashion_store_products!A:A,fashion_store_products!C:C)</f>
        <v>T-Shirts</v>
      </c>
    </row>
    <row r="1160" spans="1:16" x14ac:dyDescent="0.45">
      <c r="A1160">
        <v>2277</v>
      </c>
      <c r="B1160">
        <v>1127</v>
      </c>
      <c r="C1160">
        <v>482</v>
      </c>
      <c r="D1160">
        <v>3</v>
      </c>
      <c r="E1160">
        <v>47.59</v>
      </c>
      <c r="F1160">
        <v>47.59</v>
      </c>
      <c r="G1160">
        <v>0</v>
      </c>
      <c r="H1160" s="2">
        <v>0</v>
      </c>
      <c r="I1160">
        <v>0</v>
      </c>
      <c r="J1160">
        <v>142.77000000000001</v>
      </c>
      <c r="K1160" s="1">
        <v>45790</v>
      </c>
      <c r="L1160" t="s">
        <v>21</v>
      </c>
      <c r="M1160" t="s">
        <v>18</v>
      </c>
      <c r="N1160">
        <f>salesitems[[#This Row],[quantity]]*salesitems[[#This Row],[unit_price]]</f>
        <v>142.77000000000001</v>
      </c>
      <c r="O1160" t="str">
        <f>_xlfn.XLOOKUP(salesitems[[#This Row],[product_id]],products[product_id],products[product_name])</f>
        <v>Dresses Drop 6</v>
      </c>
      <c r="P1160" t="str">
        <f>_xlfn.XLOOKUP(salesitems[[#This Row],[product_id]],fashion_store_products!A:A,fashion_store_products!C:C)</f>
        <v>Dresses</v>
      </c>
    </row>
    <row r="1161" spans="1:16" x14ac:dyDescent="0.45">
      <c r="A1161">
        <v>173</v>
      </c>
      <c r="B1161">
        <v>309</v>
      </c>
      <c r="C1161">
        <v>410</v>
      </c>
      <c r="D1161">
        <v>3</v>
      </c>
      <c r="E1161">
        <v>47.47</v>
      </c>
      <c r="F1161">
        <v>47.47</v>
      </c>
      <c r="G1161">
        <v>0</v>
      </c>
      <c r="H1161" s="2">
        <v>0</v>
      </c>
      <c r="I1161">
        <v>0</v>
      </c>
      <c r="J1161">
        <v>142.41</v>
      </c>
      <c r="K1161" s="1">
        <v>45802</v>
      </c>
      <c r="L1161" t="s">
        <v>15</v>
      </c>
      <c r="M1161" t="s">
        <v>15</v>
      </c>
      <c r="N1161">
        <f>salesitems[[#This Row],[quantity]]*salesitems[[#This Row],[unit_price]]</f>
        <v>142.41</v>
      </c>
      <c r="O1161" t="str">
        <f>_xlfn.XLOOKUP(salesitems[[#This Row],[product_id]],products[product_id],products[product_name])</f>
        <v>Elegant Satin Set</v>
      </c>
      <c r="P1161" t="str">
        <f>_xlfn.XLOOKUP(salesitems[[#This Row],[product_id]],fashion_store_products!A:A,fashion_store_products!C:C)</f>
        <v>Sleepwear</v>
      </c>
    </row>
    <row r="1162" spans="1:16" x14ac:dyDescent="0.45">
      <c r="A1162">
        <v>1062</v>
      </c>
      <c r="B1162">
        <v>593</v>
      </c>
      <c r="C1162">
        <v>254</v>
      </c>
      <c r="D1162">
        <v>3</v>
      </c>
      <c r="E1162">
        <v>47.44</v>
      </c>
      <c r="F1162">
        <v>47.44</v>
      </c>
      <c r="G1162">
        <v>0</v>
      </c>
      <c r="H1162" s="2">
        <v>0</v>
      </c>
      <c r="I1162">
        <v>0</v>
      </c>
      <c r="J1162">
        <v>142.32</v>
      </c>
      <c r="K1162" s="1">
        <v>45824</v>
      </c>
      <c r="L1162" t="s">
        <v>15</v>
      </c>
      <c r="M1162" t="s">
        <v>15</v>
      </c>
      <c r="N1162">
        <f>salesitems[[#This Row],[quantity]]*salesitems[[#This Row],[unit_price]]</f>
        <v>142.32</v>
      </c>
      <c r="O1162" t="str">
        <f>_xlfn.XLOOKUP(salesitems[[#This Row],[product_id]],products[product_id],products[product_name])</f>
        <v>Relaxed Silk Shoes</v>
      </c>
      <c r="P1162" t="str">
        <f>_xlfn.XLOOKUP(salesitems[[#This Row],[product_id]],fashion_store_products!A:A,fashion_store_products!C:C)</f>
        <v>Shoes</v>
      </c>
    </row>
    <row r="1163" spans="1:16" x14ac:dyDescent="0.45">
      <c r="A1163">
        <v>2582</v>
      </c>
      <c r="B1163">
        <v>10</v>
      </c>
      <c r="C1163">
        <v>254</v>
      </c>
      <c r="D1163">
        <v>3</v>
      </c>
      <c r="E1163">
        <v>47.44</v>
      </c>
      <c r="F1163">
        <v>47.44</v>
      </c>
      <c r="G1163">
        <v>0</v>
      </c>
      <c r="H1163" s="2">
        <v>0</v>
      </c>
      <c r="I1163">
        <v>0</v>
      </c>
      <c r="J1163">
        <v>142.32</v>
      </c>
      <c r="K1163" s="1">
        <v>45798</v>
      </c>
      <c r="L1163" t="s">
        <v>21</v>
      </c>
      <c r="M1163" t="s">
        <v>18</v>
      </c>
      <c r="N1163">
        <f>salesitems[[#This Row],[quantity]]*salesitems[[#This Row],[unit_price]]</f>
        <v>142.32</v>
      </c>
      <c r="O1163" t="str">
        <f>_xlfn.XLOOKUP(salesitems[[#This Row],[product_id]],products[product_id],products[product_name])</f>
        <v>Relaxed Silk Shoes</v>
      </c>
      <c r="P1163" t="str">
        <f>_xlfn.XLOOKUP(salesitems[[#This Row],[product_id]],fashion_store_products!A:A,fashion_store_products!C:C)</f>
        <v>Shoes</v>
      </c>
    </row>
    <row r="1164" spans="1:16" x14ac:dyDescent="0.45">
      <c r="A1164">
        <v>2523</v>
      </c>
      <c r="B1164">
        <v>158</v>
      </c>
      <c r="C1164">
        <v>479</v>
      </c>
      <c r="D1164">
        <v>3</v>
      </c>
      <c r="E1164">
        <v>47.42</v>
      </c>
      <c r="F1164">
        <v>47.42</v>
      </c>
      <c r="G1164">
        <v>0</v>
      </c>
      <c r="H1164" s="2">
        <v>0</v>
      </c>
      <c r="I1164">
        <v>0</v>
      </c>
      <c r="J1164">
        <v>142.26</v>
      </c>
      <c r="K1164" s="1">
        <v>45760</v>
      </c>
      <c r="L1164" t="s">
        <v>21</v>
      </c>
      <c r="M1164" t="s">
        <v>18</v>
      </c>
      <c r="N1164">
        <f>salesitems[[#This Row],[quantity]]*salesitems[[#This Row],[unit_price]]</f>
        <v>142.26</v>
      </c>
      <c r="O1164" t="str">
        <f>_xlfn.XLOOKUP(salesitems[[#This Row],[product_id]],products[product_id],products[product_name])</f>
        <v>Dresses Drop 4</v>
      </c>
      <c r="P1164" t="str">
        <f>_xlfn.XLOOKUP(salesitems[[#This Row],[product_id]],fashion_store_products!A:A,fashion_store_products!C:C)</f>
        <v>Dresses</v>
      </c>
    </row>
    <row r="1165" spans="1:16" x14ac:dyDescent="0.45">
      <c r="A1165">
        <v>1449</v>
      </c>
      <c r="B1165">
        <v>86</v>
      </c>
      <c r="C1165">
        <v>68</v>
      </c>
      <c r="D1165">
        <v>3</v>
      </c>
      <c r="E1165">
        <v>47.27</v>
      </c>
      <c r="F1165">
        <v>47.27</v>
      </c>
      <c r="G1165">
        <v>0</v>
      </c>
      <c r="H1165" s="2">
        <v>0</v>
      </c>
      <c r="I1165">
        <v>0</v>
      </c>
      <c r="J1165">
        <v>141.81</v>
      </c>
      <c r="K1165" s="1">
        <v>45823</v>
      </c>
      <c r="L1165" t="s">
        <v>15</v>
      </c>
      <c r="M1165" t="s">
        <v>15</v>
      </c>
      <c r="N1165">
        <f>salesitems[[#This Row],[quantity]]*salesitems[[#This Row],[unit_price]]</f>
        <v>141.81</v>
      </c>
      <c r="O1165" t="str">
        <f>_xlfn.XLOOKUP(salesitems[[#This Row],[product_id]],products[product_id],products[product_name])</f>
        <v>Soft High-Waist Set</v>
      </c>
      <c r="P1165" t="str">
        <f>_xlfn.XLOOKUP(salesitems[[#This Row],[product_id]],fashion_store_products!A:A,fashion_store_products!C:C)</f>
        <v>Sleepwear</v>
      </c>
    </row>
    <row r="1166" spans="1:16" x14ac:dyDescent="0.45">
      <c r="A1166">
        <v>1687</v>
      </c>
      <c r="B1166">
        <v>1234</v>
      </c>
      <c r="C1166">
        <v>132</v>
      </c>
      <c r="D1166">
        <v>3</v>
      </c>
      <c r="E1166">
        <v>46.9</v>
      </c>
      <c r="F1166">
        <v>46.9</v>
      </c>
      <c r="G1166">
        <v>0</v>
      </c>
      <c r="H1166" s="2">
        <v>0</v>
      </c>
      <c r="I1166">
        <v>0</v>
      </c>
      <c r="J1166">
        <v>140.69999999999999</v>
      </c>
      <c r="K1166" s="1">
        <v>45770</v>
      </c>
      <c r="L1166" t="s">
        <v>15</v>
      </c>
      <c r="M1166" t="s">
        <v>15</v>
      </c>
      <c r="N1166">
        <f>salesitems[[#This Row],[quantity]]*salesitems[[#This Row],[unit_price]]</f>
        <v>140.69999999999999</v>
      </c>
      <c r="O1166" t="str">
        <f>_xlfn.XLOOKUP(salesitems[[#This Row],[product_id]],products[product_id],products[product_name])</f>
        <v>Classic Crew Shoes</v>
      </c>
      <c r="P1166" t="str">
        <f>_xlfn.XLOOKUP(salesitems[[#This Row],[product_id]],fashion_store_products!A:A,fashion_store_products!C:C)</f>
        <v>Shoes</v>
      </c>
    </row>
    <row r="1167" spans="1:16" x14ac:dyDescent="0.45">
      <c r="A1167">
        <v>2318</v>
      </c>
      <c r="B1167">
        <v>1135</v>
      </c>
      <c r="C1167">
        <v>228</v>
      </c>
      <c r="D1167">
        <v>3</v>
      </c>
      <c r="E1167">
        <v>46.89</v>
      </c>
      <c r="F1167">
        <v>46.89</v>
      </c>
      <c r="G1167">
        <v>0</v>
      </c>
      <c r="H1167" s="2">
        <v>0</v>
      </c>
      <c r="I1167">
        <v>0</v>
      </c>
      <c r="J1167">
        <v>140.66999999999999</v>
      </c>
      <c r="K1167" s="1">
        <v>45797</v>
      </c>
      <c r="L1167" t="s">
        <v>15</v>
      </c>
      <c r="M1167" t="s">
        <v>15</v>
      </c>
      <c r="N1167">
        <f>salesitems[[#This Row],[quantity]]*salesitems[[#This Row],[unit_price]]</f>
        <v>140.67000000000002</v>
      </c>
      <c r="O1167" t="str">
        <f>_xlfn.XLOOKUP(salesitems[[#This Row],[product_id]],products[product_id],products[product_name])</f>
        <v>Vintage Boxy Trousers</v>
      </c>
      <c r="P1167" t="str">
        <f>_xlfn.XLOOKUP(salesitems[[#This Row],[product_id]],fashion_store_products!A:A,fashion_store_products!C:C)</f>
        <v>Pants</v>
      </c>
    </row>
    <row r="1168" spans="1:16" x14ac:dyDescent="0.45">
      <c r="A1168">
        <v>2622</v>
      </c>
      <c r="B1168">
        <v>309</v>
      </c>
      <c r="C1168">
        <v>349</v>
      </c>
      <c r="D1168">
        <v>3</v>
      </c>
      <c r="E1168">
        <v>46.72</v>
      </c>
      <c r="F1168">
        <v>46.72</v>
      </c>
      <c r="G1168">
        <v>0</v>
      </c>
      <c r="H1168" s="2">
        <v>0</v>
      </c>
      <c r="I1168">
        <v>0</v>
      </c>
      <c r="J1168">
        <v>140.16</v>
      </c>
      <c r="K1168" s="1">
        <v>45802</v>
      </c>
      <c r="L1168" t="s">
        <v>15</v>
      </c>
      <c r="M1168" t="s">
        <v>15</v>
      </c>
      <c r="N1168">
        <f>salesitems[[#This Row],[quantity]]*salesitems[[#This Row],[unit_price]]</f>
        <v>140.16</v>
      </c>
      <c r="O1168" t="str">
        <f>_xlfn.XLOOKUP(salesitems[[#This Row],[product_id]],products[product_id],products[product_name])</f>
        <v>Tailored Satin Shoes</v>
      </c>
      <c r="P1168" t="str">
        <f>_xlfn.XLOOKUP(salesitems[[#This Row],[product_id]],fashion_store_products!A:A,fashion_store_products!C:C)</f>
        <v>Shoes</v>
      </c>
    </row>
    <row r="1169" spans="1:16" x14ac:dyDescent="0.45">
      <c r="A1169">
        <v>1391</v>
      </c>
      <c r="B1169">
        <v>334</v>
      </c>
      <c r="C1169">
        <v>200</v>
      </c>
      <c r="D1169">
        <v>3</v>
      </c>
      <c r="E1169">
        <v>46.41</v>
      </c>
      <c r="F1169">
        <v>46.41</v>
      </c>
      <c r="G1169">
        <v>0</v>
      </c>
      <c r="H1169" s="2">
        <v>0</v>
      </c>
      <c r="I1169">
        <v>0</v>
      </c>
      <c r="J1169">
        <v>139.22999999999999</v>
      </c>
      <c r="K1169" s="1">
        <v>45806</v>
      </c>
      <c r="L1169" t="s">
        <v>15</v>
      </c>
      <c r="M1169" t="s">
        <v>15</v>
      </c>
      <c r="N1169">
        <f>salesitems[[#This Row],[quantity]]*salesitems[[#This Row],[unit_price]]</f>
        <v>139.22999999999999</v>
      </c>
      <c r="O1169" t="str">
        <f>_xlfn.XLOOKUP(salesitems[[#This Row],[product_id]],products[product_id],products[product_name])</f>
        <v>Vintage High-Waist Set</v>
      </c>
      <c r="P1169" t="str">
        <f>_xlfn.XLOOKUP(salesitems[[#This Row],[product_id]],fashion_store_products!A:A,fashion_store_products!C:C)</f>
        <v>Sleepwear</v>
      </c>
    </row>
    <row r="1170" spans="1:16" x14ac:dyDescent="0.45">
      <c r="A1170">
        <v>1545</v>
      </c>
      <c r="B1170">
        <v>483</v>
      </c>
      <c r="C1170">
        <v>386</v>
      </c>
      <c r="D1170">
        <v>3</v>
      </c>
      <c r="E1170">
        <v>51.38</v>
      </c>
      <c r="F1170">
        <v>46.24</v>
      </c>
      <c r="G1170">
        <v>5.14</v>
      </c>
      <c r="H1170" s="2">
        <v>0.1</v>
      </c>
      <c r="I1170">
        <v>1</v>
      </c>
      <c r="J1170">
        <v>138.72999999999999</v>
      </c>
      <c r="K1170" s="1">
        <v>45814</v>
      </c>
      <c r="L1170" t="s">
        <v>21</v>
      </c>
      <c r="M1170" t="s">
        <v>18</v>
      </c>
      <c r="N1170">
        <f>salesitems[[#This Row],[quantity]]*salesitems[[#This Row],[unit_price]]</f>
        <v>138.72</v>
      </c>
      <c r="O1170" t="str">
        <f>_xlfn.XLOOKUP(salesitems[[#This Row],[product_id]],products[product_id],products[product_name])</f>
        <v>Tailored High-Waist Dress</v>
      </c>
      <c r="P1170" t="str">
        <f>_xlfn.XLOOKUP(salesitems[[#This Row],[product_id]],fashion_store_products!A:A,fashion_store_products!C:C)</f>
        <v>Dresses</v>
      </c>
    </row>
    <row r="1171" spans="1:16" x14ac:dyDescent="0.45">
      <c r="A1171">
        <v>331</v>
      </c>
      <c r="B1171">
        <v>215</v>
      </c>
      <c r="C1171">
        <v>242</v>
      </c>
      <c r="D1171">
        <v>3</v>
      </c>
      <c r="E1171">
        <v>51.25</v>
      </c>
      <c r="F1171">
        <v>46.12</v>
      </c>
      <c r="G1171">
        <v>5.12</v>
      </c>
      <c r="H1171" s="2">
        <v>0.1</v>
      </c>
      <c r="I1171">
        <v>1</v>
      </c>
      <c r="J1171">
        <v>138.38</v>
      </c>
      <c r="K1171" s="1">
        <v>45812</v>
      </c>
      <c r="L1171" t="s">
        <v>21</v>
      </c>
      <c r="M1171" t="s">
        <v>18</v>
      </c>
      <c r="N1171">
        <f>salesitems[[#This Row],[quantity]]*salesitems[[#This Row],[unit_price]]</f>
        <v>138.35999999999999</v>
      </c>
      <c r="O1171" t="str">
        <f>_xlfn.XLOOKUP(salesitems[[#This Row],[product_id]],products[product_id],products[product_name])</f>
        <v>Relaxed Ribbed Shoes</v>
      </c>
      <c r="P1171" t="str">
        <f>_xlfn.XLOOKUP(salesitems[[#This Row],[product_id]],fashion_store_products!A:A,fashion_store_products!C:C)</f>
        <v>Shoes</v>
      </c>
    </row>
    <row r="1172" spans="1:16" x14ac:dyDescent="0.45">
      <c r="A1172">
        <v>460</v>
      </c>
      <c r="B1172">
        <v>794</v>
      </c>
      <c r="C1172">
        <v>351</v>
      </c>
      <c r="D1172">
        <v>3</v>
      </c>
      <c r="E1172">
        <v>46.11</v>
      </c>
      <c r="F1172">
        <v>46.11</v>
      </c>
      <c r="G1172">
        <v>0</v>
      </c>
      <c r="H1172" s="2">
        <v>0</v>
      </c>
      <c r="I1172">
        <v>0</v>
      </c>
      <c r="J1172">
        <v>138.33000000000001</v>
      </c>
      <c r="K1172" s="1">
        <v>45801</v>
      </c>
      <c r="L1172" t="s">
        <v>15</v>
      </c>
      <c r="M1172" t="s">
        <v>15</v>
      </c>
      <c r="N1172">
        <f>salesitems[[#This Row],[quantity]]*salesitems[[#This Row],[unit_price]]</f>
        <v>138.32999999999998</v>
      </c>
      <c r="O1172" t="str">
        <f>_xlfn.XLOOKUP(salesitems[[#This Row],[product_id]],products[product_id],products[product_name])</f>
        <v>Relaxed Sleeveless Trousers</v>
      </c>
      <c r="P1172" t="str">
        <f>_xlfn.XLOOKUP(salesitems[[#This Row],[product_id]],fashion_store_products!A:A,fashion_store_products!C:C)</f>
        <v>Pants</v>
      </c>
    </row>
    <row r="1173" spans="1:16" x14ac:dyDescent="0.45">
      <c r="A1173">
        <v>2345</v>
      </c>
      <c r="B1173">
        <v>216</v>
      </c>
      <c r="C1173">
        <v>351</v>
      </c>
      <c r="D1173">
        <v>3</v>
      </c>
      <c r="E1173">
        <v>46.11</v>
      </c>
      <c r="F1173">
        <v>46.11</v>
      </c>
      <c r="G1173">
        <v>0</v>
      </c>
      <c r="H1173" s="2">
        <v>0</v>
      </c>
      <c r="I1173">
        <v>0</v>
      </c>
      <c r="J1173">
        <v>138.33000000000001</v>
      </c>
      <c r="K1173" s="1">
        <v>45799</v>
      </c>
      <c r="L1173" t="s">
        <v>21</v>
      </c>
      <c r="M1173" t="s">
        <v>18</v>
      </c>
      <c r="N1173">
        <f>salesitems[[#This Row],[quantity]]*salesitems[[#This Row],[unit_price]]</f>
        <v>138.32999999999998</v>
      </c>
      <c r="O1173" t="str">
        <f>_xlfn.XLOOKUP(salesitems[[#This Row],[product_id]],products[product_id],products[product_name])</f>
        <v>Relaxed Sleeveless Trousers</v>
      </c>
      <c r="P1173" t="str">
        <f>_xlfn.XLOOKUP(salesitems[[#This Row],[product_id]],fashion_store_products!A:A,fashion_store_products!C:C)</f>
        <v>Pants</v>
      </c>
    </row>
    <row r="1174" spans="1:16" x14ac:dyDescent="0.45">
      <c r="A1174">
        <v>2617</v>
      </c>
      <c r="B1174">
        <v>1309</v>
      </c>
      <c r="C1174">
        <v>261</v>
      </c>
      <c r="D1174">
        <v>3</v>
      </c>
      <c r="E1174">
        <v>46.1</v>
      </c>
      <c r="F1174">
        <v>46.1</v>
      </c>
      <c r="G1174">
        <v>0</v>
      </c>
      <c r="H1174" s="2">
        <v>0</v>
      </c>
      <c r="I1174">
        <v>0</v>
      </c>
      <c r="J1174">
        <v>138.30000000000001</v>
      </c>
      <c r="K1174" s="1">
        <v>45766</v>
      </c>
      <c r="L1174" t="s">
        <v>15</v>
      </c>
      <c r="M1174" t="s">
        <v>15</v>
      </c>
      <c r="N1174">
        <f>salesitems[[#This Row],[quantity]]*salesitems[[#This Row],[unit_price]]</f>
        <v>138.30000000000001</v>
      </c>
      <c r="O1174" t="str">
        <f>_xlfn.XLOOKUP(salesitems[[#This Row],[product_id]],products[product_id],products[product_name])</f>
        <v>Relaxed Cotton Tee</v>
      </c>
      <c r="P1174" t="str">
        <f>_xlfn.XLOOKUP(salesitems[[#This Row],[product_id]],fashion_store_products!A:A,fashion_store_products!C:C)</f>
        <v>T-Shirts</v>
      </c>
    </row>
    <row r="1175" spans="1:16" x14ac:dyDescent="0.45">
      <c r="A1175">
        <v>2452</v>
      </c>
      <c r="B1175">
        <v>1127</v>
      </c>
      <c r="C1175">
        <v>62</v>
      </c>
      <c r="D1175">
        <v>3</v>
      </c>
      <c r="E1175">
        <v>46.09</v>
      </c>
      <c r="F1175">
        <v>46.09</v>
      </c>
      <c r="G1175">
        <v>0</v>
      </c>
      <c r="H1175" s="2">
        <v>0</v>
      </c>
      <c r="I1175">
        <v>0</v>
      </c>
      <c r="J1175">
        <v>138.27000000000001</v>
      </c>
      <c r="K1175" s="1">
        <v>45790</v>
      </c>
      <c r="L1175" t="s">
        <v>21</v>
      </c>
      <c r="M1175" t="s">
        <v>18</v>
      </c>
      <c r="N1175">
        <f>salesitems[[#This Row],[quantity]]*salesitems[[#This Row],[unit_price]]</f>
        <v>138.27000000000001</v>
      </c>
      <c r="O1175" t="str">
        <f>_xlfn.XLOOKUP(salesitems[[#This Row],[product_id]],products[product_id],products[product_name])</f>
        <v>Modern Linen Trousers</v>
      </c>
      <c r="P1175" t="str">
        <f>_xlfn.XLOOKUP(salesitems[[#This Row],[product_id]],fashion_store_products!A:A,fashion_store_products!C:C)</f>
        <v>Pants</v>
      </c>
    </row>
    <row r="1176" spans="1:16" x14ac:dyDescent="0.45">
      <c r="A1176">
        <v>3184</v>
      </c>
      <c r="B1176">
        <v>659</v>
      </c>
      <c r="C1176">
        <v>155</v>
      </c>
      <c r="D1176">
        <v>3</v>
      </c>
      <c r="E1176">
        <v>46.07</v>
      </c>
      <c r="F1176">
        <v>46.07</v>
      </c>
      <c r="G1176">
        <v>0</v>
      </c>
      <c r="H1176" s="2">
        <v>0</v>
      </c>
      <c r="I1176">
        <v>0</v>
      </c>
      <c r="J1176">
        <v>138.21</v>
      </c>
      <c r="K1176" s="1">
        <v>45764</v>
      </c>
      <c r="L1176" t="s">
        <v>15</v>
      </c>
      <c r="M1176" t="s">
        <v>15</v>
      </c>
      <c r="N1176">
        <f>salesitems[[#This Row],[quantity]]*salesitems[[#This Row],[unit_price]]</f>
        <v>138.21</v>
      </c>
      <c r="O1176" t="str">
        <f>_xlfn.XLOOKUP(salesitems[[#This Row],[product_id]],products[product_id],products[product_name])</f>
        <v>Vintage Silk Dress</v>
      </c>
      <c r="P1176" t="str">
        <f>_xlfn.XLOOKUP(salesitems[[#This Row],[product_id]],fashion_store_products!A:A,fashion_store_products!C:C)</f>
        <v>Dresses</v>
      </c>
    </row>
    <row r="1177" spans="1:16" x14ac:dyDescent="0.45">
      <c r="A1177">
        <v>1665</v>
      </c>
      <c r="B1177">
        <v>855</v>
      </c>
      <c r="C1177">
        <v>94</v>
      </c>
      <c r="D1177">
        <v>3</v>
      </c>
      <c r="E1177">
        <v>45.8</v>
      </c>
      <c r="F1177">
        <v>45.8</v>
      </c>
      <c r="G1177">
        <v>0</v>
      </c>
      <c r="H1177" s="2">
        <v>0</v>
      </c>
      <c r="I1177">
        <v>0</v>
      </c>
      <c r="J1177">
        <v>137.4</v>
      </c>
      <c r="K1177" s="1">
        <v>45798</v>
      </c>
      <c r="L1177" t="s">
        <v>15</v>
      </c>
      <c r="M1177" t="s">
        <v>15</v>
      </c>
      <c r="N1177">
        <f>salesitems[[#This Row],[quantity]]*salesitems[[#This Row],[unit_price]]</f>
        <v>137.39999999999998</v>
      </c>
      <c r="O1177" t="str">
        <f>_xlfn.XLOOKUP(salesitems[[#This Row],[product_id]],products[product_id],products[product_name])</f>
        <v>Modern Sleeveless Shoes</v>
      </c>
      <c r="P1177" t="str">
        <f>_xlfn.XLOOKUP(salesitems[[#This Row],[product_id]],fashion_store_products!A:A,fashion_store_products!C:C)</f>
        <v>Shoes</v>
      </c>
    </row>
    <row r="1178" spans="1:16" x14ac:dyDescent="0.45">
      <c r="A1178">
        <v>1347</v>
      </c>
      <c r="B1178">
        <v>408</v>
      </c>
      <c r="C1178">
        <v>161</v>
      </c>
      <c r="D1178">
        <v>3</v>
      </c>
      <c r="E1178">
        <v>45.75</v>
      </c>
      <c r="F1178">
        <v>45.75</v>
      </c>
      <c r="G1178">
        <v>0</v>
      </c>
      <c r="H1178" s="2">
        <v>0</v>
      </c>
      <c r="I1178">
        <v>0</v>
      </c>
      <c r="J1178">
        <v>137.25</v>
      </c>
      <c r="K1178" s="1">
        <v>45781</v>
      </c>
      <c r="L1178" t="s">
        <v>21</v>
      </c>
      <c r="M1178" t="s">
        <v>18</v>
      </c>
      <c r="N1178">
        <f>salesitems[[#This Row],[quantity]]*salesitems[[#This Row],[unit_price]]</f>
        <v>137.25</v>
      </c>
      <c r="O1178" t="str">
        <f>_xlfn.XLOOKUP(salesitems[[#This Row],[product_id]],products[product_id],products[product_name])</f>
        <v>Vintage Linen Tee</v>
      </c>
      <c r="P1178" t="str">
        <f>_xlfn.XLOOKUP(salesitems[[#This Row],[product_id]],fashion_store_products!A:A,fashion_store_products!C:C)</f>
        <v>T-Shirts</v>
      </c>
    </row>
    <row r="1179" spans="1:16" x14ac:dyDescent="0.45">
      <c r="A1179">
        <v>1025</v>
      </c>
      <c r="B1179">
        <v>347</v>
      </c>
      <c r="C1179">
        <v>316</v>
      </c>
      <c r="D1179">
        <v>3</v>
      </c>
      <c r="E1179">
        <v>45.73</v>
      </c>
      <c r="F1179">
        <v>45.73</v>
      </c>
      <c r="G1179">
        <v>0</v>
      </c>
      <c r="H1179" s="2">
        <v>0</v>
      </c>
      <c r="I1179">
        <v>0</v>
      </c>
      <c r="J1179">
        <v>137.19</v>
      </c>
      <c r="K1179" s="1">
        <v>45795</v>
      </c>
      <c r="L1179" t="s">
        <v>21</v>
      </c>
      <c r="M1179" t="s">
        <v>18</v>
      </c>
      <c r="N1179">
        <f>salesitems[[#This Row],[quantity]]*salesitems[[#This Row],[unit_price]]</f>
        <v>137.19</v>
      </c>
      <c r="O1179" t="str">
        <f>_xlfn.XLOOKUP(salesitems[[#This Row],[product_id]],products[product_id],products[product_name])</f>
        <v>Essential High-Waist Tee</v>
      </c>
      <c r="P1179" t="str">
        <f>_xlfn.XLOOKUP(salesitems[[#This Row],[product_id]],fashion_store_products!A:A,fashion_store_products!C:C)</f>
        <v>T-Shirts</v>
      </c>
    </row>
    <row r="1180" spans="1:16" x14ac:dyDescent="0.45">
      <c r="A1180">
        <v>401</v>
      </c>
      <c r="B1180">
        <v>126</v>
      </c>
      <c r="C1180">
        <v>229</v>
      </c>
      <c r="D1180">
        <v>3</v>
      </c>
      <c r="E1180">
        <v>45.58</v>
      </c>
      <c r="F1180">
        <v>45.58</v>
      </c>
      <c r="G1180">
        <v>0</v>
      </c>
      <c r="H1180" s="2">
        <v>0</v>
      </c>
      <c r="I1180">
        <v>0</v>
      </c>
      <c r="J1180">
        <v>136.74</v>
      </c>
      <c r="K1180" s="1">
        <v>45792</v>
      </c>
      <c r="L1180" t="s">
        <v>21</v>
      </c>
      <c r="M1180" t="s">
        <v>18</v>
      </c>
      <c r="N1180">
        <f>salesitems[[#This Row],[quantity]]*salesitems[[#This Row],[unit_price]]</f>
        <v>136.74</v>
      </c>
      <c r="O1180" t="str">
        <f>_xlfn.XLOOKUP(salesitems[[#This Row],[product_id]],products[product_id],products[product_name])</f>
        <v>Polished Sleeveless Shoes</v>
      </c>
      <c r="P1180" t="str">
        <f>_xlfn.XLOOKUP(salesitems[[#This Row],[product_id]],fashion_store_products!A:A,fashion_store_products!C:C)</f>
        <v>Shoes</v>
      </c>
    </row>
    <row r="1181" spans="1:16" x14ac:dyDescent="0.45">
      <c r="A1181">
        <v>1464</v>
      </c>
      <c r="B1181">
        <v>505</v>
      </c>
      <c r="C1181">
        <v>229</v>
      </c>
      <c r="D1181">
        <v>3</v>
      </c>
      <c r="E1181">
        <v>45.58</v>
      </c>
      <c r="F1181">
        <v>45.58</v>
      </c>
      <c r="G1181">
        <v>0</v>
      </c>
      <c r="H1181" s="2">
        <v>0</v>
      </c>
      <c r="I1181">
        <v>0</v>
      </c>
      <c r="J1181">
        <v>136.74</v>
      </c>
      <c r="K1181" s="1">
        <v>45800</v>
      </c>
      <c r="L1181" t="s">
        <v>15</v>
      </c>
      <c r="M1181" t="s">
        <v>15</v>
      </c>
      <c r="N1181">
        <f>salesitems[[#This Row],[quantity]]*salesitems[[#This Row],[unit_price]]</f>
        <v>136.74</v>
      </c>
      <c r="O1181" t="str">
        <f>_xlfn.XLOOKUP(salesitems[[#This Row],[product_id]],products[product_id],products[product_name])</f>
        <v>Polished Sleeveless Shoes</v>
      </c>
      <c r="P1181" t="str">
        <f>_xlfn.XLOOKUP(salesitems[[#This Row],[product_id]],fashion_store_products!A:A,fashion_store_products!C:C)</f>
        <v>Shoes</v>
      </c>
    </row>
    <row r="1182" spans="1:16" x14ac:dyDescent="0.45">
      <c r="A1182">
        <v>2393</v>
      </c>
      <c r="B1182">
        <v>1271</v>
      </c>
      <c r="C1182">
        <v>20</v>
      </c>
      <c r="D1182">
        <v>3</v>
      </c>
      <c r="E1182">
        <v>45.42</v>
      </c>
      <c r="F1182">
        <v>45.42</v>
      </c>
      <c r="G1182">
        <v>0</v>
      </c>
      <c r="H1182" s="2">
        <v>0</v>
      </c>
      <c r="I1182">
        <v>0</v>
      </c>
      <c r="J1182">
        <v>136.26</v>
      </c>
      <c r="K1182" s="1">
        <v>45752</v>
      </c>
      <c r="L1182" t="s">
        <v>21</v>
      </c>
      <c r="M1182" t="s">
        <v>18</v>
      </c>
      <c r="N1182">
        <f>salesitems[[#This Row],[quantity]]*salesitems[[#This Row],[unit_price]]</f>
        <v>136.26</v>
      </c>
      <c r="O1182" t="str">
        <f>_xlfn.XLOOKUP(salesitems[[#This Row],[product_id]],products[product_id],products[product_name])</f>
        <v>Soft Crew Dress</v>
      </c>
      <c r="P1182" t="str">
        <f>_xlfn.XLOOKUP(salesitems[[#This Row],[product_id]],fashion_store_products!A:A,fashion_store_products!C:C)</f>
        <v>Dresses</v>
      </c>
    </row>
    <row r="1183" spans="1:16" x14ac:dyDescent="0.45">
      <c r="A1183">
        <v>2862</v>
      </c>
      <c r="B1183">
        <v>884</v>
      </c>
      <c r="C1183">
        <v>89</v>
      </c>
      <c r="D1183">
        <v>3</v>
      </c>
      <c r="E1183">
        <v>45.12</v>
      </c>
      <c r="F1183">
        <v>45.12</v>
      </c>
      <c r="G1183">
        <v>0</v>
      </c>
      <c r="H1183" s="2">
        <v>0</v>
      </c>
      <c r="I1183">
        <v>0</v>
      </c>
      <c r="J1183">
        <v>135.36000000000001</v>
      </c>
      <c r="K1183" s="1">
        <v>45753</v>
      </c>
      <c r="L1183" t="s">
        <v>15</v>
      </c>
      <c r="M1183" t="s">
        <v>15</v>
      </c>
      <c r="N1183">
        <f>salesitems[[#This Row],[quantity]]*salesitems[[#This Row],[unit_price]]</f>
        <v>135.35999999999999</v>
      </c>
      <c r="O1183" t="str">
        <f>_xlfn.XLOOKUP(salesitems[[#This Row],[product_id]],products[product_id],products[product_name])</f>
        <v>Modern Satin Shoes</v>
      </c>
      <c r="P1183" t="str">
        <f>_xlfn.XLOOKUP(salesitems[[#This Row],[product_id]],fashion_store_products!A:A,fashion_store_products!C:C)</f>
        <v>Shoes</v>
      </c>
    </row>
    <row r="1184" spans="1:16" x14ac:dyDescent="0.45">
      <c r="A1184">
        <v>829</v>
      </c>
      <c r="B1184">
        <v>642</v>
      </c>
      <c r="C1184">
        <v>128</v>
      </c>
      <c r="D1184">
        <v>3</v>
      </c>
      <c r="E1184">
        <v>44.9</v>
      </c>
      <c r="F1184">
        <v>44.9</v>
      </c>
      <c r="G1184">
        <v>0</v>
      </c>
      <c r="H1184" s="2">
        <v>0</v>
      </c>
      <c r="I1184">
        <v>0</v>
      </c>
      <c r="J1184">
        <v>134.69999999999999</v>
      </c>
      <c r="K1184" s="1">
        <v>45796</v>
      </c>
      <c r="L1184" t="s">
        <v>21</v>
      </c>
      <c r="M1184" t="s">
        <v>18</v>
      </c>
      <c r="N1184">
        <f>salesitems[[#This Row],[quantity]]*salesitems[[#This Row],[unit_price]]</f>
        <v>134.69999999999999</v>
      </c>
      <c r="O1184" t="str">
        <f>_xlfn.XLOOKUP(salesitems[[#This Row],[product_id]],products[product_id],products[product_name])</f>
        <v>Classic Crew Tee</v>
      </c>
      <c r="P1184" t="str">
        <f>_xlfn.XLOOKUP(salesitems[[#This Row],[product_id]],fashion_store_products!A:A,fashion_store_products!C:C)</f>
        <v>T-Shirts</v>
      </c>
    </row>
    <row r="1185" spans="1:16" x14ac:dyDescent="0.45">
      <c r="A1185">
        <v>2067</v>
      </c>
      <c r="B1185">
        <v>879</v>
      </c>
      <c r="C1185">
        <v>12</v>
      </c>
      <c r="D1185">
        <v>3</v>
      </c>
      <c r="E1185">
        <v>44.77</v>
      </c>
      <c r="F1185">
        <v>44.77</v>
      </c>
      <c r="G1185">
        <v>0</v>
      </c>
      <c r="H1185" s="2">
        <v>0</v>
      </c>
      <c r="I1185">
        <v>0</v>
      </c>
      <c r="J1185">
        <v>134.31</v>
      </c>
      <c r="K1185" s="1">
        <v>45774</v>
      </c>
      <c r="L1185" t="s">
        <v>21</v>
      </c>
      <c r="M1185" t="s">
        <v>18</v>
      </c>
      <c r="N1185">
        <f>salesitems[[#This Row],[quantity]]*salesitems[[#This Row],[unit_price]]</f>
        <v>134.31</v>
      </c>
      <c r="O1185" t="str">
        <f>_xlfn.XLOOKUP(salesitems[[#This Row],[product_id]],products[product_id],products[product_name])</f>
        <v>Soft Ribbed Dress</v>
      </c>
      <c r="P1185" t="str">
        <f>_xlfn.XLOOKUP(salesitems[[#This Row],[product_id]],fashion_store_products!A:A,fashion_store_products!C:C)</f>
        <v>Dresses</v>
      </c>
    </row>
    <row r="1186" spans="1:16" x14ac:dyDescent="0.45">
      <c r="A1186">
        <v>181</v>
      </c>
      <c r="B1186">
        <v>376</v>
      </c>
      <c r="C1186">
        <v>372</v>
      </c>
      <c r="D1186">
        <v>3</v>
      </c>
      <c r="E1186">
        <v>63.79</v>
      </c>
      <c r="F1186">
        <v>44.65</v>
      </c>
      <c r="G1186">
        <v>19.14</v>
      </c>
      <c r="H1186" s="2">
        <v>0.3</v>
      </c>
      <c r="I1186">
        <v>1</v>
      </c>
      <c r="J1186">
        <v>133.96</v>
      </c>
      <c r="K1186" s="1">
        <v>45796</v>
      </c>
      <c r="L1186" t="s">
        <v>15</v>
      </c>
      <c r="M1186" t="s">
        <v>11</v>
      </c>
      <c r="N1186">
        <f>salesitems[[#This Row],[quantity]]*salesitems[[#This Row],[unit_price]]</f>
        <v>133.94999999999999</v>
      </c>
      <c r="O1186" t="str">
        <f>_xlfn.XLOOKUP(salesitems[[#This Row],[product_id]],products[product_id],products[product_name])</f>
        <v>Essential Linen Trousers</v>
      </c>
      <c r="P1186" t="str">
        <f>_xlfn.XLOOKUP(salesitems[[#This Row],[product_id]],fashion_store_products!A:A,fashion_store_products!C:C)</f>
        <v>Pants</v>
      </c>
    </row>
    <row r="1187" spans="1:16" x14ac:dyDescent="0.45">
      <c r="A1187">
        <v>640</v>
      </c>
      <c r="B1187">
        <v>242</v>
      </c>
      <c r="C1187">
        <v>179</v>
      </c>
      <c r="D1187">
        <v>3</v>
      </c>
      <c r="E1187">
        <v>44.59</v>
      </c>
      <c r="F1187">
        <v>44.59</v>
      </c>
      <c r="G1187">
        <v>0</v>
      </c>
      <c r="H1187" s="2">
        <v>0</v>
      </c>
      <c r="I1187">
        <v>0</v>
      </c>
      <c r="J1187">
        <v>133.77000000000001</v>
      </c>
      <c r="K1187" s="1">
        <v>45800</v>
      </c>
      <c r="L1187" t="s">
        <v>15</v>
      </c>
      <c r="M1187" t="s">
        <v>15</v>
      </c>
      <c r="N1187">
        <f>salesitems[[#This Row],[quantity]]*salesitems[[#This Row],[unit_price]]</f>
        <v>133.77000000000001</v>
      </c>
      <c r="O1187" t="str">
        <f>_xlfn.XLOOKUP(salesitems[[#This Row],[product_id]],products[product_id],products[product_name])</f>
        <v>Vintage Satin Tee</v>
      </c>
      <c r="P1187" t="str">
        <f>_xlfn.XLOOKUP(salesitems[[#This Row],[product_id]],fashion_store_products!A:A,fashion_store_products!C:C)</f>
        <v>T-Shirts</v>
      </c>
    </row>
    <row r="1188" spans="1:16" x14ac:dyDescent="0.45">
      <c r="A1188">
        <v>594</v>
      </c>
      <c r="B1188">
        <v>98</v>
      </c>
      <c r="C1188">
        <v>322</v>
      </c>
      <c r="D1188">
        <v>3</v>
      </c>
      <c r="E1188">
        <v>44.45</v>
      </c>
      <c r="F1188">
        <v>44.45</v>
      </c>
      <c r="G1188">
        <v>0</v>
      </c>
      <c r="H1188" s="2">
        <v>0</v>
      </c>
      <c r="I1188">
        <v>0</v>
      </c>
      <c r="J1188">
        <v>133.35</v>
      </c>
      <c r="K1188" s="1">
        <v>45797</v>
      </c>
      <c r="L1188" t="s">
        <v>21</v>
      </c>
      <c r="M1188" t="s">
        <v>18</v>
      </c>
      <c r="N1188">
        <f>salesitems[[#This Row],[quantity]]*salesitems[[#This Row],[unit_price]]</f>
        <v>133.35000000000002</v>
      </c>
      <c r="O1188" t="str">
        <f>_xlfn.XLOOKUP(salesitems[[#This Row],[product_id]],products[product_id],products[product_name])</f>
        <v>Essential Sleeveless Dress</v>
      </c>
      <c r="P1188" t="str">
        <f>_xlfn.XLOOKUP(salesitems[[#This Row],[product_id]],fashion_store_products!A:A,fashion_store_products!C:C)</f>
        <v>Dresses</v>
      </c>
    </row>
    <row r="1189" spans="1:16" x14ac:dyDescent="0.45">
      <c r="A1189">
        <v>3039</v>
      </c>
      <c r="B1189">
        <v>29</v>
      </c>
      <c r="C1189">
        <v>322</v>
      </c>
      <c r="D1189">
        <v>3</v>
      </c>
      <c r="E1189">
        <v>44.45</v>
      </c>
      <c r="F1189">
        <v>44.45</v>
      </c>
      <c r="G1189">
        <v>0</v>
      </c>
      <c r="H1189" s="2">
        <v>0</v>
      </c>
      <c r="I1189">
        <v>0</v>
      </c>
      <c r="J1189">
        <v>133.35</v>
      </c>
      <c r="K1189" s="1">
        <v>45772</v>
      </c>
      <c r="L1189" t="s">
        <v>15</v>
      </c>
      <c r="M1189" t="s">
        <v>15</v>
      </c>
      <c r="N1189">
        <f>salesitems[[#This Row],[quantity]]*salesitems[[#This Row],[unit_price]]</f>
        <v>133.35000000000002</v>
      </c>
      <c r="O1189" t="str">
        <f>_xlfn.XLOOKUP(salesitems[[#This Row],[product_id]],products[product_id],products[product_name])</f>
        <v>Essential Sleeveless Dress</v>
      </c>
      <c r="P1189" t="str">
        <f>_xlfn.XLOOKUP(salesitems[[#This Row],[product_id]],fashion_store_products!A:A,fashion_store_products!C:C)</f>
        <v>Dresses</v>
      </c>
    </row>
    <row r="1190" spans="1:16" x14ac:dyDescent="0.45">
      <c r="A1190">
        <v>1620</v>
      </c>
      <c r="B1190">
        <v>1011</v>
      </c>
      <c r="C1190">
        <v>489</v>
      </c>
      <c r="D1190">
        <v>3</v>
      </c>
      <c r="E1190">
        <v>44.21</v>
      </c>
      <c r="F1190">
        <v>44.21</v>
      </c>
      <c r="G1190">
        <v>0</v>
      </c>
      <c r="H1190" s="2">
        <v>0</v>
      </c>
      <c r="I1190">
        <v>0</v>
      </c>
      <c r="J1190">
        <v>132.63</v>
      </c>
      <c r="K1190" s="1">
        <v>45764</v>
      </c>
      <c r="L1190" t="s">
        <v>15</v>
      </c>
      <c r="M1190" t="s">
        <v>15</v>
      </c>
      <c r="N1190">
        <f>salesitems[[#This Row],[quantity]]*salesitems[[#This Row],[unit_price]]</f>
        <v>132.63</v>
      </c>
      <c r="O1190" t="str">
        <f>_xlfn.XLOOKUP(salesitems[[#This Row],[product_id]],products[product_id],products[product_name])</f>
        <v>T-Shirts Drop 5</v>
      </c>
      <c r="P1190" t="str">
        <f>_xlfn.XLOOKUP(salesitems[[#This Row],[product_id]],fashion_store_products!A:A,fashion_store_products!C:C)</f>
        <v>T-Shirts</v>
      </c>
    </row>
    <row r="1191" spans="1:16" x14ac:dyDescent="0.45">
      <c r="A1191">
        <v>976</v>
      </c>
      <c r="B1191">
        <v>779</v>
      </c>
      <c r="C1191">
        <v>280</v>
      </c>
      <c r="D1191">
        <v>3</v>
      </c>
      <c r="E1191">
        <v>44.14</v>
      </c>
      <c r="F1191">
        <v>44.14</v>
      </c>
      <c r="G1191">
        <v>0</v>
      </c>
      <c r="H1191" s="2">
        <v>0</v>
      </c>
      <c r="I1191">
        <v>0</v>
      </c>
      <c r="J1191">
        <v>132.41999999999999</v>
      </c>
      <c r="K1191" s="1">
        <v>45764</v>
      </c>
      <c r="L1191" t="s">
        <v>15</v>
      </c>
      <c r="M1191" t="s">
        <v>15</v>
      </c>
      <c r="N1191">
        <f>salesitems[[#This Row],[quantity]]*salesitems[[#This Row],[unit_price]]</f>
        <v>132.42000000000002</v>
      </c>
      <c r="O1191" t="str">
        <f>_xlfn.XLOOKUP(salesitems[[#This Row],[product_id]],products[product_id],products[product_name])</f>
        <v>Essential Linen Tee</v>
      </c>
      <c r="P1191" t="str">
        <f>_xlfn.XLOOKUP(salesitems[[#This Row],[product_id]],fashion_store_products!A:A,fashion_store_products!C:C)</f>
        <v>T-Shirts</v>
      </c>
    </row>
    <row r="1192" spans="1:16" x14ac:dyDescent="0.45">
      <c r="A1192">
        <v>1070</v>
      </c>
      <c r="B1192">
        <v>694</v>
      </c>
      <c r="C1192">
        <v>280</v>
      </c>
      <c r="D1192">
        <v>3</v>
      </c>
      <c r="E1192">
        <v>44.14</v>
      </c>
      <c r="F1192">
        <v>44.14</v>
      </c>
      <c r="G1192">
        <v>0</v>
      </c>
      <c r="H1192" s="2">
        <v>0</v>
      </c>
      <c r="I1192">
        <v>0</v>
      </c>
      <c r="J1192">
        <v>132.41999999999999</v>
      </c>
      <c r="K1192" s="1">
        <v>45783</v>
      </c>
      <c r="L1192" t="s">
        <v>15</v>
      </c>
      <c r="M1192" t="s">
        <v>15</v>
      </c>
      <c r="N1192">
        <f>salesitems[[#This Row],[quantity]]*salesitems[[#This Row],[unit_price]]</f>
        <v>132.42000000000002</v>
      </c>
      <c r="O1192" t="str">
        <f>_xlfn.XLOOKUP(salesitems[[#This Row],[product_id]],products[product_id],products[product_name])</f>
        <v>Essential Linen Tee</v>
      </c>
      <c r="P1192" t="str">
        <f>_xlfn.XLOOKUP(salesitems[[#This Row],[product_id]],fashion_store_products!A:A,fashion_store_products!C:C)</f>
        <v>T-Shirts</v>
      </c>
    </row>
    <row r="1193" spans="1:16" x14ac:dyDescent="0.45">
      <c r="A1193">
        <v>2272</v>
      </c>
      <c r="B1193">
        <v>63</v>
      </c>
      <c r="C1193">
        <v>280</v>
      </c>
      <c r="D1193">
        <v>3</v>
      </c>
      <c r="E1193">
        <v>44.14</v>
      </c>
      <c r="F1193">
        <v>44.14</v>
      </c>
      <c r="G1193">
        <v>0</v>
      </c>
      <c r="H1193" s="2">
        <v>0</v>
      </c>
      <c r="I1193">
        <v>0</v>
      </c>
      <c r="J1193">
        <v>132.41999999999999</v>
      </c>
      <c r="K1193" s="1">
        <v>45752</v>
      </c>
      <c r="L1193" t="s">
        <v>15</v>
      </c>
      <c r="M1193" t="s">
        <v>15</v>
      </c>
      <c r="N1193">
        <f>salesitems[[#This Row],[quantity]]*salesitems[[#This Row],[unit_price]]</f>
        <v>132.42000000000002</v>
      </c>
      <c r="O1193" t="str">
        <f>_xlfn.XLOOKUP(salesitems[[#This Row],[product_id]],products[product_id],products[product_name])</f>
        <v>Essential Linen Tee</v>
      </c>
      <c r="P1193" t="str">
        <f>_xlfn.XLOOKUP(salesitems[[#This Row],[product_id]],fashion_store_products!A:A,fashion_store_products!C:C)</f>
        <v>T-Shirts</v>
      </c>
    </row>
    <row r="1194" spans="1:16" x14ac:dyDescent="0.45">
      <c r="A1194">
        <v>363</v>
      </c>
      <c r="B1194">
        <v>217</v>
      </c>
      <c r="C1194">
        <v>373</v>
      </c>
      <c r="D1194">
        <v>3</v>
      </c>
      <c r="E1194">
        <v>44.12</v>
      </c>
      <c r="F1194">
        <v>44.12</v>
      </c>
      <c r="G1194">
        <v>0</v>
      </c>
      <c r="H1194" s="2">
        <v>0</v>
      </c>
      <c r="I1194">
        <v>0</v>
      </c>
      <c r="J1194">
        <v>132.36000000000001</v>
      </c>
      <c r="K1194" s="1">
        <v>45753</v>
      </c>
      <c r="L1194" t="s">
        <v>21</v>
      </c>
      <c r="M1194" t="s">
        <v>18</v>
      </c>
      <c r="N1194">
        <f>salesitems[[#This Row],[quantity]]*salesitems[[#This Row],[unit_price]]</f>
        <v>132.35999999999999</v>
      </c>
      <c r="O1194" t="str">
        <f>_xlfn.XLOOKUP(salesitems[[#This Row],[product_id]],products[product_id],products[product_name])</f>
        <v>Tailored Crew Shoes</v>
      </c>
      <c r="P1194" t="str">
        <f>_xlfn.XLOOKUP(salesitems[[#This Row],[product_id]],fashion_store_products!A:A,fashion_store_products!C:C)</f>
        <v>Shoes</v>
      </c>
    </row>
    <row r="1195" spans="1:16" x14ac:dyDescent="0.45">
      <c r="A1195">
        <v>1092</v>
      </c>
      <c r="B1195">
        <v>309</v>
      </c>
      <c r="C1195">
        <v>231</v>
      </c>
      <c r="D1195">
        <v>3</v>
      </c>
      <c r="E1195">
        <v>44.06</v>
      </c>
      <c r="F1195">
        <v>44.06</v>
      </c>
      <c r="G1195">
        <v>0</v>
      </c>
      <c r="H1195" s="2">
        <v>0</v>
      </c>
      <c r="I1195">
        <v>0</v>
      </c>
      <c r="J1195">
        <v>132.18</v>
      </c>
      <c r="K1195" s="1">
        <v>45802</v>
      </c>
      <c r="L1195" t="s">
        <v>15</v>
      </c>
      <c r="M1195" t="s">
        <v>15</v>
      </c>
      <c r="N1195">
        <f>salesitems[[#This Row],[quantity]]*salesitems[[#This Row],[unit_price]]</f>
        <v>132.18</v>
      </c>
      <c r="O1195" t="str">
        <f>_xlfn.XLOOKUP(salesitems[[#This Row],[product_id]],products[product_id],products[product_name])</f>
        <v>Polished High-Waist Shoes</v>
      </c>
      <c r="P1195" t="str">
        <f>_xlfn.XLOOKUP(salesitems[[#This Row],[product_id]],fashion_store_products!A:A,fashion_store_products!C:C)</f>
        <v>Shoes</v>
      </c>
    </row>
    <row r="1196" spans="1:16" x14ac:dyDescent="0.45">
      <c r="A1196">
        <v>1956</v>
      </c>
      <c r="B1196">
        <v>404</v>
      </c>
      <c r="C1196">
        <v>231</v>
      </c>
      <c r="D1196">
        <v>3</v>
      </c>
      <c r="E1196">
        <v>44.06</v>
      </c>
      <c r="F1196">
        <v>44.06</v>
      </c>
      <c r="G1196">
        <v>0</v>
      </c>
      <c r="H1196" s="2">
        <v>0</v>
      </c>
      <c r="I1196">
        <v>0</v>
      </c>
      <c r="J1196">
        <v>132.18</v>
      </c>
      <c r="K1196" s="1">
        <v>45803</v>
      </c>
      <c r="L1196" t="s">
        <v>21</v>
      </c>
      <c r="M1196" t="s">
        <v>18</v>
      </c>
      <c r="N1196">
        <f>salesitems[[#This Row],[quantity]]*salesitems[[#This Row],[unit_price]]</f>
        <v>132.18</v>
      </c>
      <c r="O1196" t="str">
        <f>_xlfn.XLOOKUP(salesitems[[#This Row],[product_id]],products[product_id],products[product_name])</f>
        <v>Polished High-Waist Shoes</v>
      </c>
      <c r="P1196" t="str">
        <f>_xlfn.XLOOKUP(salesitems[[#This Row],[product_id]],fashion_store_products!A:A,fashion_store_products!C:C)</f>
        <v>Shoes</v>
      </c>
    </row>
    <row r="1197" spans="1:16" x14ac:dyDescent="0.45">
      <c r="A1197">
        <v>284</v>
      </c>
      <c r="B1197">
        <v>426</v>
      </c>
      <c r="C1197">
        <v>411</v>
      </c>
      <c r="D1197">
        <v>3</v>
      </c>
      <c r="E1197">
        <v>43.94</v>
      </c>
      <c r="F1197">
        <v>43.94</v>
      </c>
      <c r="G1197">
        <v>0</v>
      </c>
      <c r="H1197" s="2">
        <v>0</v>
      </c>
      <c r="I1197">
        <v>0</v>
      </c>
      <c r="J1197">
        <v>131.82</v>
      </c>
      <c r="K1197" s="1">
        <v>45823</v>
      </c>
      <c r="L1197" t="s">
        <v>21</v>
      </c>
      <c r="M1197" t="s">
        <v>18</v>
      </c>
      <c r="N1197">
        <f>salesitems[[#This Row],[quantity]]*salesitems[[#This Row],[unit_price]]</f>
        <v>131.82</v>
      </c>
      <c r="O1197" t="str">
        <f>_xlfn.XLOOKUP(salesitems[[#This Row],[product_id]],products[product_id],products[product_name])</f>
        <v>Elegant Silk Set</v>
      </c>
      <c r="P1197" t="str">
        <f>_xlfn.XLOOKUP(salesitems[[#This Row],[product_id]],fashion_store_products!A:A,fashion_store_products!C:C)</f>
        <v>Sleepwear</v>
      </c>
    </row>
    <row r="1198" spans="1:16" x14ac:dyDescent="0.45">
      <c r="A1198">
        <v>1498</v>
      </c>
      <c r="B1198">
        <v>1254</v>
      </c>
      <c r="C1198">
        <v>312</v>
      </c>
      <c r="D1198">
        <v>3</v>
      </c>
      <c r="E1198">
        <v>43.84</v>
      </c>
      <c r="F1198">
        <v>43.84</v>
      </c>
      <c r="G1198">
        <v>0</v>
      </c>
      <c r="H1198" s="2">
        <v>0</v>
      </c>
      <c r="I1198">
        <v>0</v>
      </c>
      <c r="J1198">
        <v>131.52000000000001</v>
      </c>
      <c r="K1198" s="1">
        <v>45803</v>
      </c>
      <c r="L1198" t="s">
        <v>15</v>
      </c>
      <c r="M1198" t="s">
        <v>15</v>
      </c>
      <c r="N1198">
        <f>salesitems[[#This Row],[quantity]]*salesitems[[#This Row],[unit_price]]</f>
        <v>131.52000000000001</v>
      </c>
      <c r="O1198" t="str">
        <f>_xlfn.XLOOKUP(salesitems[[#This Row],[product_id]],products[product_id],products[product_name])</f>
        <v>Essential Satin Dress</v>
      </c>
      <c r="P1198" t="str">
        <f>_xlfn.XLOOKUP(salesitems[[#This Row],[product_id]],fashion_store_products!A:A,fashion_store_products!C:C)</f>
        <v>Dresses</v>
      </c>
    </row>
    <row r="1199" spans="1:16" x14ac:dyDescent="0.45">
      <c r="A1199">
        <v>1064</v>
      </c>
      <c r="B1199">
        <v>506</v>
      </c>
      <c r="C1199">
        <v>363</v>
      </c>
      <c r="D1199">
        <v>3</v>
      </c>
      <c r="E1199">
        <v>43.64</v>
      </c>
      <c r="F1199">
        <v>43.64</v>
      </c>
      <c r="G1199">
        <v>0</v>
      </c>
      <c r="H1199" s="2">
        <v>0</v>
      </c>
      <c r="I1199">
        <v>0</v>
      </c>
      <c r="J1199">
        <v>130.91999999999999</v>
      </c>
      <c r="K1199" s="1">
        <v>45770</v>
      </c>
      <c r="L1199" t="s">
        <v>21</v>
      </c>
      <c r="M1199" t="s">
        <v>18</v>
      </c>
      <c r="N1199">
        <f>salesitems[[#This Row],[quantity]]*salesitems[[#This Row],[unit_price]]</f>
        <v>130.92000000000002</v>
      </c>
      <c r="O1199" t="str">
        <f>_xlfn.XLOOKUP(salesitems[[#This Row],[product_id]],products[product_id],products[product_name])</f>
        <v>Tailored Cotton Dress</v>
      </c>
      <c r="P1199" t="str">
        <f>_xlfn.XLOOKUP(salesitems[[#This Row],[product_id]],fashion_store_products!A:A,fashion_store_products!C:C)</f>
        <v>Dresses</v>
      </c>
    </row>
    <row r="1200" spans="1:16" x14ac:dyDescent="0.45">
      <c r="A1200">
        <v>763</v>
      </c>
      <c r="B1200">
        <v>56</v>
      </c>
      <c r="C1200">
        <v>211</v>
      </c>
      <c r="D1200">
        <v>3</v>
      </c>
      <c r="E1200">
        <v>43.5</v>
      </c>
      <c r="F1200">
        <v>43.5</v>
      </c>
      <c r="G1200">
        <v>0</v>
      </c>
      <c r="H1200" s="2">
        <v>0</v>
      </c>
      <c r="I1200">
        <v>0</v>
      </c>
      <c r="J1200">
        <v>130.5</v>
      </c>
      <c r="K1200" s="1">
        <v>45806</v>
      </c>
      <c r="L1200" t="s">
        <v>15</v>
      </c>
      <c r="M1200" t="s">
        <v>15</v>
      </c>
      <c r="N1200">
        <f>salesitems[[#This Row],[quantity]]*salesitems[[#This Row],[unit_price]]</f>
        <v>130.5</v>
      </c>
      <c r="O1200" t="str">
        <f>_xlfn.XLOOKUP(salesitems[[#This Row],[product_id]],products[product_id],products[product_name])</f>
        <v>Polished Cotton Shoes</v>
      </c>
      <c r="P1200" t="str">
        <f>_xlfn.XLOOKUP(salesitems[[#This Row],[product_id]],fashion_store_products!A:A,fashion_store_products!C:C)</f>
        <v>Shoes</v>
      </c>
    </row>
    <row r="1201" spans="1:16" x14ac:dyDescent="0.45">
      <c r="A1201">
        <v>2721</v>
      </c>
      <c r="B1201">
        <v>54</v>
      </c>
      <c r="C1201">
        <v>211</v>
      </c>
      <c r="D1201">
        <v>3</v>
      </c>
      <c r="E1201">
        <v>43.5</v>
      </c>
      <c r="F1201">
        <v>43.5</v>
      </c>
      <c r="G1201">
        <v>0</v>
      </c>
      <c r="H1201" s="2">
        <v>0</v>
      </c>
      <c r="I1201">
        <v>0</v>
      </c>
      <c r="J1201">
        <v>130.5</v>
      </c>
      <c r="K1201" s="1">
        <v>45805</v>
      </c>
      <c r="L1201" t="s">
        <v>15</v>
      </c>
      <c r="M1201" t="s">
        <v>15</v>
      </c>
      <c r="N1201">
        <f>salesitems[[#This Row],[quantity]]*salesitems[[#This Row],[unit_price]]</f>
        <v>130.5</v>
      </c>
      <c r="O1201" t="str">
        <f>_xlfn.XLOOKUP(salesitems[[#This Row],[product_id]],products[product_id],products[product_name])</f>
        <v>Polished Cotton Shoes</v>
      </c>
      <c r="P1201" t="str">
        <f>_xlfn.XLOOKUP(salesitems[[#This Row],[product_id]],fashion_store_products!A:A,fashion_store_products!C:C)</f>
        <v>Shoes</v>
      </c>
    </row>
    <row r="1202" spans="1:16" x14ac:dyDescent="0.45">
      <c r="A1202">
        <v>240</v>
      </c>
      <c r="B1202">
        <v>21</v>
      </c>
      <c r="C1202">
        <v>374</v>
      </c>
      <c r="D1202">
        <v>3</v>
      </c>
      <c r="E1202">
        <v>43.43</v>
      </c>
      <c r="F1202">
        <v>43.43</v>
      </c>
      <c r="G1202">
        <v>0</v>
      </c>
      <c r="H1202" s="2">
        <v>0</v>
      </c>
      <c r="I1202">
        <v>0</v>
      </c>
      <c r="J1202">
        <v>130.29</v>
      </c>
      <c r="K1202" s="1">
        <v>45822</v>
      </c>
      <c r="L1202" t="s">
        <v>21</v>
      </c>
      <c r="M1202" t="s">
        <v>18</v>
      </c>
      <c r="N1202">
        <f>salesitems[[#This Row],[quantity]]*salesitems[[#This Row],[unit_price]]</f>
        <v>130.29</v>
      </c>
      <c r="O1202" t="str">
        <f>_xlfn.XLOOKUP(salesitems[[#This Row],[product_id]],products[product_id],products[product_name])</f>
        <v>Tailored Cotton Set</v>
      </c>
      <c r="P1202" t="str">
        <f>_xlfn.XLOOKUP(salesitems[[#This Row],[product_id]],fashion_store_products!A:A,fashion_store_products!C:C)</f>
        <v>Sleepwear</v>
      </c>
    </row>
    <row r="1203" spans="1:16" x14ac:dyDescent="0.45">
      <c r="A1203">
        <v>2980</v>
      </c>
      <c r="B1203">
        <v>1017</v>
      </c>
      <c r="C1203">
        <v>374</v>
      </c>
      <c r="D1203">
        <v>3</v>
      </c>
      <c r="E1203">
        <v>43.43</v>
      </c>
      <c r="F1203">
        <v>43.43</v>
      </c>
      <c r="G1203">
        <v>0</v>
      </c>
      <c r="H1203" s="2">
        <v>0</v>
      </c>
      <c r="I1203">
        <v>0</v>
      </c>
      <c r="J1203">
        <v>130.29</v>
      </c>
      <c r="K1203" s="1">
        <v>45799</v>
      </c>
      <c r="L1203" t="s">
        <v>15</v>
      </c>
      <c r="M1203" t="s">
        <v>15</v>
      </c>
      <c r="N1203">
        <f>salesitems[[#This Row],[quantity]]*salesitems[[#This Row],[unit_price]]</f>
        <v>130.29</v>
      </c>
      <c r="O1203" t="str">
        <f>_xlfn.XLOOKUP(salesitems[[#This Row],[product_id]],products[product_id],products[product_name])</f>
        <v>Tailored Cotton Set</v>
      </c>
      <c r="P1203" t="str">
        <f>_xlfn.XLOOKUP(salesitems[[#This Row],[product_id]],fashion_store_products!A:A,fashion_store_products!C:C)</f>
        <v>Sleepwear</v>
      </c>
    </row>
    <row r="1204" spans="1:16" x14ac:dyDescent="0.45">
      <c r="A1204">
        <v>2262</v>
      </c>
      <c r="B1204">
        <v>334</v>
      </c>
      <c r="C1204">
        <v>302</v>
      </c>
      <c r="D1204">
        <v>3</v>
      </c>
      <c r="E1204">
        <v>43.4</v>
      </c>
      <c r="F1204">
        <v>43.4</v>
      </c>
      <c r="G1204">
        <v>0</v>
      </c>
      <c r="H1204" s="2">
        <v>0</v>
      </c>
      <c r="I1204">
        <v>0</v>
      </c>
      <c r="J1204">
        <v>130.19999999999999</v>
      </c>
      <c r="K1204" s="1">
        <v>45806</v>
      </c>
      <c r="L1204" t="s">
        <v>15</v>
      </c>
      <c r="M1204" t="s">
        <v>15</v>
      </c>
      <c r="N1204">
        <f>salesitems[[#This Row],[quantity]]*salesitems[[#This Row],[unit_price]]</f>
        <v>130.19999999999999</v>
      </c>
      <c r="O1204" t="str">
        <f>_xlfn.XLOOKUP(salesitems[[#This Row],[product_id]],products[product_id],products[product_name])</f>
        <v>Essential Satin Tee</v>
      </c>
      <c r="P1204" t="str">
        <f>_xlfn.XLOOKUP(salesitems[[#This Row],[product_id]],fashion_store_products!A:A,fashion_store_products!C:C)</f>
        <v>T-Shirts</v>
      </c>
    </row>
    <row r="1205" spans="1:16" x14ac:dyDescent="0.45">
      <c r="A1205">
        <v>955</v>
      </c>
      <c r="B1205">
        <v>1168</v>
      </c>
      <c r="C1205">
        <v>434</v>
      </c>
      <c r="D1205">
        <v>3</v>
      </c>
      <c r="E1205">
        <v>43.14</v>
      </c>
      <c r="F1205">
        <v>43.14</v>
      </c>
      <c r="G1205">
        <v>0</v>
      </c>
      <c r="H1205" s="2">
        <v>0</v>
      </c>
      <c r="I1205">
        <v>0</v>
      </c>
      <c r="J1205">
        <v>129.41999999999999</v>
      </c>
      <c r="K1205" s="1">
        <v>45821</v>
      </c>
      <c r="L1205" t="s">
        <v>21</v>
      </c>
      <c r="M1205" t="s">
        <v>18</v>
      </c>
      <c r="N1205">
        <f>salesitems[[#This Row],[quantity]]*salesitems[[#This Row],[unit_price]]</f>
        <v>129.42000000000002</v>
      </c>
      <c r="O1205" t="str">
        <f>_xlfn.XLOOKUP(salesitems[[#This Row],[product_id]],products[product_id],products[product_name])</f>
        <v>Bold Ribbed Tee</v>
      </c>
      <c r="P1205" t="str">
        <f>_xlfn.XLOOKUP(salesitems[[#This Row],[product_id]],fashion_store_products!A:A,fashion_store_products!C:C)</f>
        <v>T-Shirts</v>
      </c>
    </row>
    <row r="1206" spans="1:16" x14ac:dyDescent="0.45">
      <c r="A1206">
        <v>1233</v>
      </c>
      <c r="B1206">
        <v>482</v>
      </c>
      <c r="C1206">
        <v>329</v>
      </c>
      <c r="D1206">
        <v>3</v>
      </c>
      <c r="E1206">
        <v>43.09</v>
      </c>
      <c r="F1206">
        <v>43.09</v>
      </c>
      <c r="G1206">
        <v>0</v>
      </c>
      <c r="H1206" s="2">
        <v>0</v>
      </c>
      <c r="I1206">
        <v>0</v>
      </c>
      <c r="J1206">
        <v>129.27000000000001</v>
      </c>
      <c r="K1206" s="1">
        <v>45801</v>
      </c>
      <c r="L1206" t="s">
        <v>15</v>
      </c>
      <c r="M1206" t="s">
        <v>15</v>
      </c>
      <c r="N1206">
        <f>salesitems[[#This Row],[quantity]]*salesitems[[#This Row],[unit_price]]</f>
        <v>129.27000000000001</v>
      </c>
      <c r="O1206" t="str">
        <f>_xlfn.XLOOKUP(salesitems[[#This Row],[product_id]],products[product_id],products[product_name])</f>
        <v>Relaxed Boxy Set</v>
      </c>
      <c r="P1206" t="str">
        <f>_xlfn.XLOOKUP(salesitems[[#This Row],[product_id]],fashion_store_products!A:A,fashion_store_products!C:C)</f>
        <v>Sleepwear</v>
      </c>
    </row>
    <row r="1207" spans="1:16" x14ac:dyDescent="0.45">
      <c r="A1207">
        <v>3040</v>
      </c>
      <c r="B1207">
        <v>87</v>
      </c>
      <c r="C1207">
        <v>102</v>
      </c>
      <c r="D1207">
        <v>3</v>
      </c>
      <c r="E1207">
        <v>43.06</v>
      </c>
      <c r="F1207">
        <v>43.06</v>
      </c>
      <c r="G1207">
        <v>0</v>
      </c>
      <c r="H1207" s="2">
        <v>0</v>
      </c>
      <c r="I1207">
        <v>0</v>
      </c>
      <c r="J1207">
        <v>129.18</v>
      </c>
      <c r="K1207" s="1">
        <v>45761</v>
      </c>
      <c r="L1207" t="s">
        <v>21</v>
      </c>
      <c r="M1207" t="s">
        <v>18</v>
      </c>
      <c r="N1207">
        <f>salesitems[[#This Row],[quantity]]*salesitems[[#This Row],[unit_price]]</f>
        <v>129.18</v>
      </c>
      <c r="O1207" t="str">
        <f>_xlfn.XLOOKUP(salesitems[[#This Row],[product_id]],products[product_id],products[product_name])</f>
        <v>Classic Linen Tee</v>
      </c>
      <c r="P1207" t="str">
        <f>_xlfn.XLOOKUP(salesitems[[#This Row],[product_id]],fashion_store_products!A:A,fashion_store_products!C:C)</f>
        <v>T-Shirts</v>
      </c>
    </row>
    <row r="1208" spans="1:16" x14ac:dyDescent="0.45">
      <c r="A1208">
        <v>2243</v>
      </c>
      <c r="B1208">
        <v>510</v>
      </c>
      <c r="C1208">
        <v>369</v>
      </c>
      <c r="D1208">
        <v>3</v>
      </c>
      <c r="E1208">
        <v>43.04</v>
      </c>
      <c r="F1208">
        <v>43.04</v>
      </c>
      <c r="G1208">
        <v>0</v>
      </c>
      <c r="H1208" s="2">
        <v>0</v>
      </c>
      <c r="I1208">
        <v>0</v>
      </c>
      <c r="J1208">
        <v>129.12</v>
      </c>
      <c r="K1208" s="1">
        <v>45777</v>
      </c>
      <c r="L1208" t="s">
        <v>21</v>
      </c>
      <c r="M1208" t="s">
        <v>18</v>
      </c>
      <c r="N1208">
        <f>salesitems[[#This Row],[quantity]]*salesitems[[#This Row],[unit_price]]</f>
        <v>129.12</v>
      </c>
      <c r="O1208" t="str">
        <f>_xlfn.XLOOKUP(salesitems[[#This Row],[product_id]],products[product_id],products[product_name])</f>
        <v>Tailored Crew Dress</v>
      </c>
      <c r="P1208" t="str">
        <f>_xlfn.XLOOKUP(salesitems[[#This Row],[product_id]],fashion_store_products!A:A,fashion_store_products!C:C)</f>
        <v>Dresses</v>
      </c>
    </row>
    <row r="1209" spans="1:16" x14ac:dyDescent="0.45">
      <c r="A1209">
        <v>2681</v>
      </c>
      <c r="B1209">
        <v>1061</v>
      </c>
      <c r="C1209">
        <v>369</v>
      </c>
      <c r="D1209">
        <v>3</v>
      </c>
      <c r="E1209">
        <v>43.04</v>
      </c>
      <c r="F1209">
        <v>43.04</v>
      </c>
      <c r="G1209">
        <v>0</v>
      </c>
      <c r="H1209" s="2">
        <v>0</v>
      </c>
      <c r="I1209">
        <v>0</v>
      </c>
      <c r="J1209">
        <v>129.12</v>
      </c>
      <c r="K1209" s="1">
        <v>45781</v>
      </c>
      <c r="L1209" t="s">
        <v>15</v>
      </c>
      <c r="M1209" t="s">
        <v>15</v>
      </c>
      <c r="N1209">
        <f>salesitems[[#This Row],[quantity]]*salesitems[[#This Row],[unit_price]]</f>
        <v>129.12</v>
      </c>
      <c r="O1209" t="str">
        <f>_xlfn.XLOOKUP(salesitems[[#This Row],[product_id]],products[product_id],products[product_name])</f>
        <v>Tailored Crew Dress</v>
      </c>
      <c r="P1209" t="str">
        <f>_xlfn.XLOOKUP(salesitems[[#This Row],[product_id]],fashion_store_products!A:A,fashion_store_products!C:C)</f>
        <v>Dresses</v>
      </c>
    </row>
    <row r="1210" spans="1:16" x14ac:dyDescent="0.45">
      <c r="A1210">
        <v>644</v>
      </c>
      <c r="B1210">
        <v>432</v>
      </c>
      <c r="C1210">
        <v>24</v>
      </c>
      <c r="D1210">
        <v>3</v>
      </c>
      <c r="E1210">
        <v>42.76</v>
      </c>
      <c r="F1210">
        <v>42.76</v>
      </c>
      <c r="G1210">
        <v>0</v>
      </c>
      <c r="H1210" s="2">
        <v>0</v>
      </c>
      <c r="I1210">
        <v>0</v>
      </c>
      <c r="J1210">
        <v>128.28</v>
      </c>
      <c r="K1210" s="1">
        <v>45767</v>
      </c>
      <c r="L1210" t="s">
        <v>21</v>
      </c>
      <c r="M1210" t="s">
        <v>18</v>
      </c>
      <c r="N1210">
        <f>salesitems[[#This Row],[quantity]]*salesitems[[#This Row],[unit_price]]</f>
        <v>128.28</v>
      </c>
      <c r="O1210" t="str">
        <f>_xlfn.XLOOKUP(salesitems[[#This Row],[product_id]],products[product_id],products[product_name])</f>
        <v>Soft High-Waist Dress</v>
      </c>
      <c r="P1210" t="str">
        <f>_xlfn.XLOOKUP(salesitems[[#This Row],[product_id]],fashion_store_products!A:A,fashion_store_products!C:C)</f>
        <v>Dresses</v>
      </c>
    </row>
    <row r="1211" spans="1:16" x14ac:dyDescent="0.45">
      <c r="A1211">
        <v>1141</v>
      </c>
      <c r="B1211">
        <v>527</v>
      </c>
      <c r="C1211">
        <v>24</v>
      </c>
      <c r="D1211">
        <v>3</v>
      </c>
      <c r="E1211">
        <v>42.76</v>
      </c>
      <c r="F1211">
        <v>42.76</v>
      </c>
      <c r="G1211">
        <v>0</v>
      </c>
      <c r="H1211" s="2">
        <v>0</v>
      </c>
      <c r="I1211">
        <v>0</v>
      </c>
      <c r="J1211">
        <v>128.28</v>
      </c>
      <c r="K1211" s="1">
        <v>45805</v>
      </c>
      <c r="L1211" t="s">
        <v>21</v>
      </c>
      <c r="M1211" t="s">
        <v>18</v>
      </c>
      <c r="N1211">
        <f>salesitems[[#This Row],[quantity]]*salesitems[[#This Row],[unit_price]]</f>
        <v>128.28</v>
      </c>
      <c r="O1211" t="str">
        <f>_xlfn.XLOOKUP(salesitems[[#This Row],[product_id]],products[product_id],products[product_name])</f>
        <v>Soft High-Waist Dress</v>
      </c>
      <c r="P1211" t="str">
        <f>_xlfn.XLOOKUP(salesitems[[#This Row],[product_id]],fashion_store_products!A:A,fashion_store_products!C:C)</f>
        <v>Dresses</v>
      </c>
    </row>
    <row r="1212" spans="1:16" x14ac:dyDescent="0.45">
      <c r="A1212">
        <v>2763</v>
      </c>
      <c r="B1212">
        <v>331</v>
      </c>
      <c r="C1212">
        <v>476</v>
      </c>
      <c r="D1212">
        <v>3</v>
      </c>
      <c r="E1212">
        <v>42.72</v>
      </c>
      <c r="F1212">
        <v>42.72</v>
      </c>
      <c r="G1212">
        <v>0</v>
      </c>
      <c r="H1212" s="2">
        <v>0</v>
      </c>
      <c r="I1212">
        <v>0</v>
      </c>
      <c r="J1212">
        <v>128.16</v>
      </c>
      <c r="K1212" s="1">
        <v>45783</v>
      </c>
      <c r="L1212" t="s">
        <v>15</v>
      </c>
      <c r="M1212" t="s">
        <v>15</v>
      </c>
      <c r="N1212">
        <f>salesitems[[#This Row],[quantity]]*salesitems[[#This Row],[unit_price]]</f>
        <v>128.16</v>
      </c>
      <c r="O1212" t="str">
        <f>_xlfn.XLOOKUP(salesitems[[#This Row],[product_id]],products[product_id],products[product_name])</f>
        <v>Bold Satin Shoes</v>
      </c>
      <c r="P1212" t="str">
        <f>_xlfn.XLOOKUP(salesitems[[#This Row],[product_id]],fashion_store_products!A:A,fashion_store_products!C:C)</f>
        <v>Shoes</v>
      </c>
    </row>
    <row r="1213" spans="1:16" x14ac:dyDescent="0.45">
      <c r="A1213">
        <v>1555</v>
      </c>
      <c r="B1213">
        <v>488</v>
      </c>
      <c r="C1213">
        <v>375</v>
      </c>
      <c r="D1213">
        <v>3</v>
      </c>
      <c r="E1213">
        <v>42.67</v>
      </c>
      <c r="F1213">
        <v>42.67</v>
      </c>
      <c r="G1213">
        <v>0</v>
      </c>
      <c r="H1213" s="2">
        <v>0</v>
      </c>
      <c r="I1213">
        <v>0</v>
      </c>
      <c r="J1213">
        <v>128.01</v>
      </c>
      <c r="K1213" s="1">
        <v>45792</v>
      </c>
      <c r="L1213" t="s">
        <v>21</v>
      </c>
      <c r="M1213" t="s">
        <v>18</v>
      </c>
      <c r="N1213">
        <f>salesitems[[#This Row],[quantity]]*salesitems[[#This Row],[unit_price]]</f>
        <v>128.01</v>
      </c>
      <c r="O1213" t="str">
        <f>_xlfn.XLOOKUP(salesitems[[#This Row],[product_id]],products[product_id],products[product_name])</f>
        <v>Tailored Sleeveless Shoes</v>
      </c>
      <c r="P1213" t="str">
        <f>_xlfn.XLOOKUP(salesitems[[#This Row],[product_id]],fashion_store_products!A:A,fashion_store_products!C:C)</f>
        <v>Shoes</v>
      </c>
    </row>
    <row r="1214" spans="1:16" x14ac:dyDescent="0.45">
      <c r="A1214">
        <v>666</v>
      </c>
      <c r="B1214">
        <v>701</v>
      </c>
      <c r="C1214">
        <v>177</v>
      </c>
      <c r="D1214">
        <v>3</v>
      </c>
      <c r="E1214">
        <v>42.66</v>
      </c>
      <c r="F1214">
        <v>42.66</v>
      </c>
      <c r="G1214">
        <v>0</v>
      </c>
      <c r="H1214" s="2">
        <v>0</v>
      </c>
      <c r="I1214">
        <v>0</v>
      </c>
      <c r="J1214">
        <v>127.98</v>
      </c>
      <c r="K1214" s="1">
        <v>45821</v>
      </c>
      <c r="L1214" t="s">
        <v>15</v>
      </c>
      <c r="M1214" t="s">
        <v>15</v>
      </c>
      <c r="N1214">
        <f>salesitems[[#This Row],[quantity]]*salesitems[[#This Row],[unit_price]]</f>
        <v>127.97999999999999</v>
      </c>
      <c r="O1214" t="str">
        <f>_xlfn.XLOOKUP(salesitems[[#This Row],[product_id]],products[product_id],products[product_name])</f>
        <v>Vintage Cotton Set</v>
      </c>
      <c r="P1214" t="str">
        <f>_xlfn.XLOOKUP(salesitems[[#This Row],[product_id]],fashion_store_products!A:A,fashion_store_products!C:C)</f>
        <v>Sleepwear</v>
      </c>
    </row>
    <row r="1215" spans="1:16" x14ac:dyDescent="0.45">
      <c r="A1215">
        <v>1097</v>
      </c>
      <c r="B1215">
        <v>171</v>
      </c>
      <c r="C1215">
        <v>177</v>
      </c>
      <c r="D1215">
        <v>3</v>
      </c>
      <c r="E1215">
        <v>42.66</v>
      </c>
      <c r="F1215">
        <v>42.66</v>
      </c>
      <c r="G1215">
        <v>0</v>
      </c>
      <c r="H1215" s="2">
        <v>0</v>
      </c>
      <c r="I1215">
        <v>0</v>
      </c>
      <c r="J1215">
        <v>127.98</v>
      </c>
      <c r="K1215" s="1">
        <v>45762</v>
      </c>
      <c r="L1215" t="s">
        <v>21</v>
      </c>
      <c r="M1215" t="s">
        <v>18</v>
      </c>
      <c r="N1215">
        <f>salesitems[[#This Row],[quantity]]*salesitems[[#This Row],[unit_price]]</f>
        <v>127.97999999999999</v>
      </c>
      <c r="O1215" t="str">
        <f>_xlfn.XLOOKUP(salesitems[[#This Row],[product_id]],products[product_id],products[product_name])</f>
        <v>Vintage Cotton Set</v>
      </c>
      <c r="P1215" t="str">
        <f>_xlfn.XLOOKUP(salesitems[[#This Row],[product_id]],fashion_store_products!A:A,fashion_store_products!C:C)</f>
        <v>Sleepwear</v>
      </c>
    </row>
    <row r="1216" spans="1:16" x14ac:dyDescent="0.45">
      <c r="A1216">
        <v>205</v>
      </c>
      <c r="B1216">
        <v>33</v>
      </c>
      <c r="C1216">
        <v>395</v>
      </c>
      <c r="D1216">
        <v>3</v>
      </c>
      <c r="E1216">
        <v>42.31</v>
      </c>
      <c r="F1216">
        <v>42.31</v>
      </c>
      <c r="G1216">
        <v>0</v>
      </c>
      <c r="H1216" s="2">
        <v>0</v>
      </c>
      <c r="I1216">
        <v>0</v>
      </c>
      <c r="J1216">
        <v>126.93</v>
      </c>
      <c r="K1216" s="1">
        <v>45770</v>
      </c>
      <c r="L1216" t="s">
        <v>21</v>
      </c>
      <c r="M1216" t="s">
        <v>18</v>
      </c>
      <c r="N1216">
        <f>salesitems[[#This Row],[quantity]]*salesitems[[#This Row],[unit_price]]</f>
        <v>126.93</v>
      </c>
      <c r="O1216" t="str">
        <f>_xlfn.XLOOKUP(salesitems[[#This Row],[product_id]],products[product_id],products[product_name])</f>
        <v>Elegant Linen Dress</v>
      </c>
      <c r="P1216" t="str">
        <f>_xlfn.XLOOKUP(salesitems[[#This Row],[product_id]],fashion_store_products!A:A,fashion_store_products!C:C)</f>
        <v>Dresses</v>
      </c>
    </row>
    <row r="1217" spans="1:16" x14ac:dyDescent="0.45">
      <c r="A1217">
        <v>3119</v>
      </c>
      <c r="B1217">
        <v>362</v>
      </c>
      <c r="C1217">
        <v>309</v>
      </c>
      <c r="D1217">
        <v>3</v>
      </c>
      <c r="E1217">
        <v>42.14</v>
      </c>
      <c r="F1217">
        <v>42.14</v>
      </c>
      <c r="G1217">
        <v>0</v>
      </c>
      <c r="H1217" s="2">
        <v>0</v>
      </c>
      <c r="I1217">
        <v>0</v>
      </c>
      <c r="J1217">
        <v>126.42</v>
      </c>
      <c r="K1217" s="1">
        <v>45802</v>
      </c>
      <c r="L1217" t="s">
        <v>15</v>
      </c>
      <c r="M1217" t="s">
        <v>15</v>
      </c>
      <c r="N1217">
        <f>salesitems[[#This Row],[quantity]]*salesitems[[#This Row],[unit_price]]</f>
        <v>126.42</v>
      </c>
      <c r="O1217" t="str">
        <f>_xlfn.XLOOKUP(salesitems[[#This Row],[product_id]],products[product_id],products[product_name])</f>
        <v>Essential Ribbed Dress</v>
      </c>
      <c r="P1217" t="str">
        <f>_xlfn.XLOOKUP(salesitems[[#This Row],[product_id]],fashion_store_products!A:A,fashion_store_products!C:C)</f>
        <v>Dresses</v>
      </c>
    </row>
    <row r="1218" spans="1:16" x14ac:dyDescent="0.45">
      <c r="A1218">
        <v>795</v>
      </c>
      <c r="B1218">
        <v>1193</v>
      </c>
      <c r="C1218">
        <v>202</v>
      </c>
      <c r="D1218">
        <v>3</v>
      </c>
      <c r="E1218">
        <v>41.88</v>
      </c>
      <c r="F1218">
        <v>41.88</v>
      </c>
      <c r="G1218">
        <v>0</v>
      </c>
      <c r="H1218" s="2">
        <v>0</v>
      </c>
      <c r="I1218">
        <v>0</v>
      </c>
      <c r="J1218">
        <v>125.64</v>
      </c>
      <c r="K1218" s="1">
        <v>45762</v>
      </c>
      <c r="L1218" t="s">
        <v>21</v>
      </c>
      <c r="M1218" t="s">
        <v>18</v>
      </c>
      <c r="N1218">
        <f>salesitems[[#This Row],[quantity]]*salesitems[[#This Row],[unit_price]]</f>
        <v>125.64000000000001</v>
      </c>
      <c r="O1218" t="str">
        <f>_xlfn.XLOOKUP(salesitems[[#This Row],[product_id]],products[product_id],products[product_name])</f>
        <v>Vintage High-Waist Tee</v>
      </c>
      <c r="P1218" t="str">
        <f>_xlfn.XLOOKUP(salesitems[[#This Row],[product_id]],fashion_store_products!A:A,fashion_store_products!C:C)</f>
        <v>T-Shirts</v>
      </c>
    </row>
    <row r="1219" spans="1:16" x14ac:dyDescent="0.45">
      <c r="A1219">
        <v>1766</v>
      </c>
      <c r="B1219">
        <v>1111</v>
      </c>
      <c r="C1219">
        <v>423</v>
      </c>
      <c r="D1219">
        <v>3</v>
      </c>
      <c r="E1219">
        <v>41.64</v>
      </c>
      <c r="F1219">
        <v>41.64</v>
      </c>
      <c r="G1219">
        <v>0</v>
      </c>
      <c r="H1219" s="2">
        <v>0</v>
      </c>
      <c r="I1219">
        <v>0</v>
      </c>
      <c r="J1219">
        <v>124.92</v>
      </c>
      <c r="K1219" s="1">
        <v>45765</v>
      </c>
      <c r="L1219" t="s">
        <v>15</v>
      </c>
      <c r="M1219" t="s">
        <v>15</v>
      </c>
      <c r="N1219">
        <f>salesitems[[#This Row],[quantity]]*salesitems[[#This Row],[unit_price]]</f>
        <v>124.92</v>
      </c>
      <c r="O1219" t="str">
        <f>_xlfn.XLOOKUP(salesitems[[#This Row],[product_id]],products[product_id],products[product_name])</f>
        <v>Elegant Boxy Tee</v>
      </c>
      <c r="P1219" t="str">
        <f>_xlfn.XLOOKUP(salesitems[[#This Row],[product_id]],fashion_store_products!A:A,fashion_store_products!C:C)</f>
        <v>T-Shirts</v>
      </c>
    </row>
    <row r="1220" spans="1:16" x14ac:dyDescent="0.45">
      <c r="A1220">
        <v>2380</v>
      </c>
      <c r="B1220">
        <v>1134</v>
      </c>
      <c r="C1220">
        <v>423</v>
      </c>
      <c r="D1220">
        <v>3</v>
      </c>
      <c r="E1220">
        <v>41.64</v>
      </c>
      <c r="F1220">
        <v>41.64</v>
      </c>
      <c r="G1220">
        <v>0</v>
      </c>
      <c r="H1220" s="2">
        <v>0</v>
      </c>
      <c r="I1220">
        <v>0</v>
      </c>
      <c r="J1220">
        <v>124.92</v>
      </c>
      <c r="K1220" s="1">
        <v>45805</v>
      </c>
      <c r="L1220" t="s">
        <v>15</v>
      </c>
      <c r="M1220" t="s">
        <v>15</v>
      </c>
      <c r="N1220">
        <f>salesitems[[#This Row],[quantity]]*salesitems[[#This Row],[unit_price]]</f>
        <v>124.92</v>
      </c>
      <c r="O1220" t="str">
        <f>_xlfn.XLOOKUP(salesitems[[#This Row],[product_id]],products[product_id],products[product_name])</f>
        <v>Elegant Boxy Tee</v>
      </c>
      <c r="P1220" t="str">
        <f>_xlfn.XLOOKUP(salesitems[[#This Row],[product_id]],fashion_store_products!A:A,fashion_store_products!C:C)</f>
        <v>T-Shirts</v>
      </c>
    </row>
    <row r="1221" spans="1:16" x14ac:dyDescent="0.45">
      <c r="A1221">
        <v>997</v>
      </c>
      <c r="B1221">
        <v>1099</v>
      </c>
      <c r="C1221">
        <v>316</v>
      </c>
      <c r="D1221">
        <v>3</v>
      </c>
      <c r="E1221">
        <v>45.73</v>
      </c>
      <c r="F1221">
        <v>41.16</v>
      </c>
      <c r="G1221">
        <v>4.57</v>
      </c>
      <c r="H1221" s="2">
        <v>0.1</v>
      </c>
      <c r="I1221">
        <v>1</v>
      </c>
      <c r="J1221">
        <v>123.47</v>
      </c>
      <c r="K1221" s="1">
        <v>45813</v>
      </c>
      <c r="L1221" t="s">
        <v>21</v>
      </c>
      <c r="M1221" t="s">
        <v>18</v>
      </c>
      <c r="N1221">
        <f>salesitems[[#This Row],[quantity]]*salesitems[[#This Row],[unit_price]]</f>
        <v>123.47999999999999</v>
      </c>
      <c r="O1221" t="str">
        <f>_xlfn.XLOOKUP(salesitems[[#This Row],[product_id]],products[product_id],products[product_name])</f>
        <v>Essential High-Waist Tee</v>
      </c>
      <c r="P1221" t="str">
        <f>_xlfn.XLOOKUP(salesitems[[#This Row],[product_id]],fashion_store_products!A:A,fashion_store_products!C:C)</f>
        <v>T-Shirts</v>
      </c>
    </row>
    <row r="1222" spans="1:16" x14ac:dyDescent="0.45">
      <c r="A1222">
        <v>689</v>
      </c>
      <c r="B1222">
        <v>24</v>
      </c>
      <c r="C1222">
        <v>63</v>
      </c>
      <c r="D1222">
        <v>3</v>
      </c>
      <c r="E1222">
        <v>58.67</v>
      </c>
      <c r="F1222">
        <v>41.07</v>
      </c>
      <c r="G1222">
        <v>17.600000000000001</v>
      </c>
      <c r="H1222" s="2">
        <v>0.3</v>
      </c>
      <c r="I1222">
        <v>1</v>
      </c>
      <c r="J1222">
        <v>123.21</v>
      </c>
      <c r="K1222" s="1">
        <v>45790</v>
      </c>
      <c r="L1222" t="s">
        <v>15</v>
      </c>
      <c r="M1222" t="s">
        <v>11</v>
      </c>
      <c r="N1222">
        <f>salesitems[[#This Row],[quantity]]*salesitems[[#This Row],[unit_price]]</f>
        <v>123.21000000000001</v>
      </c>
      <c r="O1222" t="str">
        <f>_xlfn.XLOOKUP(salesitems[[#This Row],[product_id]],products[product_id],products[product_name])</f>
        <v>Soft Crew Set</v>
      </c>
      <c r="P1222" t="str">
        <f>_xlfn.XLOOKUP(salesitems[[#This Row],[product_id]],fashion_store_products!A:A,fashion_store_products!C:C)</f>
        <v>Sleepwear</v>
      </c>
    </row>
    <row r="1223" spans="1:16" x14ac:dyDescent="0.45">
      <c r="A1223">
        <v>1825</v>
      </c>
      <c r="B1223">
        <v>664</v>
      </c>
      <c r="C1223">
        <v>18</v>
      </c>
      <c r="D1223">
        <v>3</v>
      </c>
      <c r="E1223">
        <v>40.99</v>
      </c>
      <c r="F1223">
        <v>40.99</v>
      </c>
      <c r="G1223">
        <v>0</v>
      </c>
      <c r="H1223" s="2">
        <v>0</v>
      </c>
      <c r="I1223">
        <v>0</v>
      </c>
      <c r="J1223">
        <v>122.97</v>
      </c>
      <c r="K1223" s="1">
        <v>45822</v>
      </c>
      <c r="L1223" t="s">
        <v>15</v>
      </c>
      <c r="M1223" t="s">
        <v>15</v>
      </c>
      <c r="N1223">
        <f>salesitems[[#This Row],[quantity]]*salesitems[[#This Row],[unit_price]]</f>
        <v>122.97</v>
      </c>
      <c r="O1223" t="str">
        <f>_xlfn.XLOOKUP(salesitems[[#This Row],[product_id]],products[product_id],products[product_name])</f>
        <v>Soft Satin Shoes</v>
      </c>
      <c r="P1223" t="str">
        <f>_xlfn.XLOOKUP(salesitems[[#This Row],[product_id]],fashion_store_products!A:A,fashion_store_products!C:C)</f>
        <v>Shoes</v>
      </c>
    </row>
    <row r="1224" spans="1:16" x14ac:dyDescent="0.45">
      <c r="A1224">
        <v>3086</v>
      </c>
      <c r="B1224">
        <v>259</v>
      </c>
      <c r="C1224">
        <v>145</v>
      </c>
      <c r="D1224">
        <v>3</v>
      </c>
      <c r="E1224">
        <v>58.25</v>
      </c>
      <c r="F1224">
        <v>40.78</v>
      </c>
      <c r="G1224">
        <v>17.47</v>
      </c>
      <c r="H1224" s="2">
        <v>0.3</v>
      </c>
      <c r="I1224">
        <v>1</v>
      </c>
      <c r="J1224">
        <v>122.33</v>
      </c>
      <c r="K1224" s="1">
        <v>45796</v>
      </c>
      <c r="L1224" t="s">
        <v>15</v>
      </c>
      <c r="M1224" t="s">
        <v>11</v>
      </c>
      <c r="N1224">
        <f>salesitems[[#This Row],[quantity]]*salesitems[[#This Row],[unit_price]]</f>
        <v>122.34</v>
      </c>
      <c r="O1224" t="str">
        <f>_xlfn.XLOOKUP(salesitems[[#This Row],[product_id]],products[product_id],products[product_name])</f>
        <v>Classic Boxy Shoes</v>
      </c>
      <c r="P1224" t="str">
        <f>_xlfn.XLOOKUP(salesitems[[#This Row],[product_id]],fashion_store_products!A:A,fashion_store_products!C:C)</f>
        <v>Shoes</v>
      </c>
    </row>
    <row r="1225" spans="1:16" x14ac:dyDescent="0.45">
      <c r="A1225">
        <v>68</v>
      </c>
      <c r="B1225">
        <v>441</v>
      </c>
      <c r="C1225">
        <v>1</v>
      </c>
      <c r="D1225">
        <v>3</v>
      </c>
      <c r="E1225">
        <v>40.409999999999997</v>
      </c>
      <c r="F1225">
        <v>40.409999999999997</v>
      </c>
      <c r="G1225">
        <v>0</v>
      </c>
      <c r="H1225" s="2">
        <v>0</v>
      </c>
      <c r="I1225">
        <v>0</v>
      </c>
      <c r="J1225">
        <v>121.23</v>
      </c>
      <c r="K1225" s="1">
        <v>45775</v>
      </c>
      <c r="L1225" t="s">
        <v>21</v>
      </c>
      <c r="M1225" t="s">
        <v>18</v>
      </c>
      <c r="N1225">
        <f>salesitems[[#This Row],[quantity]]*salesitems[[#This Row],[unit_price]]</f>
        <v>121.22999999999999</v>
      </c>
      <c r="O1225" t="str">
        <f>_xlfn.XLOOKUP(salesitems[[#This Row],[product_id]],products[product_id],products[product_name])</f>
        <v>Soft Wrap Dress</v>
      </c>
      <c r="P1225" t="str">
        <f>_xlfn.XLOOKUP(salesitems[[#This Row],[product_id]],fashion_store_products!A:A,fashion_store_products!C:C)</f>
        <v>Dresses</v>
      </c>
    </row>
    <row r="1226" spans="1:16" x14ac:dyDescent="0.45">
      <c r="A1226">
        <v>2783</v>
      </c>
      <c r="B1226">
        <v>880</v>
      </c>
      <c r="C1226">
        <v>16</v>
      </c>
      <c r="D1226">
        <v>3</v>
      </c>
      <c r="E1226">
        <v>40.36</v>
      </c>
      <c r="F1226">
        <v>40.36</v>
      </c>
      <c r="G1226">
        <v>0</v>
      </c>
      <c r="H1226" s="2">
        <v>0</v>
      </c>
      <c r="I1226">
        <v>0</v>
      </c>
      <c r="J1226">
        <v>121.08</v>
      </c>
      <c r="K1226" s="1">
        <v>45766</v>
      </c>
      <c r="L1226" t="s">
        <v>15</v>
      </c>
      <c r="M1226" t="s">
        <v>15</v>
      </c>
      <c r="N1226">
        <f>salesitems[[#This Row],[quantity]]*salesitems[[#This Row],[unit_price]]</f>
        <v>121.08</v>
      </c>
      <c r="O1226" t="str">
        <f>_xlfn.XLOOKUP(salesitems[[#This Row],[product_id]],products[product_id],products[product_name])</f>
        <v>Soft Cotton Trousers</v>
      </c>
      <c r="P1226" t="str">
        <f>_xlfn.XLOOKUP(salesitems[[#This Row],[product_id]],fashion_store_products!A:A,fashion_store_products!C:C)</f>
        <v>Pants</v>
      </c>
    </row>
    <row r="1227" spans="1:16" x14ac:dyDescent="0.45">
      <c r="A1227">
        <v>2116</v>
      </c>
      <c r="B1227">
        <v>305</v>
      </c>
      <c r="C1227">
        <v>292</v>
      </c>
      <c r="D1227">
        <v>3</v>
      </c>
      <c r="E1227">
        <v>40.119999999999997</v>
      </c>
      <c r="F1227">
        <v>40.119999999999997</v>
      </c>
      <c r="G1227">
        <v>0</v>
      </c>
      <c r="H1227" s="2">
        <v>0</v>
      </c>
      <c r="I1227">
        <v>0</v>
      </c>
      <c r="J1227">
        <v>120.36</v>
      </c>
      <c r="K1227" s="1">
        <v>45775</v>
      </c>
      <c r="L1227" t="s">
        <v>21</v>
      </c>
      <c r="M1227" t="s">
        <v>18</v>
      </c>
      <c r="N1227">
        <f>salesitems[[#This Row],[quantity]]*salesitems[[#This Row],[unit_price]]</f>
        <v>120.35999999999999</v>
      </c>
      <c r="O1227" t="str">
        <f>_xlfn.XLOOKUP(salesitems[[#This Row],[product_id]],products[product_id],products[product_name])</f>
        <v>Essential Cotton Tee</v>
      </c>
      <c r="P1227" t="str">
        <f>_xlfn.XLOOKUP(salesitems[[#This Row],[product_id]],fashion_store_products!A:A,fashion_store_products!C:C)</f>
        <v>T-Shirts</v>
      </c>
    </row>
    <row r="1228" spans="1:16" x14ac:dyDescent="0.45">
      <c r="A1228">
        <v>2746</v>
      </c>
      <c r="B1228">
        <v>509</v>
      </c>
      <c r="C1228">
        <v>475</v>
      </c>
      <c r="D1228">
        <v>3</v>
      </c>
      <c r="E1228">
        <v>39.69</v>
      </c>
      <c r="F1228">
        <v>39.69</v>
      </c>
      <c r="G1228">
        <v>0</v>
      </c>
      <c r="H1228" s="2">
        <v>0</v>
      </c>
      <c r="I1228">
        <v>0</v>
      </c>
      <c r="J1228">
        <v>119.07</v>
      </c>
      <c r="K1228" s="1">
        <v>45792</v>
      </c>
      <c r="L1228" t="s">
        <v>21</v>
      </c>
      <c r="M1228" t="s">
        <v>18</v>
      </c>
      <c r="N1228">
        <f>salesitems[[#This Row],[quantity]]*salesitems[[#This Row],[unit_price]]</f>
        <v>119.07</v>
      </c>
      <c r="O1228" t="str">
        <f>_xlfn.XLOOKUP(salesitems[[#This Row],[product_id]],products[product_id],products[product_name])</f>
        <v>Dresses Drop 3</v>
      </c>
      <c r="P1228" t="str">
        <f>_xlfn.XLOOKUP(salesitems[[#This Row],[product_id]],fashion_store_products!A:A,fashion_store_products!C:C)</f>
        <v>Dresses</v>
      </c>
    </row>
    <row r="1229" spans="1:16" x14ac:dyDescent="0.45">
      <c r="A1229">
        <v>1653</v>
      </c>
      <c r="B1229">
        <v>632</v>
      </c>
      <c r="C1229">
        <v>294</v>
      </c>
      <c r="D1229">
        <v>3</v>
      </c>
      <c r="E1229">
        <v>56.69</v>
      </c>
      <c r="F1229">
        <v>39.68</v>
      </c>
      <c r="G1229">
        <v>17.010000000000002</v>
      </c>
      <c r="H1229" s="2">
        <v>0.3</v>
      </c>
      <c r="I1229">
        <v>1</v>
      </c>
      <c r="J1229">
        <v>119.05</v>
      </c>
      <c r="K1229" s="1">
        <v>45793</v>
      </c>
      <c r="L1229" t="s">
        <v>15</v>
      </c>
      <c r="M1229" t="s">
        <v>11</v>
      </c>
      <c r="N1229">
        <f>salesitems[[#This Row],[quantity]]*salesitems[[#This Row],[unit_price]]</f>
        <v>119.03999999999999</v>
      </c>
      <c r="O1229" t="str">
        <f>_xlfn.XLOOKUP(salesitems[[#This Row],[product_id]],products[product_id],products[product_name])</f>
        <v>Essential Sleeveless Shoes</v>
      </c>
      <c r="P1229" t="str">
        <f>_xlfn.XLOOKUP(salesitems[[#This Row],[product_id]],fashion_store_products!A:A,fashion_store_products!C:C)</f>
        <v>Shoes</v>
      </c>
    </row>
    <row r="1230" spans="1:16" x14ac:dyDescent="0.45">
      <c r="A1230">
        <v>1963</v>
      </c>
      <c r="B1230">
        <v>822</v>
      </c>
      <c r="C1230">
        <v>294</v>
      </c>
      <c r="D1230">
        <v>3</v>
      </c>
      <c r="E1230">
        <v>56.69</v>
      </c>
      <c r="F1230">
        <v>39.68</v>
      </c>
      <c r="G1230">
        <v>17.010000000000002</v>
      </c>
      <c r="H1230" s="2">
        <v>0.3</v>
      </c>
      <c r="I1230">
        <v>1</v>
      </c>
      <c r="J1230">
        <v>119.05</v>
      </c>
      <c r="K1230" s="1">
        <v>45795</v>
      </c>
      <c r="L1230" t="s">
        <v>15</v>
      </c>
      <c r="M1230" t="s">
        <v>11</v>
      </c>
      <c r="N1230">
        <f>salesitems[[#This Row],[quantity]]*salesitems[[#This Row],[unit_price]]</f>
        <v>119.03999999999999</v>
      </c>
      <c r="O1230" t="str">
        <f>_xlfn.XLOOKUP(salesitems[[#This Row],[product_id]],products[product_id],products[product_name])</f>
        <v>Essential Sleeveless Shoes</v>
      </c>
      <c r="P1230" t="str">
        <f>_xlfn.XLOOKUP(salesitems[[#This Row],[product_id]],fashion_store_products!A:A,fashion_store_products!C:C)</f>
        <v>Shoes</v>
      </c>
    </row>
    <row r="1231" spans="1:16" x14ac:dyDescent="0.45">
      <c r="A1231">
        <v>1198</v>
      </c>
      <c r="B1231">
        <v>576</v>
      </c>
      <c r="C1231">
        <v>283</v>
      </c>
      <c r="D1231">
        <v>3</v>
      </c>
      <c r="E1231">
        <v>39.619999999999997</v>
      </c>
      <c r="F1231">
        <v>39.619999999999997</v>
      </c>
      <c r="G1231">
        <v>0</v>
      </c>
      <c r="H1231" s="2">
        <v>0</v>
      </c>
      <c r="I1231">
        <v>0</v>
      </c>
      <c r="J1231">
        <v>118.86</v>
      </c>
      <c r="K1231" s="1">
        <v>45821</v>
      </c>
      <c r="L1231" t="s">
        <v>21</v>
      </c>
      <c r="M1231" t="s">
        <v>18</v>
      </c>
      <c r="N1231">
        <f>salesitems[[#This Row],[quantity]]*salesitems[[#This Row],[unit_price]]</f>
        <v>118.85999999999999</v>
      </c>
      <c r="O1231" t="str">
        <f>_xlfn.XLOOKUP(salesitems[[#This Row],[product_id]],products[product_id],products[product_name])</f>
        <v>Essential Ribbed Shoes</v>
      </c>
      <c r="P1231" t="str">
        <f>_xlfn.XLOOKUP(salesitems[[#This Row],[product_id]],fashion_store_products!A:A,fashion_store_products!C:C)</f>
        <v>Shoes</v>
      </c>
    </row>
    <row r="1232" spans="1:16" x14ac:dyDescent="0.45">
      <c r="A1232">
        <v>1192</v>
      </c>
      <c r="B1232">
        <v>1062</v>
      </c>
      <c r="C1232">
        <v>490</v>
      </c>
      <c r="D1232">
        <v>3</v>
      </c>
      <c r="E1232">
        <v>39.42</v>
      </c>
      <c r="F1232">
        <v>39.42</v>
      </c>
      <c r="G1232">
        <v>0</v>
      </c>
      <c r="H1232" s="2">
        <v>0</v>
      </c>
      <c r="I1232">
        <v>0</v>
      </c>
      <c r="J1232">
        <v>118.26</v>
      </c>
      <c r="K1232" s="1">
        <v>45782</v>
      </c>
      <c r="L1232" t="s">
        <v>15</v>
      </c>
      <c r="M1232" t="s">
        <v>15</v>
      </c>
      <c r="N1232">
        <f>salesitems[[#This Row],[quantity]]*salesitems[[#This Row],[unit_price]]</f>
        <v>118.26</v>
      </c>
      <c r="O1232" t="str">
        <f>_xlfn.XLOOKUP(salesitems[[#This Row],[product_id]],products[product_id],products[product_name])</f>
        <v>Bold Boxy Shoes</v>
      </c>
      <c r="P1232" t="str">
        <f>_xlfn.XLOOKUP(salesitems[[#This Row],[product_id]],fashion_store_products!A:A,fashion_store_products!C:C)</f>
        <v>Shoes</v>
      </c>
    </row>
    <row r="1233" spans="1:16" x14ac:dyDescent="0.45">
      <c r="A1233">
        <v>2987</v>
      </c>
      <c r="B1233">
        <v>1086</v>
      </c>
      <c r="C1233">
        <v>490</v>
      </c>
      <c r="D1233">
        <v>3</v>
      </c>
      <c r="E1233">
        <v>39.42</v>
      </c>
      <c r="F1233">
        <v>39.42</v>
      </c>
      <c r="G1233">
        <v>0</v>
      </c>
      <c r="H1233" s="2">
        <v>0</v>
      </c>
      <c r="I1233">
        <v>0</v>
      </c>
      <c r="J1233">
        <v>118.26</v>
      </c>
      <c r="K1233" s="1">
        <v>45764</v>
      </c>
      <c r="L1233" t="s">
        <v>21</v>
      </c>
      <c r="M1233" t="s">
        <v>18</v>
      </c>
      <c r="N1233">
        <f>salesitems[[#This Row],[quantity]]*salesitems[[#This Row],[unit_price]]</f>
        <v>118.26</v>
      </c>
      <c r="O1233" t="str">
        <f>_xlfn.XLOOKUP(salesitems[[#This Row],[product_id]],products[product_id],products[product_name])</f>
        <v>Bold Boxy Shoes</v>
      </c>
      <c r="P1233" t="str">
        <f>_xlfn.XLOOKUP(salesitems[[#This Row],[product_id]],fashion_store_products!A:A,fashion_store_products!C:C)</f>
        <v>Shoes</v>
      </c>
    </row>
    <row r="1234" spans="1:16" x14ac:dyDescent="0.45">
      <c r="A1234">
        <v>129</v>
      </c>
      <c r="B1234">
        <v>151</v>
      </c>
      <c r="C1234">
        <v>178</v>
      </c>
      <c r="D1234">
        <v>3</v>
      </c>
      <c r="E1234">
        <v>39.340000000000003</v>
      </c>
      <c r="F1234">
        <v>39.340000000000003</v>
      </c>
      <c r="G1234">
        <v>0</v>
      </c>
      <c r="H1234" s="2">
        <v>0</v>
      </c>
      <c r="I1234">
        <v>0</v>
      </c>
      <c r="J1234">
        <v>118.02</v>
      </c>
      <c r="K1234" s="1">
        <v>45761</v>
      </c>
      <c r="L1234" t="s">
        <v>21</v>
      </c>
      <c r="M1234" t="s">
        <v>18</v>
      </c>
      <c r="N1234">
        <f>salesitems[[#This Row],[quantity]]*salesitems[[#This Row],[unit_price]]</f>
        <v>118.02000000000001</v>
      </c>
      <c r="O1234" t="str">
        <f>_xlfn.XLOOKUP(salesitems[[#This Row],[product_id]],products[product_id],products[product_name])</f>
        <v>Classic Boxy Trousers</v>
      </c>
      <c r="P1234" t="str">
        <f>_xlfn.XLOOKUP(salesitems[[#This Row],[product_id]],fashion_store_products!A:A,fashion_store_products!C:C)</f>
        <v>Pants</v>
      </c>
    </row>
    <row r="1235" spans="1:16" x14ac:dyDescent="0.45">
      <c r="A1235">
        <v>2344</v>
      </c>
      <c r="B1235">
        <v>401</v>
      </c>
      <c r="C1235">
        <v>204</v>
      </c>
      <c r="D1235">
        <v>3</v>
      </c>
      <c r="E1235">
        <v>39.200000000000003</v>
      </c>
      <c r="F1235">
        <v>39.200000000000003</v>
      </c>
      <c r="G1235">
        <v>0</v>
      </c>
      <c r="H1235" s="2">
        <v>0</v>
      </c>
      <c r="I1235">
        <v>0</v>
      </c>
      <c r="J1235">
        <v>117.6</v>
      </c>
      <c r="K1235" s="1">
        <v>45762</v>
      </c>
      <c r="L1235" t="s">
        <v>21</v>
      </c>
      <c r="M1235" t="s">
        <v>18</v>
      </c>
      <c r="N1235">
        <f>salesitems[[#This Row],[quantity]]*salesitems[[#This Row],[unit_price]]</f>
        <v>117.60000000000001</v>
      </c>
      <c r="O1235" t="str">
        <f>_xlfn.XLOOKUP(salesitems[[#This Row],[product_id]],products[product_id],products[product_name])</f>
        <v>Polished Boxy Dress</v>
      </c>
      <c r="P1235" t="str">
        <f>_xlfn.XLOOKUP(salesitems[[#This Row],[product_id]],fashion_store_products!A:A,fashion_store_products!C:C)</f>
        <v>Dresses</v>
      </c>
    </row>
    <row r="1236" spans="1:16" x14ac:dyDescent="0.45">
      <c r="A1236">
        <v>3155</v>
      </c>
      <c r="B1236">
        <v>511</v>
      </c>
      <c r="C1236">
        <v>204</v>
      </c>
      <c r="D1236">
        <v>3</v>
      </c>
      <c r="E1236">
        <v>39.200000000000003</v>
      </c>
      <c r="F1236">
        <v>39.200000000000003</v>
      </c>
      <c r="G1236">
        <v>0</v>
      </c>
      <c r="H1236" s="2">
        <v>0</v>
      </c>
      <c r="I1236">
        <v>0</v>
      </c>
      <c r="J1236">
        <v>117.6</v>
      </c>
      <c r="K1236" s="1">
        <v>45751</v>
      </c>
      <c r="L1236" t="s">
        <v>21</v>
      </c>
      <c r="M1236" t="s">
        <v>18</v>
      </c>
      <c r="N1236">
        <f>salesitems[[#This Row],[quantity]]*salesitems[[#This Row],[unit_price]]</f>
        <v>117.60000000000001</v>
      </c>
      <c r="O1236" t="str">
        <f>_xlfn.XLOOKUP(salesitems[[#This Row],[product_id]],products[product_id],products[product_name])</f>
        <v>Polished Boxy Dress</v>
      </c>
      <c r="P1236" t="str">
        <f>_xlfn.XLOOKUP(salesitems[[#This Row],[product_id]],fashion_store_products!A:A,fashion_store_products!C:C)</f>
        <v>Dresses</v>
      </c>
    </row>
    <row r="1237" spans="1:16" x14ac:dyDescent="0.45">
      <c r="A1237">
        <v>3349</v>
      </c>
      <c r="B1237">
        <v>332</v>
      </c>
      <c r="C1237">
        <v>204</v>
      </c>
      <c r="D1237">
        <v>3</v>
      </c>
      <c r="E1237">
        <v>39.200000000000003</v>
      </c>
      <c r="F1237">
        <v>39.200000000000003</v>
      </c>
      <c r="G1237">
        <v>0</v>
      </c>
      <c r="H1237" s="2">
        <v>0</v>
      </c>
      <c r="I1237">
        <v>0</v>
      </c>
      <c r="J1237">
        <v>117.6</v>
      </c>
      <c r="K1237" s="1">
        <v>45801</v>
      </c>
      <c r="L1237" t="s">
        <v>15</v>
      </c>
      <c r="M1237" t="s">
        <v>15</v>
      </c>
      <c r="N1237">
        <f>salesitems[[#This Row],[quantity]]*salesitems[[#This Row],[unit_price]]</f>
        <v>117.60000000000001</v>
      </c>
      <c r="O1237" t="str">
        <f>_xlfn.XLOOKUP(salesitems[[#This Row],[product_id]],products[product_id],products[product_name])</f>
        <v>Polished Boxy Dress</v>
      </c>
      <c r="P1237" t="str">
        <f>_xlfn.XLOOKUP(salesitems[[#This Row],[product_id]],fashion_store_products!A:A,fashion_store_products!C:C)</f>
        <v>Dresses</v>
      </c>
    </row>
    <row r="1238" spans="1:16" x14ac:dyDescent="0.45">
      <c r="A1238">
        <v>1583</v>
      </c>
      <c r="B1238">
        <v>425</v>
      </c>
      <c r="C1238">
        <v>113</v>
      </c>
      <c r="D1238">
        <v>3</v>
      </c>
      <c r="E1238">
        <v>39.18</v>
      </c>
      <c r="F1238">
        <v>39.18</v>
      </c>
      <c r="G1238">
        <v>0</v>
      </c>
      <c r="H1238" s="2">
        <v>0</v>
      </c>
      <c r="I1238">
        <v>0</v>
      </c>
      <c r="J1238">
        <v>117.54</v>
      </c>
      <c r="K1238" s="1">
        <v>45763</v>
      </c>
      <c r="L1238" t="s">
        <v>21</v>
      </c>
      <c r="M1238" t="s">
        <v>18</v>
      </c>
      <c r="N1238">
        <f>salesitems[[#This Row],[quantity]]*salesitems[[#This Row],[unit_price]]</f>
        <v>117.53999999999999</v>
      </c>
      <c r="O1238" t="str">
        <f>_xlfn.XLOOKUP(salesitems[[#This Row],[product_id]],products[product_id],products[product_name])</f>
        <v>Classic Boxy Dress</v>
      </c>
      <c r="P1238" t="str">
        <f>_xlfn.XLOOKUP(salesitems[[#This Row],[product_id]],fashion_store_products!A:A,fashion_store_products!C:C)</f>
        <v>Dresses</v>
      </c>
    </row>
    <row r="1239" spans="1:16" x14ac:dyDescent="0.45">
      <c r="A1239">
        <v>2558</v>
      </c>
      <c r="B1239">
        <v>959</v>
      </c>
      <c r="C1239">
        <v>141</v>
      </c>
      <c r="D1239">
        <v>3</v>
      </c>
      <c r="E1239">
        <v>39.159999999999997</v>
      </c>
      <c r="F1239">
        <v>39.159999999999997</v>
      </c>
      <c r="G1239">
        <v>0</v>
      </c>
      <c r="H1239" s="2">
        <v>0</v>
      </c>
      <c r="I1239">
        <v>0</v>
      </c>
      <c r="J1239">
        <v>117.48</v>
      </c>
      <c r="K1239" s="1">
        <v>45752</v>
      </c>
      <c r="L1239" t="s">
        <v>21</v>
      </c>
      <c r="M1239" t="s">
        <v>18</v>
      </c>
      <c r="N1239">
        <f>salesitems[[#This Row],[quantity]]*salesitems[[#This Row],[unit_price]]</f>
        <v>117.47999999999999</v>
      </c>
      <c r="O1239" t="str">
        <f>_xlfn.XLOOKUP(salesitems[[#This Row],[product_id]],products[product_id],products[product_name])</f>
        <v>Vintage Cotton Dress</v>
      </c>
      <c r="P1239" t="str">
        <f>_xlfn.XLOOKUP(salesitems[[#This Row],[product_id]],fashion_store_products!A:A,fashion_store_products!C:C)</f>
        <v>Dresses</v>
      </c>
    </row>
    <row r="1240" spans="1:16" x14ac:dyDescent="0.45">
      <c r="A1240">
        <v>150</v>
      </c>
      <c r="B1240">
        <v>1208</v>
      </c>
      <c r="C1240">
        <v>211</v>
      </c>
      <c r="D1240">
        <v>3</v>
      </c>
      <c r="E1240">
        <v>43.5</v>
      </c>
      <c r="F1240">
        <v>39.15</v>
      </c>
      <c r="G1240">
        <v>4.3499999999999996</v>
      </c>
      <c r="H1240" s="2">
        <v>0.1</v>
      </c>
      <c r="I1240">
        <v>1</v>
      </c>
      <c r="J1240">
        <v>117.45</v>
      </c>
      <c r="K1240" s="1">
        <v>45814</v>
      </c>
      <c r="L1240" t="s">
        <v>21</v>
      </c>
      <c r="M1240" t="s">
        <v>18</v>
      </c>
      <c r="N1240">
        <f>salesitems[[#This Row],[quantity]]*salesitems[[#This Row],[unit_price]]</f>
        <v>117.44999999999999</v>
      </c>
      <c r="O1240" t="str">
        <f>_xlfn.XLOOKUP(salesitems[[#This Row],[product_id]],products[product_id],products[product_name])</f>
        <v>Polished Cotton Shoes</v>
      </c>
      <c r="P1240" t="str">
        <f>_xlfn.XLOOKUP(salesitems[[#This Row],[product_id]],fashion_store_products!A:A,fashion_store_products!C:C)</f>
        <v>Shoes</v>
      </c>
    </row>
    <row r="1241" spans="1:16" x14ac:dyDescent="0.45">
      <c r="A1241">
        <v>2766</v>
      </c>
      <c r="B1241">
        <v>80</v>
      </c>
      <c r="C1241">
        <v>456</v>
      </c>
      <c r="D1241">
        <v>3</v>
      </c>
      <c r="E1241">
        <v>39.090000000000003</v>
      </c>
      <c r="F1241">
        <v>39.090000000000003</v>
      </c>
      <c r="G1241">
        <v>0</v>
      </c>
      <c r="H1241" s="2">
        <v>0</v>
      </c>
      <c r="I1241">
        <v>0</v>
      </c>
      <c r="J1241">
        <v>117.27</v>
      </c>
      <c r="K1241" s="1">
        <v>45802</v>
      </c>
      <c r="L1241" t="s">
        <v>21</v>
      </c>
      <c r="M1241" t="s">
        <v>18</v>
      </c>
      <c r="N1241">
        <f>salesitems[[#This Row],[quantity]]*salesitems[[#This Row],[unit_price]]</f>
        <v>117.27000000000001</v>
      </c>
      <c r="O1241" t="str">
        <f>_xlfn.XLOOKUP(salesitems[[#This Row],[product_id]],products[product_id],products[product_name])</f>
        <v>Bold Sleeveless Dress</v>
      </c>
      <c r="P1241" t="str">
        <f>_xlfn.XLOOKUP(salesitems[[#This Row],[product_id]],fashion_store_products!A:A,fashion_store_products!C:C)</f>
        <v>Dresses</v>
      </c>
    </row>
    <row r="1242" spans="1:16" x14ac:dyDescent="0.45">
      <c r="A1242">
        <v>1069</v>
      </c>
      <c r="B1242">
        <v>294</v>
      </c>
      <c r="C1242">
        <v>477</v>
      </c>
      <c r="D1242">
        <v>3</v>
      </c>
      <c r="E1242">
        <v>38.9</v>
      </c>
      <c r="F1242">
        <v>38.9</v>
      </c>
      <c r="G1242">
        <v>0</v>
      </c>
      <c r="H1242" s="2">
        <v>0</v>
      </c>
      <c r="I1242">
        <v>0</v>
      </c>
      <c r="J1242">
        <v>116.7</v>
      </c>
      <c r="K1242" s="1">
        <v>45825</v>
      </c>
      <c r="L1242" t="s">
        <v>21</v>
      </c>
      <c r="M1242" t="s">
        <v>18</v>
      </c>
      <c r="N1242">
        <f>salesitems[[#This Row],[quantity]]*salesitems[[#This Row],[unit_price]]</f>
        <v>116.69999999999999</v>
      </c>
      <c r="O1242" t="str">
        <f>_xlfn.XLOOKUP(salesitems[[#This Row],[product_id]],products[product_id],products[product_name])</f>
        <v>Bold Silk Shoes</v>
      </c>
      <c r="P1242" t="str">
        <f>_xlfn.XLOOKUP(salesitems[[#This Row],[product_id]],fashion_store_products!A:A,fashion_store_products!C:C)</f>
        <v>Shoes</v>
      </c>
    </row>
    <row r="1243" spans="1:16" x14ac:dyDescent="0.45">
      <c r="A1243">
        <v>1781</v>
      </c>
      <c r="B1243">
        <v>1055</v>
      </c>
      <c r="C1243">
        <v>477</v>
      </c>
      <c r="D1243">
        <v>3</v>
      </c>
      <c r="E1243">
        <v>38.9</v>
      </c>
      <c r="F1243">
        <v>38.9</v>
      </c>
      <c r="G1243">
        <v>0</v>
      </c>
      <c r="H1243" s="2">
        <v>0</v>
      </c>
      <c r="I1243">
        <v>0</v>
      </c>
      <c r="J1243">
        <v>116.7</v>
      </c>
      <c r="K1243" s="1">
        <v>45798</v>
      </c>
      <c r="L1243" t="s">
        <v>15</v>
      </c>
      <c r="M1243" t="s">
        <v>15</v>
      </c>
      <c r="N1243">
        <f>salesitems[[#This Row],[quantity]]*salesitems[[#This Row],[unit_price]]</f>
        <v>116.69999999999999</v>
      </c>
      <c r="O1243" t="str">
        <f>_xlfn.XLOOKUP(salesitems[[#This Row],[product_id]],products[product_id],products[product_name])</f>
        <v>Bold Silk Shoes</v>
      </c>
      <c r="P1243" t="str">
        <f>_xlfn.XLOOKUP(salesitems[[#This Row],[product_id]],fashion_store_products!A:A,fashion_store_products!C:C)</f>
        <v>Shoes</v>
      </c>
    </row>
    <row r="1244" spans="1:16" x14ac:dyDescent="0.45">
      <c r="A1244">
        <v>190</v>
      </c>
      <c r="B1244">
        <v>830</v>
      </c>
      <c r="C1244">
        <v>180</v>
      </c>
      <c r="D1244">
        <v>3</v>
      </c>
      <c r="E1244">
        <v>38.81</v>
      </c>
      <c r="F1244">
        <v>38.81</v>
      </c>
      <c r="G1244">
        <v>0</v>
      </c>
      <c r="H1244" s="2">
        <v>0</v>
      </c>
      <c r="I1244">
        <v>0</v>
      </c>
      <c r="J1244">
        <v>116.43</v>
      </c>
      <c r="K1244" s="1">
        <v>45822</v>
      </c>
      <c r="L1244" t="s">
        <v>15</v>
      </c>
      <c r="M1244" t="s">
        <v>15</v>
      </c>
      <c r="N1244">
        <f>salesitems[[#This Row],[quantity]]*salesitems[[#This Row],[unit_price]]</f>
        <v>116.43</v>
      </c>
      <c r="O1244" t="str">
        <f>_xlfn.XLOOKUP(salesitems[[#This Row],[product_id]],products[product_id],products[product_name])</f>
        <v>Vintage Sleeveless Shoes</v>
      </c>
      <c r="P1244" t="str">
        <f>_xlfn.XLOOKUP(salesitems[[#This Row],[product_id]],fashion_store_products!A:A,fashion_store_products!C:C)</f>
        <v>Shoes</v>
      </c>
    </row>
    <row r="1245" spans="1:16" x14ac:dyDescent="0.45">
      <c r="A1245">
        <v>2792</v>
      </c>
      <c r="B1245">
        <v>344</v>
      </c>
      <c r="C1245">
        <v>180</v>
      </c>
      <c r="D1245">
        <v>3</v>
      </c>
      <c r="E1245">
        <v>38.81</v>
      </c>
      <c r="F1245">
        <v>38.81</v>
      </c>
      <c r="G1245">
        <v>0</v>
      </c>
      <c r="H1245" s="2">
        <v>0</v>
      </c>
      <c r="I1245">
        <v>0</v>
      </c>
      <c r="J1245">
        <v>116.43</v>
      </c>
      <c r="K1245" s="1">
        <v>45822</v>
      </c>
      <c r="L1245" t="s">
        <v>15</v>
      </c>
      <c r="M1245" t="s">
        <v>15</v>
      </c>
      <c r="N1245">
        <f>salesitems[[#This Row],[quantity]]*salesitems[[#This Row],[unit_price]]</f>
        <v>116.43</v>
      </c>
      <c r="O1245" t="str">
        <f>_xlfn.XLOOKUP(salesitems[[#This Row],[product_id]],products[product_id],products[product_name])</f>
        <v>Vintage Sleeveless Shoes</v>
      </c>
      <c r="P1245" t="str">
        <f>_xlfn.XLOOKUP(salesitems[[#This Row],[product_id]],fashion_store_products!A:A,fashion_store_products!C:C)</f>
        <v>Shoes</v>
      </c>
    </row>
    <row r="1246" spans="1:16" x14ac:dyDescent="0.45">
      <c r="A1246">
        <v>1376</v>
      </c>
      <c r="B1246">
        <v>1349</v>
      </c>
      <c r="C1246">
        <v>233</v>
      </c>
      <c r="D1246">
        <v>3</v>
      </c>
      <c r="E1246">
        <v>38.68</v>
      </c>
      <c r="F1246">
        <v>38.68</v>
      </c>
      <c r="G1246">
        <v>0</v>
      </c>
      <c r="H1246" s="2">
        <v>0</v>
      </c>
      <c r="I1246">
        <v>0</v>
      </c>
      <c r="J1246">
        <v>116.04</v>
      </c>
      <c r="K1246" s="1">
        <v>45804</v>
      </c>
      <c r="L1246" t="s">
        <v>21</v>
      </c>
      <c r="M1246" t="s">
        <v>18</v>
      </c>
      <c r="N1246">
        <f>salesitems[[#This Row],[quantity]]*salesitems[[#This Row],[unit_price]]</f>
        <v>116.03999999999999</v>
      </c>
      <c r="O1246" t="str">
        <f>_xlfn.XLOOKUP(salesitems[[#This Row],[product_id]],products[product_id],products[product_name])</f>
        <v>Relaxed Wrap Shoes</v>
      </c>
      <c r="P1246" t="str">
        <f>_xlfn.XLOOKUP(salesitems[[#This Row],[product_id]],fashion_store_products!A:A,fashion_store_products!C:C)</f>
        <v>Shoes</v>
      </c>
    </row>
    <row r="1247" spans="1:16" x14ac:dyDescent="0.45">
      <c r="A1247">
        <v>2041</v>
      </c>
      <c r="B1247">
        <v>189</v>
      </c>
      <c r="C1247">
        <v>376</v>
      </c>
      <c r="D1247">
        <v>3</v>
      </c>
      <c r="E1247">
        <v>38.520000000000003</v>
      </c>
      <c r="F1247">
        <v>38.520000000000003</v>
      </c>
      <c r="G1247">
        <v>0</v>
      </c>
      <c r="H1247" s="2">
        <v>0</v>
      </c>
      <c r="I1247">
        <v>0</v>
      </c>
      <c r="J1247">
        <v>115.56</v>
      </c>
      <c r="K1247" s="1">
        <v>45772</v>
      </c>
      <c r="L1247" t="s">
        <v>21</v>
      </c>
      <c r="M1247" t="s">
        <v>18</v>
      </c>
      <c r="N1247">
        <f>salesitems[[#This Row],[quantity]]*salesitems[[#This Row],[unit_price]]</f>
        <v>115.56</v>
      </c>
      <c r="O1247" t="str">
        <f>_xlfn.XLOOKUP(salesitems[[#This Row],[product_id]],products[product_id],products[product_name])</f>
        <v>Tailored Satin Set</v>
      </c>
      <c r="P1247" t="str">
        <f>_xlfn.XLOOKUP(salesitems[[#This Row],[product_id]],fashion_store_products!A:A,fashion_store_products!C:C)</f>
        <v>Sleepwear</v>
      </c>
    </row>
    <row r="1248" spans="1:16" x14ac:dyDescent="0.45">
      <c r="A1248">
        <v>2885</v>
      </c>
      <c r="B1248">
        <v>1165</v>
      </c>
      <c r="C1248">
        <v>376</v>
      </c>
      <c r="D1248">
        <v>3</v>
      </c>
      <c r="E1248">
        <v>38.520000000000003</v>
      </c>
      <c r="F1248">
        <v>38.520000000000003</v>
      </c>
      <c r="G1248">
        <v>0</v>
      </c>
      <c r="H1248" s="2">
        <v>0</v>
      </c>
      <c r="I1248">
        <v>0</v>
      </c>
      <c r="J1248">
        <v>115.56</v>
      </c>
      <c r="K1248" s="1">
        <v>45769</v>
      </c>
      <c r="L1248" t="s">
        <v>21</v>
      </c>
      <c r="M1248" t="s">
        <v>18</v>
      </c>
      <c r="N1248">
        <f>salesitems[[#This Row],[quantity]]*salesitems[[#This Row],[unit_price]]</f>
        <v>115.56</v>
      </c>
      <c r="O1248" t="str">
        <f>_xlfn.XLOOKUP(salesitems[[#This Row],[product_id]],products[product_id],products[product_name])</f>
        <v>Tailored Satin Set</v>
      </c>
      <c r="P1248" t="str">
        <f>_xlfn.XLOOKUP(salesitems[[#This Row],[product_id]],fashion_store_products!A:A,fashion_store_products!C:C)</f>
        <v>Sleepwear</v>
      </c>
    </row>
    <row r="1249" spans="1:16" x14ac:dyDescent="0.45">
      <c r="A1249">
        <v>1645</v>
      </c>
      <c r="B1249">
        <v>618</v>
      </c>
      <c r="C1249">
        <v>484</v>
      </c>
      <c r="D1249">
        <v>3</v>
      </c>
      <c r="E1249">
        <v>38.49</v>
      </c>
      <c r="F1249">
        <v>38.49</v>
      </c>
      <c r="G1249">
        <v>0</v>
      </c>
      <c r="H1249" s="2">
        <v>0</v>
      </c>
      <c r="I1249">
        <v>0</v>
      </c>
      <c r="J1249">
        <v>115.47</v>
      </c>
      <c r="K1249" s="1">
        <v>45766</v>
      </c>
      <c r="L1249" t="s">
        <v>15</v>
      </c>
      <c r="M1249" t="s">
        <v>15</v>
      </c>
      <c r="N1249">
        <f>salesitems[[#This Row],[quantity]]*salesitems[[#This Row],[unit_price]]</f>
        <v>115.47</v>
      </c>
      <c r="O1249" t="str">
        <f>_xlfn.XLOOKUP(salesitems[[#This Row],[product_id]],products[product_id],products[product_name])</f>
        <v>Tailored Silk Trousers</v>
      </c>
      <c r="P1249" t="str">
        <f>_xlfn.XLOOKUP(salesitems[[#This Row],[product_id]],fashion_store_products!A:A,fashion_store_products!C:C)</f>
        <v>Pants</v>
      </c>
    </row>
    <row r="1250" spans="1:16" x14ac:dyDescent="0.45">
      <c r="A1250">
        <v>2259</v>
      </c>
      <c r="B1250">
        <v>645</v>
      </c>
      <c r="C1250">
        <v>484</v>
      </c>
      <c r="D1250">
        <v>3</v>
      </c>
      <c r="E1250">
        <v>38.49</v>
      </c>
      <c r="F1250">
        <v>38.49</v>
      </c>
      <c r="G1250">
        <v>0</v>
      </c>
      <c r="H1250" s="2">
        <v>0</v>
      </c>
      <c r="I1250">
        <v>0</v>
      </c>
      <c r="J1250">
        <v>115.47</v>
      </c>
      <c r="K1250" s="1">
        <v>45761</v>
      </c>
      <c r="L1250" t="s">
        <v>21</v>
      </c>
      <c r="M1250" t="s">
        <v>18</v>
      </c>
      <c r="N1250">
        <f>salesitems[[#This Row],[quantity]]*salesitems[[#This Row],[unit_price]]</f>
        <v>115.47</v>
      </c>
      <c r="O1250" t="str">
        <f>_xlfn.XLOOKUP(salesitems[[#This Row],[product_id]],products[product_id],products[product_name])</f>
        <v>Tailored Silk Trousers</v>
      </c>
      <c r="P1250" t="str">
        <f>_xlfn.XLOOKUP(salesitems[[#This Row],[product_id]],fashion_store_products!A:A,fashion_store_products!C:C)</f>
        <v>Pants</v>
      </c>
    </row>
    <row r="1251" spans="1:16" x14ac:dyDescent="0.45">
      <c r="A1251">
        <v>1840</v>
      </c>
      <c r="B1251">
        <v>406</v>
      </c>
      <c r="C1251">
        <v>417</v>
      </c>
      <c r="D1251">
        <v>3</v>
      </c>
      <c r="E1251">
        <v>38.42</v>
      </c>
      <c r="F1251">
        <v>38.42</v>
      </c>
      <c r="G1251">
        <v>0</v>
      </c>
      <c r="H1251" s="2">
        <v>0</v>
      </c>
      <c r="I1251">
        <v>0</v>
      </c>
      <c r="J1251">
        <v>115.26</v>
      </c>
      <c r="K1251" s="1">
        <v>45791</v>
      </c>
      <c r="L1251" t="s">
        <v>21</v>
      </c>
      <c r="M1251" t="s">
        <v>18</v>
      </c>
      <c r="N1251">
        <f>salesitems[[#This Row],[quantity]]*salesitems[[#This Row],[unit_price]]</f>
        <v>115.26</v>
      </c>
      <c r="O1251" t="str">
        <f>_xlfn.XLOOKUP(salesitems[[#This Row],[product_id]],products[product_id],products[product_name])</f>
        <v>Elegant Silk Shoes</v>
      </c>
      <c r="P1251" t="str">
        <f>_xlfn.XLOOKUP(salesitems[[#This Row],[product_id]],fashion_store_products!A:A,fashion_store_products!C:C)</f>
        <v>Shoes</v>
      </c>
    </row>
    <row r="1252" spans="1:16" x14ac:dyDescent="0.45">
      <c r="A1252">
        <v>672</v>
      </c>
      <c r="B1252">
        <v>281</v>
      </c>
      <c r="C1252">
        <v>304</v>
      </c>
      <c r="D1252">
        <v>3</v>
      </c>
      <c r="E1252">
        <v>54.88</v>
      </c>
      <c r="F1252">
        <v>38.42</v>
      </c>
      <c r="G1252">
        <v>16.46</v>
      </c>
      <c r="H1252" s="2">
        <v>0.3</v>
      </c>
      <c r="I1252">
        <v>1</v>
      </c>
      <c r="J1252">
        <v>115.25</v>
      </c>
      <c r="K1252" s="1">
        <v>45794</v>
      </c>
      <c r="L1252" t="s">
        <v>15</v>
      </c>
      <c r="M1252" t="s">
        <v>11</v>
      </c>
      <c r="N1252">
        <f>salesitems[[#This Row],[quantity]]*salesitems[[#This Row],[unit_price]]</f>
        <v>115.26</v>
      </c>
      <c r="O1252" t="str">
        <f>_xlfn.XLOOKUP(salesitems[[#This Row],[product_id]],products[product_id],products[product_name])</f>
        <v>Essential Silk Tee</v>
      </c>
      <c r="P1252" t="str">
        <f>_xlfn.XLOOKUP(salesitems[[#This Row],[product_id]],fashion_store_products!A:A,fashion_store_products!C:C)</f>
        <v>T-Shirts</v>
      </c>
    </row>
    <row r="1253" spans="1:16" x14ac:dyDescent="0.45">
      <c r="A1253">
        <v>1760</v>
      </c>
      <c r="B1253">
        <v>392</v>
      </c>
      <c r="C1253">
        <v>256</v>
      </c>
      <c r="D1253">
        <v>3</v>
      </c>
      <c r="E1253">
        <v>38.409999999999997</v>
      </c>
      <c r="F1253">
        <v>38.409999999999997</v>
      </c>
      <c r="G1253">
        <v>0</v>
      </c>
      <c r="H1253" s="2">
        <v>0</v>
      </c>
      <c r="I1253">
        <v>0</v>
      </c>
      <c r="J1253">
        <v>115.23</v>
      </c>
      <c r="K1253" s="1">
        <v>45798</v>
      </c>
      <c r="L1253" t="s">
        <v>21</v>
      </c>
      <c r="M1253" t="s">
        <v>18</v>
      </c>
      <c r="N1253">
        <f>salesitems[[#This Row],[quantity]]*salesitems[[#This Row],[unit_price]]</f>
        <v>115.22999999999999</v>
      </c>
      <c r="O1253" t="str">
        <f>_xlfn.XLOOKUP(salesitems[[#This Row],[product_id]],products[product_id],products[product_name])</f>
        <v>Polished Crew Set</v>
      </c>
      <c r="P1253" t="str">
        <f>_xlfn.XLOOKUP(salesitems[[#This Row],[product_id]],fashion_store_products!A:A,fashion_store_products!C:C)</f>
        <v>Sleepwear</v>
      </c>
    </row>
    <row r="1254" spans="1:16" x14ac:dyDescent="0.45">
      <c r="A1254">
        <v>3161</v>
      </c>
      <c r="B1254">
        <v>619</v>
      </c>
      <c r="C1254">
        <v>389</v>
      </c>
      <c r="D1254">
        <v>3</v>
      </c>
      <c r="E1254">
        <v>54.76</v>
      </c>
      <c r="F1254">
        <v>38.33</v>
      </c>
      <c r="G1254">
        <v>16.43</v>
      </c>
      <c r="H1254" s="2">
        <v>0.3</v>
      </c>
      <c r="I1254">
        <v>1</v>
      </c>
      <c r="J1254">
        <v>115</v>
      </c>
      <c r="K1254" s="1">
        <v>45792</v>
      </c>
      <c r="L1254" t="s">
        <v>15</v>
      </c>
      <c r="M1254" t="s">
        <v>11</v>
      </c>
      <c r="N1254">
        <f>salesitems[[#This Row],[quantity]]*salesitems[[#This Row],[unit_price]]</f>
        <v>114.99</v>
      </c>
      <c r="O1254" t="str">
        <f>_xlfn.XLOOKUP(salesitems[[#This Row],[product_id]],products[product_id],products[product_name])</f>
        <v>Tailored Boxy Set</v>
      </c>
      <c r="P1254" t="str">
        <f>_xlfn.XLOOKUP(salesitems[[#This Row],[product_id]],fashion_store_products!A:A,fashion_store_products!C:C)</f>
        <v>Sleepwear</v>
      </c>
    </row>
    <row r="1255" spans="1:16" x14ac:dyDescent="0.45">
      <c r="A1255">
        <v>865</v>
      </c>
      <c r="B1255">
        <v>859</v>
      </c>
      <c r="C1255">
        <v>498</v>
      </c>
      <c r="D1255">
        <v>3</v>
      </c>
      <c r="E1255">
        <v>38.33</v>
      </c>
      <c r="F1255">
        <v>38.33</v>
      </c>
      <c r="G1255">
        <v>0</v>
      </c>
      <c r="H1255" s="2">
        <v>0</v>
      </c>
      <c r="I1255">
        <v>0</v>
      </c>
      <c r="J1255">
        <v>114.99</v>
      </c>
      <c r="K1255" s="1">
        <v>45799</v>
      </c>
      <c r="L1255" t="s">
        <v>21</v>
      </c>
      <c r="M1255" t="s">
        <v>18</v>
      </c>
      <c r="N1255">
        <f>salesitems[[#This Row],[quantity]]*salesitems[[#This Row],[unit_price]]</f>
        <v>114.99</v>
      </c>
      <c r="O1255" t="str">
        <f>_xlfn.XLOOKUP(salesitems[[#This Row],[product_id]],products[product_id],products[product_name])</f>
        <v>T-Shirts Drop 8</v>
      </c>
      <c r="P1255" t="str">
        <f>_xlfn.XLOOKUP(salesitems[[#This Row],[product_id]],fashion_store_products!A:A,fashion_store_products!C:C)</f>
        <v>T-Shirts</v>
      </c>
    </row>
    <row r="1256" spans="1:16" x14ac:dyDescent="0.45">
      <c r="A1256">
        <v>1013</v>
      </c>
      <c r="B1256">
        <v>1344</v>
      </c>
      <c r="C1256">
        <v>498</v>
      </c>
      <c r="D1256">
        <v>3</v>
      </c>
      <c r="E1256">
        <v>38.33</v>
      </c>
      <c r="F1256">
        <v>38.33</v>
      </c>
      <c r="G1256">
        <v>0</v>
      </c>
      <c r="H1256" s="2">
        <v>0</v>
      </c>
      <c r="I1256">
        <v>0</v>
      </c>
      <c r="J1256">
        <v>114.99</v>
      </c>
      <c r="K1256" s="1">
        <v>45768</v>
      </c>
      <c r="L1256" t="s">
        <v>15</v>
      </c>
      <c r="M1256" t="s">
        <v>15</v>
      </c>
      <c r="N1256">
        <f>salesitems[[#This Row],[quantity]]*salesitems[[#This Row],[unit_price]]</f>
        <v>114.99</v>
      </c>
      <c r="O1256" t="str">
        <f>_xlfn.XLOOKUP(salesitems[[#This Row],[product_id]],products[product_id],products[product_name])</f>
        <v>T-Shirts Drop 8</v>
      </c>
      <c r="P1256" t="str">
        <f>_xlfn.XLOOKUP(salesitems[[#This Row],[product_id]],fashion_store_products!A:A,fashion_store_products!C:C)</f>
        <v>T-Shirts</v>
      </c>
    </row>
    <row r="1257" spans="1:16" x14ac:dyDescent="0.45">
      <c r="A1257">
        <v>1451</v>
      </c>
      <c r="B1257">
        <v>210</v>
      </c>
      <c r="C1257">
        <v>240</v>
      </c>
      <c r="D1257">
        <v>3</v>
      </c>
      <c r="E1257">
        <v>38.14</v>
      </c>
      <c r="F1257">
        <v>38.14</v>
      </c>
      <c r="G1257">
        <v>0</v>
      </c>
      <c r="H1257" s="2">
        <v>0</v>
      </c>
      <c r="I1257">
        <v>0</v>
      </c>
      <c r="J1257">
        <v>114.42</v>
      </c>
      <c r="K1257" s="1">
        <v>45799</v>
      </c>
      <c r="L1257" t="s">
        <v>21</v>
      </c>
      <c r="M1257" t="s">
        <v>18</v>
      </c>
      <c r="N1257">
        <f>salesitems[[#This Row],[quantity]]*salesitems[[#This Row],[unit_price]]</f>
        <v>114.42</v>
      </c>
      <c r="O1257" t="str">
        <f>_xlfn.XLOOKUP(salesitems[[#This Row],[product_id]],products[product_id],products[product_name])</f>
        <v>Polished Linen Trousers</v>
      </c>
      <c r="P1257" t="str">
        <f>_xlfn.XLOOKUP(salesitems[[#This Row],[product_id]],fashion_store_products!A:A,fashion_store_products!C:C)</f>
        <v>Pants</v>
      </c>
    </row>
    <row r="1258" spans="1:16" x14ac:dyDescent="0.45">
      <c r="A1258">
        <v>2940</v>
      </c>
      <c r="B1258">
        <v>1137</v>
      </c>
      <c r="C1258">
        <v>240</v>
      </c>
      <c r="D1258">
        <v>3</v>
      </c>
      <c r="E1258">
        <v>38.14</v>
      </c>
      <c r="F1258">
        <v>38.14</v>
      </c>
      <c r="G1258">
        <v>0</v>
      </c>
      <c r="H1258" s="2">
        <v>0</v>
      </c>
      <c r="I1258">
        <v>0</v>
      </c>
      <c r="J1258">
        <v>114.42</v>
      </c>
      <c r="K1258" s="1">
        <v>45794</v>
      </c>
      <c r="L1258" t="s">
        <v>21</v>
      </c>
      <c r="M1258" t="s">
        <v>18</v>
      </c>
      <c r="N1258">
        <f>salesitems[[#This Row],[quantity]]*salesitems[[#This Row],[unit_price]]</f>
        <v>114.42</v>
      </c>
      <c r="O1258" t="str">
        <f>_xlfn.XLOOKUP(salesitems[[#This Row],[product_id]],products[product_id],products[product_name])</f>
        <v>Polished Linen Trousers</v>
      </c>
      <c r="P1258" t="str">
        <f>_xlfn.XLOOKUP(salesitems[[#This Row],[product_id]],fashion_store_products!A:A,fashion_store_products!C:C)</f>
        <v>Pants</v>
      </c>
    </row>
    <row r="1259" spans="1:16" x14ac:dyDescent="0.45">
      <c r="A1259">
        <v>681</v>
      </c>
      <c r="B1259">
        <v>565</v>
      </c>
      <c r="C1259">
        <v>387</v>
      </c>
      <c r="D1259">
        <v>3</v>
      </c>
      <c r="E1259">
        <v>38.06</v>
      </c>
      <c r="F1259">
        <v>38.06</v>
      </c>
      <c r="G1259">
        <v>0</v>
      </c>
      <c r="H1259" s="2">
        <v>0</v>
      </c>
      <c r="I1259">
        <v>0</v>
      </c>
      <c r="J1259">
        <v>114.18</v>
      </c>
      <c r="K1259" s="1">
        <v>45752</v>
      </c>
      <c r="L1259" t="s">
        <v>21</v>
      </c>
      <c r="M1259" t="s">
        <v>18</v>
      </c>
      <c r="N1259">
        <f>salesitems[[#This Row],[quantity]]*salesitems[[#This Row],[unit_price]]</f>
        <v>114.18</v>
      </c>
      <c r="O1259" t="str">
        <f>_xlfn.XLOOKUP(salesitems[[#This Row],[product_id]],products[product_id],products[product_name])</f>
        <v>Tailored High-Waist Set</v>
      </c>
      <c r="P1259" t="str">
        <f>_xlfn.XLOOKUP(salesitems[[#This Row],[product_id]],fashion_store_products!A:A,fashion_store_products!C:C)</f>
        <v>Sleepwear</v>
      </c>
    </row>
    <row r="1260" spans="1:16" x14ac:dyDescent="0.45">
      <c r="A1260">
        <v>1639</v>
      </c>
      <c r="B1260">
        <v>201</v>
      </c>
      <c r="C1260">
        <v>387</v>
      </c>
      <c r="D1260">
        <v>3</v>
      </c>
      <c r="E1260">
        <v>38.06</v>
      </c>
      <c r="F1260">
        <v>38.06</v>
      </c>
      <c r="G1260">
        <v>0</v>
      </c>
      <c r="H1260" s="2">
        <v>0</v>
      </c>
      <c r="I1260">
        <v>0</v>
      </c>
      <c r="J1260">
        <v>114.18</v>
      </c>
      <c r="K1260" s="1">
        <v>45804</v>
      </c>
      <c r="L1260" t="s">
        <v>15</v>
      </c>
      <c r="M1260" t="s">
        <v>15</v>
      </c>
      <c r="N1260">
        <f>salesitems[[#This Row],[quantity]]*salesitems[[#This Row],[unit_price]]</f>
        <v>114.18</v>
      </c>
      <c r="O1260" t="str">
        <f>_xlfn.XLOOKUP(salesitems[[#This Row],[product_id]],products[product_id],products[product_name])</f>
        <v>Tailored High-Waist Set</v>
      </c>
      <c r="P1260" t="str">
        <f>_xlfn.XLOOKUP(salesitems[[#This Row],[product_id]],fashion_store_products!A:A,fashion_store_products!C:C)</f>
        <v>Sleepwear</v>
      </c>
    </row>
    <row r="1261" spans="1:16" x14ac:dyDescent="0.45">
      <c r="A1261">
        <v>251</v>
      </c>
      <c r="B1261">
        <v>354</v>
      </c>
      <c r="C1261">
        <v>500</v>
      </c>
      <c r="D1261">
        <v>3</v>
      </c>
      <c r="E1261">
        <v>38.03</v>
      </c>
      <c r="F1261">
        <v>38.03</v>
      </c>
      <c r="G1261">
        <v>0</v>
      </c>
      <c r="H1261" s="2">
        <v>0</v>
      </c>
      <c r="I1261">
        <v>0</v>
      </c>
      <c r="J1261">
        <v>114.09</v>
      </c>
      <c r="K1261" s="1">
        <v>45751</v>
      </c>
      <c r="L1261" t="s">
        <v>15</v>
      </c>
      <c r="M1261" t="s">
        <v>15</v>
      </c>
      <c r="N1261">
        <f>salesitems[[#This Row],[quantity]]*salesitems[[#This Row],[unit_price]]</f>
        <v>114.09</v>
      </c>
      <c r="O1261" t="str">
        <f>_xlfn.XLOOKUP(salesitems[[#This Row],[product_id]],products[product_id],products[product_name])</f>
        <v>Dresses Drop 9</v>
      </c>
      <c r="P1261" t="str">
        <f>_xlfn.XLOOKUP(salesitems[[#This Row],[product_id]],fashion_store_products!A:A,fashion_store_products!C:C)</f>
        <v>Dresses</v>
      </c>
    </row>
    <row r="1262" spans="1:16" x14ac:dyDescent="0.45">
      <c r="A1262">
        <v>101</v>
      </c>
      <c r="B1262">
        <v>896</v>
      </c>
      <c r="C1262">
        <v>439</v>
      </c>
      <c r="D1262">
        <v>3</v>
      </c>
      <c r="E1262">
        <v>53.93</v>
      </c>
      <c r="F1262">
        <v>37.75</v>
      </c>
      <c r="G1262">
        <v>16.18</v>
      </c>
      <c r="H1262" s="2">
        <v>0.3</v>
      </c>
      <c r="I1262">
        <v>1</v>
      </c>
      <c r="J1262">
        <v>113.25</v>
      </c>
      <c r="K1262" s="1">
        <v>45793</v>
      </c>
      <c r="L1262" t="s">
        <v>15</v>
      </c>
      <c r="M1262" t="s">
        <v>11</v>
      </c>
      <c r="N1262">
        <f>salesitems[[#This Row],[quantity]]*salesitems[[#This Row],[unit_price]]</f>
        <v>113.25</v>
      </c>
      <c r="O1262" t="str">
        <f>_xlfn.XLOOKUP(salesitems[[#This Row],[product_id]],products[product_id],products[product_name])</f>
        <v>Tailored Linen Trousers</v>
      </c>
      <c r="P1262" t="str">
        <f>_xlfn.XLOOKUP(salesitems[[#This Row],[product_id]],fashion_store_products!A:A,fashion_store_products!C:C)</f>
        <v>Pants</v>
      </c>
    </row>
    <row r="1263" spans="1:16" x14ac:dyDescent="0.45">
      <c r="A1263">
        <v>2428</v>
      </c>
      <c r="B1263">
        <v>512</v>
      </c>
      <c r="C1263">
        <v>85</v>
      </c>
      <c r="D1263">
        <v>3</v>
      </c>
      <c r="E1263">
        <v>37.35</v>
      </c>
      <c r="F1263">
        <v>37.35</v>
      </c>
      <c r="G1263">
        <v>0</v>
      </c>
      <c r="H1263" s="2">
        <v>0</v>
      </c>
      <c r="I1263">
        <v>0</v>
      </c>
      <c r="J1263">
        <v>112.05</v>
      </c>
      <c r="K1263" s="1">
        <v>45812</v>
      </c>
      <c r="L1263" t="s">
        <v>15</v>
      </c>
      <c r="M1263" t="s">
        <v>15</v>
      </c>
      <c r="N1263">
        <f>salesitems[[#This Row],[quantity]]*salesitems[[#This Row],[unit_price]]</f>
        <v>112.05000000000001</v>
      </c>
      <c r="O1263" t="str">
        <f>_xlfn.XLOOKUP(salesitems[[#This Row],[product_id]],products[product_id],products[product_name])</f>
        <v>Classic Satin Dress</v>
      </c>
      <c r="P1263" t="str">
        <f>_xlfn.XLOOKUP(salesitems[[#This Row],[product_id]],fashion_store_products!A:A,fashion_store_products!C:C)</f>
        <v>Dresses</v>
      </c>
    </row>
    <row r="1264" spans="1:16" x14ac:dyDescent="0.45">
      <c r="A1264">
        <v>2458</v>
      </c>
      <c r="B1264">
        <v>1095</v>
      </c>
      <c r="C1264">
        <v>85</v>
      </c>
      <c r="D1264">
        <v>3</v>
      </c>
      <c r="E1264">
        <v>37.35</v>
      </c>
      <c r="F1264">
        <v>37.35</v>
      </c>
      <c r="G1264">
        <v>0</v>
      </c>
      <c r="H1264" s="2">
        <v>0</v>
      </c>
      <c r="I1264">
        <v>0</v>
      </c>
      <c r="J1264">
        <v>112.05</v>
      </c>
      <c r="K1264" s="1">
        <v>45824</v>
      </c>
      <c r="L1264" t="s">
        <v>21</v>
      </c>
      <c r="M1264" t="s">
        <v>18</v>
      </c>
      <c r="N1264">
        <f>salesitems[[#This Row],[quantity]]*salesitems[[#This Row],[unit_price]]</f>
        <v>112.05000000000001</v>
      </c>
      <c r="O1264" t="str">
        <f>_xlfn.XLOOKUP(salesitems[[#This Row],[product_id]],products[product_id],products[product_name])</f>
        <v>Classic Satin Dress</v>
      </c>
      <c r="P1264" t="str">
        <f>_xlfn.XLOOKUP(salesitems[[#This Row],[product_id]],fashion_store_products!A:A,fashion_store_products!C:C)</f>
        <v>Dresses</v>
      </c>
    </row>
    <row r="1265" spans="1:16" x14ac:dyDescent="0.45">
      <c r="A1265">
        <v>2855</v>
      </c>
      <c r="B1265">
        <v>556</v>
      </c>
      <c r="C1265">
        <v>408</v>
      </c>
      <c r="D1265">
        <v>3</v>
      </c>
      <c r="E1265">
        <v>37.17</v>
      </c>
      <c r="F1265">
        <v>37.17</v>
      </c>
      <c r="G1265">
        <v>0</v>
      </c>
      <c r="H1265" s="2">
        <v>0</v>
      </c>
      <c r="I1265">
        <v>0</v>
      </c>
      <c r="J1265">
        <v>111.51</v>
      </c>
      <c r="K1265" s="1">
        <v>45777</v>
      </c>
      <c r="L1265" t="s">
        <v>21</v>
      </c>
      <c r="M1265" t="s">
        <v>18</v>
      </c>
      <c r="N1265">
        <f>salesitems[[#This Row],[quantity]]*salesitems[[#This Row],[unit_price]]</f>
        <v>111.51</v>
      </c>
      <c r="O1265" t="str">
        <f>_xlfn.XLOOKUP(salesitems[[#This Row],[product_id]],products[product_id],products[product_name])</f>
        <v>Elegant High-Waist Tee</v>
      </c>
      <c r="P1265" t="str">
        <f>_xlfn.XLOOKUP(salesitems[[#This Row],[product_id]],fashion_store_products!A:A,fashion_store_products!C:C)</f>
        <v>T-Shirts</v>
      </c>
    </row>
    <row r="1266" spans="1:16" x14ac:dyDescent="0.45">
      <c r="A1266">
        <v>2455</v>
      </c>
      <c r="B1266">
        <v>981</v>
      </c>
      <c r="C1266">
        <v>215</v>
      </c>
      <c r="D1266">
        <v>3</v>
      </c>
      <c r="E1266">
        <v>37.11</v>
      </c>
      <c r="F1266">
        <v>37.11</v>
      </c>
      <c r="G1266">
        <v>0</v>
      </c>
      <c r="H1266" s="2">
        <v>0</v>
      </c>
      <c r="I1266">
        <v>0</v>
      </c>
      <c r="J1266">
        <v>111.33</v>
      </c>
      <c r="K1266" s="1">
        <v>45762</v>
      </c>
      <c r="L1266" t="s">
        <v>21</v>
      </c>
      <c r="M1266" t="s">
        <v>18</v>
      </c>
      <c r="N1266">
        <f>salesitems[[#This Row],[quantity]]*salesitems[[#This Row],[unit_price]]</f>
        <v>111.33</v>
      </c>
      <c r="O1266" t="str">
        <f>_xlfn.XLOOKUP(salesitems[[#This Row],[product_id]],products[product_id],products[product_name])</f>
        <v>Vintage Sleeveless Trousers</v>
      </c>
      <c r="P1266" t="str">
        <f>_xlfn.XLOOKUP(salesitems[[#This Row],[product_id]],fashion_store_products!A:A,fashion_store_products!C:C)</f>
        <v>Pants</v>
      </c>
    </row>
    <row r="1267" spans="1:16" x14ac:dyDescent="0.45">
      <c r="A1267">
        <v>1395</v>
      </c>
      <c r="B1267">
        <v>1064</v>
      </c>
      <c r="C1267">
        <v>105</v>
      </c>
      <c r="D1267">
        <v>3</v>
      </c>
      <c r="E1267">
        <v>36.9</v>
      </c>
      <c r="F1267">
        <v>36.9</v>
      </c>
      <c r="G1267">
        <v>0</v>
      </c>
      <c r="H1267" s="2">
        <v>0</v>
      </c>
      <c r="I1267">
        <v>0</v>
      </c>
      <c r="J1267">
        <v>110.7</v>
      </c>
      <c r="K1267" s="1">
        <v>45765</v>
      </c>
      <c r="L1267" t="s">
        <v>21</v>
      </c>
      <c r="M1267" t="s">
        <v>18</v>
      </c>
      <c r="N1267">
        <f>salesitems[[#This Row],[quantity]]*salesitems[[#This Row],[unit_price]]</f>
        <v>110.69999999999999</v>
      </c>
      <c r="O1267" t="str">
        <f>_xlfn.XLOOKUP(salesitems[[#This Row],[product_id]],products[product_id],products[product_name])</f>
        <v>Classic Cotton Tee</v>
      </c>
      <c r="P1267" t="str">
        <f>_xlfn.XLOOKUP(salesitems[[#This Row],[product_id]],fashion_store_products!A:A,fashion_store_products!C:C)</f>
        <v>T-Shirts</v>
      </c>
    </row>
    <row r="1268" spans="1:16" x14ac:dyDescent="0.45">
      <c r="A1268">
        <v>267</v>
      </c>
      <c r="B1268">
        <v>593</v>
      </c>
      <c r="C1268">
        <v>251</v>
      </c>
      <c r="D1268">
        <v>3</v>
      </c>
      <c r="E1268">
        <v>36.880000000000003</v>
      </c>
      <c r="F1268">
        <v>36.880000000000003</v>
      </c>
      <c r="G1268">
        <v>0</v>
      </c>
      <c r="H1268" s="2">
        <v>0</v>
      </c>
      <c r="I1268">
        <v>0</v>
      </c>
      <c r="J1268">
        <v>110.64</v>
      </c>
      <c r="K1268" s="1">
        <v>45824</v>
      </c>
      <c r="L1268" t="s">
        <v>15</v>
      </c>
      <c r="M1268" t="s">
        <v>15</v>
      </c>
      <c r="N1268">
        <f>salesitems[[#This Row],[quantity]]*salesitems[[#This Row],[unit_price]]</f>
        <v>110.64000000000001</v>
      </c>
      <c r="O1268" t="str">
        <f>_xlfn.XLOOKUP(salesitems[[#This Row],[product_id]],products[product_id],products[product_name])</f>
        <v>Relaxed Wrap Tee</v>
      </c>
      <c r="P1268" t="str">
        <f>_xlfn.XLOOKUP(salesitems[[#This Row],[product_id]],fashion_store_products!A:A,fashion_store_products!C:C)</f>
        <v>T-Shirts</v>
      </c>
    </row>
    <row r="1269" spans="1:16" x14ac:dyDescent="0.45">
      <c r="A1269">
        <v>876</v>
      </c>
      <c r="B1269">
        <v>1292</v>
      </c>
      <c r="C1269">
        <v>5</v>
      </c>
      <c r="D1269">
        <v>3</v>
      </c>
      <c r="E1269">
        <v>36.840000000000003</v>
      </c>
      <c r="F1269">
        <v>36.840000000000003</v>
      </c>
      <c r="G1269">
        <v>0</v>
      </c>
      <c r="H1269" s="2">
        <v>0</v>
      </c>
      <c r="I1269">
        <v>0</v>
      </c>
      <c r="J1269">
        <v>110.52</v>
      </c>
      <c r="K1269" s="1">
        <v>45768</v>
      </c>
      <c r="L1269" t="s">
        <v>21</v>
      </c>
      <c r="M1269" t="s">
        <v>18</v>
      </c>
      <c r="N1269">
        <f>salesitems[[#This Row],[quantity]]*salesitems[[#This Row],[unit_price]]</f>
        <v>110.52000000000001</v>
      </c>
      <c r="O1269" t="str">
        <f>_xlfn.XLOOKUP(salesitems[[#This Row],[product_id]],products[product_id],products[product_name])</f>
        <v>Soft Wrap Trousers</v>
      </c>
      <c r="P1269" t="str">
        <f>_xlfn.XLOOKUP(salesitems[[#This Row],[product_id]],fashion_store_products!A:A,fashion_store_products!C:C)</f>
        <v>Pants</v>
      </c>
    </row>
    <row r="1270" spans="1:16" x14ac:dyDescent="0.45">
      <c r="A1270">
        <v>1082</v>
      </c>
      <c r="B1270">
        <v>830</v>
      </c>
      <c r="C1270">
        <v>248</v>
      </c>
      <c r="D1270">
        <v>3</v>
      </c>
      <c r="E1270">
        <v>36.79</v>
      </c>
      <c r="F1270">
        <v>36.79</v>
      </c>
      <c r="G1270">
        <v>0</v>
      </c>
      <c r="H1270" s="2">
        <v>0</v>
      </c>
      <c r="I1270">
        <v>0</v>
      </c>
      <c r="J1270">
        <v>110.37</v>
      </c>
      <c r="K1270" s="1">
        <v>45822</v>
      </c>
      <c r="L1270" t="s">
        <v>15</v>
      </c>
      <c r="M1270" t="s">
        <v>15</v>
      </c>
      <c r="N1270">
        <f>salesitems[[#This Row],[quantity]]*salesitems[[#This Row],[unit_price]]</f>
        <v>110.37</v>
      </c>
      <c r="O1270" t="str">
        <f>_xlfn.XLOOKUP(salesitems[[#This Row],[product_id]],products[product_id],products[product_name])</f>
        <v>Polished Boxy Tee</v>
      </c>
      <c r="P1270" t="str">
        <f>_xlfn.XLOOKUP(salesitems[[#This Row],[product_id]],fashion_store_products!A:A,fashion_store_products!C:C)</f>
        <v>T-Shirts</v>
      </c>
    </row>
    <row r="1271" spans="1:16" x14ac:dyDescent="0.45">
      <c r="A1271">
        <v>3208</v>
      </c>
      <c r="B1271">
        <v>356</v>
      </c>
      <c r="C1271">
        <v>282</v>
      </c>
      <c r="D1271">
        <v>3</v>
      </c>
      <c r="E1271">
        <v>52.12</v>
      </c>
      <c r="F1271">
        <v>36.479999999999997</v>
      </c>
      <c r="G1271">
        <v>15.64</v>
      </c>
      <c r="H1271" s="2">
        <v>0.3</v>
      </c>
      <c r="I1271">
        <v>1</v>
      </c>
      <c r="J1271">
        <v>109.45</v>
      </c>
      <c r="K1271" s="1">
        <v>45790</v>
      </c>
      <c r="L1271" t="s">
        <v>15</v>
      </c>
      <c r="M1271" t="s">
        <v>11</v>
      </c>
      <c r="N1271">
        <f>salesitems[[#This Row],[quantity]]*salesitems[[#This Row],[unit_price]]</f>
        <v>109.44</v>
      </c>
      <c r="O1271" t="str">
        <f>_xlfn.XLOOKUP(salesitems[[#This Row],[product_id]],products[product_id],products[product_name])</f>
        <v>Polished High-Waist Trousers</v>
      </c>
      <c r="P1271" t="str">
        <f>_xlfn.XLOOKUP(salesitems[[#This Row],[product_id]],fashion_store_products!A:A,fashion_store_products!C:C)</f>
        <v>Pants</v>
      </c>
    </row>
    <row r="1272" spans="1:16" x14ac:dyDescent="0.45">
      <c r="A1272">
        <v>661</v>
      </c>
      <c r="B1272">
        <v>943</v>
      </c>
      <c r="C1272">
        <v>17</v>
      </c>
      <c r="D1272">
        <v>3</v>
      </c>
      <c r="E1272">
        <v>51.9</v>
      </c>
      <c r="F1272">
        <v>36.33</v>
      </c>
      <c r="G1272">
        <v>15.57</v>
      </c>
      <c r="H1272" s="2">
        <v>0.3</v>
      </c>
      <c r="I1272">
        <v>1</v>
      </c>
      <c r="J1272">
        <v>108.99</v>
      </c>
      <c r="K1272" s="1">
        <v>45793</v>
      </c>
      <c r="L1272" t="s">
        <v>15</v>
      </c>
      <c r="M1272" t="s">
        <v>11</v>
      </c>
      <c r="N1272">
        <f>salesitems[[#This Row],[quantity]]*salesitems[[#This Row],[unit_price]]</f>
        <v>108.99</v>
      </c>
      <c r="O1272" t="str">
        <f>_xlfn.XLOOKUP(salesitems[[#This Row],[product_id]],products[product_id],products[product_name])</f>
        <v>Soft Satin Dress</v>
      </c>
      <c r="P1272" t="str">
        <f>_xlfn.XLOOKUP(salesitems[[#This Row],[product_id]],fashion_store_products!A:A,fashion_store_products!C:C)</f>
        <v>Dresses</v>
      </c>
    </row>
    <row r="1273" spans="1:16" x14ac:dyDescent="0.45">
      <c r="A1273">
        <v>2034</v>
      </c>
      <c r="B1273">
        <v>957</v>
      </c>
      <c r="C1273">
        <v>480</v>
      </c>
      <c r="D1273">
        <v>3</v>
      </c>
      <c r="E1273">
        <v>51.63</v>
      </c>
      <c r="F1273">
        <v>36.14</v>
      </c>
      <c r="G1273">
        <v>15.49</v>
      </c>
      <c r="H1273" s="2">
        <v>0.3</v>
      </c>
      <c r="I1273">
        <v>1</v>
      </c>
      <c r="J1273">
        <v>108.42</v>
      </c>
      <c r="K1273" s="1">
        <v>45792</v>
      </c>
      <c r="L1273" t="s">
        <v>15</v>
      </c>
      <c r="M1273" t="s">
        <v>11</v>
      </c>
      <c r="N1273">
        <f>salesitems[[#This Row],[quantity]]*salesitems[[#This Row],[unit_price]]</f>
        <v>108.42</v>
      </c>
      <c r="O1273" t="str">
        <f>_xlfn.XLOOKUP(salesitems[[#This Row],[product_id]],products[product_id],products[product_name])</f>
        <v>Dresses Drop 5</v>
      </c>
      <c r="P1273" t="str">
        <f>_xlfn.XLOOKUP(salesitems[[#This Row],[product_id]],fashion_store_products!A:A,fashion_store_products!C:C)</f>
        <v>Dresses</v>
      </c>
    </row>
    <row r="1274" spans="1:16" x14ac:dyDescent="0.45">
      <c r="A1274">
        <v>2488</v>
      </c>
      <c r="B1274">
        <v>582</v>
      </c>
      <c r="C1274">
        <v>497</v>
      </c>
      <c r="D1274">
        <v>3</v>
      </c>
      <c r="E1274">
        <v>36.049999999999997</v>
      </c>
      <c r="F1274">
        <v>36.049999999999997</v>
      </c>
      <c r="G1274">
        <v>0</v>
      </c>
      <c r="H1274" s="2">
        <v>0</v>
      </c>
      <c r="I1274">
        <v>0</v>
      </c>
      <c r="J1274">
        <v>108.15</v>
      </c>
      <c r="K1274" s="1">
        <v>45753</v>
      </c>
      <c r="L1274" t="s">
        <v>21</v>
      </c>
      <c r="M1274" t="s">
        <v>18</v>
      </c>
      <c r="N1274">
        <f>salesitems[[#This Row],[quantity]]*salesitems[[#This Row],[unit_price]]</f>
        <v>108.14999999999999</v>
      </c>
      <c r="O1274" t="str">
        <f>_xlfn.XLOOKUP(salesitems[[#This Row],[product_id]],products[product_id],products[product_name])</f>
        <v>Dresses Drop 8</v>
      </c>
      <c r="P1274" t="str">
        <f>_xlfn.XLOOKUP(salesitems[[#This Row],[product_id]],fashion_store_products!A:A,fashion_store_products!C:C)</f>
        <v>Dresses</v>
      </c>
    </row>
    <row r="1275" spans="1:16" x14ac:dyDescent="0.45">
      <c r="A1275">
        <v>859</v>
      </c>
      <c r="B1275">
        <v>742</v>
      </c>
      <c r="C1275">
        <v>427</v>
      </c>
      <c r="D1275">
        <v>3</v>
      </c>
      <c r="E1275">
        <v>36.01</v>
      </c>
      <c r="F1275">
        <v>36.01</v>
      </c>
      <c r="G1275">
        <v>0</v>
      </c>
      <c r="H1275" s="2">
        <v>0</v>
      </c>
      <c r="I1275">
        <v>0</v>
      </c>
      <c r="J1275">
        <v>108.03</v>
      </c>
      <c r="K1275" s="1">
        <v>45767</v>
      </c>
      <c r="L1275" t="s">
        <v>15</v>
      </c>
      <c r="M1275" t="s">
        <v>15</v>
      </c>
      <c r="N1275">
        <f>salesitems[[#This Row],[quantity]]*salesitems[[#This Row],[unit_price]]</f>
        <v>108.03</v>
      </c>
      <c r="O1275" t="str">
        <f>_xlfn.XLOOKUP(salesitems[[#This Row],[product_id]],products[product_id],products[product_name])</f>
        <v>Bold Wrap Set</v>
      </c>
      <c r="P1275" t="str">
        <f>_xlfn.XLOOKUP(salesitems[[#This Row],[product_id]],fashion_store_products!A:A,fashion_store_products!C:C)</f>
        <v>Sleepwear</v>
      </c>
    </row>
    <row r="1276" spans="1:16" x14ac:dyDescent="0.45">
      <c r="A1276">
        <v>2348</v>
      </c>
      <c r="B1276">
        <v>310</v>
      </c>
      <c r="C1276">
        <v>259</v>
      </c>
      <c r="D1276">
        <v>3</v>
      </c>
      <c r="E1276">
        <v>35.729999999999997</v>
      </c>
      <c r="F1276">
        <v>35.729999999999997</v>
      </c>
      <c r="G1276">
        <v>0</v>
      </c>
      <c r="H1276" s="2">
        <v>0</v>
      </c>
      <c r="I1276">
        <v>0</v>
      </c>
      <c r="J1276">
        <v>107.19</v>
      </c>
      <c r="K1276" s="1">
        <v>45765</v>
      </c>
      <c r="L1276" t="s">
        <v>21</v>
      </c>
      <c r="M1276" t="s">
        <v>18</v>
      </c>
      <c r="N1276">
        <f>salesitems[[#This Row],[quantity]]*salesitems[[#This Row],[unit_price]]</f>
        <v>107.19</v>
      </c>
      <c r="O1276" t="str">
        <f>_xlfn.XLOOKUP(salesitems[[#This Row],[product_id]],products[product_id],products[product_name])</f>
        <v>Polished Silk Trousers</v>
      </c>
      <c r="P1276" t="str">
        <f>_xlfn.XLOOKUP(salesitems[[#This Row],[product_id]],fashion_store_products!A:A,fashion_store_products!C:C)</f>
        <v>Pants</v>
      </c>
    </row>
    <row r="1277" spans="1:16" x14ac:dyDescent="0.45">
      <c r="A1277">
        <v>870</v>
      </c>
      <c r="B1277">
        <v>1099</v>
      </c>
      <c r="C1277">
        <v>475</v>
      </c>
      <c r="D1277">
        <v>3</v>
      </c>
      <c r="E1277">
        <v>39.69</v>
      </c>
      <c r="F1277">
        <v>35.72</v>
      </c>
      <c r="G1277">
        <v>3.97</v>
      </c>
      <c r="H1277" s="2">
        <v>0.1</v>
      </c>
      <c r="I1277">
        <v>1</v>
      </c>
      <c r="J1277">
        <v>107.16</v>
      </c>
      <c r="K1277" s="1">
        <v>45813</v>
      </c>
      <c r="L1277" t="s">
        <v>21</v>
      </c>
      <c r="M1277" t="s">
        <v>18</v>
      </c>
      <c r="N1277">
        <f>salesitems[[#This Row],[quantity]]*salesitems[[#This Row],[unit_price]]</f>
        <v>107.16</v>
      </c>
      <c r="O1277" t="str">
        <f>_xlfn.XLOOKUP(salesitems[[#This Row],[product_id]],products[product_id],products[product_name])</f>
        <v>Dresses Drop 3</v>
      </c>
      <c r="P1277" t="str">
        <f>_xlfn.XLOOKUP(salesitems[[#This Row],[product_id]],fashion_store_products!A:A,fashion_store_products!C:C)</f>
        <v>Dresses</v>
      </c>
    </row>
    <row r="1278" spans="1:16" x14ac:dyDescent="0.45">
      <c r="A1278">
        <v>1690</v>
      </c>
      <c r="B1278">
        <v>1316</v>
      </c>
      <c r="C1278">
        <v>396</v>
      </c>
      <c r="D1278">
        <v>3</v>
      </c>
      <c r="E1278">
        <v>51</v>
      </c>
      <c r="F1278">
        <v>35.700000000000003</v>
      </c>
      <c r="G1278">
        <v>15.3</v>
      </c>
      <c r="H1278" s="2">
        <v>0.3</v>
      </c>
      <c r="I1278">
        <v>1</v>
      </c>
      <c r="J1278">
        <v>107.1</v>
      </c>
      <c r="K1278" s="1">
        <v>45792</v>
      </c>
      <c r="L1278" t="s">
        <v>15</v>
      </c>
      <c r="M1278" t="s">
        <v>11</v>
      </c>
      <c r="N1278">
        <f>salesitems[[#This Row],[quantity]]*salesitems[[#This Row],[unit_price]]</f>
        <v>107.10000000000001</v>
      </c>
      <c r="O1278" t="str">
        <f>_xlfn.XLOOKUP(salesitems[[#This Row],[product_id]],products[product_id],products[product_name])</f>
        <v>Elegant Crew Tee</v>
      </c>
      <c r="P1278" t="str">
        <f>_xlfn.XLOOKUP(salesitems[[#This Row],[product_id]],fashion_store_products!A:A,fashion_store_products!C:C)</f>
        <v>T-Shirts</v>
      </c>
    </row>
    <row r="1279" spans="1:16" x14ac:dyDescent="0.45">
      <c r="A1279">
        <v>903</v>
      </c>
      <c r="B1279">
        <v>724</v>
      </c>
      <c r="C1279">
        <v>313</v>
      </c>
      <c r="D1279">
        <v>3</v>
      </c>
      <c r="E1279">
        <v>35.69</v>
      </c>
      <c r="F1279">
        <v>35.69</v>
      </c>
      <c r="G1279">
        <v>0</v>
      </c>
      <c r="H1279" s="2">
        <v>0</v>
      </c>
      <c r="I1279">
        <v>0</v>
      </c>
      <c r="J1279">
        <v>107.07</v>
      </c>
      <c r="K1279" s="1">
        <v>45807</v>
      </c>
      <c r="L1279" t="s">
        <v>21</v>
      </c>
      <c r="M1279" t="s">
        <v>18</v>
      </c>
      <c r="N1279">
        <f>salesitems[[#This Row],[quantity]]*salesitems[[#This Row],[unit_price]]</f>
        <v>107.07</v>
      </c>
      <c r="O1279" t="str">
        <f>_xlfn.XLOOKUP(salesitems[[#This Row],[product_id]],products[product_id],products[product_name])</f>
        <v>Relaxed Crew Set</v>
      </c>
      <c r="P1279" t="str">
        <f>_xlfn.XLOOKUP(salesitems[[#This Row],[product_id]],fashion_store_products!A:A,fashion_store_products!C:C)</f>
        <v>Sleepwear</v>
      </c>
    </row>
    <row r="1280" spans="1:16" x14ac:dyDescent="0.45">
      <c r="A1280">
        <v>2430</v>
      </c>
      <c r="B1280">
        <v>482</v>
      </c>
      <c r="C1280">
        <v>313</v>
      </c>
      <c r="D1280">
        <v>3</v>
      </c>
      <c r="E1280">
        <v>35.69</v>
      </c>
      <c r="F1280">
        <v>35.69</v>
      </c>
      <c r="G1280">
        <v>0</v>
      </c>
      <c r="H1280" s="2">
        <v>0</v>
      </c>
      <c r="I1280">
        <v>0</v>
      </c>
      <c r="J1280">
        <v>107.07</v>
      </c>
      <c r="K1280" s="1">
        <v>45801</v>
      </c>
      <c r="L1280" t="s">
        <v>15</v>
      </c>
      <c r="M1280" t="s">
        <v>15</v>
      </c>
      <c r="N1280">
        <f>salesitems[[#This Row],[quantity]]*salesitems[[#This Row],[unit_price]]</f>
        <v>107.07</v>
      </c>
      <c r="O1280" t="str">
        <f>_xlfn.XLOOKUP(salesitems[[#This Row],[product_id]],products[product_id],products[product_name])</f>
        <v>Relaxed Crew Set</v>
      </c>
      <c r="P1280" t="str">
        <f>_xlfn.XLOOKUP(salesitems[[#This Row],[product_id]],fashion_store_products!A:A,fashion_store_products!C:C)</f>
        <v>Sleepwear</v>
      </c>
    </row>
    <row r="1281" spans="1:16" x14ac:dyDescent="0.45">
      <c r="A1281">
        <v>884</v>
      </c>
      <c r="B1281">
        <v>61</v>
      </c>
      <c r="C1281">
        <v>414</v>
      </c>
      <c r="D1281">
        <v>3</v>
      </c>
      <c r="E1281">
        <v>35.200000000000003</v>
      </c>
      <c r="F1281">
        <v>35.200000000000003</v>
      </c>
      <c r="G1281">
        <v>0</v>
      </c>
      <c r="H1281" s="2">
        <v>0</v>
      </c>
      <c r="I1281">
        <v>0</v>
      </c>
      <c r="J1281">
        <v>105.6</v>
      </c>
      <c r="K1281" s="1">
        <v>45803</v>
      </c>
      <c r="L1281" t="s">
        <v>15</v>
      </c>
      <c r="M1281" t="s">
        <v>15</v>
      </c>
      <c r="N1281">
        <f>salesitems[[#This Row],[quantity]]*salesitems[[#This Row],[unit_price]]</f>
        <v>105.60000000000001</v>
      </c>
      <c r="O1281" t="str">
        <f>_xlfn.XLOOKUP(salesitems[[#This Row],[product_id]],products[product_id],products[product_name])</f>
        <v>Elegant Crew Set</v>
      </c>
      <c r="P1281" t="str">
        <f>_xlfn.XLOOKUP(salesitems[[#This Row],[product_id]],fashion_store_products!A:A,fashion_store_products!C:C)</f>
        <v>Sleepwear</v>
      </c>
    </row>
    <row r="1282" spans="1:16" x14ac:dyDescent="0.45">
      <c r="A1282">
        <v>3077</v>
      </c>
      <c r="B1282">
        <v>20</v>
      </c>
      <c r="C1282">
        <v>414</v>
      </c>
      <c r="D1282">
        <v>3</v>
      </c>
      <c r="E1282">
        <v>35.200000000000003</v>
      </c>
      <c r="F1282">
        <v>35.200000000000003</v>
      </c>
      <c r="G1282">
        <v>0</v>
      </c>
      <c r="H1282" s="2">
        <v>0</v>
      </c>
      <c r="I1282">
        <v>0</v>
      </c>
      <c r="J1282">
        <v>105.6</v>
      </c>
      <c r="K1282" s="1">
        <v>45751</v>
      </c>
      <c r="L1282" t="s">
        <v>21</v>
      </c>
      <c r="M1282" t="s">
        <v>18</v>
      </c>
      <c r="N1282">
        <f>salesitems[[#This Row],[quantity]]*salesitems[[#This Row],[unit_price]]</f>
        <v>105.60000000000001</v>
      </c>
      <c r="O1282" t="str">
        <f>_xlfn.XLOOKUP(salesitems[[#This Row],[product_id]],products[product_id],products[product_name])</f>
        <v>Elegant Crew Set</v>
      </c>
      <c r="P1282" t="str">
        <f>_xlfn.XLOOKUP(salesitems[[#This Row],[product_id]],fashion_store_products!A:A,fashion_store_products!C:C)</f>
        <v>Sleepwear</v>
      </c>
    </row>
    <row r="1283" spans="1:16" x14ac:dyDescent="0.45">
      <c r="A1283">
        <v>1071</v>
      </c>
      <c r="B1283">
        <v>1330</v>
      </c>
      <c r="C1283">
        <v>454</v>
      </c>
      <c r="D1283">
        <v>3</v>
      </c>
      <c r="E1283">
        <v>35.159999999999997</v>
      </c>
      <c r="F1283">
        <v>35.159999999999997</v>
      </c>
      <c r="G1283">
        <v>0</v>
      </c>
      <c r="H1283" s="2">
        <v>0</v>
      </c>
      <c r="I1283">
        <v>0</v>
      </c>
      <c r="J1283">
        <v>105.48</v>
      </c>
      <c r="K1283" s="1">
        <v>45751</v>
      </c>
      <c r="L1283" t="s">
        <v>15</v>
      </c>
      <c r="M1283" t="s">
        <v>15</v>
      </c>
      <c r="N1283">
        <f>salesitems[[#This Row],[quantity]]*salesitems[[#This Row],[unit_price]]</f>
        <v>105.47999999999999</v>
      </c>
      <c r="O1283" t="str">
        <f>_xlfn.XLOOKUP(salesitems[[#This Row],[product_id]],products[product_id],products[product_name])</f>
        <v>Bold Crew Set</v>
      </c>
      <c r="P1283" t="str">
        <f>_xlfn.XLOOKUP(salesitems[[#This Row],[product_id]],fashion_store_products!A:A,fashion_store_products!C:C)</f>
        <v>Sleepwear</v>
      </c>
    </row>
    <row r="1284" spans="1:16" x14ac:dyDescent="0.45">
      <c r="A1284">
        <v>3013</v>
      </c>
      <c r="B1284">
        <v>718</v>
      </c>
      <c r="C1284">
        <v>150</v>
      </c>
      <c r="D1284">
        <v>3</v>
      </c>
      <c r="E1284">
        <v>50.04</v>
      </c>
      <c r="F1284">
        <v>35.03</v>
      </c>
      <c r="G1284">
        <v>15.01</v>
      </c>
      <c r="H1284" s="2">
        <v>0.3</v>
      </c>
      <c r="I1284">
        <v>1</v>
      </c>
      <c r="J1284">
        <v>105.08</v>
      </c>
      <c r="K1284" s="1">
        <v>45794</v>
      </c>
      <c r="L1284" t="s">
        <v>15</v>
      </c>
      <c r="M1284" t="s">
        <v>11</v>
      </c>
      <c r="N1284">
        <f>salesitems[[#This Row],[quantity]]*salesitems[[#This Row],[unit_price]]</f>
        <v>105.09</v>
      </c>
      <c r="O1284" t="str">
        <f>_xlfn.XLOOKUP(salesitems[[#This Row],[product_id]],products[product_id],products[product_name])</f>
        <v>Vintage Wrap Tee</v>
      </c>
      <c r="P1284" t="str">
        <f>_xlfn.XLOOKUP(salesitems[[#This Row],[product_id]],fashion_store_products!A:A,fashion_store_products!C:C)</f>
        <v>T-Shirts</v>
      </c>
    </row>
    <row r="1285" spans="1:16" x14ac:dyDescent="0.45">
      <c r="A1285">
        <v>1855</v>
      </c>
      <c r="B1285">
        <v>957</v>
      </c>
      <c r="C1285">
        <v>43</v>
      </c>
      <c r="D1285">
        <v>3</v>
      </c>
      <c r="E1285">
        <v>49.4</v>
      </c>
      <c r="F1285">
        <v>34.58</v>
      </c>
      <c r="G1285">
        <v>14.82</v>
      </c>
      <c r="H1285" s="2">
        <v>0.3</v>
      </c>
      <c r="I1285">
        <v>1</v>
      </c>
      <c r="J1285">
        <v>103.74</v>
      </c>
      <c r="K1285" s="1">
        <v>45792</v>
      </c>
      <c r="L1285" t="s">
        <v>15</v>
      </c>
      <c r="M1285" t="s">
        <v>11</v>
      </c>
      <c r="N1285">
        <f>salesitems[[#This Row],[quantity]]*salesitems[[#This Row],[unit_price]]</f>
        <v>103.74</v>
      </c>
      <c r="O1285" t="str">
        <f>_xlfn.XLOOKUP(salesitems[[#This Row],[product_id]],products[product_id],products[product_name])</f>
        <v>Modern Satin Dress</v>
      </c>
      <c r="P1285" t="str">
        <f>_xlfn.XLOOKUP(salesitems[[#This Row],[product_id]],fashion_store_products!A:A,fashion_store_products!C:C)</f>
        <v>Dresses</v>
      </c>
    </row>
    <row r="1286" spans="1:16" x14ac:dyDescent="0.45">
      <c r="A1286">
        <v>408</v>
      </c>
      <c r="B1286">
        <v>43</v>
      </c>
      <c r="C1286">
        <v>402</v>
      </c>
      <c r="D1286">
        <v>3</v>
      </c>
      <c r="E1286">
        <v>34.450000000000003</v>
      </c>
      <c r="F1286">
        <v>34.450000000000003</v>
      </c>
      <c r="G1286">
        <v>0</v>
      </c>
      <c r="H1286" s="2">
        <v>0</v>
      </c>
      <c r="I1286">
        <v>0</v>
      </c>
      <c r="J1286">
        <v>103.35</v>
      </c>
      <c r="K1286" s="1">
        <v>45762</v>
      </c>
      <c r="L1286" t="s">
        <v>15</v>
      </c>
      <c r="M1286" t="s">
        <v>15</v>
      </c>
      <c r="N1286">
        <f>salesitems[[#This Row],[quantity]]*salesitems[[#This Row],[unit_price]]</f>
        <v>103.35000000000001</v>
      </c>
      <c r="O1286" t="str">
        <f>_xlfn.XLOOKUP(salesitems[[#This Row],[product_id]],products[product_id],products[product_name])</f>
        <v>Elegant Ribbed Set</v>
      </c>
      <c r="P1286" t="str">
        <f>_xlfn.XLOOKUP(salesitems[[#This Row],[product_id]],fashion_store_products!A:A,fashion_store_products!C:C)</f>
        <v>Sleepwear</v>
      </c>
    </row>
    <row r="1287" spans="1:16" x14ac:dyDescent="0.45">
      <c r="A1287">
        <v>1586</v>
      </c>
      <c r="B1287">
        <v>844</v>
      </c>
      <c r="C1287">
        <v>402</v>
      </c>
      <c r="D1287">
        <v>3</v>
      </c>
      <c r="E1287">
        <v>34.450000000000003</v>
      </c>
      <c r="F1287">
        <v>34.450000000000003</v>
      </c>
      <c r="G1287">
        <v>0</v>
      </c>
      <c r="H1287" s="2">
        <v>0</v>
      </c>
      <c r="I1287">
        <v>0</v>
      </c>
      <c r="J1287">
        <v>103.35</v>
      </c>
      <c r="K1287" s="1">
        <v>45802</v>
      </c>
      <c r="L1287" t="s">
        <v>21</v>
      </c>
      <c r="M1287" t="s">
        <v>18</v>
      </c>
      <c r="N1287">
        <f>salesitems[[#This Row],[quantity]]*salesitems[[#This Row],[unit_price]]</f>
        <v>103.35000000000001</v>
      </c>
      <c r="O1287" t="str">
        <f>_xlfn.XLOOKUP(salesitems[[#This Row],[product_id]],products[product_id],products[product_name])</f>
        <v>Elegant Ribbed Set</v>
      </c>
      <c r="P1287" t="str">
        <f>_xlfn.XLOOKUP(salesitems[[#This Row],[product_id]],fashion_store_products!A:A,fashion_store_products!C:C)</f>
        <v>Sleepwear</v>
      </c>
    </row>
    <row r="1288" spans="1:16" x14ac:dyDescent="0.45">
      <c r="A1288">
        <v>783</v>
      </c>
      <c r="B1288">
        <v>198</v>
      </c>
      <c r="C1288">
        <v>343</v>
      </c>
      <c r="D1288">
        <v>3</v>
      </c>
      <c r="E1288">
        <v>34.39</v>
      </c>
      <c r="F1288">
        <v>34.39</v>
      </c>
      <c r="G1288">
        <v>0</v>
      </c>
      <c r="H1288" s="2">
        <v>0</v>
      </c>
      <c r="I1288">
        <v>0</v>
      </c>
      <c r="J1288">
        <v>103.17</v>
      </c>
      <c r="K1288" s="1">
        <v>45770</v>
      </c>
      <c r="L1288" t="s">
        <v>15</v>
      </c>
      <c r="M1288" t="s">
        <v>15</v>
      </c>
      <c r="N1288">
        <f>salesitems[[#This Row],[quantity]]*salesitems[[#This Row],[unit_price]]</f>
        <v>103.17</v>
      </c>
      <c r="O1288" t="str">
        <f>_xlfn.XLOOKUP(salesitems[[#This Row],[product_id]],products[product_id],products[product_name])</f>
        <v>Tailored Satin Tee</v>
      </c>
      <c r="P1288" t="str">
        <f>_xlfn.XLOOKUP(salesitems[[#This Row],[product_id]],fashion_store_products!A:A,fashion_store_products!C:C)</f>
        <v>T-Shirts</v>
      </c>
    </row>
    <row r="1289" spans="1:16" x14ac:dyDescent="0.45">
      <c r="A1289">
        <v>802</v>
      </c>
      <c r="B1289">
        <v>993</v>
      </c>
      <c r="C1289">
        <v>343</v>
      </c>
      <c r="D1289">
        <v>3</v>
      </c>
      <c r="E1289">
        <v>34.39</v>
      </c>
      <c r="F1289">
        <v>34.39</v>
      </c>
      <c r="G1289">
        <v>0</v>
      </c>
      <c r="H1289" s="2">
        <v>0</v>
      </c>
      <c r="I1289">
        <v>0</v>
      </c>
      <c r="J1289">
        <v>103.17</v>
      </c>
      <c r="K1289" s="1">
        <v>45768</v>
      </c>
      <c r="L1289" t="s">
        <v>21</v>
      </c>
      <c r="M1289" t="s">
        <v>18</v>
      </c>
      <c r="N1289">
        <f>salesitems[[#This Row],[quantity]]*salesitems[[#This Row],[unit_price]]</f>
        <v>103.17</v>
      </c>
      <c r="O1289" t="str">
        <f>_xlfn.XLOOKUP(salesitems[[#This Row],[product_id]],products[product_id],products[product_name])</f>
        <v>Tailored Satin Tee</v>
      </c>
      <c r="P1289" t="str">
        <f>_xlfn.XLOOKUP(salesitems[[#This Row],[product_id]],fashion_store_products!A:A,fashion_store_products!C:C)</f>
        <v>T-Shirts</v>
      </c>
    </row>
    <row r="1290" spans="1:16" x14ac:dyDescent="0.45">
      <c r="A1290">
        <v>30</v>
      </c>
      <c r="B1290">
        <v>232</v>
      </c>
      <c r="C1290">
        <v>342</v>
      </c>
      <c r="D1290">
        <v>3</v>
      </c>
      <c r="E1290">
        <v>34.35</v>
      </c>
      <c r="F1290">
        <v>34.35</v>
      </c>
      <c r="G1290">
        <v>0</v>
      </c>
      <c r="H1290" s="2">
        <v>0</v>
      </c>
      <c r="I1290">
        <v>0</v>
      </c>
      <c r="J1290">
        <v>103.05</v>
      </c>
      <c r="K1290" s="1">
        <v>45807</v>
      </c>
      <c r="L1290" t="s">
        <v>15</v>
      </c>
      <c r="M1290" t="s">
        <v>15</v>
      </c>
      <c r="N1290">
        <f>salesitems[[#This Row],[quantity]]*salesitems[[#This Row],[unit_price]]</f>
        <v>103.05000000000001</v>
      </c>
      <c r="O1290" t="str">
        <f>_xlfn.XLOOKUP(salesitems[[#This Row],[product_id]],products[product_id],products[product_name])</f>
        <v>Essential Satin Set</v>
      </c>
      <c r="P1290" t="str">
        <f>_xlfn.XLOOKUP(salesitems[[#This Row],[product_id]],fashion_store_products!A:A,fashion_store_products!C:C)</f>
        <v>Sleepwear</v>
      </c>
    </row>
    <row r="1291" spans="1:16" x14ac:dyDescent="0.45">
      <c r="A1291">
        <v>3009</v>
      </c>
      <c r="B1291">
        <v>795</v>
      </c>
      <c r="C1291">
        <v>342</v>
      </c>
      <c r="D1291">
        <v>3</v>
      </c>
      <c r="E1291">
        <v>34.35</v>
      </c>
      <c r="F1291">
        <v>34.35</v>
      </c>
      <c r="G1291">
        <v>0</v>
      </c>
      <c r="H1291" s="2">
        <v>0</v>
      </c>
      <c r="I1291">
        <v>0</v>
      </c>
      <c r="J1291">
        <v>103.05</v>
      </c>
      <c r="K1291" s="1">
        <v>45768</v>
      </c>
      <c r="L1291" t="s">
        <v>15</v>
      </c>
      <c r="M1291" t="s">
        <v>15</v>
      </c>
      <c r="N1291">
        <f>salesitems[[#This Row],[quantity]]*salesitems[[#This Row],[unit_price]]</f>
        <v>103.05000000000001</v>
      </c>
      <c r="O1291" t="str">
        <f>_xlfn.XLOOKUP(salesitems[[#This Row],[product_id]],products[product_id],products[product_name])</f>
        <v>Essential Satin Set</v>
      </c>
      <c r="P1291" t="str">
        <f>_xlfn.XLOOKUP(salesitems[[#This Row],[product_id]],fashion_store_products!A:A,fashion_store_products!C:C)</f>
        <v>Sleepwear</v>
      </c>
    </row>
    <row r="1292" spans="1:16" x14ac:dyDescent="0.45">
      <c r="A1292">
        <v>861</v>
      </c>
      <c r="B1292">
        <v>136</v>
      </c>
      <c r="C1292">
        <v>13</v>
      </c>
      <c r="D1292">
        <v>3</v>
      </c>
      <c r="E1292">
        <v>34.25</v>
      </c>
      <c r="F1292">
        <v>34.25</v>
      </c>
      <c r="G1292">
        <v>0</v>
      </c>
      <c r="H1292" s="2">
        <v>0</v>
      </c>
      <c r="I1292">
        <v>0</v>
      </c>
      <c r="J1292">
        <v>102.75</v>
      </c>
      <c r="K1292" s="1">
        <v>45822</v>
      </c>
      <c r="L1292" t="s">
        <v>21</v>
      </c>
      <c r="M1292" t="s">
        <v>18</v>
      </c>
      <c r="N1292">
        <f>salesitems[[#This Row],[quantity]]*salesitems[[#This Row],[unit_price]]</f>
        <v>102.75</v>
      </c>
      <c r="O1292" t="str">
        <f>_xlfn.XLOOKUP(salesitems[[#This Row],[product_id]],products[product_id],products[product_name])</f>
        <v>Soft Cotton Shoes</v>
      </c>
      <c r="P1292" t="str">
        <f>_xlfn.XLOOKUP(salesitems[[#This Row],[product_id]],fashion_store_products!A:A,fashion_store_products!C:C)</f>
        <v>Shoes</v>
      </c>
    </row>
    <row r="1293" spans="1:16" x14ac:dyDescent="0.45">
      <c r="A1293">
        <v>2427</v>
      </c>
      <c r="B1293">
        <v>3</v>
      </c>
      <c r="C1293">
        <v>13</v>
      </c>
      <c r="D1293">
        <v>3</v>
      </c>
      <c r="E1293">
        <v>34.25</v>
      </c>
      <c r="F1293">
        <v>34.25</v>
      </c>
      <c r="G1293">
        <v>0</v>
      </c>
      <c r="H1293" s="2">
        <v>0</v>
      </c>
      <c r="I1293">
        <v>0</v>
      </c>
      <c r="J1293">
        <v>102.75</v>
      </c>
      <c r="K1293" s="1">
        <v>45769</v>
      </c>
      <c r="L1293" t="s">
        <v>15</v>
      </c>
      <c r="M1293" t="s">
        <v>15</v>
      </c>
      <c r="N1293">
        <f>salesitems[[#This Row],[quantity]]*salesitems[[#This Row],[unit_price]]</f>
        <v>102.75</v>
      </c>
      <c r="O1293" t="str">
        <f>_xlfn.XLOOKUP(salesitems[[#This Row],[product_id]],products[product_id],products[product_name])</f>
        <v>Soft Cotton Shoes</v>
      </c>
      <c r="P1293" t="str">
        <f>_xlfn.XLOOKUP(salesitems[[#This Row],[product_id]],fashion_store_products!A:A,fashion_store_products!C:C)</f>
        <v>Shoes</v>
      </c>
    </row>
    <row r="1294" spans="1:16" x14ac:dyDescent="0.45">
      <c r="A1294">
        <v>746</v>
      </c>
      <c r="B1294">
        <v>858</v>
      </c>
      <c r="C1294">
        <v>388</v>
      </c>
      <c r="D1294">
        <v>3</v>
      </c>
      <c r="E1294">
        <v>34.229999999999997</v>
      </c>
      <c r="F1294">
        <v>34.229999999999997</v>
      </c>
      <c r="G1294">
        <v>0</v>
      </c>
      <c r="H1294" s="2">
        <v>0</v>
      </c>
      <c r="I1294">
        <v>0</v>
      </c>
      <c r="J1294">
        <v>102.69</v>
      </c>
      <c r="K1294" s="1">
        <v>45791</v>
      </c>
      <c r="L1294" t="s">
        <v>21</v>
      </c>
      <c r="M1294" t="s">
        <v>18</v>
      </c>
      <c r="N1294">
        <f>salesitems[[#This Row],[quantity]]*salesitems[[#This Row],[unit_price]]</f>
        <v>102.69</v>
      </c>
      <c r="O1294" t="str">
        <f>_xlfn.XLOOKUP(salesitems[[#This Row],[product_id]],products[product_id],products[product_name])</f>
        <v>Tailored Boxy Dress</v>
      </c>
      <c r="P1294" t="str">
        <f>_xlfn.XLOOKUP(salesitems[[#This Row],[product_id]],fashion_store_products!A:A,fashion_store_products!C:C)</f>
        <v>Dresses</v>
      </c>
    </row>
    <row r="1295" spans="1:16" x14ac:dyDescent="0.45">
      <c r="A1295">
        <v>2730</v>
      </c>
      <c r="B1295">
        <v>943</v>
      </c>
      <c r="C1295">
        <v>274</v>
      </c>
      <c r="D1295">
        <v>3</v>
      </c>
      <c r="E1295">
        <v>48.38</v>
      </c>
      <c r="F1295">
        <v>33.869999999999997</v>
      </c>
      <c r="G1295">
        <v>14.51</v>
      </c>
      <c r="H1295" s="2">
        <v>0.3</v>
      </c>
      <c r="I1295">
        <v>1</v>
      </c>
      <c r="J1295">
        <v>101.6</v>
      </c>
      <c r="K1295" s="1">
        <v>45793</v>
      </c>
      <c r="L1295" t="s">
        <v>15</v>
      </c>
      <c r="M1295" t="s">
        <v>11</v>
      </c>
      <c r="N1295">
        <f>salesitems[[#This Row],[quantity]]*salesitems[[#This Row],[unit_price]]</f>
        <v>101.60999999999999</v>
      </c>
      <c r="O1295" t="str">
        <f>_xlfn.XLOOKUP(salesitems[[#This Row],[product_id]],products[product_id],products[product_name])</f>
        <v>Relaxed Wrap Set</v>
      </c>
      <c r="P1295" t="str">
        <f>_xlfn.XLOOKUP(salesitems[[#This Row],[product_id]],fashion_store_products!A:A,fashion_store_products!C:C)</f>
        <v>Sleepwear</v>
      </c>
    </row>
    <row r="1296" spans="1:16" x14ac:dyDescent="0.45">
      <c r="A1296">
        <v>282</v>
      </c>
      <c r="B1296">
        <v>537</v>
      </c>
      <c r="C1296">
        <v>139</v>
      </c>
      <c r="D1296">
        <v>3</v>
      </c>
      <c r="E1296">
        <v>33.590000000000003</v>
      </c>
      <c r="F1296">
        <v>33.590000000000003</v>
      </c>
      <c r="G1296">
        <v>0</v>
      </c>
      <c r="H1296" s="2">
        <v>0</v>
      </c>
      <c r="I1296">
        <v>0</v>
      </c>
      <c r="J1296">
        <v>100.77</v>
      </c>
      <c r="K1296" s="1">
        <v>45777</v>
      </c>
      <c r="L1296" t="s">
        <v>21</v>
      </c>
      <c r="M1296" t="s">
        <v>18</v>
      </c>
      <c r="N1296">
        <f>salesitems[[#This Row],[quantity]]*salesitems[[#This Row],[unit_price]]</f>
        <v>100.77000000000001</v>
      </c>
      <c r="O1296" t="str">
        <f>_xlfn.XLOOKUP(salesitems[[#This Row],[product_id]],products[product_id],products[product_name])</f>
        <v>Classic High-Waist Tee</v>
      </c>
      <c r="P1296" t="str">
        <f>_xlfn.XLOOKUP(salesitems[[#This Row],[product_id]],fashion_store_products!A:A,fashion_store_products!C:C)</f>
        <v>T-Shirts</v>
      </c>
    </row>
    <row r="1297" spans="1:16" x14ac:dyDescent="0.45">
      <c r="A1297">
        <v>1865</v>
      </c>
      <c r="B1297">
        <v>1097</v>
      </c>
      <c r="C1297">
        <v>139</v>
      </c>
      <c r="D1297">
        <v>3</v>
      </c>
      <c r="E1297">
        <v>33.590000000000003</v>
      </c>
      <c r="F1297">
        <v>33.590000000000003</v>
      </c>
      <c r="G1297">
        <v>0</v>
      </c>
      <c r="H1297" s="2">
        <v>0</v>
      </c>
      <c r="I1297">
        <v>0</v>
      </c>
      <c r="J1297">
        <v>100.77</v>
      </c>
      <c r="K1297" s="1">
        <v>45823</v>
      </c>
      <c r="L1297" t="s">
        <v>15</v>
      </c>
      <c r="M1297" t="s">
        <v>15</v>
      </c>
      <c r="N1297">
        <f>salesitems[[#This Row],[quantity]]*salesitems[[#This Row],[unit_price]]</f>
        <v>100.77000000000001</v>
      </c>
      <c r="O1297" t="str">
        <f>_xlfn.XLOOKUP(salesitems[[#This Row],[product_id]],products[product_id],products[product_name])</f>
        <v>Classic High-Waist Tee</v>
      </c>
      <c r="P1297" t="str">
        <f>_xlfn.XLOOKUP(salesitems[[#This Row],[product_id]],fashion_store_products!A:A,fashion_store_products!C:C)</f>
        <v>T-Shirts</v>
      </c>
    </row>
    <row r="1298" spans="1:16" x14ac:dyDescent="0.45">
      <c r="A1298">
        <v>1601</v>
      </c>
      <c r="B1298">
        <v>728</v>
      </c>
      <c r="C1298">
        <v>132</v>
      </c>
      <c r="D1298">
        <v>3</v>
      </c>
      <c r="E1298">
        <v>46.9</v>
      </c>
      <c r="F1298">
        <v>32.83</v>
      </c>
      <c r="G1298">
        <v>14.07</v>
      </c>
      <c r="H1298" s="2">
        <v>0.3</v>
      </c>
      <c r="I1298">
        <v>1</v>
      </c>
      <c r="J1298">
        <v>98.49</v>
      </c>
      <c r="K1298" s="1">
        <v>45795</v>
      </c>
      <c r="L1298" t="s">
        <v>15</v>
      </c>
      <c r="M1298" t="s">
        <v>11</v>
      </c>
      <c r="N1298">
        <f>salesitems[[#This Row],[quantity]]*salesitems[[#This Row],[unit_price]]</f>
        <v>98.49</v>
      </c>
      <c r="O1298" t="str">
        <f>_xlfn.XLOOKUP(salesitems[[#This Row],[product_id]],products[product_id],products[product_name])</f>
        <v>Classic Crew Shoes</v>
      </c>
      <c r="P1298" t="str">
        <f>_xlfn.XLOOKUP(salesitems[[#This Row],[product_id]],fashion_store_products!A:A,fashion_store_products!C:C)</f>
        <v>Shoes</v>
      </c>
    </row>
    <row r="1299" spans="1:16" x14ac:dyDescent="0.45">
      <c r="A1299">
        <v>2825</v>
      </c>
      <c r="B1299">
        <v>624</v>
      </c>
      <c r="C1299">
        <v>345</v>
      </c>
      <c r="D1299">
        <v>3</v>
      </c>
      <c r="E1299">
        <v>46.36</v>
      </c>
      <c r="F1299">
        <v>32.450000000000003</v>
      </c>
      <c r="G1299">
        <v>13.91</v>
      </c>
      <c r="H1299" s="2">
        <v>0.3</v>
      </c>
      <c r="I1299">
        <v>1</v>
      </c>
      <c r="J1299">
        <v>97.36</v>
      </c>
      <c r="K1299" s="1">
        <v>45790</v>
      </c>
      <c r="L1299" t="s">
        <v>15</v>
      </c>
      <c r="M1299" t="s">
        <v>11</v>
      </c>
      <c r="N1299">
        <f>salesitems[[#This Row],[quantity]]*salesitems[[#This Row],[unit_price]]</f>
        <v>97.350000000000009</v>
      </c>
      <c r="O1299" t="str">
        <f>_xlfn.XLOOKUP(salesitems[[#This Row],[product_id]],products[product_id],products[product_name])</f>
        <v>Tailored Crew Tee</v>
      </c>
      <c r="P1299" t="str">
        <f>_xlfn.XLOOKUP(salesitems[[#This Row],[product_id]],fashion_store_products!A:A,fashion_store_products!C:C)</f>
        <v>T-Shirts</v>
      </c>
    </row>
    <row r="1300" spans="1:16" x14ac:dyDescent="0.45">
      <c r="A1300">
        <v>965</v>
      </c>
      <c r="B1300">
        <v>961</v>
      </c>
      <c r="C1300">
        <v>209</v>
      </c>
      <c r="D1300">
        <v>3</v>
      </c>
      <c r="E1300">
        <v>32.409999999999997</v>
      </c>
      <c r="F1300">
        <v>32.409999999999997</v>
      </c>
      <c r="G1300">
        <v>0</v>
      </c>
      <c r="H1300" s="2">
        <v>0</v>
      </c>
      <c r="I1300">
        <v>0</v>
      </c>
      <c r="J1300">
        <v>97.23</v>
      </c>
      <c r="K1300" s="1">
        <v>45825</v>
      </c>
      <c r="L1300" t="s">
        <v>21</v>
      </c>
      <c r="M1300" t="s">
        <v>18</v>
      </c>
      <c r="N1300">
        <f>salesitems[[#This Row],[quantity]]*salesitems[[#This Row],[unit_price]]</f>
        <v>97.22999999999999</v>
      </c>
      <c r="O1300" t="str">
        <f>_xlfn.XLOOKUP(salesitems[[#This Row],[product_id]],products[product_id],products[product_name])</f>
        <v>Polished Ribbed Shoes</v>
      </c>
      <c r="P1300" t="str">
        <f>_xlfn.XLOOKUP(salesitems[[#This Row],[product_id]],fashion_store_products!A:A,fashion_store_products!C:C)</f>
        <v>Shoes</v>
      </c>
    </row>
    <row r="1301" spans="1:16" x14ac:dyDescent="0.45">
      <c r="A1301">
        <v>1171</v>
      </c>
      <c r="B1301">
        <v>211</v>
      </c>
      <c r="C1301">
        <v>427</v>
      </c>
      <c r="D1301">
        <v>3</v>
      </c>
      <c r="E1301">
        <v>36.01</v>
      </c>
      <c r="F1301">
        <v>32.409999999999997</v>
      </c>
      <c r="G1301">
        <v>3.6</v>
      </c>
      <c r="H1301" s="2">
        <v>0.1</v>
      </c>
      <c r="I1301">
        <v>1</v>
      </c>
      <c r="J1301">
        <v>97.23</v>
      </c>
      <c r="K1301" s="1">
        <v>45813</v>
      </c>
      <c r="L1301" t="s">
        <v>21</v>
      </c>
      <c r="M1301" t="s">
        <v>18</v>
      </c>
      <c r="N1301">
        <f>salesitems[[#This Row],[quantity]]*salesitems[[#This Row],[unit_price]]</f>
        <v>97.22999999999999</v>
      </c>
      <c r="O1301" t="str">
        <f>_xlfn.XLOOKUP(salesitems[[#This Row],[product_id]],products[product_id],products[product_name])</f>
        <v>Bold Wrap Set</v>
      </c>
      <c r="P1301" t="str">
        <f>_xlfn.XLOOKUP(salesitems[[#This Row],[product_id]],fashion_store_products!A:A,fashion_store_products!C:C)</f>
        <v>Sleepwear</v>
      </c>
    </row>
    <row r="1302" spans="1:16" x14ac:dyDescent="0.45">
      <c r="A1302">
        <v>3158</v>
      </c>
      <c r="B1302">
        <v>405</v>
      </c>
      <c r="C1302">
        <v>209</v>
      </c>
      <c r="D1302">
        <v>3</v>
      </c>
      <c r="E1302">
        <v>32.409999999999997</v>
      </c>
      <c r="F1302">
        <v>32.409999999999997</v>
      </c>
      <c r="G1302">
        <v>0</v>
      </c>
      <c r="H1302" s="2">
        <v>0</v>
      </c>
      <c r="I1302">
        <v>0</v>
      </c>
      <c r="J1302">
        <v>97.23</v>
      </c>
      <c r="K1302" s="1">
        <v>45797</v>
      </c>
      <c r="L1302" t="s">
        <v>21</v>
      </c>
      <c r="M1302" t="s">
        <v>18</v>
      </c>
      <c r="N1302">
        <f>salesitems[[#This Row],[quantity]]*salesitems[[#This Row],[unit_price]]</f>
        <v>97.22999999999999</v>
      </c>
      <c r="O1302" t="str">
        <f>_xlfn.XLOOKUP(salesitems[[#This Row],[product_id]],products[product_id],products[product_name])</f>
        <v>Polished Ribbed Shoes</v>
      </c>
      <c r="P1302" t="str">
        <f>_xlfn.XLOOKUP(salesitems[[#This Row],[product_id]],fashion_store_products!A:A,fashion_store_products!C:C)</f>
        <v>Shoes</v>
      </c>
    </row>
    <row r="1303" spans="1:16" x14ac:dyDescent="0.45">
      <c r="A1303">
        <v>529</v>
      </c>
      <c r="B1303">
        <v>1001</v>
      </c>
      <c r="C1303">
        <v>84</v>
      </c>
      <c r="D1303">
        <v>3</v>
      </c>
      <c r="E1303">
        <v>31.84</v>
      </c>
      <c r="F1303">
        <v>31.84</v>
      </c>
      <c r="G1303">
        <v>0</v>
      </c>
      <c r="H1303" s="2">
        <v>0</v>
      </c>
      <c r="I1303">
        <v>0</v>
      </c>
      <c r="J1303">
        <v>95.52</v>
      </c>
      <c r="K1303" s="1">
        <v>45781</v>
      </c>
      <c r="L1303" t="s">
        <v>21</v>
      </c>
      <c r="M1303" t="s">
        <v>18</v>
      </c>
      <c r="N1303">
        <f>salesitems[[#This Row],[quantity]]*salesitems[[#This Row],[unit_price]]</f>
        <v>95.52</v>
      </c>
      <c r="O1303" t="str">
        <f>_xlfn.XLOOKUP(salesitems[[#This Row],[product_id]],products[product_id],products[product_name])</f>
        <v>Modern Cotton Shoes</v>
      </c>
      <c r="P1303" t="str">
        <f>_xlfn.XLOOKUP(salesitems[[#This Row],[product_id]],fashion_store_products!A:A,fashion_store_products!C:C)</f>
        <v>Shoes</v>
      </c>
    </row>
    <row r="1304" spans="1:16" x14ac:dyDescent="0.45">
      <c r="A1304">
        <v>1708</v>
      </c>
      <c r="B1304">
        <v>124</v>
      </c>
      <c r="C1304">
        <v>418</v>
      </c>
      <c r="D1304">
        <v>3</v>
      </c>
      <c r="E1304">
        <v>31.84</v>
      </c>
      <c r="F1304">
        <v>31.84</v>
      </c>
      <c r="G1304">
        <v>0</v>
      </c>
      <c r="H1304" s="2">
        <v>0</v>
      </c>
      <c r="I1304">
        <v>0</v>
      </c>
      <c r="J1304">
        <v>95.52</v>
      </c>
      <c r="K1304" s="1">
        <v>45766</v>
      </c>
      <c r="L1304" t="s">
        <v>21</v>
      </c>
      <c r="M1304" t="s">
        <v>18</v>
      </c>
      <c r="N1304">
        <f>salesitems[[#This Row],[quantity]]*salesitems[[#This Row],[unit_price]]</f>
        <v>95.52</v>
      </c>
      <c r="O1304" t="str">
        <f>_xlfn.XLOOKUP(salesitems[[#This Row],[product_id]],products[product_id],products[product_name])</f>
        <v>Elegant Crew Shoes</v>
      </c>
      <c r="P1304" t="str">
        <f>_xlfn.XLOOKUP(salesitems[[#This Row],[product_id]],fashion_store_products!A:A,fashion_store_products!C:C)</f>
        <v>Shoes</v>
      </c>
    </row>
    <row r="1305" spans="1:16" x14ac:dyDescent="0.45">
      <c r="A1305">
        <v>2686</v>
      </c>
      <c r="B1305">
        <v>102</v>
      </c>
      <c r="C1305">
        <v>418</v>
      </c>
      <c r="D1305">
        <v>3</v>
      </c>
      <c r="E1305">
        <v>31.84</v>
      </c>
      <c r="F1305">
        <v>31.84</v>
      </c>
      <c r="G1305">
        <v>0</v>
      </c>
      <c r="H1305" s="2">
        <v>0</v>
      </c>
      <c r="I1305">
        <v>0</v>
      </c>
      <c r="J1305">
        <v>95.52</v>
      </c>
      <c r="K1305" s="1">
        <v>45822</v>
      </c>
      <c r="L1305" t="s">
        <v>15</v>
      </c>
      <c r="M1305" t="s">
        <v>15</v>
      </c>
      <c r="N1305">
        <f>salesitems[[#This Row],[quantity]]*salesitems[[#This Row],[unit_price]]</f>
        <v>95.52</v>
      </c>
      <c r="O1305" t="str">
        <f>_xlfn.XLOOKUP(salesitems[[#This Row],[product_id]],products[product_id],products[product_name])</f>
        <v>Elegant Crew Shoes</v>
      </c>
      <c r="P1305" t="str">
        <f>_xlfn.XLOOKUP(salesitems[[#This Row],[product_id]],fashion_store_products!A:A,fashion_store_products!C:C)</f>
        <v>Shoes</v>
      </c>
    </row>
    <row r="1306" spans="1:16" x14ac:dyDescent="0.45">
      <c r="A1306">
        <v>2884</v>
      </c>
      <c r="B1306">
        <v>1243</v>
      </c>
      <c r="C1306">
        <v>90</v>
      </c>
      <c r="D1306">
        <v>3</v>
      </c>
      <c r="E1306">
        <v>31.67</v>
      </c>
      <c r="F1306">
        <v>31.67</v>
      </c>
      <c r="G1306">
        <v>0</v>
      </c>
      <c r="H1306" s="2">
        <v>0</v>
      </c>
      <c r="I1306">
        <v>0</v>
      </c>
      <c r="J1306">
        <v>95.01</v>
      </c>
      <c r="K1306" s="1">
        <v>45796</v>
      </c>
      <c r="L1306" t="s">
        <v>21</v>
      </c>
      <c r="M1306" t="s">
        <v>18</v>
      </c>
      <c r="N1306">
        <f>salesitems[[#This Row],[quantity]]*salesitems[[#This Row],[unit_price]]</f>
        <v>95.01</v>
      </c>
      <c r="O1306" t="str">
        <f>_xlfn.XLOOKUP(salesitems[[#This Row],[product_id]],products[product_id],products[product_name])</f>
        <v>Modern Silk Shoes</v>
      </c>
      <c r="P1306" t="str">
        <f>_xlfn.XLOOKUP(salesitems[[#This Row],[product_id]],fashion_store_products!A:A,fashion_store_products!C:C)</f>
        <v>Shoes</v>
      </c>
    </row>
    <row r="1307" spans="1:16" x14ac:dyDescent="0.45">
      <c r="A1307">
        <v>321</v>
      </c>
      <c r="B1307">
        <v>301</v>
      </c>
      <c r="C1307">
        <v>89</v>
      </c>
      <c r="D1307">
        <v>3</v>
      </c>
      <c r="E1307">
        <v>45.12</v>
      </c>
      <c r="F1307">
        <v>31.58</v>
      </c>
      <c r="G1307">
        <v>13.54</v>
      </c>
      <c r="H1307" s="2">
        <v>0.3</v>
      </c>
      <c r="I1307">
        <v>1</v>
      </c>
      <c r="J1307">
        <v>94.75</v>
      </c>
      <c r="K1307" s="1">
        <v>45794</v>
      </c>
      <c r="L1307" t="s">
        <v>15</v>
      </c>
      <c r="M1307" t="s">
        <v>11</v>
      </c>
      <c r="N1307">
        <f>salesitems[[#This Row],[quantity]]*salesitems[[#This Row],[unit_price]]</f>
        <v>94.74</v>
      </c>
      <c r="O1307" t="str">
        <f>_xlfn.XLOOKUP(salesitems[[#This Row],[product_id]],products[product_id],products[product_name])</f>
        <v>Modern Satin Shoes</v>
      </c>
      <c r="P1307" t="str">
        <f>_xlfn.XLOOKUP(salesitems[[#This Row],[product_id]],fashion_store_products!A:A,fashion_store_products!C:C)</f>
        <v>Shoes</v>
      </c>
    </row>
    <row r="1308" spans="1:16" x14ac:dyDescent="0.45">
      <c r="A1308">
        <v>2107</v>
      </c>
      <c r="B1308">
        <v>8</v>
      </c>
      <c r="C1308">
        <v>30</v>
      </c>
      <c r="D1308">
        <v>3</v>
      </c>
      <c r="E1308">
        <v>31.09</v>
      </c>
      <c r="F1308">
        <v>31.09</v>
      </c>
      <c r="G1308">
        <v>0</v>
      </c>
      <c r="H1308" s="2">
        <v>0</v>
      </c>
      <c r="I1308">
        <v>0</v>
      </c>
      <c r="J1308">
        <v>93.27</v>
      </c>
      <c r="K1308" s="1">
        <v>45803</v>
      </c>
      <c r="L1308" t="s">
        <v>15</v>
      </c>
      <c r="M1308" t="s">
        <v>15</v>
      </c>
      <c r="N1308">
        <f>salesitems[[#This Row],[quantity]]*salesitems[[#This Row],[unit_price]]</f>
        <v>93.27</v>
      </c>
      <c r="O1308" t="str">
        <f>_xlfn.XLOOKUP(salesitems[[#This Row],[product_id]],products[product_id],products[product_name])</f>
        <v>Soft Satin Trousers</v>
      </c>
      <c r="P1308" t="str">
        <f>_xlfn.XLOOKUP(salesitems[[#This Row],[product_id]],fashion_store_products!A:A,fashion_store_products!C:C)</f>
        <v>Pants</v>
      </c>
    </row>
    <row r="1309" spans="1:16" x14ac:dyDescent="0.45">
      <c r="A1309">
        <v>1504</v>
      </c>
      <c r="B1309">
        <v>112</v>
      </c>
      <c r="C1309">
        <v>348</v>
      </c>
      <c r="D1309">
        <v>3</v>
      </c>
      <c r="E1309">
        <v>34.47</v>
      </c>
      <c r="F1309">
        <v>31.02</v>
      </c>
      <c r="G1309">
        <v>3.45</v>
      </c>
      <c r="H1309" s="2">
        <v>0.1</v>
      </c>
      <c r="I1309">
        <v>1</v>
      </c>
      <c r="J1309">
        <v>93.07</v>
      </c>
      <c r="K1309" s="1">
        <v>45814</v>
      </c>
      <c r="L1309" t="s">
        <v>21</v>
      </c>
      <c r="M1309" t="s">
        <v>18</v>
      </c>
      <c r="N1309">
        <f>salesitems[[#This Row],[quantity]]*salesitems[[#This Row],[unit_price]]</f>
        <v>93.06</v>
      </c>
      <c r="O1309" t="str">
        <f>_xlfn.XLOOKUP(salesitems[[#This Row],[product_id]],products[product_id],products[product_name])</f>
        <v>Essential Silk Set</v>
      </c>
      <c r="P1309" t="str">
        <f>_xlfn.XLOOKUP(salesitems[[#This Row],[product_id]],fashion_store_products!A:A,fashion_store_products!C:C)</f>
        <v>Sleepwear</v>
      </c>
    </row>
    <row r="1310" spans="1:16" x14ac:dyDescent="0.45">
      <c r="A1310">
        <v>957</v>
      </c>
      <c r="B1310">
        <v>794</v>
      </c>
      <c r="C1310">
        <v>452</v>
      </c>
      <c r="D1310">
        <v>3</v>
      </c>
      <c r="E1310">
        <v>30.85</v>
      </c>
      <c r="F1310">
        <v>30.85</v>
      </c>
      <c r="G1310">
        <v>0</v>
      </c>
      <c r="H1310" s="2">
        <v>0</v>
      </c>
      <c r="I1310">
        <v>0</v>
      </c>
      <c r="J1310">
        <v>92.55</v>
      </c>
      <c r="K1310" s="1">
        <v>45801</v>
      </c>
      <c r="L1310" t="s">
        <v>15</v>
      </c>
      <c r="M1310" t="s">
        <v>15</v>
      </c>
      <c r="N1310">
        <f>salesitems[[#This Row],[quantity]]*salesitems[[#This Row],[unit_price]]</f>
        <v>92.550000000000011</v>
      </c>
      <c r="O1310" t="str">
        <f>_xlfn.XLOOKUP(salesitems[[#This Row],[product_id]],products[product_id],products[product_name])</f>
        <v>Bold Crew Dress</v>
      </c>
      <c r="P1310" t="str">
        <f>_xlfn.XLOOKUP(salesitems[[#This Row],[product_id]],fashion_store_products!A:A,fashion_store_products!C:C)</f>
        <v>Dresses</v>
      </c>
    </row>
    <row r="1311" spans="1:16" x14ac:dyDescent="0.45">
      <c r="A1311">
        <v>613</v>
      </c>
      <c r="B1311">
        <v>146</v>
      </c>
      <c r="C1311">
        <v>401</v>
      </c>
      <c r="D1311">
        <v>3</v>
      </c>
      <c r="E1311">
        <v>30.83</v>
      </c>
      <c r="F1311">
        <v>30.83</v>
      </c>
      <c r="G1311">
        <v>0</v>
      </c>
      <c r="H1311" s="2">
        <v>0</v>
      </c>
      <c r="I1311">
        <v>0</v>
      </c>
      <c r="J1311">
        <v>92.49</v>
      </c>
      <c r="K1311" s="1">
        <v>45762</v>
      </c>
      <c r="L1311" t="s">
        <v>21</v>
      </c>
      <c r="M1311" t="s">
        <v>18</v>
      </c>
      <c r="N1311">
        <f>salesitems[[#This Row],[quantity]]*salesitems[[#This Row],[unit_price]]</f>
        <v>92.49</v>
      </c>
      <c r="O1311" t="str">
        <f>_xlfn.XLOOKUP(salesitems[[#This Row],[product_id]],products[product_id],products[product_name])</f>
        <v>Elegant Cotton Dress</v>
      </c>
      <c r="P1311" t="str">
        <f>_xlfn.XLOOKUP(salesitems[[#This Row],[product_id]],fashion_store_products!A:A,fashion_store_products!C:C)</f>
        <v>Dresses</v>
      </c>
    </row>
    <row r="1312" spans="1:16" x14ac:dyDescent="0.45">
      <c r="A1312">
        <v>1470</v>
      </c>
      <c r="B1312">
        <v>248</v>
      </c>
      <c r="C1312">
        <v>431</v>
      </c>
      <c r="D1312">
        <v>3</v>
      </c>
      <c r="E1312">
        <v>30.41</v>
      </c>
      <c r="F1312">
        <v>30.41</v>
      </c>
      <c r="G1312">
        <v>0</v>
      </c>
      <c r="H1312" s="2">
        <v>0</v>
      </c>
      <c r="I1312">
        <v>0</v>
      </c>
      <c r="J1312">
        <v>91.23</v>
      </c>
      <c r="K1312" s="1">
        <v>45770</v>
      </c>
      <c r="L1312" t="s">
        <v>15</v>
      </c>
      <c r="M1312" t="s">
        <v>15</v>
      </c>
      <c r="N1312">
        <f>salesitems[[#This Row],[quantity]]*salesitems[[#This Row],[unit_price]]</f>
        <v>91.23</v>
      </c>
      <c r="O1312" t="str">
        <f>_xlfn.XLOOKUP(salesitems[[#This Row],[product_id]],products[product_id],products[product_name])</f>
        <v>Elegant Boxy Shoes</v>
      </c>
      <c r="P1312" t="str">
        <f>_xlfn.XLOOKUP(salesitems[[#This Row],[product_id]],fashion_store_products!A:A,fashion_store_products!C:C)</f>
        <v>Shoes</v>
      </c>
    </row>
    <row r="1313" spans="1:16" x14ac:dyDescent="0.45">
      <c r="A1313">
        <v>2793</v>
      </c>
      <c r="B1313">
        <v>147</v>
      </c>
      <c r="C1313">
        <v>431</v>
      </c>
      <c r="D1313">
        <v>3</v>
      </c>
      <c r="E1313">
        <v>30.41</v>
      </c>
      <c r="F1313">
        <v>30.41</v>
      </c>
      <c r="G1313">
        <v>0</v>
      </c>
      <c r="H1313" s="2">
        <v>0</v>
      </c>
      <c r="I1313">
        <v>0</v>
      </c>
      <c r="J1313">
        <v>91.23</v>
      </c>
      <c r="K1313" s="1">
        <v>45794</v>
      </c>
      <c r="L1313" t="s">
        <v>21</v>
      </c>
      <c r="M1313" t="s">
        <v>18</v>
      </c>
      <c r="N1313">
        <f>salesitems[[#This Row],[quantity]]*salesitems[[#This Row],[unit_price]]</f>
        <v>91.23</v>
      </c>
      <c r="O1313" t="str">
        <f>_xlfn.XLOOKUP(salesitems[[#This Row],[product_id]],products[product_id],products[product_name])</f>
        <v>Elegant Boxy Shoes</v>
      </c>
      <c r="P1313" t="str">
        <f>_xlfn.XLOOKUP(salesitems[[#This Row],[product_id]],fashion_store_products!A:A,fashion_store_products!C:C)</f>
        <v>Shoes</v>
      </c>
    </row>
    <row r="1314" spans="1:16" x14ac:dyDescent="0.45">
      <c r="A1314">
        <v>962</v>
      </c>
      <c r="B1314">
        <v>543</v>
      </c>
      <c r="C1314">
        <v>339</v>
      </c>
      <c r="D1314">
        <v>3</v>
      </c>
      <c r="E1314">
        <v>30.35</v>
      </c>
      <c r="F1314">
        <v>30.35</v>
      </c>
      <c r="G1314">
        <v>0</v>
      </c>
      <c r="H1314" s="2">
        <v>0</v>
      </c>
      <c r="I1314">
        <v>0</v>
      </c>
      <c r="J1314">
        <v>91.05</v>
      </c>
      <c r="K1314" s="1">
        <v>45773</v>
      </c>
      <c r="L1314" t="s">
        <v>21</v>
      </c>
      <c r="M1314" t="s">
        <v>18</v>
      </c>
      <c r="N1314">
        <f>salesitems[[#This Row],[quantity]]*salesitems[[#This Row],[unit_price]]</f>
        <v>91.050000000000011</v>
      </c>
      <c r="O1314" t="str">
        <f>_xlfn.XLOOKUP(salesitems[[#This Row],[product_id]],products[product_id],products[product_name])</f>
        <v>Tailored Cotton Tee</v>
      </c>
      <c r="P1314" t="str">
        <f>_xlfn.XLOOKUP(salesitems[[#This Row],[product_id]],fashion_store_products!A:A,fashion_store_products!C:C)</f>
        <v>T-Shirts</v>
      </c>
    </row>
    <row r="1315" spans="1:16" x14ac:dyDescent="0.45">
      <c r="A1315">
        <v>234</v>
      </c>
      <c r="B1315">
        <v>517</v>
      </c>
      <c r="C1315">
        <v>499</v>
      </c>
      <c r="D1315">
        <v>3</v>
      </c>
      <c r="E1315">
        <v>30.07</v>
      </c>
      <c r="F1315">
        <v>30.07</v>
      </c>
      <c r="G1315">
        <v>0</v>
      </c>
      <c r="H1315" s="2">
        <v>0</v>
      </c>
      <c r="I1315">
        <v>0</v>
      </c>
      <c r="J1315">
        <v>90.21</v>
      </c>
      <c r="K1315" s="1">
        <v>45783</v>
      </c>
      <c r="L1315" t="s">
        <v>21</v>
      </c>
      <c r="M1315" t="s">
        <v>18</v>
      </c>
      <c r="N1315">
        <f>salesitems[[#This Row],[quantity]]*salesitems[[#This Row],[unit_price]]</f>
        <v>90.210000000000008</v>
      </c>
      <c r="O1315" t="str">
        <f>_xlfn.XLOOKUP(salesitems[[#This Row],[product_id]],products[product_id],products[product_name])</f>
        <v>Sleepwear Drop 4</v>
      </c>
      <c r="P1315" t="str">
        <f>_xlfn.XLOOKUP(salesitems[[#This Row],[product_id]],fashion_store_products!A:A,fashion_store_products!C:C)</f>
        <v>Sleepwear</v>
      </c>
    </row>
    <row r="1316" spans="1:16" x14ac:dyDescent="0.45">
      <c r="A1316">
        <v>2485</v>
      </c>
      <c r="B1316">
        <v>136</v>
      </c>
      <c r="C1316">
        <v>39</v>
      </c>
      <c r="D1316">
        <v>3</v>
      </c>
      <c r="E1316">
        <v>29.97</v>
      </c>
      <c r="F1316">
        <v>29.97</v>
      </c>
      <c r="G1316">
        <v>0</v>
      </c>
      <c r="H1316" s="2">
        <v>0</v>
      </c>
      <c r="I1316">
        <v>0</v>
      </c>
      <c r="J1316">
        <v>89.91</v>
      </c>
      <c r="K1316" s="1">
        <v>45822</v>
      </c>
      <c r="L1316" t="s">
        <v>21</v>
      </c>
      <c r="M1316" t="s">
        <v>18</v>
      </c>
      <c r="N1316">
        <f>salesitems[[#This Row],[quantity]]*salesitems[[#This Row],[unit_price]]</f>
        <v>89.91</v>
      </c>
      <c r="O1316" t="str">
        <f>_xlfn.XLOOKUP(salesitems[[#This Row],[product_id]],products[product_id],products[product_name])</f>
        <v>Soft Sleeveless Trousers</v>
      </c>
      <c r="P1316" t="str">
        <f>_xlfn.XLOOKUP(salesitems[[#This Row],[product_id]],fashion_store_products!A:A,fashion_store_products!C:C)</f>
        <v>Pants</v>
      </c>
    </row>
    <row r="1317" spans="1:16" x14ac:dyDescent="0.45">
      <c r="A1317">
        <v>3101</v>
      </c>
      <c r="B1317">
        <v>517</v>
      </c>
      <c r="C1317">
        <v>39</v>
      </c>
      <c r="D1317">
        <v>3</v>
      </c>
      <c r="E1317">
        <v>29.97</v>
      </c>
      <c r="F1317">
        <v>29.97</v>
      </c>
      <c r="G1317">
        <v>0</v>
      </c>
      <c r="H1317" s="2">
        <v>0</v>
      </c>
      <c r="I1317">
        <v>0</v>
      </c>
      <c r="J1317">
        <v>89.91</v>
      </c>
      <c r="K1317" s="1">
        <v>45783</v>
      </c>
      <c r="L1317" t="s">
        <v>21</v>
      </c>
      <c r="M1317" t="s">
        <v>18</v>
      </c>
      <c r="N1317">
        <f>salesitems[[#This Row],[quantity]]*salesitems[[#This Row],[unit_price]]</f>
        <v>89.91</v>
      </c>
      <c r="O1317" t="str">
        <f>_xlfn.XLOOKUP(salesitems[[#This Row],[product_id]],products[product_id],products[product_name])</f>
        <v>Soft Sleeveless Trousers</v>
      </c>
      <c r="P1317" t="str">
        <f>_xlfn.XLOOKUP(salesitems[[#This Row],[product_id]],fashion_store_products!A:A,fashion_store_products!C:C)</f>
        <v>Pants</v>
      </c>
    </row>
    <row r="1318" spans="1:16" x14ac:dyDescent="0.45">
      <c r="A1318">
        <v>1236</v>
      </c>
      <c r="B1318">
        <v>808</v>
      </c>
      <c r="C1318">
        <v>241</v>
      </c>
      <c r="D1318">
        <v>3</v>
      </c>
      <c r="E1318">
        <v>29.82</v>
      </c>
      <c r="F1318">
        <v>29.82</v>
      </c>
      <c r="G1318">
        <v>0</v>
      </c>
      <c r="H1318" s="2">
        <v>0</v>
      </c>
      <c r="I1318">
        <v>0</v>
      </c>
      <c r="J1318">
        <v>89.46</v>
      </c>
      <c r="K1318" s="1">
        <v>45774</v>
      </c>
      <c r="L1318" t="s">
        <v>21</v>
      </c>
      <c r="M1318" t="s">
        <v>18</v>
      </c>
      <c r="N1318">
        <f>salesitems[[#This Row],[quantity]]*salesitems[[#This Row],[unit_price]]</f>
        <v>89.460000000000008</v>
      </c>
      <c r="O1318" t="str">
        <f>_xlfn.XLOOKUP(salesitems[[#This Row],[product_id]],products[product_id],products[product_name])</f>
        <v>Polished Ribbed Trousers</v>
      </c>
      <c r="P1318" t="str">
        <f>_xlfn.XLOOKUP(salesitems[[#This Row],[product_id]],fashion_store_products!A:A,fashion_store_products!C:C)</f>
        <v>Pants</v>
      </c>
    </row>
    <row r="1319" spans="1:16" x14ac:dyDescent="0.45">
      <c r="A1319">
        <v>310</v>
      </c>
      <c r="B1319">
        <v>589</v>
      </c>
      <c r="C1319">
        <v>88</v>
      </c>
      <c r="D1319">
        <v>3</v>
      </c>
      <c r="E1319">
        <v>29.81</v>
      </c>
      <c r="F1319">
        <v>29.81</v>
      </c>
      <c r="G1319">
        <v>0</v>
      </c>
      <c r="H1319" s="2">
        <v>0</v>
      </c>
      <c r="I1319">
        <v>0</v>
      </c>
      <c r="J1319">
        <v>89.43</v>
      </c>
      <c r="K1319" s="1">
        <v>45825</v>
      </c>
      <c r="L1319" t="s">
        <v>15</v>
      </c>
      <c r="M1319" t="s">
        <v>15</v>
      </c>
      <c r="N1319">
        <f>salesitems[[#This Row],[quantity]]*salesitems[[#This Row],[unit_price]]</f>
        <v>89.429999999999993</v>
      </c>
      <c r="O1319" t="str">
        <f>_xlfn.XLOOKUP(salesitems[[#This Row],[product_id]],products[product_id],products[product_name])</f>
        <v>Modern Satin Set</v>
      </c>
      <c r="P1319" t="str">
        <f>_xlfn.XLOOKUP(salesitems[[#This Row],[product_id]],fashion_store_products!A:A,fashion_store_products!C:C)</f>
        <v>Sleepwear</v>
      </c>
    </row>
    <row r="1320" spans="1:16" x14ac:dyDescent="0.45">
      <c r="A1320">
        <v>1910</v>
      </c>
      <c r="B1320">
        <v>104</v>
      </c>
      <c r="C1320">
        <v>88</v>
      </c>
      <c r="D1320">
        <v>3</v>
      </c>
      <c r="E1320">
        <v>29.81</v>
      </c>
      <c r="F1320">
        <v>29.81</v>
      </c>
      <c r="G1320">
        <v>0</v>
      </c>
      <c r="H1320" s="2">
        <v>0</v>
      </c>
      <c r="I1320">
        <v>0</v>
      </c>
      <c r="J1320">
        <v>89.43</v>
      </c>
      <c r="K1320" s="1">
        <v>45767</v>
      </c>
      <c r="L1320" t="s">
        <v>15</v>
      </c>
      <c r="M1320" t="s">
        <v>15</v>
      </c>
      <c r="N1320">
        <f>salesitems[[#This Row],[quantity]]*salesitems[[#This Row],[unit_price]]</f>
        <v>89.429999999999993</v>
      </c>
      <c r="O1320" t="str">
        <f>_xlfn.XLOOKUP(salesitems[[#This Row],[product_id]],products[product_id],products[product_name])</f>
        <v>Modern Satin Set</v>
      </c>
      <c r="P1320" t="str">
        <f>_xlfn.XLOOKUP(salesitems[[#This Row],[product_id]],fashion_store_products!A:A,fashion_store_products!C:C)</f>
        <v>Sleepwear</v>
      </c>
    </row>
    <row r="1321" spans="1:16" x14ac:dyDescent="0.45">
      <c r="A1321">
        <v>3111</v>
      </c>
      <c r="B1321">
        <v>757</v>
      </c>
      <c r="C1321">
        <v>88</v>
      </c>
      <c r="D1321">
        <v>3</v>
      </c>
      <c r="E1321">
        <v>29.81</v>
      </c>
      <c r="F1321">
        <v>29.81</v>
      </c>
      <c r="G1321">
        <v>0</v>
      </c>
      <c r="H1321" s="2">
        <v>0</v>
      </c>
      <c r="I1321">
        <v>0</v>
      </c>
      <c r="J1321">
        <v>89.43</v>
      </c>
      <c r="K1321" s="1">
        <v>45773</v>
      </c>
      <c r="L1321" t="s">
        <v>21</v>
      </c>
      <c r="M1321" t="s">
        <v>18</v>
      </c>
      <c r="N1321">
        <f>salesitems[[#This Row],[quantity]]*salesitems[[#This Row],[unit_price]]</f>
        <v>89.429999999999993</v>
      </c>
      <c r="O1321" t="str">
        <f>_xlfn.XLOOKUP(salesitems[[#This Row],[product_id]],products[product_id],products[product_name])</f>
        <v>Modern Satin Set</v>
      </c>
      <c r="P1321" t="str">
        <f>_xlfn.XLOOKUP(salesitems[[#This Row],[product_id]],fashion_store_products!A:A,fashion_store_products!C:C)</f>
        <v>Sleepwear</v>
      </c>
    </row>
    <row r="1322" spans="1:16" x14ac:dyDescent="0.45">
      <c r="A1322">
        <v>850</v>
      </c>
      <c r="B1322">
        <v>452</v>
      </c>
      <c r="C1322">
        <v>81</v>
      </c>
      <c r="D1322">
        <v>3</v>
      </c>
      <c r="E1322">
        <v>29.63</v>
      </c>
      <c r="F1322">
        <v>29.63</v>
      </c>
      <c r="G1322">
        <v>0</v>
      </c>
      <c r="H1322" s="2">
        <v>0</v>
      </c>
      <c r="I1322">
        <v>0</v>
      </c>
      <c r="J1322">
        <v>88.89</v>
      </c>
      <c r="K1322" s="1">
        <v>45772</v>
      </c>
      <c r="L1322" t="s">
        <v>15</v>
      </c>
      <c r="M1322" t="s">
        <v>15</v>
      </c>
      <c r="N1322">
        <f>salesitems[[#This Row],[quantity]]*salesitems[[#This Row],[unit_price]]</f>
        <v>88.89</v>
      </c>
      <c r="O1322" t="str">
        <f>_xlfn.XLOOKUP(salesitems[[#This Row],[product_id]],products[product_id],products[product_name])</f>
        <v>Modern Ribbed Set</v>
      </c>
      <c r="P1322" t="str">
        <f>_xlfn.XLOOKUP(salesitems[[#This Row],[product_id]],fashion_store_products!A:A,fashion_store_products!C:C)</f>
        <v>Sleepwear</v>
      </c>
    </row>
    <row r="1323" spans="1:16" x14ac:dyDescent="0.45">
      <c r="A1323">
        <v>1807</v>
      </c>
      <c r="B1323">
        <v>849</v>
      </c>
      <c r="C1323">
        <v>84</v>
      </c>
      <c r="D1323">
        <v>3</v>
      </c>
      <c r="E1323">
        <v>31.84</v>
      </c>
      <c r="F1323">
        <v>28.66</v>
      </c>
      <c r="G1323">
        <v>3.18</v>
      </c>
      <c r="H1323" s="2">
        <v>0.1</v>
      </c>
      <c r="I1323">
        <v>1</v>
      </c>
      <c r="J1323">
        <v>85.97</v>
      </c>
      <c r="K1323" s="1">
        <v>45814</v>
      </c>
      <c r="L1323" t="s">
        <v>21</v>
      </c>
      <c r="M1323" t="s">
        <v>18</v>
      </c>
      <c r="N1323">
        <f>salesitems[[#This Row],[quantity]]*salesitems[[#This Row],[unit_price]]</f>
        <v>85.98</v>
      </c>
      <c r="O1323" t="str">
        <f>_xlfn.XLOOKUP(salesitems[[#This Row],[product_id]],products[product_id],products[product_name])</f>
        <v>Modern Cotton Shoes</v>
      </c>
      <c r="P1323" t="str">
        <f>_xlfn.XLOOKUP(salesitems[[#This Row],[product_id]],fashion_store_products!A:A,fashion_store_products!C:C)</f>
        <v>Shoes</v>
      </c>
    </row>
    <row r="1324" spans="1:16" x14ac:dyDescent="0.45">
      <c r="A1324">
        <v>2589</v>
      </c>
      <c r="B1324">
        <v>621</v>
      </c>
      <c r="C1324">
        <v>74</v>
      </c>
      <c r="D1324">
        <v>3</v>
      </c>
      <c r="E1324">
        <v>40.94</v>
      </c>
      <c r="F1324">
        <v>28.66</v>
      </c>
      <c r="G1324">
        <v>12.28</v>
      </c>
      <c r="H1324" s="2">
        <v>0.3</v>
      </c>
      <c r="I1324">
        <v>1</v>
      </c>
      <c r="J1324">
        <v>85.97</v>
      </c>
      <c r="K1324" s="1">
        <v>45792</v>
      </c>
      <c r="L1324" t="s">
        <v>15</v>
      </c>
      <c r="M1324" t="s">
        <v>11</v>
      </c>
      <c r="N1324">
        <f>salesitems[[#This Row],[quantity]]*salesitems[[#This Row],[unit_price]]</f>
        <v>85.98</v>
      </c>
      <c r="O1324" t="str">
        <f>_xlfn.XLOOKUP(salesitems[[#This Row],[product_id]],products[product_id],products[product_name])</f>
        <v>Modern Wrap Set</v>
      </c>
      <c r="P1324" t="str">
        <f>_xlfn.XLOOKUP(salesitems[[#This Row],[product_id]],fashion_store_products!A:A,fashion_store_products!C:C)</f>
        <v>Sleepwear</v>
      </c>
    </row>
    <row r="1325" spans="1:16" x14ac:dyDescent="0.45">
      <c r="A1325">
        <v>1371</v>
      </c>
      <c r="B1325">
        <v>347</v>
      </c>
      <c r="C1325">
        <v>462</v>
      </c>
      <c r="D1325">
        <v>3</v>
      </c>
      <c r="E1325">
        <v>28.58</v>
      </c>
      <c r="F1325">
        <v>28.58</v>
      </c>
      <c r="G1325">
        <v>0</v>
      </c>
      <c r="H1325" s="2">
        <v>0</v>
      </c>
      <c r="I1325">
        <v>0</v>
      </c>
      <c r="J1325">
        <v>85.74</v>
      </c>
      <c r="K1325" s="1">
        <v>45795</v>
      </c>
      <c r="L1325" t="s">
        <v>21</v>
      </c>
      <c r="M1325" t="s">
        <v>18</v>
      </c>
      <c r="N1325">
        <f>salesitems[[#This Row],[quantity]]*salesitems[[#This Row],[unit_price]]</f>
        <v>85.74</v>
      </c>
      <c r="O1325" t="str">
        <f>_xlfn.XLOOKUP(salesitems[[#This Row],[product_id]],products[product_id],products[product_name])</f>
        <v>Bold High-Waist Set</v>
      </c>
      <c r="P1325" t="str">
        <f>_xlfn.XLOOKUP(salesitems[[#This Row],[product_id]],fashion_store_products!A:A,fashion_store_products!C:C)</f>
        <v>Sleepwear</v>
      </c>
    </row>
    <row r="1326" spans="1:16" x14ac:dyDescent="0.45">
      <c r="A1326">
        <v>3293</v>
      </c>
      <c r="B1326">
        <v>476</v>
      </c>
      <c r="C1326">
        <v>1</v>
      </c>
      <c r="D1326">
        <v>3</v>
      </c>
      <c r="E1326">
        <v>40.409999999999997</v>
      </c>
      <c r="F1326">
        <v>28.29</v>
      </c>
      <c r="G1326">
        <v>12.12</v>
      </c>
      <c r="H1326" s="2">
        <v>0.3</v>
      </c>
      <c r="I1326">
        <v>1</v>
      </c>
      <c r="J1326">
        <v>84.86</v>
      </c>
      <c r="K1326" s="1">
        <v>45794</v>
      </c>
      <c r="L1326" t="s">
        <v>15</v>
      </c>
      <c r="M1326" t="s">
        <v>11</v>
      </c>
      <c r="N1326">
        <f>salesitems[[#This Row],[quantity]]*salesitems[[#This Row],[unit_price]]</f>
        <v>84.87</v>
      </c>
      <c r="O1326" t="str">
        <f>_xlfn.XLOOKUP(salesitems[[#This Row],[product_id]],products[product_id],products[product_name])</f>
        <v>Soft Wrap Dress</v>
      </c>
      <c r="P1326" t="str">
        <f>_xlfn.XLOOKUP(salesitems[[#This Row],[product_id]],fashion_store_products!A:A,fashion_store_products!C:C)</f>
        <v>Dresses</v>
      </c>
    </row>
    <row r="1327" spans="1:16" x14ac:dyDescent="0.45">
      <c r="A1327">
        <v>1996</v>
      </c>
      <c r="B1327">
        <v>251</v>
      </c>
      <c r="C1327">
        <v>30</v>
      </c>
      <c r="D1327">
        <v>3</v>
      </c>
      <c r="E1327">
        <v>31.09</v>
      </c>
      <c r="F1327">
        <v>27.98</v>
      </c>
      <c r="G1327">
        <v>3.11</v>
      </c>
      <c r="H1327" s="2">
        <v>0.1</v>
      </c>
      <c r="I1327">
        <v>1</v>
      </c>
      <c r="J1327">
        <v>83.94</v>
      </c>
      <c r="K1327" s="1">
        <v>45812</v>
      </c>
      <c r="L1327" t="s">
        <v>21</v>
      </c>
      <c r="M1327" t="s">
        <v>18</v>
      </c>
      <c r="N1327">
        <f>salesitems[[#This Row],[quantity]]*salesitems[[#This Row],[unit_price]]</f>
        <v>83.94</v>
      </c>
      <c r="O1327" t="str">
        <f>_xlfn.XLOOKUP(salesitems[[#This Row],[product_id]],products[product_id],products[product_name])</f>
        <v>Soft Satin Trousers</v>
      </c>
      <c r="P1327" t="str">
        <f>_xlfn.XLOOKUP(salesitems[[#This Row],[product_id]],fashion_store_products!A:A,fashion_store_products!C:C)</f>
        <v>Pants</v>
      </c>
    </row>
    <row r="1328" spans="1:16" x14ac:dyDescent="0.45">
      <c r="A1328">
        <v>2456</v>
      </c>
      <c r="B1328">
        <v>822</v>
      </c>
      <c r="C1328">
        <v>328</v>
      </c>
      <c r="D1328">
        <v>3</v>
      </c>
      <c r="E1328">
        <v>39.83</v>
      </c>
      <c r="F1328">
        <v>27.88</v>
      </c>
      <c r="G1328">
        <v>11.95</v>
      </c>
      <c r="H1328" s="2">
        <v>0.3</v>
      </c>
      <c r="I1328">
        <v>1</v>
      </c>
      <c r="J1328">
        <v>83.64</v>
      </c>
      <c r="K1328" s="1">
        <v>45795</v>
      </c>
      <c r="L1328" t="s">
        <v>15</v>
      </c>
      <c r="M1328" t="s">
        <v>11</v>
      </c>
      <c r="N1328">
        <f>salesitems[[#This Row],[quantity]]*salesitems[[#This Row],[unit_price]]</f>
        <v>83.64</v>
      </c>
      <c r="O1328" t="str">
        <f>_xlfn.XLOOKUP(salesitems[[#This Row],[product_id]],products[product_id],products[product_name])</f>
        <v>Tailored Wrap Dress</v>
      </c>
      <c r="P1328" t="str">
        <f>_xlfn.XLOOKUP(salesitems[[#This Row],[product_id]],fashion_store_products!A:A,fashion_store_products!C:C)</f>
        <v>Dresses</v>
      </c>
    </row>
    <row r="1329" spans="1:16" x14ac:dyDescent="0.45">
      <c r="A1329">
        <v>2914</v>
      </c>
      <c r="B1329">
        <v>615</v>
      </c>
      <c r="C1329">
        <v>328</v>
      </c>
      <c r="D1329">
        <v>3</v>
      </c>
      <c r="E1329">
        <v>39.83</v>
      </c>
      <c r="F1329">
        <v>27.88</v>
      </c>
      <c r="G1329">
        <v>11.95</v>
      </c>
      <c r="H1329" s="2">
        <v>0.3</v>
      </c>
      <c r="I1329">
        <v>1</v>
      </c>
      <c r="J1329">
        <v>83.64</v>
      </c>
      <c r="K1329" s="1">
        <v>45793</v>
      </c>
      <c r="L1329" t="s">
        <v>15</v>
      </c>
      <c r="M1329" t="s">
        <v>11</v>
      </c>
      <c r="N1329">
        <f>salesitems[[#This Row],[quantity]]*salesitems[[#This Row],[unit_price]]</f>
        <v>83.64</v>
      </c>
      <c r="O1329" t="str">
        <f>_xlfn.XLOOKUP(salesitems[[#This Row],[product_id]],products[product_id],products[product_name])</f>
        <v>Tailored Wrap Dress</v>
      </c>
      <c r="P1329" t="str">
        <f>_xlfn.XLOOKUP(salesitems[[#This Row],[product_id]],fashion_store_products!A:A,fashion_store_products!C:C)</f>
        <v>Dresses</v>
      </c>
    </row>
    <row r="1330" spans="1:16" x14ac:dyDescent="0.45">
      <c r="A1330">
        <v>1652</v>
      </c>
      <c r="B1330">
        <v>155</v>
      </c>
      <c r="C1330">
        <v>241</v>
      </c>
      <c r="D1330">
        <v>3</v>
      </c>
      <c r="E1330">
        <v>29.82</v>
      </c>
      <c r="F1330">
        <v>26.84</v>
      </c>
      <c r="G1330">
        <v>2.98</v>
      </c>
      <c r="H1330" s="2">
        <v>0.1</v>
      </c>
      <c r="I1330">
        <v>1</v>
      </c>
      <c r="J1330">
        <v>80.510000000000005</v>
      </c>
      <c r="K1330" s="1">
        <v>45812</v>
      </c>
      <c r="L1330" t="s">
        <v>21</v>
      </c>
      <c r="M1330" t="s">
        <v>18</v>
      </c>
      <c r="N1330">
        <f>salesitems[[#This Row],[quantity]]*salesitems[[#This Row],[unit_price]]</f>
        <v>80.52</v>
      </c>
      <c r="O1330" t="str">
        <f>_xlfn.XLOOKUP(salesitems[[#This Row],[product_id]],products[product_id],products[product_name])</f>
        <v>Polished Ribbed Trousers</v>
      </c>
      <c r="P1330" t="str">
        <f>_xlfn.XLOOKUP(salesitems[[#This Row],[product_id]],fashion_store_products!A:A,fashion_store_products!C:C)</f>
        <v>Pants</v>
      </c>
    </row>
    <row r="1331" spans="1:16" x14ac:dyDescent="0.45">
      <c r="A1331">
        <v>2228</v>
      </c>
      <c r="B1331">
        <v>418</v>
      </c>
      <c r="C1331">
        <v>174</v>
      </c>
      <c r="D1331">
        <v>3</v>
      </c>
      <c r="E1331">
        <v>26.41</v>
      </c>
      <c r="F1331">
        <v>26.41</v>
      </c>
      <c r="G1331">
        <v>0</v>
      </c>
      <c r="H1331" s="2">
        <v>0</v>
      </c>
      <c r="I1331">
        <v>0</v>
      </c>
      <c r="J1331">
        <v>79.23</v>
      </c>
      <c r="K1331" s="1">
        <v>45813</v>
      </c>
      <c r="L1331" t="s">
        <v>15</v>
      </c>
      <c r="M1331" t="s">
        <v>15</v>
      </c>
      <c r="N1331">
        <f>salesitems[[#This Row],[quantity]]*salesitems[[#This Row],[unit_price]]</f>
        <v>79.23</v>
      </c>
      <c r="O1331" t="str">
        <f>_xlfn.XLOOKUP(salesitems[[#This Row],[product_id]],products[product_id],products[product_name])</f>
        <v>Vintage Ribbed Set</v>
      </c>
      <c r="P1331" t="str">
        <f>_xlfn.XLOOKUP(salesitems[[#This Row],[product_id]],fashion_store_products!A:A,fashion_store_products!C:C)</f>
        <v>Sleepwear</v>
      </c>
    </row>
    <row r="1332" spans="1:16" x14ac:dyDescent="0.45">
      <c r="A1332">
        <v>1022</v>
      </c>
      <c r="B1332">
        <v>191</v>
      </c>
      <c r="C1332">
        <v>120</v>
      </c>
      <c r="D1332">
        <v>3</v>
      </c>
      <c r="E1332">
        <v>25.7</v>
      </c>
      <c r="F1332">
        <v>25.7</v>
      </c>
      <c r="G1332">
        <v>0</v>
      </c>
      <c r="H1332" s="2">
        <v>0</v>
      </c>
      <c r="I1332">
        <v>0</v>
      </c>
      <c r="J1332">
        <v>77.099999999999994</v>
      </c>
      <c r="K1332" s="1">
        <v>45800</v>
      </c>
      <c r="L1332" t="s">
        <v>15</v>
      </c>
      <c r="M1332" t="s">
        <v>15</v>
      </c>
      <c r="N1332">
        <f>salesitems[[#This Row],[quantity]]*salesitems[[#This Row],[unit_price]]</f>
        <v>77.099999999999994</v>
      </c>
      <c r="O1332" t="str">
        <f>_xlfn.XLOOKUP(salesitems[[#This Row],[product_id]],products[product_id],products[product_name])</f>
        <v>Modern Boxy Set</v>
      </c>
      <c r="P1332" t="str">
        <f>_xlfn.XLOOKUP(salesitems[[#This Row],[product_id]],fashion_store_products!A:A,fashion_store_products!C:C)</f>
        <v>Sleepwear</v>
      </c>
    </row>
    <row r="1333" spans="1:16" x14ac:dyDescent="0.45">
      <c r="A1333">
        <v>6</v>
      </c>
      <c r="B1333">
        <v>321</v>
      </c>
      <c r="C1333">
        <v>46</v>
      </c>
      <c r="D1333">
        <v>3</v>
      </c>
      <c r="E1333">
        <v>25.15</v>
      </c>
      <c r="F1333">
        <v>25.15</v>
      </c>
      <c r="G1333">
        <v>0</v>
      </c>
      <c r="H1333" s="2">
        <v>0</v>
      </c>
      <c r="I1333">
        <v>0</v>
      </c>
      <c r="J1333">
        <v>75.45</v>
      </c>
      <c r="K1333" s="1">
        <v>45808</v>
      </c>
      <c r="L1333" t="s">
        <v>15</v>
      </c>
      <c r="M1333" t="s">
        <v>15</v>
      </c>
      <c r="N1333">
        <f>salesitems[[#This Row],[quantity]]*salesitems[[#This Row],[unit_price]]</f>
        <v>75.449999999999989</v>
      </c>
      <c r="O1333" t="str">
        <f>_xlfn.XLOOKUP(salesitems[[#This Row],[product_id]],products[product_id],products[product_name])</f>
        <v>Soft Cotton Set</v>
      </c>
      <c r="P1333" t="str">
        <f>_xlfn.XLOOKUP(salesitems[[#This Row],[product_id]],fashion_store_products!A:A,fashion_store_products!C:C)</f>
        <v>Sleepwear</v>
      </c>
    </row>
    <row r="1334" spans="1:16" x14ac:dyDescent="0.45">
      <c r="A1334">
        <v>943</v>
      </c>
      <c r="B1334">
        <v>216</v>
      </c>
      <c r="C1334">
        <v>46</v>
      </c>
      <c r="D1334">
        <v>3</v>
      </c>
      <c r="E1334">
        <v>25.15</v>
      </c>
      <c r="F1334">
        <v>25.15</v>
      </c>
      <c r="G1334">
        <v>0</v>
      </c>
      <c r="H1334" s="2">
        <v>0</v>
      </c>
      <c r="I1334">
        <v>0</v>
      </c>
      <c r="J1334">
        <v>75.45</v>
      </c>
      <c r="K1334" s="1">
        <v>45799</v>
      </c>
      <c r="L1334" t="s">
        <v>21</v>
      </c>
      <c r="M1334" t="s">
        <v>18</v>
      </c>
      <c r="N1334">
        <f>salesitems[[#This Row],[quantity]]*salesitems[[#This Row],[unit_price]]</f>
        <v>75.449999999999989</v>
      </c>
      <c r="O1334" t="str">
        <f>_xlfn.XLOOKUP(salesitems[[#This Row],[product_id]],products[product_id],products[product_name])</f>
        <v>Soft Cotton Set</v>
      </c>
      <c r="P1334" t="str">
        <f>_xlfn.XLOOKUP(salesitems[[#This Row],[product_id]],fashion_store_products!A:A,fashion_store_products!C:C)</f>
        <v>Sleepwear</v>
      </c>
    </row>
    <row r="1335" spans="1:16" x14ac:dyDescent="0.45">
      <c r="A1335">
        <v>686</v>
      </c>
      <c r="B1335">
        <v>1313</v>
      </c>
      <c r="C1335">
        <v>14</v>
      </c>
      <c r="D1335">
        <v>3</v>
      </c>
      <c r="E1335">
        <v>24.96</v>
      </c>
      <c r="F1335">
        <v>24.96</v>
      </c>
      <c r="G1335">
        <v>0</v>
      </c>
      <c r="H1335" s="2">
        <v>0</v>
      </c>
      <c r="I1335">
        <v>0</v>
      </c>
      <c r="J1335">
        <v>74.88</v>
      </c>
      <c r="K1335" s="1">
        <v>45801</v>
      </c>
      <c r="L1335" t="s">
        <v>15</v>
      </c>
      <c r="M1335" t="s">
        <v>15</v>
      </c>
      <c r="N1335">
        <f>salesitems[[#This Row],[quantity]]*salesitems[[#This Row],[unit_price]]</f>
        <v>74.88</v>
      </c>
      <c r="O1335" t="str">
        <f>_xlfn.XLOOKUP(salesitems[[#This Row],[product_id]],products[product_id],products[product_name])</f>
        <v>Soft Cotton Dress</v>
      </c>
      <c r="P1335" t="str">
        <f>_xlfn.XLOOKUP(salesitems[[#This Row],[product_id]],fashion_store_products!A:A,fashion_store_products!C:C)</f>
        <v>Dresses</v>
      </c>
    </row>
    <row r="1336" spans="1:16" x14ac:dyDescent="0.45">
      <c r="A1336">
        <v>2785</v>
      </c>
      <c r="B1336">
        <v>411</v>
      </c>
      <c r="C1336">
        <v>414</v>
      </c>
      <c r="D1336">
        <v>3</v>
      </c>
      <c r="E1336">
        <v>35.200000000000003</v>
      </c>
      <c r="F1336">
        <v>24.64</v>
      </c>
      <c r="G1336">
        <v>10.56</v>
      </c>
      <c r="H1336" s="2">
        <v>0.3</v>
      </c>
      <c r="I1336">
        <v>1</v>
      </c>
      <c r="J1336">
        <v>73.92</v>
      </c>
      <c r="K1336" s="1">
        <v>45790</v>
      </c>
      <c r="L1336" t="s">
        <v>15</v>
      </c>
      <c r="M1336" t="s">
        <v>11</v>
      </c>
      <c r="N1336">
        <f>salesitems[[#This Row],[quantity]]*salesitems[[#This Row],[unit_price]]</f>
        <v>73.92</v>
      </c>
      <c r="O1336" t="str">
        <f>_xlfn.XLOOKUP(salesitems[[#This Row],[product_id]],products[product_id],products[product_name])</f>
        <v>Elegant Crew Set</v>
      </c>
      <c r="P1336" t="str">
        <f>_xlfn.XLOOKUP(salesitems[[#This Row],[product_id]],fashion_store_products!A:A,fashion_store_products!C:C)</f>
        <v>Sleepwear</v>
      </c>
    </row>
    <row r="1337" spans="1:16" x14ac:dyDescent="0.45">
      <c r="A1337">
        <v>1936</v>
      </c>
      <c r="B1337">
        <v>1333</v>
      </c>
      <c r="C1337">
        <v>402</v>
      </c>
      <c r="D1337">
        <v>3</v>
      </c>
      <c r="E1337">
        <v>34.450000000000003</v>
      </c>
      <c r="F1337">
        <v>24.12</v>
      </c>
      <c r="G1337">
        <v>10.34</v>
      </c>
      <c r="H1337" s="2">
        <v>0.3</v>
      </c>
      <c r="I1337">
        <v>1</v>
      </c>
      <c r="J1337">
        <v>72.34</v>
      </c>
      <c r="K1337" s="1">
        <v>45791</v>
      </c>
      <c r="L1337" t="s">
        <v>15</v>
      </c>
      <c r="M1337" t="s">
        <v>11</v>
      </c>
      <c r="N1337">
        <f>salesitems[[#This Row],[quantity]]*salesitems[[#This Row],[unit_price]]</f>
        <v>72.36</v>
      </c>
      <c r="O1337" t="str">
        <f>_xlfn.XLOOKUP(salesitems[[#This Row],[product_id]],products[product_id],products[product_name])</f>
        <v>Elegant Ribbed Set</v>
      </c>
      <c r="P1337" t="str">
        <f>_xlfn.XLOOKUP(salesitems[[#This Row],[product_id]],fashion_store_products!A:A,fashion_store_products!C:C)</f>
        <v>Sleepwear</v>
      </c>
    </row>
    <row r="1338" spans="1:16" x14ac:dyDescent="0.45">
      <c r="A1338">
        <v>1502</v>
      </c>
      <c r="B1338">
        <v>1226</v>
      </c>
      <c r="C1338">
        <v>298</v>
      </c>
      <c r="D1338">
        <v>3</v>
      </c>
      <c r="E1338">
        <v>33.94</v>
      </c>
      <c r="F1338">
        <v>23.76</v>
      </c>
      <c r="G1338">
        <v>10.18</v>
      </c>
      <c r="H1338" s="2">
        <v>0.3</v>
      </c>
      <c r="I1338">
        <v>1</v>
      </c>
      <c r="J1338">
        <v>71.27</v>
      </c>
      <c r="K1338" s="1">
        <v>45795</v>
      </c>
      <c r="L1338" t="s">
        <v>15</v>
      </c>
      <c r="M1338" t="s">
        <v>11</v>
      </c>
      <c r="N1338">
        <f>salesitems[[#This Row],[quantity]]*salesitems[[#This Row],[unit_price]]</f>
        <v>71.28</v>
      </c>
      <c r="O1338" t="str">
        <f>_xlfn.XLOOKUP(salesitems[[#This Row],[product_id]],products[product_id],products[product_name])</f>
        <v>Essential Boxy Shoes</v>
      </c>
      <c r="P1338" t="str">
        <f>_xlfn.XLOOKUP(salesitems[[#This Row],[product_id]],fashion_store_products!A:A,fashion_store_products!C:C)</f>
        <v>Shoes</v>
      </c>
    </row>
    <row r="1339" spans="1:16" x14ac:dyDescent="0.45">
      <c r="A1339">
        <v>1965</v>
      </c>
      <c r="B1339">
        <v>511</v>
      </c>
      <c r="C1339">
        <v>235</v>
      </c>
      <c r="D1339">
        <v>3</v>
      </c>
      <c r="E1339">
        <v>23.68</v>
      </c>
      <c r="F1339">
        <v>23.68</v>
      </c>
      <c r="G1339">
        <v>0</v>
      </c>
      <c r="H1339" s="2">
        <v>0</v>
      </c>
      <c r="I1339">
        <v>0</v>
      </c>
      <c r="J1339">
        <v>71.040000000000006</v>
      </c>
      <c r="K1339" s="1">
        <v>45751</v>
      </c>
      <c r="L1339" t="s">
        <v>21</v>
      </c>
      <c r="M1339" t="s">
        <v>18</v>
      </c>
      <c r="N1339">
        <f>salesitems[[#This Row],[quantity]]*salesitems[[#This Row],[unit_price]]</f>
        <v>71.039999999999992</v>
      </c>
      <c r="O1339" t="str">
        <f>_xlfn.XLOOKUP(salesitems[[#This Row],[product_id]],products[product_id],products[product_name])</f>
        <v>Polished Cotton Set</v>
      </c>
      <c r="P1339" t="str">
        <f>_xlfn.XLOOKUP(salesitems[[#This Row],[product_id]],fashion_store_products!A:A,fashion_store_products!C:C)</f>
        <v>Sleepwear</v>
      </c>
    </row>
    <row r="1340" spans="1:16" x14ac:dyDescent="0.45">
      <c r="A1340">
        <v>1468</v>
      </c>
      <c r="B1340">
        <v>588</v>
      </c>
      <c r="C1340">
        <v>82</v>
      </c>
      <c r="D1340">
        <v>3</v>
      </c>
      <c r="E1340">
        <v>32.21</v>
      </c>
      <c r="F1340">
        <v>22.55</v>
      </c>
      <c r="G1340">
        <v>9.66</v>
      </c>
      <c r="H1340" s="2">
        <v>0.3</v>
      </c>
      <c r="I1340">
        <v>1</v>
      </c>
      <c r="J1340">
        <v>67.64</v>
      </c>
      <c r="K1340" s="1">
        <v>45791</v>
      </c>
      <c r="L1340" t="s">
        <v>15</v>
      </c>
      <c r="M1340" t="s">
        <v>11</v>
      </c>
      <c r="N1340">
        <f>salesitems[[#This Row],[quantity]]*salesitems[[#This Row],[unit_price]]</f>
        <v>67.650000000000006</v>
      </c>
      <c r="O1340" t="str">
        <f>_xlfn.XLOOKUP(salesitems[[#This Row],[product_id]],products[product_id],products[product_name])</f>
        <v>Classic Cotton Dress</v>
      </c>
      <c r="P1340" t="str">
        <f>_xlfn.XLOOKUP(salesitems[[#This Row],[product_id]],fashion_store_products!A:A,fashion_store_products!C:C)</f>
        <v>Dresses</v>
      </c>
    </row>
    <row r="1341" spans="1:16" x14ac:dyDescent="0.45">
      <c r="A1341">
        <v>3315</v>
      </c>
      <c r="B1341">
        <v>341</v>
      </c>
      <c r="C1341">
        <v>90</v>
      </c>
      <c r="D1341">
        <v>3</v>
      </c>
      <c r="E1341">
        <v>31.67</v>
      </c>
      <c r="F1341">
        <v>22.17</v>
      </c>
      <c r="G1341">
        <v>9.5</v>
      </c>
      <c r="H1341" s="2">
        <v>0.3</v>
      </c>
      <c r="I1341">
        <v>1</v>
      </c>
      <c r="J1341">
        <v>66.510000000000005</v>
      </c>
      <c r="K1341" s="1">
        <v>45790</v>
      </c>
      <c r="L1341" t="s">
        <v>15</v>
      </c>
      <c r="M1341" t="s">
        <v>11</v>
      </c>
      <c r="N1341">
        <f>salesitems[[#This Row],[quantity]]*salesitems[[#This Row],[unit_price]]</f>
        <v>66.510000000000005</v>
      </c>
      <c r="O1341" t="str">
        <f>_xlfn.XLOOKUP(salesitems[[#This Row],[product_id]],products[product_id],products[product_name])</f>
        <v>Modern Silk Shoes</v>
      </c>
      <c r="P1341" t="str">
        <f>_xlfn.XLOOKUP(salesitems[[#This Row],[product_id]],fashion_store_products!A:A,fashion_store_products!C:C)</f>
        <v>Shoes</v>
      </c>
    </row>
    <row r="1342" spans="1:16" x14ac:dyDescent="0.45">
      <c r="A1342">
        <v>772</v>
      </c>
      <c r="B1342">
        <v>524</v>
      </c>
      <c r="C1342">
        <v>457</v>
      </c>
      <c r="D1342">
        <v>3</v>
      </c>
      <c r="E1342">
        <v>31.61</v>
      </c>
      <c r="F1342">
        <v>22.13</v>
      </c>
      <c r="G1342">
        <v>9.48</v>
      </c>
      <c r="H1342" s="2">
        <v>0.3</v>
      </c>
      <c r="I1342">
        <v>1</v>
      </c>
      <c r="J1342">
        <v>66.38</v>
      </c>
      <c r="K1342" s="1">
        <v>45792</v>
      </c>
      <c r="L1342" t="s">
        <v>15</v>
      </c>
      <c r="M1342" t="s">
        <v>11</v>
      </c>
      <c r="N1342">
        <f>salesitems[[#This Row],[quantity]]*salesitems[[#This Row],[unit_price]]</f>
        <v>66.39</v>
      </c>
      <c r="O1342" t="str">
        <f>_xlfn.XLOOKUP(salesitems[[#This Row],[product_id]],products[product_id],products[product_name])</f>
        <v>Bold Crew Tee</v>
      </c>
      <c r="P1342" t="str">
        <f>_xlfn.XLOOKUP(salesitems[[#This Row],[product_id]],fashion_store_products!A:A,fashion_store_products!C:C)</f>
        <v>T-Shirts</v>
      </c>
    </row>
    <row r="1343" spans="1:16" x14ac:dyDescent="0.45">
      <c r="A1343">
        <v>2303</v>
      </c>
      <c r="B1343">
        <v>565</v>
      </c>
      <c r="C1343">
        <v>114</v>
      </c>
      <c r="D1343">
        <v>3</v>
      </c>
      <c r="E1343">
        <v>21.53</v>
      </c>
      <c r="F1343">
        <v>21.53</v>
      </c>
      <c r="G1343">
        <v>0</v>
      </c>
      <c r="H1343" s="2">
        <v>0</v>
      </c>
      <c r="I1343">
        <v>0</v>
      </c>
      <c r="J1343">
        <v>64.59</v>
      </c>
      <c r="K1343" s="1">
        <v>45752</v>
      </c>
      <c r="L1343" t="s">
        <v>21</v>
      </c>
      <c r="M1343" t="s">
        <v>18</v>
      </c>
      <c r="N1343">
        <f>salesitems[[#This Row],[quantity]]*salesitems[[#This Row],[unit_price]]</f>
        <v>64.59</v>
      </c>
      <c r="O1343" t="str">
        <f>_xlfn.XLOOKUP(salesitems[[#This Row],[product_id]],products[product_id],products[product_name])</f>
        <v>Classic Ribbed Shoes</v>
      </c>
      <c r="P1343" t="str">
        <f>_xlfn.XLOOKUP(salesitems[[#This Row],[product_id]],fashion_store_products!A:A,fashion_store_products!C:C)</f>
        <v>Shoes</v>
      </c>
    </row>
    <row r="1344" spans="1:16" x14ac:dyDescent="0.45">
      <c r="A1344">
        <v>3036</v>
      </c>
      <c r="B1344">
        <v>229</v>
      </c>
      <c r="C1344">
        <v>114</v>
      </c>
      <c r="D1344">
        <v>3</v>
      </c>
      <c r="E1344">
        <v>21.53</v>
      </c>
      <c r="F1344">
        <v>21.53</v>
      </c>
      <c r="G1344">
        <v>0</v>
      </c>
      <c r="H1344" s="2">
        <v>0</v>
      </c>
      <c r="I1344">
        <v>0</v>
      </c>
      <c r="J1344">
        <v>64.59</v>
      </c>
      <c r="K1344" s="1">
        <v>45824</v>
      </c>
      <c r="L1344" t="s">
        <v>21</v>
      </c>
      <c r="M1344" t="s">
        <v>18</v>
      </c>
      <c r="N1344">
        <f>salesitems[[#This Row],[quantity]]*salesitems[[#This Row],[unit_price]]</f>
        <v>64.59</v>
      </c>
      <c r="O1344" t="str">
        <f>_xlfn.XLOOKUP(salesitems[[#This Row],[product_id]],products[product_id],products[product_name])</f>
        <v>Classic Ribbed Shoes</v>
      </c>
      <c r="P1344" t="str">
        <f>_xlfn.XLOOKUP(salesitems[[#This Row],[product_id]],fashion_store_products!A:A,fashion_store_products!C:C)</f>
        <v>Shoes</v>
      </c>
    </row>
    <row r="1345" spans="1:16" x14ac:dyDescent="0.45">
      <c r="A1345">
        <v>2420</v>
      </c>
      <c r="B1345">
        <v>491</v>
      </c>
      <c r="C1345">
        <v>355</v>
      </c>
      <c r="D1345">
        <v>3</v>
      </c>
      <c r="E1345">
        <v>21.38</v>
      </c>
      <c r="F1345">
        <v>21.38</v>
      </c>
      <c r="G1345">
        <v>0</v>
      </c>
      <c r="H1345" s="2">
        <v>0</v>
      </c>
      <c r="I1345">
        <v>0</v>
      </c>
      <c r="J1345">
        <v>64.14</v>
      </c>
      <c r="K1345" s="1">
        <v>45800</v>
      </c>
      <c r="L1345" t="s">
        <v>21</v>
      </c>
      <c r="M1345" t="s">
        <v>18</v>
      </c>
      <c r="N1345">
        <f>salesitems[[#This Row],[quantity]]*salesitems[[#This Row],[unit_price]]</f>
        <v>64.14</v>
      </c>
      <c r="O1345" t="str">
        <f>_xlfn.XLOOKUP(salesitems[[#This Row],[product_id]],products[product_id],products[product_name])</f>
        <v>Relaxed Boxy Trousers</v>
      </c>
      <c r="P1345" t="str">
        <f>_xlfn.XLOOKUP(salesitems[[#This Row],[product_id]],fashion_store_products!A:A,fashion_store_products!C:C)</f>
        <v>Pants</v>
      </c>
    </row>
    <row r="1346" spans="1:16" x14ac:dyDescent="0.45">
      <c r="A1346">
        <v>2834</v>
      </c>
      <c r="B1346">
        <v>536</v>
      </c>
      <c r="C1346">
        <v>195</v>
      </c>
      <c r="D1346">
        <v>3</v>
      </c>
      <c r="E1346">
        <v>16.690000000000001</v>
      </c>
      <c r="F1346">
        <v>16.690000000000001</v>
      </c>
      <c r="G1346">
        <v>0</v>
      </c>
      <c r="H1346" s="2">
        <v>0</v>
      </c>
      <c r="I1346">
        <v>0</v>
      </c>
      <c r="J1346">
        <v>50.07</v>
      </c>
      <c r="K1346" s="1">
        <v>45783</v>
      </c>
      <c r="L1346" t="s">
        <v>15</v>
      </c>
      <c r="M1346" t="s">
        <v>15</v>
      </c>
      <c r="N1346">
        <f>salesitems[[#This Row],[quantity]]*salesitems[[#This Row],[unit_price]]</f>
        <v>50.070000000000007</v>
      </c>
      <c r="O1346" t="str">
        <f>_xlfn.XLOOKUP(salesitems[[#This Row],[product_id]],products[product_id],products[product_name])</f>
        <v>Vintage Crew Tee</v>
      </c>
      <c r="P1346" t="str">
        <f>_xlfn.XLOOKUP(salesitems[[#This Row],[product_id]],fashion_store_products!A:A,fashion_store_products!C:C)</f>
        <v>T-Shirts</v>
      </c>
    </row>
    <row r="1347" spans="1:16" x14ac:dyDescent="0.45">
      <c r="A1347">
        <v>466</v>
      </c>
      <c r="B1347">
        <v>425</v>
      </c>
      <c r="C1347">
        <v>198</v>
      </c>
      <c r="D1347">
        <v>3</v>
      </c>
      <c r="E1347">
        <v>14.64</v>
      </c>
      <c r="F1347">
        <v>14.64</v>
      </c>
      <c r="G1347">
        <v>0</v>
      </c>
      <c r="H1347" s="2">
        <v>0</v>
      </c>
      <c r="I1347">
        <v>0</v>
      </c>
      <c r="J1347">
        <v>43.92</v>
      </c>
      <c r="K1347" s="1">
        <v>45763</v>
      </c>
      <c r="L1347" t="s">
        <v>21</v>
      </c>
      <c r="M1347" t="s">
        <v>18</v>
      </c>
      <c r="N1347">
        <f>salesitems[[#This Row],[quantity]]*salesitems[[#This Row],[unit_price]]</f>
        <v>43.92</v>
      </c>
      <c r="O1347" t="str">
        <f>_xlfn.XLOOKUP(salesitems[[#This Row],[product_id]],products[product_id],products[product_name])</f>
        <v>Polished Crew Dress</v>
      </c>
      <c r="P1347" t="str">
        <f>_xlfn.XLOOKUP(salesitems[[#This Row],[product_id]],fashion_store_products!A:A,fashion_store_products!C:C)</f>
        <v>Dresses</v>
      </c>
    </row>
    <row r="1348" spans="1:16" x14ac:dyDescent="0.45">
      <c r="A1348">
        <v>2414</v>
      </c>
      <c r="B1348">
        <v>1243</v>
      </c>
      <c r="C1348">
        <v>198</v>
      </c>
      <c r="D1348">
        <v>3</v>
      </c>
      <c r="E1348">
        <v>14.64</v>
      </c>
      <c r="F1348">
        <v>14.64</v>
      </c>
      <c r="G1348">
        <v>0</v>
      </c>
      <c r="H1348" s="2">
        <v>0</v>
      </c>
      <c r="I1348">
        <v>0</v>
      </c>
      <c r="J1348">
        <v>43.92</v>
      </c>
      <c r="K1348" s="1">
        <v>45796</v>
      </c>
      <c r="L1348" t="s">
        <v>21</v>
      </c>
      <c r="M1348" t="s">
        <v>18</v>
      </c>
      <c r="N1348">
        <f>salesitems[[#This Row],[quantity]]*salesitems[[#This Row],[unit_price]]</f>
        <v>43.92</v>
      </c>
      <c r="O1348" t="str">
        <f>_xlfn.XLOOKUP(salesitems[[#This Row],[product_id]],products[product_id],products[product_name])</f>
        <v>Polished Crew Dress</v>
      </c>
      <c r="P1348" t="str">
        <f>_xlfn.XLOOKUP(salesitems[[#This Row],[product_id]],fashion_store_products!A:A,fashion_store_products!C:C)</f>
        <v>Dresses</v>
      </c>
    </row>
    <row r="1349" spans="1:16" x14ac:dyDescent="0.45">
      <c r="A1349">
        <v>15</v>
      </c>
      <c r="B1349">
        <v>68</v>
      </c>
      <c r="C1349">
        <v>238</v>
      </c>
      <c r="D1349">
        <v>4</v>
      </c>
      <c r="E1349">
        <v>85.9</v>
      </c>
      <c r="F1349">
        <v>85.9</v>
      </c>
      <c r="G1349">
        <v>0</v>
      </c>
      <c r="H1349" s="2">
        <v>0</v>
      </c>
      <c r="I1349">
        <v>0</v>
      </c>
      <c r="J1349">
        <v>343.6</v>
      </c>
      <c r="K1349" s="1">
        <v>45800</v>
      </c>
      <c r="L1349" t="s">
        <v>21</v>
      </c>
      <c r="M1349" t="s">
        <v>18</v>
      </c>
      <c r="N1349">
        <f>salesitems[[#This Row],[quantity]]*salesitems[[#This Row],[unit_price]]</f>
        <v>343.6</v>
      </c>
      <c r="O1349" t="str">
        <f>_xlfn.XLOOKUP(salesitems[[#This Row],[product_id]],products[product_id],products[product_name])</f>
        <v>Polished High-Waist Tee</v>
      </c>
      <c r="P1349" t="str">
        <f>_xlfn.XLOOKUP(salesitems[[#This Row],[product_id]],fashion_store_products!A:A,fashion_store_products!C:C)</f>
        <v>T-Shirts</v>
      </c>
    </row>
    <row r="1350" spans="1:16" x14ac:dyDescent="0.45">
      <c r="A1350">
        <v>3276</v>
      </c>
      <c r="B1350">
        <v>13</v>
      </c>
      <c r="C1350">
        <v>284</v>
      </c>
      <c r="D1350">
        <v>4</v>
      </c>
      <c r="E1350">
        <v>81.790000000000006</v>
      </c>
      <c r="F1350">
        <v>81.790000000000006</v>
      </c>
      <c r="G1350">
        <v>0</v>
      </c>
      <c r="H1350" s="2">
        <v>0</v>
      </c>
      <c r="I1350">
        <v>0</v>
      </c>
      <c r="J1350">
        <v>327.16000000000003</v>
      </c>
      <c r="K1350" s="1">
        <v>45763</v>
      </c>
      <c r="L1350" t="s">
        <v>15</v>
      </c>
      <c r="M1350" t="s">
        <v>15</v>
      </c>
      <c r="N1350">
        <f>salesitems[[#This Row],[quantity]]*salesitems[[#This Row],[unit_price]]</f>
        <v>327.16000000000003</v>
      </c>
      <c r="O1350" t="str">
        <f>_xlfn.XLOOKUP(salesitems[[#This Row],[product_id]],products[product_id],products[product_name])</f>
        <v>Essential Cotton Shoes</v>
      </c>
      <c r="P1350" t="str">
        <f>_xlfn.XLOOKUP(salesitems[[#This Row],[product_id]],fashion_store_products!A:A,fashion_store_products!C:C)</f>
        <v>Shoes</v>
      </c>
    </row>
    <row r="1351" spans="1:16" x14ac:dyDescent="0.45">
      <c r="A1351">
        <v>431</v>
      </c>
      <c r="B1351">
        <v>160</v>
      </c>
      <c r="C1351">
        <v>60</v>
      </c>
      <c r="D1351">
        <v>4</v>
      </c>
      <c r="E1351">
        <v>81.7</v>
      </c>
      <c r="F1351">
        <v>81.7</v>
      </c>
      <c r="G1351">
        <v>0</v>
      </c>
      <c r="H1351" s="2">
        <v>0</v>
      </c>
      <c r="I1351">
        <v>0</v>
      </c>
      <c r="J1351">
        <v>326.8</v>
      </c>
      <c r="K1351" s="1">
        <v>45772</v>
      </c>
      <c r="L1351" t="s">
        <v>15</v>
      </c>
      <c r="M1351" t="s">
        <v>15</v>
      </c>
      <c r="N1351">
        <f>salesitems[[#This Row],[quantity]]*salesitems[[#This Row],[unit_price]]</f>
        <v>326.8</v>
      </c>
      <c r="O1351" t="str">
        <f>_xlfn.XLOOKUP(salesitems[[#This Row],[product_id]],products[product_id],products[product_name])</f>
        <v>Modern Cotton Tee</v>
      </c>
      <c r="P1351" t="str">
        <f>_xlfn.XLOOKUP(salesitems[[#This Row],[product_id]],fashion_store_products!A:A,fashion_store_products!C:C)</f>
        <v>T-Shirts</v>
      </c>
    </row>
    <row r="1352" spans="1:16" x14ac:dyDescent="0.45">
      <c r="A1352">
        <v>1073</v>
      </c>
      <c r="B1352">
        <v>756</v>
      </c>
      <c r="C1352">
        <v>60</v>
      </c>
      <c r="D1352">
        <v>4</v>
      </c>
      <c r="E1352">
        <v>81.7</v>
      </c>
      <c r="F1352">
        <v>81.7</v>
      </c>
      <c r="G1352">
        <v>0</v>
      </c>
      <c r="H1352" s="2">
        <v>0</v>
      </c>
      <c r="I1352">
        <v>0</v>
      </c>
      <c r="J1352">
        <v>326.8</v>
      </c>
      <c r="K1352" s="1">
        <v>45821</v>
      </c>
      <c r="L1352" t="s">
        <v>21</v>
      </c>
      <c r="M1352" t="s">
        <v>18</v>
      </c>
      <c r="N1352">
        <f>salesitems[[#This Row],[quantity]]*salesitems[[#This Row],[unit_price]]</f>
        <v>326.8</v>
      </c>
      <c r="O1352" t="str">
        <f>_xlfn.XLOOKUP(salesitems[[#This Row],[product_id]],products[product_id],products[product_name])</f>
        <v>Modern Cotton Tee</v>
      </c>
      <c r="P1352" t="str">
        <f>_xlfn.XLOOKUP(salesitems[[#This Row],[product_id]],fashion_store_products!A:A,fashion_store_products!C:C)</f>
        <v>T-Shirts</v>
      </c>
    </row>
    <row r="1353" spans="1:16" x14ac:dyDescent="0.45">
      <c r="A1353">
        <v>1514</v>
      </c>
      <c r="B1353">
        <v>511</v>
      </c>
      <c r="C1353">
        <v>60</v>
      </c>
      <c r="D1353">
        <v>4</v>
      </c>
      <c r="E1353">
        <v>81.7</v>
      </c>
      <c r="F1353">
        <v>81.7</v>
      </c>
      <c r="G1353">
        <v>0</v>
      </c>
      <c r="H1353" s="2">
        <v>0</v>
      </c>
      <c r="I1353">
        <v>0</v>
      </c>
      <c r="J1353">
        <v>326.8</v>
      </c>
      <c r="K1353" s="1">
        <v>45751</v>
      </c>
      <c r="L1353" t="s">
        <v>21</v>
      </c>
      <c r="M1353" t="s">
        <v>18</v>
      </c>
      <c r="N1353">
        <f>salesitems[[#This Row],[quantity]]*salesitems[[#This Row],[unit_price]]</f>
        <v>326.8</v>
      </c>
      <c r="O1353" t="str">
        <f>_xlfn.XLOOKUP(salesitems[[#This Row],[product_id]],products[product_id],products[product_name])</f>
        <v>Modern Cotton Tee</v>
      </c>
      <c r="P1353" t="str">
        <f>_xlfn.XLOOKUP(salesitems[[#This Row],[product_id]],fashion_store_products!A:A,fashion_store_products!C:C)</f>
        <v>T-Shirts</v>
      </c>
    </row>
    <row r="1354" spans="1:16" x14ac:dyDescent="0.45">
      <c r="A1354">
        <v>2741</v>
      </c>
      <c r="B1354">
        <v>591</v>
      </c>
      <c r="C1354">
        <v>146</v>
      </c>
      <c r="D1354">
        <v>4</v>
      </c>
      <c r="E1354">
        <v>81.06</v>
      </c>
      <c r="F1354">
        <v>81.06</v>
      </c>
      <c r="G1354">
        <v>0</v>
      </c>
      <c r="H1354" s="2">
        <v>0</v>
      </c>
      <c r="I1354">
        <v>0</v>
      </c>
      <c r="J1354">
        <v>324.24</v>
      </c>
      <c r="K1354" s="1">
        <v>45800</v>
      </c>
      <c r="L1354" t="s">
        <v>21</v>
      </c>
      <c r="M1354" t="s">
        <v>18</v>
      </c>
      <c r="N1354">
        <f>salesitems[[#This Row],[quantity]]*salesitems[[#This Row],[unit_price]]</f>
        <v>324.24</v>
      </c>
      <c r="O1354" t="str">
        <f>_xlfn.XLOOKUP(salesitems[[#This Row],[product_id]],products[product_id],products[product_name])</f>
        <v>Vintage Wrap Shoes</v>
      </c>
      <c r="P1354" t="str">
        <f>_xlfn.XLOOKUP(salesitems[[#This Row],[product_id]],fashion_store_products!A:A,fashion_store_products!C:C)</f>
        <v>Shoes</v>
      </c>
    </row>
    <row r="1355" spans="1:16" x14ac:dyDescent="0.45">
      <c r="A1355">
        <v>135</v>
      </c>
      <c r="B1355">
        <v>1150</v>
      </c>
      <c r="C1355">
        <v>71</v>
      </c>
      <c r="D1355">
        <v>4</v>
      </c>
      <c r="E1355">
        <v>80.760000000000005</v>
      </c>
      <c r="F1355">
        <v>80.760000000000005</v>
      </c>
      <c r="G1355">
        <v>0</v>
      </c>
      <c r="H1355" s="2">
        <v>0</v>
      </c>
      <c r="I1355">
        <v>0</v>
      </c>
      <c r="J1355">
        <v>323.04000000000002</v>
      </c>
      <c r="K1355" s="1">
        <v>45783</v>
      </c>
      <c r="L1355" t="s">
        <v>15</v>
      </c>
      <c r="M1355" t="s">
        <v>15</v>
      </c>
      <c r="N1355">
        <f>salesitems[[#This Row],[quantity]]*salesitems[[#This Row],[unit_price]]</f>
        <v>323.04000000000002</v>
      </c>
      <c r="O1355" t="str">
        <f>_xlfn.XLOOKUP(salesitems[[#This Row],[product_id]],products[product_id],products[product_name])</f>
        <v>Modern Ribbed Trousers</v>
      </c>
      <c r="P1355" t="str">
        <f>_xlfn.XLOOKUP(salesitems[[#This Row],[product_id]],fashion_store_products!A:A,fashion_store_products!C:C)</f>
        <v>Pants</v>
      </c>
    </row>
    <row r="1356" spans="1:16" x14ac:dyDescent="0.45">
      <c r="A1356">
        <v>1480</v>
      </c>
      <c r="B1356">
        <v>1210</v>
      </c>
      <c r="C1356">
        <v>71</v>
      </c>
      <c r="D1356">
        <v>4</v>
      </c>
      <c r="E1356">
        <v>80.760000000000005</v>
      </c>
      <c r="F1356">
        <v>80.760000000000005</v>
      </c>
      <c r="G1356">
        <v>0</v>
      </c>
      <c r="H1356" s="2">
        <v>0</v>
      </c>
      <c r="I1356">
        <v>0</v>
      </c>
      <c r="J1356">
        <v>323.04000000000002</v>
      </c>
      <c r="K1356" s="1">
        <v>45825</v>
      </c>
      <c r="L1356" t="s">
        <v>15</v>
      </c>
      <c r="M1356" t="s">
        <v>15</v>
      </c>
      <c r="N1356">
        <f>salesitems[[#This Row],[quantity]]*salesitems[[#This Row],[unit_price]]</f>
        <v>323.04000000000002</v>
      </c>
      <c r="O1356" t="str">
        <f>_xlfn.XLOOKUP(salesitems[[#This Row],[product_id]],products[product_id],products[product_name])</f>
        <v>Modern Ribbed Trousers</v>
      </c>
      <c r="P1356" t="str">
        <f>_xlfn.XLOOKUP(salesitems[[#This Row],[product_id]],fashion_store_products!A:A,fashion_store_products!C:C)</f>
        <v>Pants</v>
      </c>
    </row>
    <row r="1357" spans="1:16" x14ac:dyDescent="0.45">
      <c r="A1357">
        <v>483</v>
      </c>
      <c r="B1357">
        <v>1310</v>
      </c>
      <c r="C1357">
        <v>10</v>
      </c>
      <c r="D1357">
        <v>4</v>
      </c>
      <c r="E1357">
        <v>79.7</v>
      </c>
      <c r="F1357">
        <v>79.7</v>
      </c>
      <c r="G1357">
        <v>0</v>
      </c>
      <c r="H1357" s="2">
        <v>0</v>
      </c>
      <c r="I1357">
        <v>0</v>
      </c>
      <c r="J1357">
        <v>318.8</v>
      </c>
      <c r="K1357" s="1">
        <v>45799</v>
      </c>
      <c r="L1357" t="s">
        <v>21</v>
      </c>
      <c r="M1357" t="s">
        <v>18</v>
      </c>
      <c r="N1357">
        <f>salesitems[[#This Row],[quantity]]*salesitems[[#This Row],[unit_price]]</f>
        <v>318.8</v>
      </c>
      <c r="O1357" t="str">
        <f>_xlfn.XLOOKUP(salesitems[[#This Row],[product_id]],products[product_id],products[product_name])</f>
        <v>Soft Ribbed Trousers</v>
      </c>
      <c r="P1357" t="str">
        <f>_xlfn.XLOOKUP(salesitems[[#This Row],[product_id]],fashion_store_products!A:A,fashion_store_products!C:C)</f>
        <v>Pants</v>
      </c>
    </row>
    <row r="1358" spans="1:16" x14ac:dyDescent="0.45">
      <c r="A1358">
        <v>544</v>
      </c>
      <c r="B1358">
        <v>240</v>
      </c>
      <c r="C1358">
        <v>10</v>
      </c>
      <c r="D1358">
        <v>4</v>
      </c>
      <c r="E1358">
        <v>79.7</v>
      </c>
      <c r="F1358">
        <v>79.7</v>
      </c>
      <c r="G1358">
        <v>0</v>
      </c>
      <c r="H1358" s="2">
        <v>0</v>
      </c>
      <c r="I1358">
        <v>0</v>
      </c>
      <c r="J1358">
        <v>318.8</v>
      </c>
      <c r="K1358" s="1">
        <v>45808</v>
      </c>
      <c r="L1358" t="s">
        <v>15</v>
      </c>
      <c r="M1358" t="s">
        <v>15</v>
      </c>
      <c r="N1358">
        <f>salesitems[[#This Row],[quantity]]*salesitems[[#This Row],[unit_price]]</f>
        <v>318.8</v>
      </c>
      <c r="O1358" t="str">
        <f>_xlfn.XLOOKUP(salesitems[[#This Row],[product_id]],products[product_id],products[product_name])</f>
        <v>Soft Ribbed Trousers</v>
      </c>
      <c r="P1358" t="str">
        <f>_xlfn.XLOOKUP(salesitems[[#This Row],[product_id]],fashion_store_products!A:A,fashion_store_products!C:C)</f>
        <v>Pants</v>
      </c>
    </row>
    <row r="1359" spans="1:16" x14ac:dyDescent="0.45">
      <c r="A1359">
        <v>847</v>
      </c>
      <c r="B1359">
        <v>371</v>
      </c>
      <c r="C1359">
        <v>10</v>
      </c>
      <c r="D1359">
        <v>4</v>
      </c>
      <c r="E1359">
        <v>79.7</v>
      </c>
      <c r="F1359">
        <v>79.7</v>
      </c>
      <c r="G1359">
        <v>0</v>
      </c>
      <c r="H1359" s="2">
        <v>0</v>
      </c>
      <c r="I1359">
        <v>0</v>
      </c>
      <c r="J1359">
        <v>318.8</v>
      </c>
      <c r="K1359" s="1">
        <v>45767</v>
      </c>
      <c r="L1359" t="s">
        <v>21</v>
      </c>
      <c r="M1359" t="s">
        <v>18</v>
      </c>
      <c r="N1359">
        <f>salesitems[[#This Row],[quantity]]*salesitems[[#This Row],[unit_price]]</f>
        <v>318.8</v>
      </c>
      <c r="O1359" t="str">
        <f>_xlfn.XLOOKUP(salesitems[[#This Row],[product_id]],products[product_id],products[product_name])</f>
        <v>Soft Ribbed Trousers</v>
      </c>
      <c r="P1359" t="str">
        <f>_xlfn.XLOOKUP(salesitems[[#This Row],[product_id]],fashion_store_products!A:A,fashion_store_products!C:C)</f>
        <v>Pants</v>
      </c>
    </row>
    <row r="1360" spans="1:16" x14ac:dyDescent="0.45">
      <c r="A1360">
        <v>1685</v>
      </c>
      <c r="B1360">
        <v>1342</v>
      </c>
      <c r="C1360">
        <v>182</v>
      </c>
      <c r="D1360">
        <v>4</v>
      </c>
      <c r="E1360">
        <v>78.63</v>
      </c>
      <c r="F1360">
        <v>78.63</v>
      </c>
      <c r="G1360">
        <v>0</v>
      </c>
      <c r="H1360" s="2">
        <v>0</v>
      </c>
      <c r="I1360">
        <v>0</v>
      </c>
      <c r="J1360">
        <v>314.52</v>
      </c>
      <c r="K1360" s="1">
        <v>45800</v>
      </c>
      <c r="L1360" t="s">
        <v>21</v>
      </c>
      <c r="M1360" t="s">
        <v>18</v>
      </c>
      <c r="N1360">
        <f>salesitems[[#This Row],[quantity]]*salesitems[[#This Row],[unit_price]]</f>
        <v>314.52</v>
      </c>
      <c r="O1360" t="str">
        <f>_xlfn.XLOOKUP(salesitems[[#This Row],[product_id]],products[product_id],products[product_name])</f>
        <v>Vintage Satin Set</v>
      </c>
      <c r="P1360" t="str">
        <f>_xlfn.XLOOKUP(salesitems[[#This Row],[product_id]],fashion_store_products!A:A,fashion_store_products!C:C)</f>
        <v>Sleepwear</v>
      </c>
    </row>
    <row r="1361" spans="1:16" x14ac:dyDescent="0.45">
      <c r="A1361">
        <v>2676</v>
      </c>
      <c r="B1361">
        <v>713</v>
      </c>
      <c r="C1361">
        <v>2</v>
      </c>
      <c r="D1361">
        <v>4</v>
      </c>
      <c r="E1361">
        <v>78.45</v>
      </c>
      <c r="F1361">
        <v>78.45</v>
      </c>
      <c r="G1361">
        <v>0</v>
      </c>
      <c r="H1361" s="2">
        <v>0</v>
      </c>
      <c r="I1361">
        <v>0</v>
      </c>
      <c r="J1361">
        <v>313.8</v>
      </c>
      <c r="K1361" s="1">
        <v>45813</v>
      </c>
      <c r="L1361" t="s">
        <v>15</v>
      </c>
      <c r="M1361" t="s">
        <v>15</v>
      </c>
      <c r="N1361">
        <f>salesitems[[#This Row],[quantity]]*salesitems[[#This Row],[unit_price]]</f>
        <v>313.8</v>
      </c>
      <c r="O1361" t="str">
        <f>_xlfn.XLOOKUP(salesitems[[#This Row],[product_id]],products[product_id],products[product_name])</f>
        <v>Soft Wrap Tee</v>
      </c>
      <c r="P1361" t="str">
        <f>_xlfn.XLOOKUP(salesitems[[#This Row],[product_id]],fashion_store_products!A:A,fashion_store_products!C:C)</f>
        <v>T-Shirts</v>
      </c>
    </row>
    <row r="1362" spans="1:16" x14ac:dyDescent="0.45">
      <c r="A1362">
        <v>2135</v>
      </c>
      <c r="B1362">
        <v>736</v>
      </c>
      <c r="C1362">
        <v>257</v>
      </c>
      <c r="D1362">
        <v>4</v>
      </c>
      <c r="E1362">
        <v>77.900000000000006</v>
      </c>
      <c r="F1362">
        <v>77.900000000000006</v>
      </c>
      <c r="G1362">
        <v>0</v>
      </c>
      <c r="H1362" s="2">
        <v>0</v>
      </c>
      <c r="I1362">
        <v>0</v>
      </c>
      <c r="J1362">
        <v>311.60000000000002</v>
      </c>
      <c r="K1362" s="1">
        <v>45761</v>
      </c>
      <c r="L1362" t="s">
        <v>21</v>
      </c>
      <c r="M1362" t="s">
        <v>18</v>
      </c>
      <c r="N1362">
        <f>salesitems[[#This Row],[quantity]]*salesitems[[#This Row],[unit_price]]</f>
        <v>311.60000000000002</v>
      </c>
      <c r="O1362" t="str">
        <f>_xlfn.XLOOKUP(salesitems[[#This Row],[product_id]],products[product_id],products[product_name])</f>
        <v>Relaxed Crew Shoes</v>
      </c>
      <c r="P1362" t="str">
        <f>_xlfn.XLOOKUP(salesitems[[#This Row],[product_id]],fashion_store_products!A:A,fashion_store_products!C:C)</f>
        <v>Shoes</v>
      </c>
    </row>
    <row r="1363" spans="1:16" x14ac:dyDescent="0.45">
      <c r="A1363">
        <v>2773</v>
      </c>
      <c r="B1363">
        <v>863</v>
      </c>
      <c r="C1363">
        <v>269</v>
      </c>
      <c r="D1363">
        <v>4</v>
      </c>
      <c r="E1363">
        <v>77.59</v>
      </c>
      <c r="F1363">
        <v>77.59</v>
      </c>
      <c r="G1363">
        <v>0</v>
      </c>
      <c r="H1363" s="2">
        <v>0</v>
      </c>
      <c r="I1363">
        <v>0</v>
      </c>
      <c r="J1363">
        <v>310.36</v>
      </c>
      <c r="K1363" s="1">
        <v>45764</v>
      </c>
      <c r="L1363" t="s">
        <v>21</v>
      </c>
      <c r="M1363" t="s">
        <v>18</v>
      </c>
      <c r="N1363">
        <f>salesitems[[#This Row],[quantity]]*salesitems[[#This Row],[unit_price]]</f>
        <v>310.36</v>
      </c>
      <c r="O1363" t="str">
        <f>_xlfn.XLOOKUP(salesitems[[#This Row],[product_id]],products[product_id],products[product_name])</f>
        <v>Relaxed Crew Dress</v>
      </c>
      <c r="P1363" t="str">
        <f>_xlfn.XLOOKUP(salesitems[[#This Row],[product_id]],fashion_store_products!A:A,fashion_store_products!C:C)</f>
        <v>Dresses</v>
      </c>
    </row>
    <row r="1364" spans="1:16" x14ac:dyDescent="0.45">
      <c r="A1364">
        <v>575</v>
      </c>
      <c r="B1364">
        <v>1155</v>
      </c>
      <c r="C1364">
        <v>163</v>
      </c>
      <c r="D1364">
        <v>4</v>
      </c>
      <c r="E1364">
        <v>76.959999999999994</v>
      </c>
      <c r="F1364">
        <v>76.959999999999994</v>
      </c>
      <c r="G1364">
        <v>0</v>
      </c>
      <c r="H1364" s="2">
        <v>0</v>
      </c>
      <c r="I1364">
        <v>0</v>
      </c>
      <c r="J1364">
        <v>307.83999999999997</v>
      </c>
      <c r="K1364" s="1">
        <v>45800</v>
      </c>
      <c r="L1364" t="s">
        <v>21</v>
      </c>
      <c r="M1364" t="s">
        <v>18</v>
      </c>
      <c r="N1364">
        <f>salesitems[[#This Row],[quantity]]*salesitems[[#This Row],[unit_price]]</f>
        <v>307.83999999999997</v>
      </c>
      <c r="O1364" t="str">
        <f>_xlfn.XLOOKUP(salesitems[[#This Row],[product_id]],products[product_id],products[product_name])</f>
        <v>Vintage Wrap Set</v>
      </c>
      <c r="P1364" t="str">
        <f>_xlfn.XLOOKUP(salesitems[[#This Row],[product_id]],fashion_store_products!A:A,fashion_store_products!C:C)</f>
        <v>Sleepwear</v>
      </c>
    </row>
    <row r="1365" spans="1:16" x14ac:dyDescent="0.45">
      <c r="A1365">
        <v>1309</v>
      </c>
      <c r="B1365">
        <v>571</v>
      </c>
      <c r="C1365">
        <v>392</v>
      </c>
      <c r="D1365">
        <v>4</v>
      </c>
      <c r="E1365">
        <v>75.47</v>
      </c>
      <c r="F1365">
        <v>75.47</v>
      </c>
      <c r="G1365">
        <v>0</v>
      </c>
      <c r="H1365" s="2">
        <v>0</v>
      </c>
      <c r="I1365">
        <v>0</v>
      </c>
      <c r="J1365">
        <v>301.88</v>
      </c>
      <c r="K1365" s="1">
        <v>45800</v>
      </c>
      <c r="L1365" t="s">
        <v>15</v>
      </c>
      <c r="M1365" t="s">
        <v>15</v>
      </c>
      <c r="N1365">
        <f>salesitems[[#This Row],[quantity]]*salesitems[[#This Row],[unit_price]]</f>
        <v>301.88</v>
      </c>
      <c r="O1365" t="str">
        <f>_xlfn.XLOOKUP(salesitems[[#This Row],[product_id]],products[product_id],products[product_name])</f>
        <v>Elegant Wrap Shoes</v>
      </c>
      <c r="P1365" t="str">
        <f>_xlfn.XLOOKUP(salesitems[[#This Row],[product_id]],fashion_store_products!A:A,fashion_store_products!C:C)</f>
        <v>Shoes</v>
      </c>
    </row>
    <row r="1366" spans="1:16" x14ac:dyDescent="0.45">
      <c r="A1366">
        <v>2147</v>
      </c>
      <c r="B1366">
        <v>326</v>
      </c>
      <c r="C1366">
        <v>392</v>
      </c>
      <c r="D1366">
        <v>4</v>
      </c>
      <c r="E1366">
        <v>75.47</v>
      </c>
      <c r="F1366">
        <v>75.47</v>
      </c>
      <c r="G1366">
        <v>0</v>
      </c>
      <c r="H1366" s="2">
        <v>0</v>
      </c>
      <c r="I1366">
        <v>0</v>
      </c>
      <c r="J1366">
        <v>301.88</v>
      </c>
      <c r="K1366" s="1">
        <v>45766</v>
      </c>
      <c r="L1366" t="s">
        <v>21</v>
      </c>
      <c r="M1366" t="s">
        <v>18</v>
      </c>
      <c r="N1366">
        <f>salesitems[[#This Row],[quantity]]*salesitems[[#This Row],[unit_price]]</f>
        <v>301.88</v>
      </c>
      <c r="O1366" t="str">
        <f>_xlfn.XLOOKUP(salesitems[[#This Row],[product_id]],products[product_id],products[product_name])</f>
        <v>Elegant Wrap Shoes</v>
      </c>
      <c r="P1366" t="str">
        <f>_xlfn.XLOOKUP(salesitems[[#This Row],[product_id]],fashion_store_products!A:A,fashion_store_products!C:C)</f>
        <v>Shoes</v>
      </c>
    </row>
    <row r="1367" spans="1:16" x14ac:dyDescent="0.45">
      <c r="A1367">
        <v>2560</v>
      </c>
      <c r="B1367">
        <v>571</v>
      </c>
      <c r="C1367">
        <v>224</v>
      </c>
      <c r="D1367">
        <v>4</v>
      </c>
      <c r="E1367">
        <v>75.400000000000006</v>
      </c>
      <c r="F1367">
        <v>75.400000000000006</v>
      </c>
      <c r="G1367">
        <v>0</v>
      </c>
      <c r="H1367" s="2">
        <v>0</v>
      </c>
      <c r="I1367">
        <v>0</v>
      </c>
      <c r="J1367">
        <v>301.60000000000002</v>
      </c>
      <c r="K1367" s="1">
        <v>45800</v>
      </c>
      <c r="L1367" t="s">
        <v>15</v>
      </c>
      <c r="M1367" t="s">
        <v>15</v>
      </c>
      <c r="N1367">
        <f>salesitems[[#This Row],[quantity]]*salesitems[[#This Row],[unit_price]]</f>
        <v>301.60000000000002</v>
      </c>
      <c r="O1367" t="str">
        <f>_xlfn.XLOOKUP(salesitems[[#This Row],[product_id]],products[product_id],products[product_name])</f>
        <v>Relaxed Linen Dress</v>
      </c>
      <c r="P1367" t="str">
        <f>_xlfn.XLOOKUP(salesitems[[#This Row],[product_id]],fashion_store_products!A:A,fashion_store_products!C:C)</f>
        <v>Dresses</v>
      </c>
    </row>
    <row r="1368" spans="1:16" x14ac:dyDescent="0.45">
      <c r="A1368">
        <v>1660</v>
      </c>
      <c r="B1368">
        <v>1084</v>
      </c>
      <c r="C1368">
        <v>459</v>
      </c>
      <c r="D1368">
        <v>4</v>
      </c>
      <c r="E1368">
        <v>75.17</v>
      </c>
      <c r="F1368">
        <v>75.17</v>
      </c>
      <c r="G1368">
        <v>0</v>
      </c>
      <c r="H1368" s="2">
        <v>0</v>
      </c>
      <c r="I1368">
        <v>0</v>
      </c>
      <c r="J1368">
        <v>300.68</v>
      </c>
      <c r="K1368" s="1">
        <v>45775</v>
      </c>
      <c r="L1368" t="s">
        <v>21</v>
      </c>
      <c r="M1368" t="s">
        <v>18</v>
      </c>
      <c r="N1368">
        <f>salesitems[[#This Row],[quantity]]*salesitems[[#This Row],[unit_price]]</f>
        <v>300.68</v>
      </c>
      <c r="O1368" t="str">
        <f>_xlfn.XLOOKUP(salesitems[[#This Row],[product_id]],products[product_id],products[product_name])</f>
        <v>Bold High-Waist Dress</v>
      </c>
      <c r="P1368" t="str">
        <f>_xlfn.XLOOKUP(salesitems[[#This Row],[product_id]],fashion_store_products!A:A,fashion_store_products!C:C)</f>
        <v>Dresses</v>
      </c>
    </row>
    <row r="1369" spans="1:16" x14ac:dyDescent="0.45">
      <c r="A1369">
        <v>1663</v>
      </c>
      <c r="B1369">
        <v>131</v>
      </c>
      <c r="C1369">
        <v>459</v>
      </c>
      <c r="D1369">
        <v>4</v>
      </c>
      <c r="E1369">
        <v>75.17</v>
      </c>
      <c r="F1369">
        <v>75.17</v>
      </c>
      <c r="G1369">
        <v>0</v>
      </c>
      <c r="H1369" s="2">
        <v>0</v>
      </c>
      <c r="I1369">
        <v>0</v>
      </c>
      <c r="J1369">
        <v>300.68</v>
      </c>
      <c r="K1369" s="1">
        <v>45769</v>
      </c>
      <c r="L1369" t="s">
        <v>21</v>
      </c>
      <c r="M1369" t="s">
        <v>18</v>
      </c>
      <c r="N1369">
        <f>salesitems[[#This Row],[quantity]]*salesitems[[#This Row],[unit_price]]</f>
        <v>300.68</v>
      </c>
      <c r="O1369" t="str">
        <f>_xlfn.XLOOKUP(salesitems[[#This Row],[product_id]],products[product_id],products[product_name])</f>
        <v>Bold High-Waist Dress</v>
      </c>
      <c r="P1369" t="str">
        <f>_xlfn.XLOOKUP(salesitems[[#This Row],[product_id]],fashion_store_products!A:A,fashion_store_products!C:C)</f>
        <v>Dresses</v>
      </c>
    </row>
    <row r="1370" spans="1:16" x14ac:dyDescent="0.45">
      <c r="A1370">
        <v>2213</v>
      </c>
      <c r="B1370">
        <v>861</v>
      </c>
      <c r="C1370">
        <v>459</v>
      </c>
      <c r="D1370">
        <v>4</v>
      </c>
      <c r="E1370">
        <v>75.17</v>
      </c>
      <c r="F1370">
        <v>75.17</v>
      </c>
      <c r="G1370">
        <v>0</v>
      </c>
      <c r="H1370" s="2">
        <v>0</v>
      </c>
      <c r="I1370">
        <v>0</v>
      </c>
      <c r="J1370">
        <v>300.68</v>
      </c>
      <c r="K1370" s="1">
        <v>45768</v>
      </c>
      <c r="L1370" t="s">
        <v>21</v>
      </c>
      <c r="M1370" t="s">
        <v>18</v>
      </c>
      <c r="N1370">
        <f>salesitems[[#This Row],[quantity]]*salesitems[[#This Row],[unit_price]]</f>
        <v>300.68</v>
      </c>
      <c r="O1370" t="str">
        <f>_xlfn.XLOOKUP(salesitems[[#This Row],[product_id]],products[product_id],products[product_name])</f>
        <v>Bold High-Waist Dress</v>
      </c>
      <c r="P1370" t="str">
        <f>_xlfn.XLOOKUP(salesitems[[#This Row],[product_id]],fashion_store_products!A:A,fashion_store_products!C:C)</f>
        <v>Dresses</v>
      </c>
    </row>
    <row r="1371" spans="1:16" x14ac:dyDescent="0.45">
      <c r="A1371">
        <v>697</v>
      </c>
      <c r="B1371">
        <v>504</v>
      </c>
      <c r="C1371">
        <v>116</v>
      </c>
      <c r="D1371">
        <v>4</v>
      </c>
      <c r="E1371">
        <v>74.81</v>
      </c>
      <c r="F1371">
        <v>74.81</v>
      </c>
      <c r="G1371">
        <v>0</v>
      </c>
      <c r="H1371" s="2">
        <v>0</v>
      </c>
      <c r="I1371">
        <v>0</v>
      </c>
      <c r="J1371">
        <v>299.24</v>
      </c>
      <c r="K1371" s="1">
        <v>45753</v>
      </c>
      <c r="L1371" t="s">
        <v>15</v>
      </c>
      <c r="M1371" t="s">
        <v>15</v>
      </c>
      <c r="N1371">
        <f>salesitems[[#This Row],[quantity]]*salesitems[[#This Row],[unit_price]]</f>
        <v>299.24</v>
      </c>
      <c r="O1371" t="str">
        <f>_xlfn.XLOOKUP(salesitems[[#This Row],[product_id]],products[product_id],products[product_name])</f>
        <v>Modern High-Waist Trousers</v>
      </c>
      <c r="P1371" t="str">
        <f>_xlfn.XLOOKUP(salesitems[[#This Row],[product_id]],fashion_store_products!A:A,fashion_store_products!C:C)</f>
        <v>Pants</v>
      </c>
    </row>
    <row r="1372" spans="1:16" x14ac:dyDescent="0.45">
      <c r="A1372">
        <v>1304</v>
      </c>
      <c r="B1372">
        <v>581</v>
      </c>
      <c r="C1372">
        <v>116</v>
      </c>
      <c r="D1372">
        <v>4</v>
      </c>
      <c r="E1372">
        <v>74.81</v>
      </c>
      <c r="F1372">
        <v>74.81</v>
      </c>
      <c r="G1372">
        <v>0</v>
      </c>
      <c r="H1372" s="2">
        <v>0</v>
      </c>
      <c r="I1372">
        <v>0</v>
      </c>
      <c r="J1372">
        <v>299.24</v>
      </c>
      <c r="K1372" s="1">
        <v>45808</v>
      </c>
      <c r="L1372" t="s">
        <v>21</v>
      </c>
      <c r="M1372" t="s">
        <v>18</v>
      </c>
      <c r="N1372">
        <f>salesitems[[#This Row],[quantity]]*salesitems[[#This Row],[unit_price]]</f>
        <v>299.24</v>
      </c>
      <c r="O1372" t="str">
        <f>_xlfn.XLOOKUP(salesitems[[#This Row],[product_id]],products[product_id],products[product_name])</f>
        <v>Modern High-Waist Trousers</v>
      </c>
      <c r="P1372" t="str">
        <f>_xlfn.XLOOKUP(salesitems[[#This Row],[product_id]],fashion_store_products!A:A,fashion_store_products!C:C)</f>
        <v>Pants</v>
      </c>
    </row>
    <row r="1373" spans="1:16" x14ac:dyDescent="0.45">
      <c r="A1373">
        <v>1103</v>
      </c>
      <c r="B1373">
        <v>470</v>
      </c>
      <c r="C1373">
        <v>272</v>
      </c>
      <c r="D1373">
        <v>4</v>
      </c>
      <c r="E1373">
        <v>74.17</v>
      </c>
      <c r="F1373">
        <v>74.17</v>
      </c>
      <c r="G1373">
        <v>0</v>
      </c>
      <c r="H1373" s="2">
        <v>0</v>
      </c>
      <c r="I1373">
        <v>0</v>
      </c>
      <c r="J1373">
        <v>296.68</v>
      </c>
      <c r="K1373" s="1">
        <v>45777</v>
      </c>
      <c r="L1373" t="s">
        <v>15</v>
      </c>
      <c r="M1373" t="s">
        <v>15</v>
      </c>
      <c r="N1373">
        <f>salesitems[[#This Row],[quantity]]*salesitems[[#This Row],[unit_price]]</f>
        <v>296.68</v>
      </c>
      <c r="O1373" t="str">
        <f>_xlfn.XLOOKUP(salesitems[[#This Row],[product_id]],products[product_id],products[product_name])</f>
        <v>Essential Linen Shoes</v>
      </c>
      <c r="P1373" t="str">
        <f>_xlfn.XLOOKUP(salesitems[[#This Row],[product_id]],fashion_store_products!A:A,fashion_store_products!C:C)</f>
        <v>Shoes</v>
      </c>
    </row>
    <row r="1374" spans="1:16" x14ac:dyDescent="0.45">
      <c r="A1374">
        <v>748</v>
      </c>
      <c r="B1374">
        <v>542</v>
      </c>
      <c r="C1374">
        <v>212</v>
      </c>
      <c r="D1374">
        <v>4</v>
      </c>
      <c r="E1374">
        <v>74.13</v>
      </c>
      <c r="F1374">
        <v>74.13</v>
      </c>
      <c r="G1374">
        <v>0</v>
      </c>
      <c r="H1374" s="2">
        <v>0</v>
      </c>
      <c r="I1374">
        <v>0</v>
      </c>
      <c r="J1374">
        <v>296.52</v>
      </c>
      <c r="K1374" s="1">
        <v>45801</v>
      </c>
      <c r="L1374" t="s">
        <v>21</v>
      </c>
      <c r="M1374" t="s">
        <v>18</v>
      </c>
      <c r="N1374">
        <f>salesitems[[#This Row],[quantity]]*salesitems[[#This Row],[unit_price]]</f>
        <v>296.52</v>
      </c>
      <c r="O1374" t="str">
        <f>_xlfn.XLOOKUP(salesitems[[#This Row],[product_id]],products[product_id],products[product_name])</f>
        <v>Polished Linen Tee</v>
      </c>
      <c r="P1374" t="str">
        <f>_xlfn.XLOOKUP(salesitems[[#This Row],[product_id]],fashion_store_products!A:A,fashion_store_products!C:C)</f>
        <v>T-Shirts</v>
      </c>
    </row>
    <row r="1375" spans="1:16" x14ac:dyDescent="0.45">
      <c r="A1375">
        <v>206</v>
      </c>
      <c r="B1375">
        <v>1019</v>
      </c>
      <c r="C1375">
        <v>403</v>
      </c>
      <c r="D1375">
        <v>4</v>
      </c>
      <c r="E1375">
        <v>81.8</v>
      </c>
      <c r="F1375">
        <v>73.62</v>
      </c>
      <c r="G1375">
        <v>8.18</v>
      </c>
      <c r="H1375" s="2">
        <v>0.1</v>
      </c>
      <c r="I1375">
        <v>1</v>
      </c>
      <c r="J1375">
        <v>294.48</v>
      </c>
      <c r="K1375" s="1">
        <v>45813</v>
      </c>
      <c r="L1375" t="s">
        <v>21</v>
      </c>
      <c r="M1375" t="s">
        <v>18</v>
      </c>
      <c r="N1375">
        <f>salesitems[[#This Row],[quantity]]*salesitems[[#This Row],[unit_price]]</f>
        <v>294.48</v>
      </c>
      <c r="O1375" t="str">
        <f>_xlfn.XLOOKUP(salesitems[[#This Row],[product_id]],products[product_id],products[product_name])</f>
        <v>Elegant Satin Dress</v>
      </c>
      <c r="P1375" t="str">
        <f>_xlfn.XLOOKUP(salesitems[[#This Row],[product_id]],fashion_store_products!A:A,fashion_store_products!C:C)</f>
        <v>Dresses</v>
      </c>
    </row>
    <row r="1376" spans="1:16" x14ac:dyDescent="0.45">
      <c r="A1376">
        <v>2174</v>
      </c>
      <c r="B1376">
        <v>572</v>
      </c>
      <c r="C1376">
        <v>72</v>
      </c>
      <c r="D1376">
        <v>4</v>
      </c>
      <c r="E1376">
        <v>72.8</v>
      </c>
      <c r="F1376">
        <v>72.8</v>
      </c>
      <c r="G1376">
        <v>0</v>
      </c>
      <c r="H1376" s="2">
        <v>0</v>
      </c>
      <c r="I1376">
        <v>0</v>
      </c>
      <c r="J1376">
        <v>291.2</v>
      </c>
      <c r="K1376" s="1">
        <v>45769</v>
      </c>
      <c r="L1376" t="s">
        <v>15</v>
      </c>
      <c r="M1376" t="s">
        <v>15</v>
      </c>
      <c r="N1376">
        <f>salesitems[[#This Row],[quantity]]*salesitems[[#This Row],[unit_price]]</f>
        <v>291.2</v>
      </c>
      <c r="O1376" t="str">
        <f>_xlfn.XLOOKUP(salesitems[[#This Row],[product_id]],products[product_id],products[product_name])</f>
        <v>Classic Wrap Dress</v>
      </c>
      <c r="P1376" t="str">
        <f>_xlfn.XLOOKUP(salesitems[[#This Row],[product_id]],fashion_store_products!A:A,fashion_store_products!C:C)</f>
        <v>Dresses</v>
      </c>
    </row>
    <row r="1377" spans="1:16" x14ac:dyDescent="0.45">
      <c r="A1377">
        <v>1132</v>
      </c>
      <c r="B1377">
        <v>402</v>
      </c>
      <c r="C1377">
        <v>398</v>
      </c>
      <c r="D1377">
        <v>4</v>
      </c>
      <c r="E1377">
        <v>71.150000000000006</v>
      </c>
      <c r="F1377">
        <v>71.150000000000006</v>
      </c>
      <c r="G1377">
        <v>0</v>
      </c>
      <c r="H1377" s="2">
        <v>0</v>
      </c>
      <c r="I1377">
        <v>0</v>
      </c>
      <c r="J1377">
        <v>284.60000000000002</v>
      </c>
      <c r="K1377" s="1">
        <v>45790</v>
      </c>
      <c r="L1377" t="s">
        <v>21</v>
      </c>
      <c r="M1377" t="s">
        <v>18</v>
      </c>
      <c r="N1377">
        <f>salesitems[[#This Row],[quantity]]*salesitems[[#This Row],[unit_price]]</f>
        <v>284.60000000000002</v>
      </c>
      <c r="O1377" t="str">
        <f>_xlfn.XLOOKUP(salesitems[[#This Row],[product_id]],products[product_id],products[product_name])</f>
        <v>Elegant Linen Set</v>
      </c>
      <c r="P1377" t="str">
        <f>_xlfn.XLOOKUP(salesitems[[#This Row],[product_id]],fashion_store_products!A:A,fashion_store_products!C:C)</f>
        <v>Sleepwear</v>
      </c>
    </row>
    <row r="1378" spans="1:16" x14ac:dyDescent="0.45">
      <c r="A1378">
        <v>2255</v>
      </c>
      <c r="B1378">
        <v>447</v>
      </c>
      <c r="C1378">
        <v>270</v>
      </c>
      <c r="D1378">
        <v>4</v>
      </c>
      <c r="E1378">
        <v>70.459999999999994</v>
      </c>
      <c r="F1378">
        <v>70.459999999999994</v>
      </c>
      <c r="G1378">
        <v>0</v>
      </c>
      <c r="H1378" s="2">
        <v>0</v>
      </c>
      <c r="I1378">
        <v>0</v>
      </c>
      <c r="J1378">
        <v>281.83999999999997</v>
      </c>
      <c r="K1378" s="1">
        <v>45766</v>
      </c>
      <c r="L1378" t="s">
        <v>15</v>
      </c>
      <c r="M1378" t="s">
        <v>15</v>
      </c>
      <c r="N1378">
        <f>salesitems[[#This Row],[quantity]]*salesitems[[#This Row],[unit_price]]</f>
        <v>281.83999999999997</v>
      </c>
      <c r="O1378" t="str">
        <f>_xlfn.XLOOKUP(salesitems[[#This Row],[product_id]],products[product_id],products[product_name])</f>
        <v>Relaxed Silk Tee</v>
      </c>
      <c r="P1378" t="str">
        <f>_xlfn.XLOOKUP(salesitems[[#This Row],[product_id]],fashion_store_products!A:A,fashion_store_products!C:C)</f>
        <v>T-Shirts</v>
      </c>
    </row>
    <row r="1379" spans="1:16" x14ac:dyDescent="0.45">
      <c r="A1379">
        <v>1243</v>
      </c>
      <c r="B1379">
        <v>659</v>
      </c>
      <c r="C1379">
        <v>31</v>
      </c>
      <c r="D1379">
        <v>4</v>
      </c>
      <c r="E1379">
        <v>69.819999999999993</v>
      </c>
      <c r="F1379">
        <v>69.819999999999993</v>
      </c>
      <c r="G1379">
        <v>0</v>
      </c>
      <c r="H1379" s="2">
        <v>0</v>
      </c>
      <c r="I1379">
        <v>0</v>
      </c>
      <c r="J1379">
        <v>279.27999999999997</v>
      </c>
      <c r="K1379" s="1">
        <v>45764</v>
      </c>
      <c r="L1379" t="s">
        <v>15</v>
      </c>
      <c r="M1379" t="s">
        <v>15</v>
      </c>
      <c r="N1379">
        <f>salesitems[[#This Row],[quantity]]*salesitems[[#This Row],[unit_price]]</f>
        <v>279.27999999999997</v>
      </c>
      <c r="O1379" t="str">
        <f>_xlfn.XLOOKUP(salesitems[[#This Row],[product_id]],products[product_id],products[product_name])</f>
        <v>Soft Silk Trousers</v>
      </c>
      <c r="P1379" t="str">
        <f>_xlfn.XLOOKUP(salesitems[[#This Row],[product_id]],fashion_store_products!A:A,fashion_store_products!C:C)</f>
        <v>Pants</v>
      </c>
    </row>
    <row r="1380" spans="1:16" x14ac:dyDescent="0.45">
      <c r="A1380">
        <v>1409</v>
      </c>
      <c r="B1380">
        <v>562</v>
      </c>
      <c r="C1380">
        <v>474</v>
      </c>
      <c r="D1380">
        <v>4</v>
      </c>
      <c r="E1380">
        <v>68.47</v>
      </c>
      <c r="F1380">
        <v>68.47</v>
      </c>
      <c r="G1380">
        <v>0</v>
      </c>
      <c r="H1380" s="2">
        <v>0</v>
      </c>
      <c r="I1380">
        <v>0</v>
      </c>
      <c r="J1380">
        <v>273.88</v>
      </c>
      <c r="K1380" s="1">
        <v>45765</v>
      </c>
      <c r="L1380" t="s">
        <v>15</v>
      </c>
      <c r="M1380" t="s">
        <v>15</v>
      </c>
      <c r="N1380">
        <f>salesitems[[#This Row],[quantity]]*salesitems[[#This Row],[unit_price]]</f>
        <v>273.88</v>
      </c>
      <c r="O1380" t="str">
        <f>_xlfn.XLOOKUP(salesitems[[#This Row],[product_id]],products[product_id],products[product_name])</f>
        <v>Bold Cotton Shoes</v>
      </c>
      <c r="P1380" t="str">
        <f>_xlfn.XLOOKUP(salesitems[[#This Row],[product_id]],fashion_store_products!A:A,fashion_store_products!C:C)</f>
        <v>Shoes</v>
      </c>
    </row>
    <row r="1381" spans="1:16" x14ac:dyDescent="0.45">
      <c r="A1381">
        <v>1151</v>
      </c>
      <c r="B1381">
        <v>17</v>
      </c>
      <c r="C1381">
        <v>250</v>
      </c>
      <c r="D1381">
        <v>4</v>
      </c>
      <c r="E1381">
        <v>68.22</v>
      </c>
      <c r="F1381">
        <v>68.22</v>
      </c>
      <c r="G1381">
        <v>0</v>
      </c>
      <c r="H1381" s="2">
        <v>0</v>
      </c>
      <c r="I1381">
        <v>0</v>
      </c>
      <c r="J1381">
        <v>272.88</v>
      </c>
      <c r="K1381" s="1">
        <v>45776</v>
      </c>
      <c r="L1381" t="s">
        <v>21</v>
      </c>
      <c r="M1381" t="s">
        <v>18</v>
      </c>
      <c r="N1381">
        <f>salesitems[[#This Row],[quantity]]*salesitems[[#This Row],[unit_price]]</f>
        <v>272.88</v>
      </c>
      <c r="O1381" t="str">
        <f>_xlfn.XLOOKUP(salesitems[[#This Row],[product_id]],products[product_id],products[product_name])</f>
        <v>Relaxed Satin Shoes</v>
      </c>
      <c r="P1381" t="str">
        <f>_xlfn.XLOOKUP(salesitems[[#This Row],[product_id]],fashion_store_products!A:A,fashion_store_products!C:C)</f>
        <v>Shoes</v>
      </c>
    </row>
    <row r="1382" spans="1:16" x14ac:dyDescent="0.45">
      <c r="A1382">
        <v>2629</v>
      </c>
      <c r="B1382">
        <v>1162</v>
      </c>
      <c r="C1382">
        <v>470</v>
      </c>
      <c r="D1382">
        <v>4</v>
      </c>
      <c r="E1382">
        <v>67.73</v>
      </c>
      <c r="F1382">
        <v>67.73</v>
      </c>
      <c r="G1382">
        <v>0</v>
      </c>
      <c r="H1382" s="2">
        <v>0</v>
      </c>
      <c r="I1382">
        <v>0</v>
      </c>
      <c r="J1382">
        <v>270.92</v>
      </c>
      <c r="K1382" s="1">
        <v>45752</v>
      </c>
      <c r="L1382" t="s">
        <v>15</v>
      </c>
      <c r="M1382" t="s">
        <v>15</v>
      </c>
      <c r="N1382">
        <f>salesitems[[#This Row],[quantity]]*salesitems[[#This Row],[unit_price]]</f>
        <v>270.92</v>
      </c>
      <c r="O1382" t="str">
        <f>_xlfn.XLOOKUP(salesitems[[#This Row],[product_id]],products[product_id],products[product_name])</f>
        <v>Sleepwear Drop 2</v>
      </c>
      <c r="P1382" t="str">
        <f>_xlfn.XLOOKUP(salesitems[[#This Row],[product_id]],fashion_store_products!A:A,fashion_store_products!C:C)</f>
        <v>Sleepwear</v>
      </c>
    </row>
    <row r="1383" spans="1:16" x14ac:dyDescent="0.45">
      <c r="A1383">
        <v>2708</v>
      </c>
      <c r="B1383">
        <v>358</v>
      </c>
      <c r="C1383">
        <v>296</v>
      </c>
      <c r="D1383">
        <v>4</v>
      </c>
      <c r="E1383">
        <v>67.069999999999993</v>
      </c>
      <c r="F1383">
        <v>67.069999999999993</v>
      </c>
      <c r="G1383">
        <v>0</v>
      </c>
      <c r="H1383" s="2">
        <v>0</v>
      </c>
      <c r="I1383">
        <v>0</v>
      </c>
      <c r="J1383">
        <v>268.27999999999997</v>
      </c>
      <c r="K1383" s="1">
        <v>45812</v>
      </c>
      <c r="L1383" t="s">
        <v>15</v>
      </c>
      <c r="M1383" t="s">
        <v>15</v>
      </c>
      <c r="N1383">
        <f>salesitems[[#This Row],[quantity]]*salesitems[[#This Row],[unit_price]]</f>
        <v>268.27999999999997</v>
      </c>
      <c r="O1383" t="str">
        <f>_xlfn.XLOOKUP(salesitems[[#This Row],[product_id]],products[product_id],products[product_name])</f>
        <v>Relaxed Boxy Dress</v>
      </c>
      <c r="P1383" t="str">
        <f>_xlfn.XLOOKUP(salesitems[[#This Row],[product_id]],fashion_store_products!A:A,fashion_store_products!C:C)</f>
        <v>Dresses</v>
      </c>
    </row>
    <row r="1384" spans="1:16" x14ac:dyDescent="0.45">
      <c r="A1384">
        <v>3173</v>
      </c>
      <c r="B1384">
        <v>765</v>
      </c>
      <c r="C1384">
        <v>296</v>
      </c>
      <c r="D1384">
        <v>4</v>
      </c>
      <c r="E1384">
        <v>67.069999999999993</v>
      </c>
      <c r="F1384">
        <v>67.069999999999993</v>
      </c>
      <c r="G1384">
        <v>0</v>
      </c>
      <c r="H1384" s="2">
        <v>0</v>
      </c>
      <c r="I1384">
        <v>0</v>
      </c>
      <c r="J1384">
        <v>268.27999999999997</v>
      </c>
      <c r="K1384" s="1">
        <v>45767</v>
      </c>
      <c r="L1384" t="s">
        <v>21</v>
      </c>
      <c r="M1384" t="s">
        <v>18</v>
      </c>
      <c r="N1384">
        <f>salesitems[[#This Row],[quantity]]*salesitems[[#This Row],[unit_price]]</f>
        <v>268.27999999999997</v>
      </c>
      <c r="O1384" t="str">
        <f>_xlfn.XLOOKUP(salesitems[[#This Row],[product_id]],products[product_id],products[product_name])</f>
        <v>Relaxed Boxy Dress</v>
      </c>
      <c r="P1384" t="str">
        <f>_xlfn.XLOOKUP(salesitems[[#This Row],[product_id]],fashion_store_products!A:A,fashion_store_products!C:C)</f>
        <v>Dresses</v>
      </c>
    </row>
    <row r="1385" spans="1:16" x14ac:dyDescent="0.45">
      <c r="A1385">
        <v>3250</v>
      </c>
      <c r="B1385">
        <v>250</v>
      </c>
      <c r="C1385">
        <v>296</v>
      </c>
      <c r="D1385">
        <v>4</v>
      </c>
      <c r="E1385">
        <v>67.069999999999993</v>
      </c>
      <c r="F1385">
        <v>67.069999999999993</v>
      </c>
      <c r="G1385">
        <v>0</v>
      </c>
      <c r="H1385" s="2">
        <v>0</v>
      </c>
      <c r="I1385">
        <v>0</v>
      </c>
      <c r="J1385">
        <v>268.27999999999997</v>
      </c>
      <c r="K1385" s="1">
        <v>45824</v>
      </c>
      <c r="L1385" t="s">
        <v>15</v>
      </c>
      <c r="M1385" t="s">
        <v>15</v>
      </c>
      <c r="N1385">
        <f>salesitems[[#This Row],[quantity]]*salesitems[[#This Row],[unit_price]]</f>
        <v>268.27999999999997</v>
      </c>
      <c r="O1385" t="str">
        <f>_xlfn.XLOOKUP(salesitems[[#This Row],[product_id]],products[product_id],products[product_name])</f>
        <v>Relaxed Boxy Dress</v>
      </c>
      <c r="P1385" t="str">
        <f>_xlfn.XLOOKUP(salesitems[[#This Row],[product_id]],fashion_store_products!A:A,fashion_store_products!C:C)</f>
        <v>Dresses</v>
      </c>
    </row>
    <row r="1386" spans="1:16" x14ac:dyDescent="0.45">
      <c r="A1386">
        <v>125</v>
      </c>
      <c r="B1386">
        <v>313</v>
      </c>
      <c r="C1386">
        <v>239</v>
      </c>
      <c r="D1386">
        <v>4</v>
      </c>
      <c r="E1386">
        <v>66.989999999999995</v>
      </c>
      <c r="F1386">
        <v>66.989999999999995</v>
      </c>
      <c r="G1386">
        <v>0</v>
      </c>
      <c r="H1386" s="2">
        <v>0</v>
      </c>
      <c r="I1386">
        <v>0</v>
      </c>
      <c r="J1386">
        <v>267.95999999999998</v>
      </c>
      <c r="K1386" s="1">
        <v>45814</v>
      </c>
      <c r="L1386" t="s">
        <v>15</v>
      </c>
      <c r="M1386" t="s">
        <v>15</v>
      </c>
      <c r="N1386">
        <f>salesitems[[#This Row],[quantity]]*salesitems[[#This Row],[unit_price]]</f>
        <v>267.95999999999998</v>
      </c>
      <c r="O1386" t="str">
        <f>_xlfn.XLOOKUP(salesitems[[#This Row],[product_id]],products[product_id],products[product_name])</f>
        <v>Polished Wrap Trousers</v>
      </c>
      <c r="P1386" t="str">
        <f>_xlfn.XLOOKUP(salesitems[[#This Row],[product_id]],fashion_store_products!A:A,fashion_store_products!C:C)</f>
        <v>Pants</v>
      </c>
    </row>
    <row r="1387" spans="1:16" x14ac:dyDescent="0.45">
      <c r="A1387">
        <v>440</v>
      </c>
      <c r="B1387">
        <v>820</v>
      </c>
      <c r="C1387">
        <v>239</v>
      </c>
      <c r="D1387">
        <v>4</v>
      </c>
      <c r="E1387">
        <v>66.989999999999995</v>
      </c>
      <c r="F1387">
        <v>66.989999999999995</v>
      </c>
      <c r="G1387">
        <v>0</v>
      </c>
      <c r="H1387" s="2">
        <v>0</v>
      </c>
      <c r="I1387">
        <v>0</v>
      </c>
      <c r="J1387">
        <v>267.95999999999998</v>
      </c>
      <c r="K1387" s="1">
        <v>45767</v>
      </c>
      <c r="L1387" t="s">
        <v>21</v>
      </c>
      <c r="M1387" t="s">
        <v>18</v>
      </c>
      <c r="N1387">
        <f>salesitems[[#This Row],[quantity]]*salesitems[[#This Row],[unit_price]]</f>
        <v>267.95999999999998</v>
      </c>
      <c r="O1387" t="str">
        <f>_xlfn.XLOOKUP(salesitems[[#This Row],[product_id]],products[product_id],products[product_name])</f>
        <v>Polished Wrap Trousers</v>
      </c>
      <c r="P1387" t="str">
        <f>_xlfn.XLOOKUP(salesitems[[#This Row],[product_id]],fashion_store_products!A:A,fashion_store_products!C:C)</f>
        <v>Pants</v>
      </c>
    </row>
    <row r="1388" spans="1:16" x14ac:dyDescent="0.45">
      <c r="A1388">
        <v>816</v>
      </c>
      <c r="B1388">
        <v>231</v>
      </c>
      <c r="C1388">
        <v>307</v>
      </c>
      <c r="D1388">
        <v>4</v>
      </c>
      <c r="E1388">
        <v>66.87</v>
      </c>
      <c r="F1388">
        <v>66.87</v>
      </c>
      <c r="G1388">
        <v>0</v>
      </c>
      <c r="H1388" s="2">
        <v>0</v>
      </c>
      <c r="I1388">
        <v>0</v>
      </c>
      <c r="J1388">
        <v>267.48</v>
      </c>
      <c r="K1388" s="1">
        <v>45771</v>
      </c>
      <c r="L1388" t="s">
        <v>21</v>
      </c>
      <c r="M1388" t="s">
        <v>18</v>
      </c>
      <c r="N1388">
        <f>salesitems[[#This Row],[quantity]]*salesitems[[#This Row],[unit_price]]</f>
        <v>267.48</v>
      </c>
      <c r="O1388" t="str">
        <f>_xlfn.XLOOKUP(salesitems[[#This Row],[product_id]],products[product_id],products[product_name])</f>
        <v>Essential Crew Tee</v>
      </c>
      <c r="P1388" t="str">
        <f>_xlfn.XLOOKUP(salesitems[[#This Row],[product_id]],fashion_store_products!A:A,fashion_store_products!C:C)</f>
        <v>T-Shirts</v>
      </c>
    </row>
    <row r="1389" spans="1:16" x14ac:dyDescent="0.45">
      <c r="A1389">
        <v>2510</v>
      </c>
      <c r="B1389">
        <v>349</v>
      </c>
      <c r="C1389">
        <v>307</v>
      </c>
      <c r="D1389">
        <v>4</v>
      </c>
      <c r="E1389">
        <v>66.87</v>
      </c>
      <c r="F1389">
        <v>66.87</v>
      </c>
      <c r="G1389">
        <v>0</v>
      </c>
      <c r="H1389" s="2">
        <v>0</v>
      </c>
      <c r="I1389">
        <v>0</v>
      </c>
      <c r="J1389">
        <v>267.48</v>
      </c>
      <c r="K1389" s="1">
        <v>45823</v>
      </c>
      <c r="L1389" t="s">
        <v>15</v>
      </c>
      <c r="M1389" t="s">
        <v>15</v>
      </c>
      <c r="N1389">
        <f>salesitems[[#This Row],[quantity]]*salesitems[[#This Row],[unit_price]]</f>
        <v>267.48</v>
      </c>
      <c r="O1389" t="str">
        <f>_xlfn.XLOOKUP(salesitems[[#This Row],[product_id]],products[product_id],products[product_name])</f>
        <v>Essential Crew Tee</v>
      </c>
      <c r="P1389" t="str">
        <f>_xlfn.XLOOKUP(salesitems[[#This Row],[product_id]],fashion_store_products!A:A,fashion_store_products!C:C)</f>
        <v>T-Shirts</v>
      </c>
    </row>
    <row r="1390" spans="1:16" x14ac:dyDescent="0.45">
      <c r="A1390">
        <v>2735</v>
      </c>
      <c r="B1390">
        <v>326</v>
      </c>
      <c r="C1390">
        <v>307</v>
      </c>
      <c r="D1390">
        <v>4</v>
      </c>
      <c r="E1390">
        <v>66.87</v>
      </c>
      <c r="F1390">
        <v>66.87</v>
      </c>
      <c r="G1390">
        <v>0</v>
      </c>
      <c r="H1390" s="2">
        <v>0</v>
      </c>
      <c r="I1390">
        <v>0</v>
      </c>
      <c r="J1390">
        <v>267.48</v>
      </c>
      <c r="K1390" s="1">
        <v>45766</v>
      </c>
      <c r="L1390" t="s">
        <v>21</v>
      </c>
      <c r="M1390" t="s">
        <v>18</v>
      </c>
      <c r="N1390">
        <f>salesitems[[#This Row],[quantity]]*salesitems[[#This Row],[unit_price]]</f>
        <v>267.48</v>
      </c>
      <c r="O1390" t="str">
        <f>_xlfn.XLOOKUP(salesitems[[#This Row],[product_id]],products[product_id],products[product_name])</f>
        <v>Essential Crew Tee</v>
      </c>
      <c r="P1390" t="str">
        <f>_xlfn.XLOOKUP(salesitems[[#This Row],[product_id]],fashion_store_products!A:A,fashion_store_products!C:C)</f>
        <v>T-Shirts</v>
      </c>
    </row>
    <row r="1391" spans="1:16" x14ac:dyDescent="0.45">
      <c r="A1391">
        <v>3359</v>
      </c>
      <c r="B1391">
        <v>181</v>
      </c>
      <c r="C1391">
        <v>478</v>
      </c>
      <c r="D1391">
        <v>4</v>
      </c>
      <c r="E1391">
        <v>66.52</v>
      </c>
      <c r="F1391">
        <v>66.52</v>
      </c>
      <c r="G1391">
        <v>0</v>
      </c>
      <c r="H1391" s="2">
        <v>0</v>
      </c>
      <c r="I1391">
        <v>0</v>
      </c>
      <c r="J1391">
        <v>266.08</v>
      </c>
      <c r="K1391" s="1">
        <v>45813</v>
      </c>
      <c r="L1391" t="s">
        <v>15</v>
      </c>
      <c r="M1391" t="s">
        <v>15</v>
      </c>
      <c r="N1391">
        <f>salesitems[[#This Row],[quantity]]*salesitems[[#This Row],[unit_price]]</f>
        <v>266.08</v>
      </c>
      <c r="O1391" t="str">
        <f>_xlfn.XLOOKUP(salesitems[[#This Row],[product_id]],products[product_id],products[product_name])</f>
        <v>T-Shirts Drop 2</v>
      </c>
      <c r="P1391" t="str">
        <f>_xlfn.XLOOKUP(salesitems[[#This Row],[product_id]],fashion_store_products!A:A,fashion_store_products!C:C)</f>
        <v>T-Shirts</v>
      </c>
    </row>
    <row r="1392" spans="1:16" x14ac:dyDescent="0.45">
      <c r="A1392">
        <v>972</v>
      </c>
      <c r="B1392">
        <v>78</v>
      </c>
      <c r="C1392">
        <v>162</v>
      </c>
      <c r="D1392">
        <v>4</v>
      </c>
      <c r="E1392">
        <v>66.5</v>
      </c>
      <c r="F1392">
        <v>66.5</v>
      </c>
      <c r="G1392">
        <v>0</v>
      </c>
      <c r="H1392" s="2">
        <v>0</v>
      </c>
      <c r="I1392">
        <v>0</v>
      </c>
      <c r="J1392">
        <v>266</v>
      </c>
      <c r="K1392" s="1">
        <v>45795</v>
      </c>
      <c r="L1392" t="s">
        <v>21</v>
      </c>
      <c r="M1392" t="s">
        <v>18</v>
      </c>
      <c r="N1392">
        <f>salesitems[[#This Row],[quantity]]*salesitems[[#This Row],[unit_price]]</f>
        <v>266</v>
      </c>
      <c r="O1392" t="str">
        <f>_xlfn.XLOOKUP(salesitems[[#This Row],[product_id]],products[product_id],products[product_name])</f>
        <v>Classic Boxy Set</v>
      </c>
      <c r="P1392" t="str">
        <f>_xlfn.XLOOKUP(salesitems[[#This Row],[product_id]],fashion_store_products!A:A,fashion_store_products!C:C)</f>
        <v>Sleepwear</v>
      </c>
    </row>
    <row r="1393" spans="1:16" x14ac:dyDescent="0.45">
      <c r="A1393">
        <v>1029</v>
      </c>
      <c r="B1393">
        <v>229</v>
      </c>
      <c r="C1393">
        <v>162</v>
      </c>
      <c r="D1393">
        <v>4</v>
      </c>
      <c r="E1393">
        <v>66.5</v>
      </c>
      <c r="F1393">
        <v>66.5</v>
      </c>
      <c r="G1393">
        <v>0</v>
      </c>
      <c r="H1393" s="2">
        <v>0</v>
      </c>
      <c r="I1393">
        <v>0</v>
      </c>
      <c r="J1393">
        <v>266</v>
      </c>
      <c r="K1393" s="1">
        <v>45824</v>
      </c>
      <c r="L1393" t="s">
        <v>21</v>
      </c>
      <c r="M1393" t="s">
        <v>18</v>
      </c>
      <c r="N1393">
        <f>salesitems[[#This Row],[quantity]]*salesitems[[#This Row],[unit_price]]</f>
        <v>266</v>
      </c>
      <c r="O1393" t="str">
        <f>_xlfn.XLOOKUP(salesitems[[#This Row],[product_id]],products[product_id],products[product_name])</f>
        <v>Classic Boxy Set</v>
      </c>
      <c r="P1393" t="str">
        <f>_xlfn.XLOOKUP(salesitems[[#This Row],[product_id]],fashion_store_products!A:A,fashion_store_products!C:C)</f>
        <v>Sleepwear</v>
      </c>
    </row>
    <row r="1394" spans="1:16" x14ac:dyDescent="0.45">
      <c r="A1394">
        <v>915</v>
      </c>
      <c r="B1394">
        <v>88</v>
      </c>
      <c r="C1394">
        <v>383</v>
      </c>
      <c r="D1394">
        <v>4</v>
      </c>
      <c r="E1394">
        <v>66.38</v>
      </c>
      <c r="F1394">
        <v>66.38</v>
      </c>
      <c r="G1394">
        <v>0</v>
      </c>
      <c r="H1394" s="2">
        <v>0</v>
      </c>
      <c r="I1394">
        <v>0</v>
      </c>
      <c r="J1394">
        <v>265.52</v>
      </c>
      <c r="K1394" s="1">
        <v>45760</v>
      </c>
      <c r="L1394" t="s">
        <v>15</v>
      </c>
      <c r="M1394" t="s">
        <v>15</v>
      </c>
      <c r="N1394">
        <f>salesitems[[#This Row],[quantity]]*salesitems[[#This Row],[unit_price]]</f>
        <v>265.52</v>
      </c>
      <c r="O1394" t="str">
        <f>_xlfn.XLOOKUP(salesitems[[#This Row],[product_id]],products[product_id],products[product_name])</f>
        <v>Tailored Crew Set</v>
      </c>
      <c r="P1394" t="str">
        <f>_xlfn.XLOOKUP(salesitems[[#This Row],[product_id]],fashion_store_products!A:A,fashion_store_products!C:C)</f>
        <v>Sleepwear</v>
      </c>
    </row>
    <row r="1395" spans="1:16" x14ac:dyDescent="0.45">
      <c r="A1395">
        <v>3190</v>
      </c>
      <c r="B1395">
        <v>1258</v>
      </c>
      <c r="C1395">
        <v>383</v>
      </c>
      <c r="D1395">
        <v>4</v>
      </c>
      <c r="E1395">
        <v>66.38</v>
      </c>
      <c r="F1395">
        <v>66.38</v>
      </c>
      <c r="G1395">
        <v>0</v>
      </c>
      <c r="H1395" s="2">
        <v>0</v>
      </c>
      <c r="I1395">
        <v>0</v>
      </c>
      <c r="J1395">
        <v>265.52</v>
      </c>
      <c r="K1395" s="1">
        <v>45799</v>
      </c>
      <c r="L1395" t="s">
        <v>15</v>
      </c>
      <c r="M1395" t="s">
        <v>15</v>
      </c>
      <c r="N1395">
        <f>salesitems[[#This Row],[quantity]]*salesitems[[#This Row],[unit_price]]</f>
        <v>265.52</v>
      </c>
      <c r="O1395" t="str">
        <f>_xlfn.XLOOKUP(salesitems[[#This Row],[product_id]],products[product_id],products[product_name])</f>
        <v>Tailored Crew Set</v>
      </c>
      <c r="P1395" t="str">
        <f>_xlfn.XLOOKUP(salesitems[[#This Row],[product_id]],fashion_store_products!A:A,fashion_store_products!C:C)</f>
        <v>Sleepwear</v>
      </c>
    </row>
    <row r="1396" spans="1:16" x14ac:dyDescent="0.45">
      <c r="A1396">
        <v>1462</v>
      </c>
      <c r="B1396">
        <v>1239</v>
      </c>
      <c r="C1396">
        <v>70</v>
      </c>
      <c r="D1396">
        <v>4</v>
      </c>
      <c r="E1396">
        <v>66.33</v>
      </c>
      <c r="F1396">
        <v>66.33</v>
      </c>
      <c r="G1396">
        <v>0</v>
      </c>
      <c r="H1396" s="2">
        <v>0</v>
      </c>
      <c r="I1396">
        <v>0</v>
      </c>
      <c r="J1396">
        <v>265.32</v>
      </c>
      <c r="K1396" s="1">
        <v>45805</v>
      </c>
      <c r="L1396" t="s">
        <v>21</v>
      </c>
      <c r="M1396" t="s">
        <v>18</v>
      </c>
      <c r="N1396">
        <f>salesitems[[#This Row],[quantity]]*salesitems[[#This Row],[unit_price]]</f>
        <v>265.32</v>
      </c>
      <c r="O1396" t="str">
        <f>_xlfn.XLOOKUP(salesitems[[#This Row],[product_id]],products[product_id],products[product_name])</f>
        <v>Modern Boxy Dress</v>
      </c>
      <c r="P1396" t="str">
        <f>_xlfn.XLOOKUP(salesitems[[#This Row],[product_id]],fashion_store_products!A:A,fashion_store_products!C:C)</f>
        <v>Dresses</v>
      </c>
    </row>
    <row r="1397" spans="1:16" x14ac:dyDescent="0.45">
      <c r="A1397">
        <v>3298</v>
      </c>
      <c r="B1397">
        <v>975</v>
      </c>
      <c r="C1397">
        <v>70</v>
      </c>
      <c r="D1397">
        <v>4</v>
      </c>
      <c r="E1397">
        <v>66.33</v>
      </c>
      <c r="F1397">
        <v>66.33</v>
      </c>
      <c r="G1397">
        <v>0</v>
      </c>
      <c r="H1397" s="2">
        <v>0</v>
      </c>
      <c r="I1397">
        <v>0</v>
      </c>
      <c r="J1397">
        <v>265.32</v>
      </c>
      <c r="K1397" s="1">
        <v>45761</v>
      </c>
      <c r="L1397" t="s">
        <v>15</v>
      </c>
      <c r="M1397" t="s">
        <v>15</v>
      </c>
      <c r="N1397">
        <f>salesitems[[#This Row],[quantity]]*salesitems[[#This Row],[unit_price]]</f>
        <v>265.32</v>
      </c>
      <c r="O1397" t="str">
        <f>_xlfn.XLOOKUP(salesitems[[#This Row],[product_id]],products[product_id],products[product_name])</f>
        <v>Modern Boxy Dress</v>
      </c>
      <c r="P1397" t="str">
        <f>_xlfn.XLOOKUP(salesitems[[#This Row],[product_id]],fashion_store_products!A:A,fashion_store_products!C:C)</f>
        <v>Dresses</v>
      </c>
    </row>
    <row r="1398" spans="1:16" x14ac:dyDescent="0.45">
      <c r="A1398">
        <v>1600</v>
      </c>
      <c r="B1398">
        <v>1253</v>
      </c>
      <c r="C1398">
        <v>332</v>
      </c>
      <c r="D1398">
        <v>4</v>
      </c>
      <c r="E1398">
        <v>65.88</v>
      </c>
      <c r="F1398">
        <v>65.88</v>
      </c>
      <c r="G1398">
        <v>0</v>
      </c>
      <c r="H1398" s="2">
        <v>0</v>
      </c>
      <c r="I1398">
        <v>0</v>
      </c>
      <c r="J1398">
        <v>263.52</v>
      </c>
      <c r="K1398" s="1">
        <v>45771</v>
      </c>
      <c r="L1398" t="s">
        <v>21</v>
      </c>
      <c r="M1398" t="s">
        <v>18</v>
      </c>
      <c r="N1398">
        <f>salesitems[[#This Row],[quantity]]*salesitems[[#This Row],[unit_price]]</f>
        <v>263.52</v>
      </c>
      <c r="O1398" t="str">
        <f>_xlfn.XLOOKUP(salesitems[[#This Row],[product_id]],products[product_id],products[product_name])</f>
        <v>Tailored Linen Dress</v>
      </c>
      <c r="P1398" t="str">
        <f>_xlfn.XLOOKUP(salesitems[[#This Row],[product_id]],fashion_store_products!A:A,fashion_store_products!C:C)</f>
        <v>Dresses</v>
      </c>
    </row>
    <row r="1399" spans="1:16" x14ac:dyDescent="0.45">
      <c r="A1399">
        <v>2619</v>
      </c>
      <c r="B1399">
        <v>790</v>
      </c>
      <c r="C1399">
        <v>19</v>
      </c>
      <c r="D1399">
        <v>4</v>
      </c>
      <c r="E1399">
        <v>65.260000000000005</v>
      </c>
      <c r="F1399">
        <v>65.260000000000005</v>
      </c>
      <c r="G1399">
        <v>0</v>
      </c>
      <c r="H1399" s="2">
        <v>0</v>
      </c>
      <c r="I1399">
        <v>0</v>
      </c>
      <c r="J1399">
        <v>261.04000000000002</v>
      </c>
      <c r="K1399" s="1">
        <v>45766</v>
      </c>
      <c r="L1399" t="s">
        <v>21</v>
      </c>
      <c r="M1399" t="s">
        <v>18</v>
      </c>
      <c r="N1399">
        <f>salesitems[[#This Row],[quantity]]*salesitems[[#This Row],[unit_price]]</f>
        <v>261.04000000000002</v>
      </c>
      <c r="O1399" t="str">
        <f>_xlfn.XLOOKUP(salesitems[[#This Row],[product_id]],products[product_id],products[product_name])</f>
        <v>Soft Silk Dress</v>
      </c>
      <c r="P1399" t="str">
        <f>_xlfn.XLOOKUP(salesitems[[#This Row],[product_id]],fashion_store_products!A:A,fashion_store_products!C:C)</f>
        <v>Dresses</v>
      </c>
    </row>
    <row r="1400" spans="1:16" x14ac:dyDescent="0.45">
      <c r="A1400">
        <v>3203</v>
      </c>
      <c r="B1400">
        <v>1183</v>
      </c>
      <c r="C1400">
        <v>19</v>
      </c>
      <c r="D1400">
        <v>4</v>
      </c>
      <c r="E1400">
        <v>65.260000000000005</v>
      </c>
      <c r="F1400">
        <v>65.260000000000005</v>
      </c>
      <c r="G1400">
        <v>0</v>
      </c>
      <c r="H1400" s="2">
        <v>0</v>
      </c>
      <c r="I1400">
        <v>0</v>
      </c>
      <c r="J1400">
        <v>261.04000000000002</v>
      </c>
      <c r="K1400" s="1">
        <v>45765</v>
      </c>
      <c r="L1400" t="s">
        <v>15</v>
      </c>
      <c r="M1400" t="s">
        <v>15</v>
      </c>
      <c r="N1400">
        <f>salesitems[[#This Row],[quantity]]*salesitems[[#This Row],[unit_price]]</f>
        <v>261.04000000000002</v>
      </c>
      <c r="O1400" t="str">
        <f>_xlfn.XLOOKUP(salesitems[[#This Row],[product_id]],products[product_id],products[product_name])</f>
        <v>Soft Silk Dress</v>
      </c>
      <c r="P1400" t="str">
        <f>_xlfn.XLOOKUP(salesitems[[#This Row],[product_id]],fashion_store_products!A:A,fashion_store_products!C:C)</f>
        <v>Dresses</v>
      </c>
    </row>
    <row r="1401" spans="1:16" x14ac:dyDescent="0.45">
      <c r="A1401">
        <v>2416</v>
      </c>
      <c r="B1401">
        <v>250</v>
      </c>
      <c r="C1401">
        <v>33</v>
      </c>
      <c r="D1401">
        <v>4</v>
      </c>
      <c r="E1401">
        <v>65.23</v>
      </c>
      <c r="F1401">
        <v>65.23</v>
      </c>
      <c r="G1401">
        <v>0</v>
      </c>
      <c r="H1401" s="2">
        <v>0</v>
      </c>
      <c r="I1401">
        <v>0</v>
      </c>
      <c r="J1401">
        <v>260.92</v>
      </c>
      <c r="K1401" s="1">
        <v>45824</v>
      </c>
      <c r="L1401" t="s">
        <v>15</v>
      </c>
      <c r="M1401" t="s">
        <v>15</v>
      </c>
      <c r="N1401">
        <f>salesitems[[#This Row],[quantity]]*salesitems[[#This Row],[unit_price]]</f>
        <v>260.92</v>
      </c>
      <c r="O1401" t="str">
        <f>_xlfn.XLOOKUP(salesitems[[#This Row],[product_id]],products[product_id],products[product_name])</f>
        <v>Modern Wrap Dress</v>
      </c>
      <c r="P1401" t="str">
        <f>_xlfn.XLOOKUP(salesitems[[#This Row],[product_id]],fashion_store_products!A:A,fashion_store_products!C:C)</f>
        <v>Dresses</v>
      </c>
    </row>
    <row r="1402" spans="1:16" x14ac:dyDescent="0.45">
      <c r="A1402">
        <v>1510</v>
      </c>
      <c r="B1402">
        <v>500</v>
      </c>
      <c r="C1402">
        <v>297</v>
      </c>
      <c r="D1402">
        <v>4</v>
      </c>
      <c r="E1402">
        <v>65.17</v>
      </c>
      <c r="F1402">
        <v>65.17</v>
      </c>
      <c r="G1402">
        <v>0</v>
      </c>
      <c r="H1402" s="2">
        <v>0</v>
      </c>
      <c r="I1402">
        <v>0</v>
      </c>
      <c r="J1402">
        <v>260.68</v>
      </c>
      <c r="K1402" s="1">
        <v>45773</v>
      </c>
      <c r="L1402" t="s">
        <v>21</v>
      </c>
      <c r="M1402" t="s">
        <v>18</v>
      </c>
      <c r="N1402">
        <f>salesitems[[#This Row],[quantity]]*salesitems[[#This Row],[unit_price]]</f>
        <v>260.68</v>
      </c>
      <c r="O1402" t="str">
        <f>_xlfn.XLOOKUP(salesitems[[#This Row],[product_id]],products[product_id],products[product_name])</f>
        <v>Essential High-Waist Shoes</v>
      </c>
      <c r="P1402" t="str">
        <f>_xlfn.XLOOKUP(salesitems[[#This Row],[product_id]],fashion_store_products!A:A,fashion_store_products!C:C)</f>
        <v>Shoes</v>
      </c>
    </row>
    <row r="1403" spans="1:16" x14ac:dyDescent="0.45">
      <c r="A1403">
        <v>1801</v>
      </c>
      <c r="B1403">
        <v>543</v>
      </c>
      <c r="C1403">
        <v>297</v>
      </c>
      <c r="D1403">
        <v>4</v>
      </c>
      <c r="E1403">
        <v>65.17</v>
      </c>
      <c r="F1403">
        <v>65.17</v>
      </c>
      <c r="G1403">
        <v>0</v>
      </c>
      <c r="H1403" s="2">
        <v>0</v>
      </c>
      <c r="I1403">
        <v>0</v>
      </c>
      <c r="J1403">
        <v>260.68</v>
      </c>
      <c r="K1403" s="1">
        <v>45773</v>
      </c>
      <c r="L1403" t="s">
        <v>21</v>
      </c>
      <c r="M1403" t="s">
        <v>18</v>
      </c>
      <c r="N1403">
        <f>salesitems[[#This Row],[quantity]]*salesitems[[#This Row],[unit_price]]</f>
        <v>260.68</v>
      </c>
      <c r="O1403" t="str">
        <f>_xlfn.XLOOKUP(salesitems[[#This Row],[product_id]],products[product_id],products[product_name])</f>
        <v>Essential High-Waist Shoes</v>
      </c>
      <c r="P1403" t="str">
        <f>_xlfn.XLOOKUP(salesitems[[#This Row],[product_id]],fashion_store_products!A:A,fashion_store_products!C:C)</f>
        <v>Shoes</v>
      </c>
    </row>
    <row r="1404" spans="1:16" x14ac:dyDescent="0.45">
      <c r="A1404">
        <v>2248</v>
      </c>
      <c r="B1404">
        <v>118</v>
      </c>
      <c r="C1404">
        <v>297</v>
      </c>
      <c r="D1404">
        <v>4</v>
      </c>
      <c r="E1404">
        <v>65.17</v>
      </c>
      <c r="F1404">
        <v>65.17</v>
      </c>
      <c r="G1404">
        <v>0</v>
      </c>
      <c r="H1404" s="2">
        <v>0</v>
      </c>
      <c r="I1404">
        <v>0</v>
      </c>
      <c r="J1404">
        <v>260.68</v>
      </c>
      <c r="K1404" s="1">
        <v>45795</v>
      </c>
      <c r="L1404" t="s">
        <v>21</v>
      </c>
      <c r="M1404" t="s">
        <v>18</v>
      </c>
      <c r="N1404">
        <f>salesitems[[#This Row],[quantity]]*salesitems[[#This Row],[unit_price]]</f>
        <v>260.68</v>
      </c>
      <c r="O1404" t="str">
        <f>_xlfn.XLOOKUP(salesitems[[#This Row],[product_id]],products[product_id],products[product_name])</f>
        <v>Essential High-Waist Shoes</v>
      </c>
      <c r="P1404" t="str">
        <f>_xlfn.XLOOKUP(salesitems[[#This Row],[product_id]],fashion_store_products!A:A,fashion_store_products!C:C)</f>
        <v>Shoes</v>
      </c>
    </row>
    <row r="1405" spans="1:16" x14ac:dyDescent="0.45">
      <c r="A1405">
        <v>380</v>
      </c>
      <c r="B1405">
        <v>413</v>
      </c>
      <c r="C1405">
        <v>44</v>
      </c>
      <c r="D1405">
        <v>4</v>
      </c>
      <c r="E1405">
        <v>64.84</v>
      </c>
      <c r="F1405">
        <v>64.84</v>
      </c>
      <c r="G1405">
        <v>0</v>
      </c>
      <c r="H1405" s="2">
        <v>0</v>
      </c>
      <c r="I1405">
        <v>0</v>
      </c>
      <c r="J1405">
        <v>259.36</v>
      </c>
      <c r="K1405" s="1">
        <v>45825</v>
      </c>
      <c r="L1405" t="s">
        <v>21</v>
      </c>
      <c r="M1405" t="s">
        <v>18</v>
      </c>
      <c r="N1405">
        <f>salesitems[[#This Row],[quantity]]*salesitems[[#This Row],[unit_price]]</f>
        <v>259.36</v>
      </c>
      <c r="O1405" t="str">
        <f>_xlfn.XLOOKUP(salesitems[[#This Row],[product_id]],products[product_id],products[product_name])</f>
        <v>Modern Wrap Trousers</v>
      </c>
      <c r="P1405" t="str">
        <f>_xlfn.XLOOKUP(salesitems[[#This Row],[product_id]],fashion_store_products!A:A,fashion_store_products!C:C)</f>
        <v>Pants</v>
      </c>
    </row>
    <row r="1406" spans="1:16" x14ac:dyDescent="0.45">
      <c r="A1406">
        <v>2162</v>
      </c>
      <c r="B1406">
        <v>548</v>
      </c>
      <c r="C1406">
        <v>435</v>
      </c>
      <c r="D1406">
        <v>4</v>
      </c>
      <c r="E1406">
        <v>64.5</v>
      </c>
      <c r="F1406">
        <v>64.5</v>
      </c>
      <c r="G1406">
        <v>0</v>
      </c>
      <c r="H1406" s="2">
        <v>0</v>
      </c>
      <c r="I1406">
        <v>0</v>
      </c>
      <c r="J1406">
        <v>258</v>
      </c>
      <c r="K1406" s="1">
        <v>45772</v>
      </c>
      <c r="L1406" t="s">
        <v>15</v>
      </c>
      <c r="M1406" t="s">
        <v>15</v>
      </c>
      <c r="N1406">
        <f>salesitems[[#This Row],[quantity]]*salesitems[[#This Row],[unit_price]]</f>
        <v>258</v>
      </c>
      <c r="O1406" t="str">
        <f>_xlfn.XLOOKUP(salesitems[[#This Row],[product_id]],products[product_id],products[product_name])</f>
        <v>Tailored Wrap Trousers</v>
      </c>
      <c r="P1406" t="str">
        <f>_xlfn.XLOOKUP(salesitems[[#This Row],[product_id]],fashion_store_products!A:A,fashion_store_products!C:C)</f>
        <v>Pants</v>
      </c>
    </row>
    <row r="1407" spans="1:16" x14ac:dyDescent="0.45">
      <c r="A1407">
        <v>105</v>
      </c>
      <c r="B1407">
        <v>405</v>
      </c>
      <c r="C1407">
        <v>276</v>
      </c>
      <c r="D1407">
        <v>4</v>
      </c>
      <c r="E1407">
        <v>64.44</v>
      </c>
      <c r="F1407">
        <v>64.44</v>
      </c>
      <c r="G1407">
        <v>0</v>
      </c>
      <c r="H1407" s="2">
        <v>0</v>
      </c>
      <c r="I1407">
        <v>0</v>
      </c>
      <c r="J1407">
        <v>257.76</v>
      </c>
      <c r="K1407" s="1">
        <v>45797</v>
      </c>
      <c r="L1407" t="s">
        <v>21</v>
      </c>
      <c r="M1407" t="s">
        <v>18</v>
      </c>
      <c r="N1407">
        <f>salesitems[[#This Row],[quantity]]*salesitems[[#This Row],[unit_price]]</f>
        <v>257.76</v>
      </c>
      <c r="O1407" t="str">
        <f>_xlfn.XLOOKUP(salesitems[[#This Row],[product_id]],products[product_id],products[product_name])</f>
        <v>Relaxed High-Waist Tee</v>
      </c>
      <c r="P1407" t="str">
        <f>_xlfn.XLOOKUP(salesitems[[#This Row],[product_id]],fashion_store_products!A:A,fashion_store_products!C:C)</f>
        <v>T-Shirts</v>
      </c>
    </row>
    <row r="1408" spans="1:16" x14ac:dyDescent="0.45">
      <c r="A1408">
        <v>893</v>
      </c>
      <c r="B1408">
        <v>163</v>
      </c>
      <c r="C1408">
        <v>276</v>
      </c>
      <c r="D1408">
        <v>4</v>
      </c>
      <c r="E1408">
        <v>64.44</v>
      </c>
      <c r="F1408">
        <v>64.44</v>
      </c>
      <c r="G1408">
        <v>0</v>
      </c>
      <c r="H1408" s="2">
        <v>0</v>
      </c>
      <c r="I1408">
        <v>0</v>
      </c>
      <c r="J1408">
        <v>257.76</v>
      </c>
      <c r="K1408" s="1">
        <v>45797</v>
      </c>
      <c r="L1408" t="s">
        <v>15</v>
      </c>
      <c r="M1408" t="s">
        <v>15</v>
      </c>
      <c r="N1408">
        <f>salesitems[[#This Row],[quantity]]*salesitems[[#This Row],[unit_price]]</f>
        <v>257.76</v>
      </c>
      <c r="O1408" t="str">
        <f>_xlfn.XLOOKUP(salesitems[[#This Row],[product_id]],products[product_id],products[product_name])</f>
        <v>Relaxed High-Waist Tee</v>
      </c>
      <c r="P1408" t="str">
        <f>_xlfn.XLOOKUP(salesitems[[#This Row],[product_id]],fashion_store_products!A:A,fashion_store_products!C:C)</f>
        <v>T-Shirts</v>
      </c>
    </row>
    <row r="1409" spans="1:16" x14ac:dyDescent="0.45">
      <c r="A1409">
        <v>1061</v>
      </c>
      <c r="B1409">
        <v>303</v>
      </c>
      <c r="C1409">
        <v>276</v>
      </c>
      <c r="D1409">
        <v>4</v>
      </c>
      <c r="E1409">
        <v>64.44</v>
      </c>
      <c r="F1409">
        <v>64.44</v>
      </c>
      <c r="G1409">
        <v>0</v>
      </c>
      <c r="H1409" s="2">
        <v>0</v>
      </c>
      <c r="I1409">
        <v>0</v>
      </c>
      <c r="J1409">
        <v>257.76</v>
      </c>
      <c r="K1409" s="1">
        <v>45813</v>
      </c>
      <c r="L1409" t="s">
        <v>15</v>
      </c>
      <c r="M1409" t="s">
        <v>15</v>
      </c>
      <c r="N1409">
        <f>salesitems[[#This Row],[quantity]]*salesitems[[#This Row],[unit_price]]</f>
        <v>257.76</v>
      </c>
      <c r="O1409" t="str">
        <f>_xlfn.XLOOKUP(salesitems[[#This Row],[product_id]],products[product_id],products[product_name])</f>
        <v>Relaxed High-Waist Tee</v>
      </c>
      <c r="P1409" t="str">
        <f>_xlfn.XLOOKUP(salesitems[[#This Row],[product_id]],fashion_store_products!A:A,fashion_store_products!C:C)</f>
        <v>T-Shirts</v>
      </c>
    </row>
    <row r="1410" spans="1:16" x14ac:dyDescent="0.45">
      <c r="A1410">
        <v>1234</v>
      </c>
      <c r="B1410">
        <v>468</v>
      </c>
      <c r="C1410">
        <v>194</v>
      </c>
      <c r="D1410">
        <v>4</v>
      </c>
      <c r="E1410">
        <v>64.11</v>
      </c>
      <c r="F1410">
        <v>64.11</v>
      </c>
      <c r="G1410">
        <v>0</v>
      </c>
      <c r="H1410" s="2">
        <v>0</v>
      </c>
      <c r="I1410">
        <v>0</v>
      </c>
      <c r="J1410">
        <v>256.44</v>
      </c>
      <c r="K1410" s="1">
        <v>45782</v>
      </c>
      <c r="L1410" t="s">
        <v>15</v>
      </c>
      <c r="M1410" t="s">
        <v>15</v>
      </c>
      <c r="N1410">
        <f>salesitems[[#This Row],[quantity]]*salesitems[[#This Row],[unit_price]]</f>
        <v>256.44</v>
      </c>
      <c r="O1410" t="str">
        <f>_xlfn.XLOOKUP(salesitems[[#This Row],[product_id]],products[product_id],products[product_name])</f>
        <v>Vintage Sleeveless Set</v>
      </c>
      <c r="P1410" t="str">
        <f>_xlfn.XLOOKUP(salesitems[[#This Row],[product_id]],fashion_store_products!A:A,fashion_store_products!C:C)</f>
        <v>Sleepwear</v>
      </c>
    </row>
    <row r="1411" spans="1:16" x14ac:dyDescent="0.45">
      <c r="A1411">
        <v>403</v>
      </c>
      <c r="B1411">
        <v>604</v>
      </c>
      <c r="C1411">
        <v>237</v>
      </c>
      <c r="D1411">
        <v>4</v>
      </c>
      <c r="E1411">
        <v>64.08</v>
      </c>
      <c r="F1411">
        <v>64.08</v>
      </c>
      <c r="G1411">
        <v>0</v>
      </c>
      <c r="H1411" s="2">
        <v>0</v>
      </c>
      <c r="I1411">
        <v>0</v>
      </c>
      <c r="J1411">
        <v>256.32</v>
      </c>
      <c r="K1411" s="1">
        <v>45803</v>
      </c>
      <c r="L1411" t="s">
        <v>21</v>
      </c>
      <c r="M1411" t="s">
        <v>18</v>
      </c>
      <c r="N1411">
        <f>salesitems[[#This Row],[quantity]]*salesitems[[#This Row],[unit_price]]</f>
        <v>256.32</v>
      </c>
      <c r="O1411" t="str">
        <f>_xlfn.XLOOKUP(salesitems[[#This Row],[product_id]],products[product_id],products[product_name])</f>
        <v>Relaxed Ribbed Dress</v>
      </c>
      <c r="P1411" t="str">
        <f>_xlfn.XLOOKUP(salesitems[[#This Row],[product_id]],fashion_store_products!A:A,fashion_store_products!C:C)</f>
        <v>Dresses</v>
      </c>
    </row>
    <row r="1412" spans="1:16" x14ac:dyDescent="0.45">
      <c r="A1412">
        <v>1505</v>
      </c>
      <c r="B1412">
        <v>1146</v>
      </c>
      <c r="C1412">
        <v>469</v>
      </c>
      <c r="D1412">
        <v>4</v>
      </c>
      <c r="E1412">
        <v>64.08</v>
      </c>
      <c r="F1412">
        <v>64.08</v>
      </c>
      <c r="G1412">
        <v>0</v>
      </c>
      <c r="H1412" s="2">
        <v>0</v>
      </c>
      <c r="I1412">
        <v>0</v>
      </c>
      <c r="J1412">
        <v>256.32</v>
      </c>
      <c r="K1412" s="1">
        <v>45801</v>
      </c>
      <c r="L1412" t="s">
        <v>21</v>
      </c>
      <c r="M1412" t="s">
        <v>18</v>
      </c>
      <c r="N1412">
        <f>salesitems[[#This Row],[quantity]]*salesitems[[#This Row],[unit_price]]</f>
        <v>256.32</v>
      </c>
      <c r="O1412" t="str">
        <f>_xlfn.XLOOKUP(salesitems[[#This Row],[product_id]],products[product_id],products[product_name])</f>
        <v>Dresses Drop 1</v>
      </c>
      <c r="P1412" t="str">
        <f>_xlfn.XLOOKUP(salesitems[[#This Row],[product_id]],fashion_store_products!A:A,fashion_store_products!C:C)</f>
        <v>Dresses</v>
      </c>
    </row>
    <row r="1413" spans="1:16" x14ac:dyDescent="0.45">
      <c r="A1413">
        <v>1577</v>
      </c>
      <c r="B1413">
        <v>260</v>
      </c>
      <c r="C1413">
        <v>469</v>
      </c>
      <c r="D1413">
        <v>4</v>
      </c>
      <c r="E1413">
        <v>64.08</v>
      </c>
      <c r="F1413">
        <v>64.08</v>
      </c>
      <c r="G1413">
        <v>0</v>
      </c>
      <c r="H1413" s="2">
        <v>0</v>
      </c>
      <c r="I1413">
        <v>0</v>
      </c>
      <c r="J1413">
        <v>256.32</v>
      </c>
      <c r="K1413" s="1">
        <v>45791</v>
      </c>
      <c r="L1413" t="s">
        <v>21</v>
      </c>
      <c r="M1413" t="s">
        <v>18</v>
      </c>
      <c r="N1413">
        <f>salesitems[[#This Row],[quantity]]*salesitems[[#This Row],[unit_price]]</f>
        <v>256.32</v>
      </c>
      <c r="O1413" t="str">
        <f>_xlfn.XLOOKUP(salesitems[[#This Row],[product_id]],products[product_id],products[product_name])</f>
        <v>Dresses Drop 1</v>
      </c>
      <c r="P1413" t="str">
        <f>_xlfn.XLOOKUP(salesitems[[#This Row],[product_id]],fashion_store_products!A:A,fashion_store_products!C:C)</f>
        <v>Dresses</v>
      </c>
    </row>
    <row r="1414" spans="1:16" x14ac:dyDescent="0.45">
      <c r="A1414">
        <v>2161</v>
      </c>
      <c r="B1414">
        <v>678</v>
      </c>
      <c r="C1414">
        <v>469</v>
      </c>
      <c r="D1414">
        <v>4</v>
      </c>
      <c r="E1414">
        <v>64.08</v>
      </c>
      <c r="F1414">
        <v>64.08</v>
      </c>
      <c r="G1414">
        <v>0</v>
      </c>
      <c r="H1414" s="2">
        <v>0</v>
      </c>
      <c r="I1414">
        <v>0</v>
      </c>
      <c r="J1414">
        <v>256.32</v>
      </c>
      <c r="K1414" s="1">
        <v>45752</v>
      </c>
      <c r="L1414" t="s">
        <v>21</v>
      </c>
      <c r="M1414" t="s">
        <v>18</v>
      </c>
      <c r="N1414">
        <f>salesitems[[#This Row],[quantity]]*salesitems[[#This Row],[unit_price]]</f>
        <v>256.32</v>
      </c>
      <c r="O1414" t="str">
        <f>_xlfn.XLOOKUP(salesitems[[#This Row],[product_id]],products[product_id],products[product_name])</f>
        <v>Dresses Drop 1</v>
      </c>
      <c r="P1414" t="str">
        <f>_xlfn.XLOOKUP(salesitems[[#This Row],[product_id]],fashion_store_products!A:A,fashion_store_products!C:C)</f>
        <v>Dresses</v>
      </c>
    </row>
    <row r="1415" spans="1:16" x14ac:dyDescent="0.45">
      <c r="A1415">
        <v>2338</v>
      </c>
      <c r="B1415">
        <v>837</v>
      </c>
      <c r="C1415">
        <v>237</v>
      </c>
      <c r="D1415">
        <v>4</v>
      </c>
      <c r="E1415">
        <v>64.08</v>
      </c>
      <c r="F1415">
        <v>64.08</v>
      </c>
      <c r="G1415">
        <v>0</v>
      </c>
      <c r="H1415" s="2">
        <v>0</v>
      </c>
      <c r="I1415">
        <v>0</v>
      </c>
      <c r="J1415">
        <v>256.32</v>
      </c>
      <c r="K1415" s="1">
        <v>45782</v>
      </c>
      <c r="L1415" t="s">
        <v>21</v>
      </c>
      <c r="M1415" t="s">
        <v>18</v>
      </c>
      <c r="N1415">
        <f>salesitems[[#This Row],[quantity]]*salesitems[[#This Row],[unit_price]]</f>
        <v>256.32</v>
      </c>
      <c r="O1415" t="str">
        <f>_xlfn.XLOOKUP(salesitems[[#This Row],[product_id]],products[product_id],products[product_name])</f>
        <v>Relaxed Ribbed Dress</v>
      </c>
      <c r="P1415" t="str">
        <f>_xlfn.XLOOKUP(salesitems[[#This Row],[product_id]],fashion_store_products!A:A,fashion_store_products!C:C)</f>
        <v>Dresses</v>
      </c>
    </row>
    <row r="1416" spans="1:16" x14ac:dyDescent="0.45">
      <c r="A1416">
        <v>2961</v>
      </c>
      <c r="B1416">
        <v>751</v>
      </c>
      <c r="C1416">
        <v>371</v>
      </c>
      <c r="D1416">
        <v>4</v>
      </c>
      <c r="E1416">
        <v>63.82</v>
      </c>
      <c r="F1416">
        <v>63.82</v>
      </c>
      <c r="G1416">
        <v>0</v>
      </c>
      <c r="H1416" s="2">
        <v>0</v>
      </c>
      <c r="I1416">
        <v>0</v>
      </c>
      <c r="J1416">
        <v>255.28</v>
      </c>
      <c r="K1416" s="1">
        <v>45824</v>
      </c>
      <c r="L1416" t="s">
        <v>21</v>
      </c>
      <c r="M1416" t="s">
        <v>18</v>
      </c>
      <c r="N1416">
        <f>salesitems[[#This Row],[quantity]]*salesitems[[#This Row],[unit_price]]</f>
        <v>255.28</v>
      </c>
      <c r="O1416" t="str">
        <f>_xlfn.XLOOKUP(salesitems[[#This Row],[product_id]],products[product_id],products[product_name])</f>
        <v>Elegant Cotton Tee</v>
      </c>
      <c r="P1416" t="str">
        <f>_xlfn.XLOOKUP(salesitems[[#This Row],[product_id]],fashion_store_products!A:A,fashion_store_products!C:C)</f>
        <v>T-Shirts</v>
      </c>
    </row>
    <row r="1417" spans="1:16" x14ac:dyDescent="0.45">
      <c r="A1417">
        <v>1989</v>
      </c>
      <c r="B1417">
        <v>810</v>
      </c>
      <c r="C1417">
        <v>372</v>
      </c>
      <c r="D1417">
        <v>4</v>
      </c>
      <c r="E1417">
        <v>63.79</v>
      </c>
      <c r="F1417">
        <v>63.79</v>
      </c>
      <c r="G1417">
        <v>0</v>
      </c>
      <c r="H1417" s="2">
        <v>0</v>
      </c>
      <c r="I1417">
        <v>0</v>
      </c>
      <c r="J1417">
        <v>255.16</v>
      </c>
      <c r="K1417" s="1">
        <v>45824</v>
      </c>
      <c r="L1417" t="s">
        <v>15</v>
      </c>
      <c r="M1417" t="s">
        <v>15</v>
      </c>
      <c r="N1417">
        <f>salesitems[[#This Row],[quantity]]*salesitems[[#This Row],[unit_price]]</f>
        <v>255.16</v>
      </c>
      <c r="O1417" t="str">
        <f>_xlfn.XLOOKUP(salesitems[[#This Row],[product_id]],products[product_id],products[product_name])</f>
        <v>Essential Linen Trousers</v>
      </c>
      <c r="P1417" t="str">
        <f>_xlfn.XLOOKUP(salesitems[[#This Row],[product_id]],fashion_store_products!A:A,fashion_store_products!C:C)</f>
        <v>Pants</v>
      </c>
    </row>
    <row r="1418" spans="1:16" x14ac:dyDescent="0.45">
      <c r="A1418">
        <v>537</v>
      </c>
      <c r="B1418">
        <v>855</v>
      </c>
      <c r="C1418">
        <v>385</v>
      </c>
      <c r="D1418">
        <v>4</v>
      </c>
      <c r="E1418">
        <v>63.23</v>
      </c>
      <c r="F1418">
        <v>63.23</v>
      </c>
      <c r="G1418">
        <v>0</v>
      </c>
      <c r="H1418" s="2">
        <v>0</v>
      </c>
      <c r="I1418">
        <v>0</v>
      </c>
      <c r="J1418">
        <v>252.92</v>
      </c>
      <c r="K1418" s="1">
        <v>45798</v>
      </c>
      <c r="L1418" t="s">
        <v>15</v>
      </c>
      <c r="M1418" t="s">
        <v>15</v>
      </c>
      <c r="N1418">
        <f>salesitems[[#This Row],[quantity]]*salesitems[[#This Row],[unit_price]]</f>
        <v>252.92</v>
      </c>
      <c r="O1418" t="str">
        <f>_xlfn.XLOOKUP(salesitems[[#This Row],[product_id]],products[product_id],products[product_name])</f>
        <v>Essential Satin Trousers</v>
      </c>
      <c r="P1418" t="str">
        <f>_xlfn.XLOOKUP(salesitems[[#This Row],[product_id]],fashion_store_products!A:A,fashion_store_products!C:C)</f>
        <v>Pants</v>
      </c>
    </row>
    <row r="1419" spans="1:16" x14ac:dyDescent="0.45">
      <c r="A1419">
        <v>3038</v>
      </c>
      <c r="B1419">
        <v>345</v>
      </c>
      <c r="C1419">
        <v>385</v>
      </c>
      <c r="D1419">
        <v>4</v>
      </c>
      <c r="E1419">
        <v>63.23</v>
      </c>
      <c r="F1419">
        <v>63.23</v>
      </c>
      <c r="G1419">
        <v>0</v>
      </c>
      <c r="H1419" s="2">
        <v>0</v>
      </c>
      <c r="I1419">
        <v>0</v>
      </c>
      <c r="J1419">
        <v>252.92</v>
      </c>
      <c r="K1419" s="1">
        <v>45761</v>
      </c>
      <c r="L1419" t="s">
        <v>21</v>
      </c>
      <c r="M1419" t="s">
        <v>18</v>
      </c>
      <c r="N1419">
        <f>salesitems[[#This Row],[quantity]]*salesitems[[#This Row],[unit_price]]</f>
        <v>252.92</v>
      </c>
      <c r="O1419" t="str">
        <f>_xlfn.XLOOKUP(salesitems[[#This Row],[product_id]],products[product_id],products[product_name])</f>
        <v>Essential Satin Trousers</v>
      </c>
      <c r="P1419" t="str">
        <f>_xlfn.XLOOKUP(salesitems[[#This Row],[product_id]],fashion_store_products!A:A,fashion_store_products!C:C)</f>
        <v>Pants</v>
      </c>
    </row>
    <row r="1420" spans="1:16" x14ac:dyDescent="0.45">
      <c r="A1420">
        <v>3070</v>
      </c>
      <c r="B1420">
        <v>753</v>
      </c>
      <c r="C1420">
        <v>56</v>
      </c>
      <c r="D1420">
        <v>4</v>
      </c>
      <c r="E1420">
        <v>62.92</v>
      </c>
      <c r="F1420">
        <v>62.92</v>
      </c>
      <c r="G1420">
        <v>0</v>
      </c>
      <c r="H1420" s="2">
        <v>0</v>
      </c>
      <c r="I1420">
        <v>0</v>
      </c>
      <c r="J1420">
        <v>251.68</v>
      </c>
      <c r="K1420" s="1">
        <v>45781</v>
      </c>
      <c r="L1420" t="s">
        <v>15</v>
      </c>
      <c r="M1420" t="s">
        <v>15</v>
      </c>
      <c r="N1420">
        <f>salesitems[[#This Row],[quantity]]*salesitems[[#This Row],[unit_price]]</f>
        <v>251.68</v>
      </c>
      <c r="O1420" t="str">
        <f>_xlfn.XLOOKUP(salesitems[[#This Row],[product_id]],products[product_id],products[product_name])</f>
        <v>Modern Wrap Shoes</v>
      </c>
      <c r="P1420" t="str">
        <f>_xlfn.XLOOKUP(salesitems[[#This Row],[product_id]],fashion_store_products!A:A,fashion_store_products!C:C)</f>
        <v>Shoes</v>
      </c>
    </row>
    <row r="1421" spans="1:16" x14ac:dyDescent="0.45">
      <c r="A1421">
        <v>1179</v>
      </c>
      <c r="B1421">
        <v>1277</v>
      </c>
      <c r="C1421">
        <v>38</v>
      </c>
      <c r="D1421">
        <v>4</v>
      </c>
      <c r="E1421">
        <v>62.8</v>
      </c>
      <c r="F1421">
        <v>62.8</v>
      </c>
      <c r="G1421">
        <v>0</v>
      </c>
      <c r="H1421" s="2">
        <v>0</v>
      </c>
      <c r="I1421">
        <v>0</v>
      </c>
      <c r="J1421">
        <v>251.2</v>
      </c>
      <c r="K1421" s="1">
        <v>45783</v>
      </c>
      <c r="L1421" t="s">
        <v>15</v>
      </c>
      <c r="M1421" t="s">
        <v>15</v>
      </c>
      <c r="N1421">
        <f>salesitems[[#This Row],[quantity]]*salesitems[[#This Row],[unit_price]]</f>
        <v>251.2</v>
      </c>
      <c r="O1421" t="str">
        <f>_xlfn.XLOOKUP(salesitems[[#This Row],[product_id]],products[product_id],products[product_name])</f>
        <v>Soft Crew Tee</v>
      </c>
      <c r="P1421" t="str">
        <f>_xlfn.XLOOKUP(salesitems[[#This Row],[product_id]],fashion_store_products!A:A,fashion_store_products!C:C)</f>
        <v>T-Shirts</v>
      </c>
    </row>
    <row r="1422" spans="1:16" x14ac:dyDescent="0.45">
      <c r="A1422">
        <v>1113</v>
      </c>
      <c r="B1422">
        <v>383</v>
      </c>
      <c r="C1422">
        <v>382</v>
      </c>
      <c r="D1422">
        <v>4</v>
      </c>
      <c r="E1422">
        <v>62.52</v>
      </c>
      <c r="F1422">
        <v>62.52</v>
      </c>
      <c r="G1422">
        <v>0</v>
      </c>
      <c r="H1422" s="2">
        <v>0</v>
      </c>
      <c r="I1422">
        <v>0</v>
      </c>
      <c r="J1422">
        <v>250.08</v>
      </c>
      <c r="K1422" s="1">
        <v>45762</v>
      </c>
      <c r="L1422" t="s">
        <v>15</v>
      </c>
      <c r="M1422" t="s">
        <v>15</v>
      </c>
      <c r="N1422">
        <f>salesitems[[#This Row],[quantity]]*salesitems[[#This Row],[unit_price]]</f>
        <v>250.08</v>
      </c>
      <c r="O1422" t="str">
        <f>_xlfn.XLOOKUP(salesitems[[#This Row],[product_id]],products[product_id],products[product_name])</f>
        <v>Tailored Sleeveless Dress</v>
      </c>
      <c r="P1422" t="str">
        <f>_xlfn.XLOOKUP(salesitems[[#This Row],[product_id]],fashion_store_products!A:A,fashion_store_products!C:C)</f>
        <v>Dresses</v>
      </c>
    </row>
    <row r="1423" spans="1:16" x14ac:dyDescent="0.45">
      <c r="A1423">
        <v>668</v>
      </c>
      <c r="B1423">
        <v>32</v>
      </c>
      <c r="C1423">
        <v>192</v>
      </c>
      <c r="D1423">
        <v>4</v>
      </c>
      <c r="E1423">
        <v>62.48</v>
      </c>
      <c r="F1423">
        <v>62.48</v>
      </c>
      <c r="G1423">
        <v>0</v>
      </c>
      <c r="H1423" s="2">
        <v>0</v>
      </c>
      <c r="I1423">
        <v>0</v>
      </c>
      <c r="J1423">
        <v>249.92</v>
      </c>
      <c r="K1423" s="1">
        <v>45768</v>
      </c>
      <c r="L1423" t="s">
        <v>15</v>
      </c>
      <c r="M1423" t="s">
        <v>15</v>
      </c>
      <c r="N1423">
        <f>salesitems[[#This Row],[quantity]]*salesitems[[#This Row],[unit_price]]</f>
        <v>249.92</v>
      </c>
      <c r="O1423" t="str">
        <f>_xlfn.XLOOKUP(salesitems[[#This Row],[product_id]],products[product_id],products[product_name])</f>
        <v>Polished Silk Dress</v>
      </c>
      <c r="P1423" t="str">
        <f>_xlfn.XLOOKUP(salesitems[[#This Row],[product_id]],fashion_store_products!A:A,fashion_store_products!C:C)</f>
        <v>Dresses</v>
      </c>
    </row>
    <row r="1424" spans="1:16" x14ac:dyDescent="0.45">
      <c r="A1424">
        <v>3243</v>
      </c>
      <c r="B1424">
        <v>1215</v>
      </c>
      <c r="C1424">
        <v>323</v>
      </c>
      <c r="D1424">
        <v>4</v>
      </c>
      <c r="E1424">
        <v>62.34</v>
      </c>
      <c r="F1424">
        <v>62.34</v>
      </c>
      <c r="G1424">
        <v>0</v>
      </c>
      <c r="H1424" s="2">
        <v>0</v>
      </c>
      <c r="I1424">
        <v>0</v>
      </c>
      <c r="J1424">
        <v>249.36</v>
      </c>
      <c r="K1424" s="1">
        <v>45769</v>
      </c>
      <c r="L1424" t="s">
        <v>15</v>
      </c>
      <c r="M1424" t="s">
        <v>15</v>
      </c>
      <c r="N1424">
        <f>salesitems[[#This Row],[quantity]]*salesitems[[#This Row],[unit_price]]</f>
        <v>249.36</v>
      </c>
      <c r="O1424" t="str">
        <f>_xlfn.XLOOKUP(salesitems[[#This Row],[product_id]],products[product_id],products[product_name])</f>
        <v>Tailored Wrap Tee</v>
      </c>
      <c r="P1424" t="str">
        <f>_xlfn.XLOOKUP(salesitems[[#This Row],[product_id]],fashion_store_products!A:A,fashion_store_products!C:C)</f>
        <v>T-Shirts</v>
      </c>
    </row>
    <row r="1425" spans="1:16" x14ac:dyDescent="0.45">
      <c r="A1425">
        <v>194</v>
      </c>
      <c r="B1425">
        <v>763</v>
      </c>
      <c r="C1425">
        <v>115</v>
      </c>
      <c r="D1425">
        <v>4</v>
      </c>
      <c r="E1425">
        <v>62.27</v>
      </c>
      <c r="F1425">
        <v>62.27</v>
      </c>
      <c r="G1425">
        <v>0</v>
      </c>
      <c r="H1425" s="2">
        <v>0</v>
      </c>
      <c r="I1425">
        <v>0</v>
      </c>
      <c r="J1425">
        <v>249.08</v>
      </c>
      <c r="K1425" s="1">
        <v>45768</v>
      </c>
      <c r="L1425" t="s">
        <v>21</v>
      </c>
      <c r="M1425" t="s">
        <v>18</v>
      </c>
      <c r="N1425">
        <f>salesitems[[#This Row],[quantity]]*salesitems[[#This Row],[unit_price]]</f>
        <v>249.08</v>
      </c>
      <c r="O1425" t="str">
        <f>_xlfn.XLOOKUP(salesitems[[#This Row],[product_id]],products[product_id],products[product_name])</f>
        <v>Modern High-Waist Set</v>
      </c>
      <c r="P1425" t="str">
        <f>_xlfn.XLOOKUP(salesitems[[#This Row],[product_id]],fashion_store_products!A:A,fashion_store_products!C:C)</f>
        <v>Sleepwear</v>
      </c>
    </row>
    <row r="1426" spans="1:16" x14ac:dyDescent="0.45">
      <c r="A1426">
        <v>74</v>
      </c>
      <c r="B1426">
        <v>613</v>
      </c>
      <c r="C1426">
        <v>444</v>
      </c>
      <c r="D1426">
        <v>4</v>
      </c>
      <c r="E1426">
        <v>61.78</v>
      </c>
      <c r="F1426">
        <v>61.78</v>
      </c>
      <c r="G1426">
        <v>0</v>
      </c>
      <c r="H1426" s="2">
        <v>0</v>
      </c>
      <c r="I1426">
        <v>0</v>
      </c>
      <c r="J1426">
        <v>247.12</v>
      </c>
      <c r="K1426" s="1">
        <v>45823</v>
      </c>
      <c r="L1426" t="s">
        <v>21</v>
      </c>
      <c r="M1426" t="s">
        <v>18</v>
      </c>
      <c r="N1426">
        <f>salesitems[[#This Row],[quantity]]*salesitems[[#This Row],[unit_price]]</f>
        <v>247.12</v>
      </c>
      <c r="O1426" t="str">
        <f>_xlfn.XLOOKUP(salesitems[[#This Row],[product_id]],products[product_id],products[product_name])</f>
        <v>Bold Cotton Dress</v>
      </c>
      <c r="P1426" t="str">
        <f>_xlfn.XLOOKUP(salesitems[[#This Row],[product_id]],fashion_store_products!A:A,fashion_store_products!C:C)</f>
        <v>Dresses</v>
      </c>
    </row>
    <row r="1427" spans="1:16" x14ac:dyDescent="0.45">
      <c r="A1427">
        <v>411</v>
      </c>
      <c r="B1427">
        <v>1130</v>
      </c>
      <c r="C1427">
        <v>152</v>
      </c>
      <c r="D1427">
        <v>4</v>
      </c>
      <c r="E1427">
        <v>61.7</v>
      </c>
      <c r="F1427">
        <v>61.7</v>
      </c>
      <c r="G1427">
        <v>0</v>
      </c>
      <c r="H1427" s="2">
        <v>0</v>
      </c>
      <c r="I1427">
        <v>0</v>
      </c>
      <c r="J1427">
        <v>246.8</v>
      </c>
      <c r="K1427" s="1">
        <v>45803</v>
      </c>
      <c r="L1427" t="s">
        <v>21</v>
      </c>
      <c r="M1427" t="s">
        <v>18</v>
      </c>
      <c r="N1427">
        <f>salesitems[[#This Row],[quantity]]*salesitems[[#This Row],[unit_price]]</f>
        <v>246.8</v>
      </c>
      <c r="O1427" t="str">
        <f>_xlfn.XLOOKUP(salesitems[[#This Row],[product_id]],products[product_id],products[product_name])</f>
        <v>Classic Silk Set</v>
      </c>
      <c r="P1427" t="str">
        <f>_xlfn.XLOOKUP(salesitems[[#This Row],[product_id]],fashion_store_products!A:A,fashion_store_products!C:C)</f>
        <v>Sleepwear</v>
      </c>
    </row>
    <row r="1428" spans="1:16" x14ac:dyDescent="0.45">
      <c r="A1428">
        <v>566</v>
      </c>
      <c r="B1428">
        <v>973</v>
      </c>
      <c r="C1428">
        <v>266</v>
      </c>
      <c r="D1428">
        <v>4</v>
      </c>
      <c r="E1428">
        <v>61.67</v>
      </c>
      <c r="F1428">
        <v>61.67</v>
      </c>
      <c r="G1428">
        <v>0</v>
      </c>
      <c r="H1428" s="2">
        <v>0</v>
      </c>
      <c r="I1428">
        <v>0</v>
      </c>
      <c r="J1428">
        <v>246.68</v>
      </c>
      <c r="K1428" s="1">
        <v>45825</v>
      </c>
      <c r="L1428" t="s">
        <v>15</v>
      </c>
      <c r="M1428" t="s">
        <v>15</v>
      </c>
      <c r="N1428">
        <f>salesitems[[#This Row],[quantity]]*salesitems[[#This Row],[unit_price]]</f>
        <v>246.68</v>
      </c>
      <c r="O1428" t="str">
        <f>_xlfn.XLOOKUP(salesitems[[#This Row],[product_id]],products[product_id],products[product_name])</f>
        <v>Polished Crew Trousers</v>
      </c>
      <c r="P1428" t="str">
        <f>_xlfn.XLOOKUP(salesitems[[#This Row],[product_id]],fashion_store_products!A:A,fashion_store_products!C:C)</f>
        <v>Pants</v>
      </c>
    </row>
    <row r="1429" spans="1:16" x14ac:dyDescent="0.45">
      <c r="A1429">
        <v>1580</v>
      </c>
      <c r="B1429">
        <v>37</v>
      </c>
      <c r="C1429">
        <v>266</v>
      </c>
      <c r="D1429">
        <v>4</v>
      </c>
      <c r="E1429">
        <v>61.67</v>
      </c>
      <c r="F1429">
        <v>61.67</v>
      </c>
      <c r="G1429">
        <v>0</v>
      </c>
      <c r="H1429" s="2">
        <v>0</v>
      </c>
      <c r="I1429">
        <v>0</v>
      </c>
      <c r="J1429">
        <v>246.68</v>
      </c>
      <c r="K1429" s="1">
        <v>45769</v>
      </c>
      <c r="L1429" t="s">
        <v>15</v>
      </c>
      <c r="M1429" t="s">
        <v>15</v>
      </c>
      <c r="N1429">
        <f>salesitems[[#This Row],[quantity]]*salesitems[[#This Row],[unit_price]]</f>
        <v>246.68</v>
      </c>
      <c r="O1429" t="str">
        <f>_xlfn.XLOOKUP(salesitems[[#This Row],[product_id]],products[product_id],products[product_name])</f>
        <v>Polished Crew Trousers</v>
      </c>
      <c r="P1429" t="str">
        <f>_xlfn.XLOOKUP(salesitems[[#This Row],[product_id]],fashion_store_products!A:A,fashion_store_products!C:C)</f>
        <v>Pants</v>
      </c>
    </row>
    <row r="1430" spans="1:16" x14ac:dyDescent="0.45">
      <c r="A1430">
        <v>438</v>
      </c>
      <c r="B1430">
        <v>391</v>
      </c>
      <c r="C1430">
        <v>35</v>
      </c>
      <c r="D1430">
        <v>4</v>
      </c>
      <c r="E1430">
        <v>61.61</v>
      </c>
      <c r="F1430">
        <v>61.61</v>
      </c>
      <c r="G1430">
        <v>0</v>
      </c>
      <c r="H1430" s="2">
        <v>0</v>
      </c>
      <c r="I1430">
        <v>0</v>
      </c>
      <c r="J1430">
        <v>246.44</v>
      </c>
      <c r="K1430" s="1">
        <v>45777</v>
      </c>
      <c r="L1430" t="s">
        <v>21</v>
      </c>
      <c r="M1430" t="s">
        <v>18</v>
      </c>
      <c r="N1430">
        <f>salesitems[[#This Row],[quantity]]*salesitems[[#This Row],[unit_price]]</f>
        <v>246.44</v>
      </c>
      <c r="O1430" t="str">
        <f>_xlfn.XLOOKUP(salesitems[[#This Row],[product_id]],products[product_id],products[product_name])</f>
        <v>Modern Ribbed Dress</v>
      </c>
      <c r="P1430" t="str">
        <f>_xlfn.XLOOKUP(salesitems[[#This Row],[product_id]],fashion_store_products!A:A,fashion_store_products!C:C)</f>
        <v>Dresses</v>
      </c>
    </row>
    <row r="1431" spans="1:16" x14ac:dyDescent="0.45">
      <c r="A1431">
        <v>304</v>
      </c>
      <c r="B1431">
        <v>776</v>
      </c>
      <c r="C1431">
        <v>399</v>
      </c>
      <c r="D1431">
        <v>4</v>
      </c>
      <c r="E1431">
        <v>61.6</v>
      </c>
      <c r="F1431">
        <v>61.6</v>
      </c>
      <c r="G1431">
        <v>0</v>
      </c>
      <c r="H1431" s="2">
        <v>0</v>
      </c>
      <c r="I1431">
        <v>0</v>
      </c>
      <c r="J1431">
        <v>246.4</v>
      </c>
      <c r="K1431" s="1">
        <v>45795</v>
      </c>
      <c r="L1431" t="s">
        <v>21</v>
      </c>
      <c r="M1431" t="s">
        <v>18</v>
      </c>
      <c r="N1431">
        <f>salesitems[[#This Row],[quantity]]*salesitems[[#This Row],[unit_price]]</f>
        <v>246.4</v>
      </c>
      <c r="O1431" t="str">
        <f>_xlfn.XLOOKUP(salesitems[[#This Row],[product_id]],products[product_id],products[product_name])</f>
        <v>Elegant Linen Shoes</v>
      </c>
      <c r="P1431" t="str">
        <f>_xlfn.XLOOKUP(salesitems[[#This Row],[product_id]],fashion_store_products!A:A,fashion_store_products!C:C)</f>
        <v>Shoes</v>
      </c>
    </row>
    <row r="1432" spans="1:16" x14ac:dyDescent="0.45">
      <c r="A1432">
        <v>2866</v>
      </c>
      <c r="B1432">
        <v>123</v>
      </c>
      <c r="C1432">
        <v>125</v>
      </c>
      <c r="D1432">
        <v>4</v>
      </c>
      <c r="E1432">
        <v>61.27</v>
      </c>
      <c r="F1432">
        <v>61.27</v>
      </c>
      <c r="G1432">
        <v>0</v>
      </c>
      <c r="H1432" s="2">
        <v>0</v>
      </c>
      <c r="I1432">
        <v>0</v>
      </c>
      <c r="J1432">
        <v>245.08</v>
      </c>
      <c r="K1432" s="1">
        <v>45798</v>
      </c>
      <c r="L1432" t="s">
        <v>15</v>
      </c>
      <c r="M1432" t="s">
        <v>15</v>
      </c>
      <c r="N1432">
        <f>salesitems[[#This Row],[quantity]]*salesitems[[#This Row],[unit_price]]</f>
        <v>245.08</v>
      </c>
      <c r="O1432" t="str">
        <f>_xlfn.XLOOKUP(salesitems[[#This Row],[product_id]],products[product_id],products[product_name])</f>
        <v>Classic Satin Shoes</v>
      </c>
      <c r="P1432" t="str">
        <f>_xlfn.XLOOKUP(salesitems[[#This Row],[product_id]],fashion_store_products!A:A,fashion_store_products!C:C)</f>
        <v>Shoes</v>
      </c>
    </row>
    <row r="1433" spans="1:16" x14ac:dyDescent="0.45">
      <c r="A1433">
        <v>2969</v>
      </c>
      <c r="B1433">
        <v>635</v>
      </c>
      <c r="C1433">
        <v>428</v>
      </c>
      <c r="D1433">
        <v>4</v>
      </c>
      <c r="E1433">
        <v>61.22</v>
      </c>
      <c r="F1433">
        <v>61.22</v>
      </c>
      <c r="G1433">
        <v>0</v>
      </c>
      <c r="H1433" s="2">
        <v>0</v>
      </c>
      <c r="I1433">
        <v>0</v>
      </c>
      <c r="J1433">
        <v>244.88</v>
      </c>
      <c r="K1433" s="1">
        <v>45763</v>
      </c>
      <c r="L1433" t="s">
        <v>15</v>
      </c>
      <c r="M1433" t="s">
        <v>15</v>
      </c>
      <c r="N1433">
        <f>salesitems[[#This Row],[quantity]]*salesitems[[#This Row],[unit_price]]</f>
        <v>244.88</v>
      </c>
      <c r="O1433" t="str">
        <f>_xlfn.XLOOKUP(salesitems[[#This Row],[product_id]],products[product_id],products[product_name])</f>
        <v>Elegant High-Waist Shoes</v>
      </c>
      <c r="P1433" t="str">
        <f>_xlfn.XLOOKUP(salesitems[[#This Row],[product_id]],fashion_store_products!A:A,fashion_store_products!C:C)</f>
        <v>Shoes</v>
      </c>
    </row>
    <row r="1434" spans="1:16" x14ac:dyDescent="0.45">
      <c r="A1434">
        <v>683</v>
      </c>
      <c r="B1434">
        <v>1138</v>
      </c>
      <c r="C1434">
        <v>112</v>
      </c>
      <c r="D1434">
        <v>4</v>
      </c>
      <c r="E1434">
        <v>61.2</v>
      </c>
      <c r="F1434">
        <v>61.2</v>
      </c>
      <c r="G1434">
        <v>0</v>
      </c>
      <c r="H1434" s="2">
        <v>0</v>
      </c>
      <c r="I1434">
        <v>0</v>
      </c>
      <c r="J1434">
        <v>244.8</v>
      </c>
      <c r="K1434" s="1">
        <v>45774</v>
      </c>
      <c r="L1434" t="s">
        <v>21</v>
      </c>
      <c r="M1434" t="s">
        <v>18</v>
      </c>
      <c r="N1434">
        <f>salesitems[[#This Row],[quantity]]*salesitems[[#This Row],[unit_price]]</f>
        <v>244.8</v>
      </c>
      <c r="O1434" t="str">
        <f>_xlfn.XLOOKUP(salesitems[[#This Row],[product_id]],products[product_id],products[product_name])</f>
        <v>Modern Sleeveless Set</v>
      </c>
      <c r="P1434" t="str">
        <f>_xlfn.XLOOKUP(salesitems[[#This Row],[product_id]],fashion_store_products!A:A,fashion_store_products!C:C)</f>
        <v>Sleepwear</v>
      </c>
    </row>
    <row r="1435" spans="1:16" x14ac:dyDescent="0.45">
      <c r="A1435">
        <v>2831</v>
      </c>
      <c r="B1435">
        <v>852</v>
      </c>
      <c r="C1435">
        <v>352</v>
      </c>
      <c r="D1435">
        <v>4</v>
      </c>
      <c r="E1435">
        <v>61.12</v>
      </c>
      <c r="F1435">
        <v>61.12</v>
      </c>
      <c r="G1435">
        <v>0</v>
      </c>
      <c r="H1435" s="2">
        <v>0</v>
      </c>
      <c r="I1435">
        <v>0</v>
      </c>
      <c r="J1435">
        <v>244.48</v>
      </c>
      <c r="K1435" s="1">
        <v>45770</v>
      </c>
      <c r="L1435" t="s">
        <v>15</v>
      </c>
      <c r="M1435" t="s">
        <v>15</v>
      </c>
      <c r="N1435">
        <f>salesitems[[#This Row],[quantity]]*salesitems[[#This Row],[unit_price]]</f>
        <v>244.48</v>
      </c>
      <c r="O1435" t="str">
        <f>_xlfn.XLOOKUP(salesitems[[#This Row],[product_id]],products[product_id],products[product_name])</f>
        <v>Essential Sleeveless Set</v>
      </c>
      <c r="P1435" t="str">
        <f>_xlfn.XLOOKUP(salesitems[[#This Row],[product_id]],fashion_store_products!A:A,fashion_store_products!C:C)</f>
        <v>Sleepwear</v>
      </c>
    </row>
    <row r="1436" spans="1:16" x14ac:dyDescent="0.45">
      <c r="A1436">
        <v>982</v>
      </c>
      <c r="B1436">
        <v>1211</v>
      </c>
      <c r="C1436">
        <v>340</v>
      </c>
      <c r="D1436">
        <v>4</v>
      </c>
      <c r="E1436">
        <v>60.83</v>
      </c>
      <c r="F1436">
        <v>60.83</v>
      </c>
      <c r="G1436">
        <v>0</v>
      </c>
      <c r="H1436" s="2">
        <v>0</v>
      </c>
      <c r="I1436">
        <v>0</v>
      </c>
      <c r="J1436">
        <v>243.32</v>
      </c>
      <c r="K1436" s="1">
        <v>45800</v>
      </c>
      <c r="L1436" t="s">
        <v>15</v>
      </c>
      <c r="M1436" t="s">
        <v>15</v>
      </c>
      <c r="N1436">
        <f>salesitems[[#This Row],[quantity]]*salesitems[[#This Row],[unit_price]]</f>
        <v>243.32</v>
      </c>
      <c r="O1436" t="str">
        <f>_xlfn.XLOOKUP(salesitems[[#This Row],[product_id]],products[product_id],products[product_name])</f>
        <v>Tailored Cotton Shoes</v>
      </c>
      <c r="P1436" t="str">
        <f>_xlfn.XLOOKUP(salesitems[[#This Row],[product_id]],fashion_store_products!A:A,fashion_store_products!C:C)</f>
        <v>Shoes</v>
      </c>
    </row>
    <row r="1437" spans="1:16" x14ac:dyDescent="0.45">
      <c r="A1437">
        <v>1282</v>
      </c>
      <c r="B1437">
        <v>811</v>
      </c>
      <c r="C1437">
        <v>340</v>
      </c>
      <c r="D1437">
        <v>4</v>
      </c>
      <c r="E1437">
        <v>60.83</v>
      </c>
      <c r="F1437">
        <v>60.83</v>
      </c>
      <c r="G1437">
        <v>0</v>
      </c>
      <c r="H1437" s="2">
        <v>0</v>
      </c>
      <c r="I1437">
        <v>0</v>
      </c>
      <c r="J1437">
        <v>243.32</v>
      </c>
      <c r="K1437" s="1">
        <v>45774</v>
      </c>
      <c r="L1437" t="s">
        <v>15</v>
      </c>
      <c r="M1437" t="s">
        <v>15</v>
      </c>
      <c r="N1437">
        <f>salesitems[[#This Row],[quantity]]*salesitems[[#This Row],[unit_price]]</f>
        <v>243.32</v>
      </c>
      <c r="O1437" t="str">
        <f>_xlfn.XLOOKUP(salesitems[[#This Row],[product_id]],products[product_id],products[product_name])</f>
        <v>Tailored Cotton Shoes</v>
      </c>
      <c r="P1437" t="str">
        <f>_xlfn.XLOOKUP(salesitems[[#This Row],[product_id]],fashion_store_products!A:A,fashion_store_products!C:C)</f>
        <v>Shoes</v>
      </c>
    </row>
    <row r="1438" spans="1:16" x14ac:dyDescent="0.45">
      <c r="A1438">
        <v>2486</v>
      </c>
      <c r="B1438">
        <v>466</v>
      </c>
      <c r="C1438">
        <v>340</v>
      </c>
      <c r="D1438">
        <v>4</v>
      </c>
      <c r="E1438">
        <v>60.83</v>
      </c>
      <c r="F1438">
        <v>60.83</v>
      </c>
      <c r="G1438">
        <v>0</v>
      </c>
      <c r="H1438" s="2">
        <v>0</v>
      </c>
      <c r="I1438">
        <v>0</v>
      </c>
      <c r="J1438">
        <v>243.32</v>
      </c>
      <c r="K1438" s="1">
        <v>45764</v>
      </c>
      <c r="L1438" t="s">
        <v>21</v>
      </c>
      <c r="M1438" t="s">
        <v>18</v>
      </c>
      <c r="N1438">
        <f>salesitems[[#This Row],[quantity]]*salesitems[[#This Row],[unit_price]]</f>
        <v>243.32</v>
      </c>
      <c r="O1438" t="str">
        <f>_xlfn.XLOOKUP(salesitems[[#This Row],[product_id]],products[product_id],products[product_name])</f>
        <v>Tailored Cotton Shoes</v>
      </c>
      <c r="P1438" t="str">
        <f>_xlfn.XLOOKUP(salesitems[[#This Row],[product_id]],fashion_store_products!A:A,fashion_store_products!C:C)</f>
        <v>Shoes</v>
      </c>
    </row>
    <row r="1439" spans="1:16" x14ac:dyDescent="0.45">
      <c r="A1439">
        <v>2585</v>
      </c>
      <c r="B1439">
        <v>84</v>
      </c>
      <c r="C1439">
        <v>305</v>
      </c>
      <c r="D1439">
        <v>4</v>
      </c>
      <c r="E1439">
        <v>60.79</v>
      </c>
      <c r="F1439">
        <v>60.79</v>
      </c>
      <c r="G1439">
        <v>0</v>
      </c>
      <c r="H1439" s="2">
        <v>0</v>
      </c>
      <c r="I1439">
        <v>0</v>
      </c>
      <c r="J1439">
        <v>243.16</v>
      </c>
      <c r="K1439" s="1">
        <v>45794</v>
      </c>
      <c r="L1439" t="s">
        <v>21</v>
      </c>
      <c r="M1439" t="s">
        <v>18</v>
      </c>
      <c r="N1439">
        <f>salesitems[[#This Row],[quantity]]*salesitems[[#This Row],[unit_price]]</f>
        <v>243.16</v>
      </c>
      <c r="O1439" t="str">
        <f>_xlfn.XLOOKUP(salesitems[[#This Row],[product_id]],products[product_id],products[product_name])</f>
        <v>Relaxed Wrap Trousers</v>
      </c>
      <c r="P1439" t="str">
        <f>_xlfn.XLOOKUP(salesitems[[#This Row],[product_id]],fashion_store_products!A:A,fashion_store_products!C:C)</f>
        <v>Pants</v>
      </c>
    </row>
    <row r="1440" spans="1:16" x14ac:dyDescent="0.45">
      <c r="A1440">
        <v>1473</v>
      </c>
      <c r="B1440">
        <v>838</v>
      </c>
      <c r="C1440">
        <v>129</v>
      </c>
      <c r="D1440">
        <v>4</v>
      </c>
      <c r="E1440">
        <v>60.68</v>
      </c>
      <c r="F1440">
        <v>60.68</v>
      </c>
      <c r="G1440">
        <v>0</v>
      </c>
      <c r="H1440" s="2">
        <v>0</v>
      </c>
      <c r="I1440">
        <v>0</v>
      </c>
      <c r="J1440">
        <v>242.72</v>
      </c>
      <c r="K1440" s="1">
        <v>45804</v>
      </c>
      <c r="L1440" t="s">
        <v>21</v>
      </c>
      <c r="M1440" t="s">
        <v>18</v>
      </c>
      <c r="N1440">
        <f>salesitems[[#This Row],[quantity]]*salesitems[[#This Row],[unit_price]]</f>
        <v>242.72</v>
      </c>
      <c r="O1440" t="str">
        <f>_xlfn.XLOOKUP(salesitems[[#This Row],[product_id]],products[product_id],products[product_name])</f>
        <v>Classic Linen Trousers</v>
      </c>
      <c r="P1440" t="str">
        <f>_xlfn.XLOOKUP(salesitems[[#This Row],[product_id]],fashion_store_products!A:A,fashion_store_products!C:C)</f>
        <v>Pants</v>
      </c>
    </row>
    <row r="1441" spans="1:16" x14ac:dyDescent="0.45">
      <c r="A1441">
        <v>46</v>
      </c>
      <c r="B1441">
        <v>514</v>
      </c>
      <c r="C1441">
        <v>433</v>
      </c>
      <c r="D1441">
        <v>4</v>
      </c>
      <c r="E1441">
        <v>60.12</v>
      </c>
      <c r="F1441">
        <v>60.12</v>
      </c>
      <c r="G1441">
        <v>0</v>
      </c>
      <c r="H1441" s="2">
        <v>0</v>
      </c>
      <c r="I1441">
        <v>0</v>
      </c>
      <c r="J1441">
        <v>240.48</v>
      </c>
      <c r="K1441" s="1">
        <v>45825</v>
      </c>
      <c r="L1441" t="s">
        <v>15</v>
      </c>
      <c r="M1441" t="s">
        <v>15</v>
      </c>
      <c r="N1441">
        <f>salesitems[[#This Row],[quantity]]*salesitems[[#This Row],[unit_price]]</f>
        <v>240.48</v>
      </c>
      <c r="O1441" t="str">
        <f>_xlfn.XLOOKUP(salesitems[[#This Row],[product_id]],products[product_id],products[product_name])</f>
        <v>Essential Boxy Trousers</v>
      </c>
      <c r="P1441" t="str">
        <f>_xlfn.XLOOKUP(salesitems[[#This Row],[product_id]],fashion_store_products!A:A,fashion_store_products!C:C)</f>
        <v>Pants</v>
      </c>
    </row>
    <row r="1442" spans="1:16" x14ac:dyDescent="0.45">
      <c r="A1442">
        <v>2569</v>
      </c>
      <c r="B1442">
        <v>1311</v>
      </c>
      <c r="C1442">
        <v>4</v>
      </c>
      <c r="D1442">
        <v>4</v>
      </c>
      <c r="E1442">
        <v>60</v>
      </c>
      <c r="F1442">
        <v>60</v>
      </c>
      <c r="G1442">
        <v>0</v>
      </c>
      <c r="H1442" s="2">
        <v>0</v>
      </c>
      <c r="I1442">
        <v>0</v>
      </c>
      <c r="J1442">
        <v>240</v>
      </c>
      <c r="K1442" s="1">
        <v>45808</v>
      </c>
      <c r="L1442" t="s">
        <v>21</v>
      </c>
      <c r="M1442" t="s">
        <v>18</v>
      </c>
      <c r="N1442">
        <f>salesitems[[#This Row],[quantity]]*salesitems[[#This Row],[unit_price]]</f>
        <v>240</v>
      </c>
      <c r="O1442" t="str">
        <f>_xlfn.XLOOKUP(salesitems[[#This Row],[product_id]],products[product_id],products[product_name])</f>
        <v>Soft Ribbed Tee</v>
      </c>
      <c r="P1442" t="str">
        <f>_xlfn.XLOOKUP(salesitems[[#This Row],[product_id]],fashion_store_products!A:A,fashion_store_products!C:C)</f>
        <v>T-Shirts</v>
      </c>
    </row>
    <row r="1443" spans="1:16" x14ac:dyDescent="0.45">
      <c r="A1443">
        <v>1472</v>
      </c>
      <c r="B1443">
        <v>63</v>
      </c>
      <c r="C1443">
        <v>472</v>
      </c>
      <c r="D1443">
        <v>4</v>
      </c>
      <c r="E1443">
        <v>59.9</v>
      </c>
      <c r="F1443">
        <v>59.9</v>
      </c>
      <c r="G1443">
        <v>0</v>
      </c>
      <c r="H1443" s="2">
        <v>0</v>
      </c>
      <c r="I1443">
        <v>0</v>
      </c>
      <c r="J1443">
        <v>239.6</v>
      </c>
      <c r="K1443" s="1">
        <v>45752</v>
      </c>
      <c r="L1443" t="s">
        <v>15</v>
      </c>
      <c r="M1443" t="s">
        <v>15</v>
      </c>
      <c r="N1443">
        <f>salesitems[[#This Row],[quantity]]*salesitems[[#This Row],[unit_price]]</f>
        <v>239.6</v>
      </c>
      <c r="O1443" t="str">
        <f>_xlfn.XLOOKUP(salesitems[[#This Row],[product_id]],products[product_id],products[product_name])</f>
        <v>Tailored Satin Trousers</v>
      </c>
      <c r="P1443" t="str">
        <f>_xlfn.XLOOKUP(salesitems[[#This Row],[product_id]],fashion_store_products!A:A,fashion_store_products!C:C)</f>
        <v>Pants</v>
      </c>
    </row>
    <row r="1444" spans="1:16" x14ac:dyDescent="0.45">
      <c r="A1444">
        <v>2186</v>
      </c>
      <c r="B1444">
        <v>1156</v>
      </c>
      <c r="C1444">
        <v>99</v>
      </c>
      <c r="D1444">
        <v>4</v>
      </c>
      <c r="E1444">
        <v>59.78</v>
      </c>
      <c r="F1444">
        <v>59.78</v>
      </c>
      <c r="G1444">
        <v>0</v>
      </c>
      <c r="H1444" s="2">
        <v>0</v>
      </c>
      <c r="I1444">
        <v>0</v>
      </c>
      <c r="J1444">
        <v>239.12</v>
      </c>
      <c r="K1444" s="1">
        <v>45798</v>
      </c>
      <c r="L1444" t="s">
        <v>15</v>
      </c>
      <c r="M1444" t="s">
        <v>15</v>
      </c>
      <c r="N1444">
        <f>salesitems[[#This Row],[quantity]]*salesitems[[#This Row],[unit_price]]</f>
        <v>239.12</v>
      </c>
      <c r="O1444" t="str">
        <f>_xlfn.XLOOKUP(salesitems[[#This Row],[product_id]],products[product_id],products[product_name])</f>
        <v>Modern Boxy Tee</v>
      </c>
      <c r="P1444" t="str">
        <f>_xlfn.XLOOKUP(salesitems[[#This Row],[product_id]],fashion_store_products!A:A,fashion_store_products!C:C)</f>
        <v>T-Shirts</v>
      </c>
    </row>
    <row r="1445" spans="1:16" x14ac:dyDescent="0.45">
      <c r="A1445">
        <v>770</v>
      </c>
      <c r="B1445">
        <v>668</v>
      </c>
      <c r="C1445">
        <v>464</v>
      </c>
      <c r="D1445">
        <v>4</v>
      </c>
      <c r="E1445">
        <v>59.58</v>
      </c>
      <c r="F1445">
        <v>59.58</v>
      </c>
      <c r="G1445">
        <v>0</v>
      </c>
      <c r="H1445" s="2">
        <v>0</v>
      </c>
      <c r="I1445">
        <v>0</v>
      </c>
      <c r="J1445">
        <v>238.32</v>
      </c>
      <c r="K1445" s="1">
        <v>45767</v>
      </c>
      <c r="L1445" t="s">
        <v>21</v>
      </c>
      <c r="M1445" t="s">
        <v>18</v>
      </c>
      <c r="N1445">
        <f>salesitems[[#This Row],[quantity]]*salesitems[[#This Row],[unit_price]]</f>
        <v>238.32</v>
      </c>
      <c r="O1445" t="str">
        <f>_xlfn.XLOOKUP(salesitems[[#This Row],[product_id]],products[product_id],products[product_name])</f>
        <v>Bold Ribbed Shoes</v>
      </c>
      <c r="P1445" t="str">
        <f>_xlfn.XLOOKUP(salesitems[[#This Row],[product_id]],fashion_store_products!A:A,fashion_store_products!C:C)</f>
        <v>Shoes</v>
      </c>
    </row>
    <row r="1446" spans="1:16" x14ac:dyDescent="0.45">
      <c r="A1446">
        <v>1692</v>
      </c>
      <c r="B1446">
        <v>931</v>
      </c>
      <c r="C1446">
        <v>464</v>
      </c>
      <c r="D1446">
        <v>4</v>
      </c>
      <c r="E1446">
        <v>59.58</v>
      </c>
      <c r="F1446">
        <v>59.58</v>
      </c>
      <c r="G1446">
        <v>0</v>
      </c>
      <c r="H1446" s="2">
        <v>0</v>
      </c>
      <c r="I1446">
        <v>0</v>
      </c>
      <c r="J1446">
        <v>238.32</v>
      </c>
      <c r="K1446" s="1">
        <v>45825</v>
      </c>
      <c r="L1446" t="s">
        <v>21</v>
      </c>
      <c r="M1446" t="s">
        <v>18</v>
      </c>
      <c r="N1446">
        <f>salesitems[[#This Row],[quantity]]*salesitems[[#This Row],[unit_price]]</f>
        <v>238.32</v>
      </c>
      <c r="O1446" t="str">
        <f>_xlfn.XLOOKUP(salesitems[[#This Row],[product_id]],products[product_id],products[product_name])</f>
        <v>Bold Ribbed Shoes</v>
      </c>
      <c r="P1446" t="str">
        <f>_xlfn.XLOOKUP(salesitems[[#This Row],[product_id]],fashion_store_products!A:A,fashion_store_products!C:C)</f>
        <v>Shoes</v>
      </c>
    </row>
    <row r="1447" spans="1:16" x14ac:dyDescent="0.45">
      <c r="A1447">
        <v>1953</v>
      </c>
      <c r="B1447">
        <v>23</v>
      </c>
      <c r="C1447">
        <v>464</v>
      </c>
      <c r="D1447">
        <v>4</v>
      </c>
      <c r="E1447">
        <v>59.58</v>
      </c>
      <c r="F1447">
        <v>59.58</v>
      </c>
      <c r="G1447">
        <v>0</v>
      </c>
      <c r="H1447" s="2">
        <v>0</v>
      </c>
      <c r="I1447">
        <v>0</v>
      </c>
      <c r="J1447">
        <v>238.32</v>
      </c>
      <c r="K1447" s="1">
        <v>45775</v>
      </c>
      <c r="L1447" t="s">
        <v>15</v>
      </c>
      <c r="M1447" t="s">
        <v>15</v>
      </c>
      <c r="N1447">
        <f>salesitems[[#This Row],[quantity]]*salesitems[[#This Row],[unit_price]]</f>
        <v>238.32</v>
      </c>
      <c r="O1447" t="str">
        <f>_xlfn.XLOOKUP(salesitems[[#This Row],[product_id]],products[product_id],products[product_name])</f>
        <v>Bold Ribbed Shoes</v>
      </c>
      <c r="P1447" t="str">
        <f>_xlfn.XLOOKUP(salesitems[[#This Row],[product_id]],fashion_store_products!A:A,fashion_store_products!C:C)</f>
        <v>Shoes</v>
      </c>
    </row>
    <row r="1448" spans="1:16" x14ac:dyDescent="0.45">
      <c r="A1448">
        <v>925</v>
      </c>
      <c r="B1448">
        <v>350</v>
      </c>
      <c r="C1448">
        <v>291</v>
      </c>
      <c r="D1448">
        <v>4</v>
      </c>
      <c r="E1448">
        <v>59.56</v>
      </c>
      <c r="F1448">
        <v>59.56</v>
      </c>
      <c r="G1448">
        <v>0</v>
      </c>
      <c r="H1448" s="2">
        <v>0</v>
      </c>
      <c r="I1448">
        <v>0</v>
      </c>
      <c r="J1448">
        <v>238.24</v>
      </c>
      <c r="K1448" s="1">
        <v>45766</v>
      </c>
      <c r="L1448" t="s">
        <v>21</v>
      </c>
      <c r="M1448" t="s">
        <v>18</v>
      </c>
      <c r="N1448">
        <f>salesitems[[#This Row],[quantity]]*salesitems[[#This Row],[unit_price]]</f>
        <v>238.24</v>
      </c>
      <c r="O1448" t="str">
        <f>_xlfn.XLOOKUP(salesitems[[#This Row],[product_id]],products[product_id],products[product_name])</f>
        <v>Essential Silk Shoes</v>
      </c>
      <c r="P1448" t="str">
        <f>_xlfn.XLOOKUP(salesitems[[#This Row],[product_id]],fashion_store_products!A:A,fashion_store_products!C:C)</f>
        <v>Shoes</v>
      </c>
    </row>
    <row r="1449" spans="1:16" x14ac:dyDescent="0.45">
      <c r="A1449">
        <v>2209</v>
      </c>
      <c r="B1449">
        <v>990</v>
      </c>
      <c r="C1449">
        <v>291</v>
      </c>
      <c r="D1449">
        <v>4</v>
      </c>
      <c r="E1449">
        <v>59.56</v>
      </c>
      <c r="F1449">
        <v>59.56</v>
      </c>
      <c r="G1449">
        <v>0</v>
      </c>
      <c r="H1449" s="2">
        <v>0</v>
      </c>
      <c r="I1449">
        <v>0</v>
      </c>
      <c r="J1449">
        <v>238.24</v>
      </c>
      <c r="K1449" s="1">
        <v>45764</v>
      </c>
      <c r="L1449" t="s">
        <v>15</v>
      </c>
      <c r="M1449" t="s">
        <v>15</v>
      </c>
      <c r="N1449">
        <f>salesitems[[#This Row],[quantity]]*salesitems[[#This Row],[unit_price]]</f>
        <v>238.24</v>
      </c>
      <c r="O1449" t="str">
        <f>_xlfn.XLOOKUP(salesitems[[#This Row],[product_id]],products[product_id],products[product_name])</f>
        <v>Essential Silk Shoes</v>
      </c>
      <c r="P1449" t="str">
        <f>_xlfn.XLOOKUP(salesitems[[#This Row],[product_id]],fashion_store_products!A:A,fashion_store_products!C:C)</f>
        <v>Shoes</v>
      </c>
    </row>
    <row r="1450" spans="1:16" x14ac:dyDescent="0.45">
      <c r="A1450">
        <v>2657</v>
      </c>
      <c r="B1450">
        <v>950</v>
      </c>
      <c r="C1450">
        <v>291</v>
      </c>
      <c r="D1450">
        <v>4</v>
      </c>
      <c r="E1450">
        <v>59.56</v>
      </c>
      <c r="F1450">
        <v>59.56</v>
      </c>
      <c r="G1450">
        <v>0</v>
      </c>
      <c r="H1450" s="2">
        <v>0</v>
      </c>
      <c r="I1450">
        <v>0</v>
      </c>
      <c r="J1450">
        <v>238.24</v>
      </c>
      <c r="K1450" s="1">
        <v>45804</v>
      </c>
      <c r="L1450" t="s">
        <v>21</v>
      </c>
      <c r="M1450" t="s">
        <v>18</v>
      </c>
      <c r="N1450">
        <f>salesitems[[#This Row],[quantity]]*salesitems[[#This Row],[unit_price]]</f>
        <v>238.24</v>
      </c>
      <c r="O1450" t="str">
        <f>_xlfn.XLOOKUP(salesitems[[#This Row],[product_id]],products[product_id],products[product_name])</f>
        <v>Essential Silk Shoes</v>
      </c>
      <c r="P1450" t="str">
        <f>_xlfn.XLOOKUP(salesitems[[#This Row],[product_id]],fashion_store_products!A:A,fashion_store_products!C:C)</f>
        <v>Shoes</v>
      </c>
    </row>
    <row r="1451" spans="1:16" x14ac:dyDescent="0.45">
      <c r="A1451">
        <v>3223</v>
      </c>
      <c r="B1451">
        <v>643</v>
      </c>
      <c r="C1451">
        <v>291</v>
      </c>
      <c r="D1451">
        <v>4</v>
      </c>
      <c r="E1451">
        <v>59.56</v>
      </c>
      <c r="F1451">
        <v>59.56</v>
      </c>
      <c r="G1451">
        <v>0</v>
      </c>
      <c r="H1451" s="2">
        <v>0</v>
      </c>
      <c r="I1451">
        <v>0</v>
      </c>
      <c r="J1451">
        <v>238.24</v>
      </c>
      <c r="K1451" s="1">
        <v>45771</v>
      </c>
      <c r="L1451" t="s">
        <v>21</v>
      </c>
      <c r="M1451" t="s">
        <v>18</v>
      </c>
      <c r="N1451">
        <f>salesitems[[#This Row],[quantity]]*salesitems[[#This Row],[unit_price]]</f>
        <v>238.24</v>
      </c>
      <c r="O1451" t="str">
        <f>_xlfn.XLOOKUP(salesitems[[#This Row],[product_id]],products[product_id],products[product_name])</f>
        <v>Essential Silk Shoes</v>
      </c>
      <c r="P1451" t="str">
        <f>_xlfn.XLOOKUP(salesitems[[#This Row],[product_id]],fashion_store_products!A:A,fashion_store_products!C:C)</f>
        <v>Shoes</v>
      </c>
    </row>
    <row r="1452" spans="1:16" x14ac:dyDescent="0.45">
      <c r="A1452">
        <v>1810</v>
      </c>
      <c r="B1452">
        <v>755</v>
      </c>
      <c r="C1452">
        <v>390</v>
      </c>
      <c r="D1452">
        <v>4</v>
      </c>
      <c r="E1452">
        <v>59.33</v>
      </c>
      <c r="F1452">
        <v>59.33</v>
      </c>
      <c r="G1452">
        <v>0</v>
      </c>
      <c r="H1452" s="2">
        <v>0</v>
      </c>
      <c r="I1452">
        <v>0</v>
      </c>
      <c r="J1452">
        <v>237.32</v>
      </c>
      <c r="K1452" s="1">
        <v>45822</v>
      </c>
      <c r="L1452" t="s">
        <v>15</v>
      </c>
      <c r="M1452" t="s">
        <v>15</v>
      </c>
      <c r="N1452">
        <f>salesitems[[#This Row],[quantity]]*salesitems[[#This Row],[unit_price]]</f>
        <v>237.32</v>
      </c>
      <c r="O1452" t="str">
        <f>_xlfn.XLOOKUP(salesitems[[#This Row],[product_id]],products[product_id],products[product_name])</f>
        <v>Tailored Boxy Shoes</v>
      </c>
      <c r="P1452" t="str">
        <f>_xlfn.XLOOKUP(salesitems[[#This Row],[product_id]],fashion_store_products!A:A,fashion_store_products!C:C)</f>
        <v>Shoes</v>
      </c>
    </row>
    <row r="1453" spans="1:16" x14ac:dyDescent="0.45">
      <c r="A1453">
        <v>2621</v>
      </c>
      <c r="B1453">
        <v>345</v>
      </c>
      <c r="C1453">
        <v>390</v>
      </c>
      <c r="D1453">
        <v>4</v>
      </c>
      <c r="E1453">
        <v>59.33</v>
      </c>
      <c r="F1453">
        <v>59.33</v>
      </c>
      <c r="G1453">
        <v>0</v>
      </c>
      <c r="H1453" s="2">
        <v>0</v>
      </c>
      <c r="I1453">
        <v>0</v>
      </c>
      <c r="J1453">
        <v>237.32</v>
      </c>
      <c r="K1453" s="1">
        <v>45761</v>
      </c>
      <c r="L1453" t="s">
        <v>21</v>
      </c>
      <c r="M1453" t="s">
        <v>18</v>
      </c>
      <c r="N1453">
        <f>salesitems[[#This Row],[quantity]]*salesitems[[#This Row],[unit_price]]</f>
        <v>237.32</v>
      </c>
      <c r="O1453" t="str">
        <f>_xlfn.XLOOKUP(salesitems[[#This Row],[product_id]],products[product_id],products[product_name])</f>
        <v>Tailored Boxy Shoes</v>
      </c>
      <c r="P1453" t="str">
        <f>_xlfn.XLOOKUP(salesitems[[#This Row],[product_id]],fashion_store_products!A:A,fashion_store_products!C:C)</f>
        <v>Shoes</v>
      </c>
    </row>
    <row r="1454" spans="1:16" x14ac:dyDescent="0.45">
      <c r="A1454">
        <v>317</v>
      </c>
      <c r="B1454">
        <v>403</v>
      </c>
      <c r="C1454">
        <v>244</v>
      </c>
      <c r="D1454">
        <v>4</v>
      </c>
      <c r="E1454">
        <v>59.32</v>
      </c>
      <c r="F1454">
        <v>59.32</v>
      </c>
      <c r="G1454">
        <v>0</v>
      </c>
      <c r="H1454" s="2">
        <v>0</v>
      </c>
      <c r="I1454">
        <v>0</v>
      </c>
      <c r="J1454">
        <v>237.28</v>
      </c>
      <c r="K1454" s="1">
        <v>45774</v>
      </c>
      <c r="L1454" t="s">
        <v>15</v>
      </c>
      <c r="M1454" t="s">
        <v>15</v>
      </c>
      <c r="N1454">
        <f>salesitems[[#This Row],[quantity]]*salesitems[[#This Row],[unit_price]]</f>
        <v>237.28</v>
      </c>
      <c r="O1454" t="str">
        <f>_xlfn.XLOOKUP(salesitems[[#This Row],[product_id]],products[product_id],products[product_name])</f>
        <v>Relaxed Cotton Shoes</v>
      </c>
      <c r="P1454" t="str">
        <f>_xlfn.XLOOKUP(salesitems[[#This Row],[product_id]],fashion_store_products!A:A,fashion_store_products!C:C)</f>
        <v>Shoes</v>
      </c>
    </row>
    <row r="1455" spans="1:16" x14ac:dyDescent="0.45">
      <c r="A1455">
        <v>226</v>
      </c>
      <c r="B1455">
        <v>535</v>
      </c>
      <c r="C1455">
        <v>78</v>
      </c>
      <c r="D1455">
        <v>4</v>
      </c>
      <c r="E1455">
        <v>59.21</v>
      </c>
      <c r="F1455">
        <v>59.21</v>
      </c>
      <c r="G1455">
        <v>0</v>
      </c>
      <c r="H1455" s="2">
        <v>0</v>
      </c>
      <c r="I1455">
        <v>0</v>
      </c>
      <c r="J1455">
        <v>236.84</v>
      </c>
      <c r="K1455" s="1">
        <v>45808</v>
      </c>
      <c r="L1455" t="s">
        <v>15</v>
      </c>
      <c r="M1455" t="s">
        <v>15</v>
      </c>
      <c r="N1455">
        <f>salesitems[[#This Row],[quantity]]*salesitems[[#This Row],[unit_price]]</f>
        <v>236.84</v>
      </c>
      <c r="O1455" t="str">
        <f>_xlfn.XLOOKUP(salesitems[[#This Row],[product_id]],products[product_id],products[product_name])</f>
        <v>Modern Ribbed Shoes</v>
      </c>
      <c r="P1455" t="str">
        <f>_xlfn.XLOOKUP(salesitems[[#This Row],[product_id]],fashion_store_products!A:A,fashion_store_products!C:C)</f>
        <v>Shoes</v>
      </c>
    </row>
    <row r="1456" spans="1:16" x14ac:dyDescent="0.45">
      <c r="A1456">
        <v>1980</v>
      </c>
      <c r="B1456">
        <v>490</v>
      </c>
      <c r="C1456">
        <v>384</v>
      </c>
      <c r="D1456">
        <v>4</v>
      </c>
      <c r="E1456">
        <v>58.94</v>
      </c>
      <c r="F1456">
        <v>58.94</v>
      </c>
      <c r="G1456">
        <v>0</v>
      </c>
      <c r="H1456" s="2">
        <v>0</v>
      </c>
      <c r="I1456">
        <v>0</v>
      </c>
      <c r="J1456">
        <v>235.76</v>
      </c>
      <c r="K1456" s="1">
        <v>45801</v>
      </c>
      <c r="L1456" t="s">
        <v>15</v>
      </c>
      <c r="M1456" t="s">
        <v>15</v>
      </c>
      <c r="N1456">
        <f>salesitems[[#This Row],[quantity]]*salesitems[[#This Row],[unit_price]]</f>
        <v>235.76</v>
      </c>
      <c r="O1456" t="str">
        <f>_xlfn.XLOOKUP(salesitems[[#This Row],[product_id]],products[product_id],products[product_name])</f>
        <v>Tailored Sleeveless Set</v>
      </c>
      <c r="P1456" t="str">
        <f>_xlfn.XLOOKUP(salesitems[[#This Row],[product_id]],fashion_store_products!A:A,fashion_store_products!C:C)</f>
        <v>Sleepwear</v>
      </c>
    </row>
    <row r="1457" spans="1:16" x14ac:dyDescent="0.45">
      <c r="A1457">
        <v>2966</v>
      </c>
      <c r="B1457">
        <v>36</v>
      </c>
      <c r="C1457">
        <v>286</v>
      </c>
      <c r="D1457">
        <v>4</v>
      </c>
      <c r="E1457">
        <v>58.91</v>
      </c>
      <c r="F1457">
        <v>58.91</v>
      </c>
      <c r="G1457">
        <v>0</v>
      </c>
      <c r="H1457" s="2">
        <v>0</v>
      </c>
      <c r="I1457">
        <v>0</v>
      </c>
      <c r="J1457">
        <v>235.64</v>
      </c>
      <c r="K1457" s="1">
        <v>45805</v>
      </c>
      <c r="L1457" t="s">
        <v>21</v>
      </c>
      <c r="M1457" t="s">
        <v>18</v>
      </c>
      <c r="N1457">
        <f>salesitems[[#This Row],[quantity]]*salesitems[[#This Row],[unit_price]]</f>
        <v>235.64</v>
      </c>
      <c r="O1457" t="str">
        <f>_xlfn.XLOOKUP(salesitems[[#This Row],[product_id]],products[product_id],products[product_name])</f>
        <v>Essential Satin Shoes</v>
      </c>
      <c r="P1457" t="str">
        <f>_xlfn.XLOOKUP(salesitems[[#This Row],[product_id]],fashion_store_products!A:A,fashion_store_products!C:C)</f>
        <v>Shoes</v>
      </c>
    </row>
    <row r="1458" spans="1:16" x14ac:dyDescent="0.45">
      <c r="A1458">
        <v>486</v>
      </c>
      <c r="B1458">
        <v>357</v>
      </c>
      <c r="C1458">
        <v>247</v>
      </c>
      <c r="D1458">
        <v>4</v>
      </c>
      <c r="E1458">
        <v>58.86</v>
      </c>
      <c r="F1458">
        <v>58.86</v>
      </c>
      <c r="G1458">
        <v>0</v>
      </c>
      <c r="H1458" s="2">
        <v>0</v>
      </c>
      <c r="I1458">
        <v>0</v>
      </c>
      <c r="J1458">
        <v>235.44</v>
      </c>
      <c r="K1458" s="1">
        <v>45773</v>
      </c>
      <c r="L1458" t="s">
        <v>21</v>
      </c>
      <c r="M1458" t="s">
        <v>18</v>
      </c>
      <c r="N1458">
        <f>salesitems[[#This Row],[quantity]]*salesitems[[#This Row],[unit_price]]</f>
        <v>235.44</v>
      </c>
      <c r="O1458" t="str">
        <f>_xlfn.XLOOKUP(salesitems[[#This Row],[product_id]],products[product_id],products[product_name])</f>
        <v>Polished Cotton Trousers</v>
      </c>
      <c r="P1458" t="str">
        <f>_xlfn.XLOOKUP(salesitems[[#This Row],[product_id]],fashion_store_products!A:A,fashion_store_products!C:C)</f>
        <v>Pants</v>
      </c>
    </row>
    <row r="1459" spans="1:16" x14ac:dyDescent="0.45">
      <c r="A1459">
        <v>1301</v>
      </c>
      <c r="B1459">
        <v>151</v>
      </c>
      <c r="C1459">
        <v>247</v>
      </c>
      <c r="D1459">
        <v>4</v>
      </c>
      <c r="E1459">
        <v>58.86</v>
      </c>
      <c r="F1459">
        <v>58.86</v>
      </c>
      <c r="G1459">
        <v>0</v>
      </c>
      <c r="H1459" s="2">
        <v>0</v>
      </c>
      <c r="I1459">
        <v>0</v>
      </c>
      <c r="J1459">
        <v>235.44</v>
      </c>
      <c r="K1459" s="1">
        <v>45761</v>
      </c>
      <c r="L1459" t="s">
        <v>21</v>
      </c>
      <c r="M1459" t="s">
        <v>18</v>
      </c>
      <c r="N1459">
        <f>salesitems[[#This Row],[quantity]]*salesitems[[#This Row],[unit_price]]</f>
        <v>235.44</v>
      </c>
      <c r="O1459" t="str">
        <f>_xlfn.XLOOKUP(salesitems[[#This Row],[product_id]],products[product_id],products[product_name])</f>
        <v>Polished Cotton Trousers</v>
      </c>
      <c r="P1459" t="str">
        <f>_xlfn.XLOOKUP(salesitems[[#This Row],[product_id]],fashion_store_products!A:A,fashion_store_products!C:C)</f>
        <v>Pants</v>
      </c>
    </row>
    <row r="1460" spans="1:16" x14ac:dyDescent="0.45">
      <c r="A1460">
        <v>3343</v>
      </c>
      <c r="B1460">
        <v>713</v>
      </c>
      <c r="C1460">
        <v>110</v>
      </c>
      <c r="D1460">
        <v>4</v>
      </c>
      <c r="E1460">
        <v>58.7</v>
      </c>
      <c r="F1460">
        <v>58.7</v>
      </c>
      <c r="G1460">
        <v>0</v>
      </c>
      <c r="H1460" s="2">
        <v>0</v>
      </c>
      <c r="I1460">
        <v>0</v>
      </c>
      <c r="J1460">
        <v>234.8</v>
      </c>
      <c r="K1460" s="1">
        <v>45813</v>
      </c>
      <c r="L1460" t="s">
        <v>15</v>
      </c>
      <c r="M1460" t="s">
        <v>15</v>
      </c>
      <c r="N1460">
        <f>salesitems[[#This Row],[quantity]]*salesitems[[#This Row],[unit_price]]</f>
        <v>234.8</v>
      </c>
      <c r="O1460" t="str">
        <f>_xlfn.XLOOKUP(salesitems[[#This Row],[product_id]],products[product_id],products[product_name])</f>
        <v>Classic High-Waist Dress</v>
      </c>
      <c r="P1460" t="str">
        <f>_xlfn.XLOOKUP(salesitems[[#This Row],[product_id]],fashion_store_products!A:A,fashion_store_products!C:C)</f>
        <v>Dresses</v>
      </c>
    </row>
    <row r="1461" spans="1:16" x14ac:dyDescent="0.45">
      <c r="A1461">
        <v>2665</v>
      </c>
      <c r="B1461">
        <v>530</v>
      </c>
      <c r="C1461">
        <v>63</v>
      </c>
      <c r="D1461">
        <v>4</v>
      </c>
      <c r="E1461">
        <v>58.67</v>
      </c>
      <c r="F1461">
        <v>58.67</v>
      </c>
      <c r="G1461">
        <v>0</v>
      </c>
      <c r="H1461" s="2">
        <v>0</v>
      </c>
      <c r="I1461">
        <v>0</v>
      </c>
      <c r="J1461">
        <v>234.68</v>
      </c>
      <c r="K1461" s="1">
        <v>45766</v>
      </c>
      <c r="L1461" t="s">
        <v>15</v>
      </c>
      <c r="M1461" t="s">
        <v>15</v>
      </c>
      <c r="N1461">
        <f>salesitems[[#This Row],[quantity]]*salesitems[[#This Row],[unit_price]]</f>
        <v>234.68</v>
      </c>
      <c r="O1461" t="str">
        <f>_xlfn.XLOOKUP(salesitems[[#This Row],[product_id]],products[product_id],products[product_name])</f>
        <v>Soft Crew Set</v>
      </c>
      <c r="P1461" t="str">
        <f>_xlfn.XLOOKUP(salesitems[[#This Row],[product_id]],fashion_store_products!A:A,fashion_store_products!C:C)</f>
        <v>Sleepwear</v>
      </c>
    </row>
    <row r="1462" spans="1:16" x14ac:dyDescent="0.45">
      <c r="A1462">
        <v>1874</v>
      </c>
      <c r="B1462">
        <v>1110</v>
      </c>
      <c r="C1462">
        <v>297</v>
      </c>
      <c r="D1462">
        <v>4</v>
      </c>
      <c r="E1462">
        <v>65.17</v>
      </c>
      <c r="F1462">
        <v>58.65</v>
      </c>
      <c r="G1462">
        <v>6.52</v>
      </c>
      <c r="H1462" s="2">
        <v>0.1</v>
      </c>
      <c r="I1462">
        <v>1</v>
      </c>
      <c r="J1462">
        <v>234.61</v>
      </c>
      <c r="K1462" s="1">
        <v>45814</v>
      </c>
      <c r="L1462" t="s">
        <v>21</v>
      </c>
      <c r="M1462" t="s">
        <v>18</v>
      </c>
      <c r="N1462">
        <f>salesitems[[#This Row],[quantity]]*salesitems[[#This Row],[unit_price]]</f>
        <v>234.6</v>
      </c>
      <c r="O1462" t="str">
        <f>_xlfn.XLOOKUP(salesitems[[#This Row],[product_id]],products[product_id],products[product_name])</f>
        <v>Essential High-Waist Shoes</v>
      </c>
      <c r="P1462" t="str">
        <f>_xlfn.XLOOKUP(salesitems[[#This Row],[product_id]],fashion_store_products!A:A,fashion_store_products!C:C)</f>
        <v>Shoes</v>
      </c>
    </row>
    <row r="1463" spans="1:16" x14ac:dyDescent="0.45">
      <c r="A1463">
        <v>3235</v>
      </c>
      <c r="B1463">
        <v>709</v>
      </c>
      <c r="C1463">
        <v>366</v>
      </c>
      <c r="D1463">
        <v>4</v>
      </c>
      <c r="E1463">
        <v>58.34</v>
      </c>
      <c r="F1463">
        <v>58.34</v>
      </c>
      <c r="G1463">
        <v>0</v>
      </c>
      <c r="H1463" s="2">
        <v>0</v>
      </c>
      <c r="I1463">
        <v>0</v>
      </c>
      <c r="J1463">
        <v>233.36</v>
      </c>
      <c r="K1463" s="1">
        <v>45775</v>
      </c>
      <c r="L1463" t="s">
        <v>15</v>
      </c>
      <c r="M1463" t="s">
        <v>15</v>
      </c>
      <c r="N1463">
        <f>salesitems[[#This Row],[quantity]]*salesitems[[#This Row],[unit_price]]</f>
        <v>233.36</v>
      </c>
      <c r="O1463" t="str">
        <f>_xlfn.XLOOKUP(salesitems[[#This Row],[product_id]],products[product_id],products[product_name])</f>
        <v>Essential Wrap Trousers</v>
      </c>
      <c r="P1463" t="str">
        <f>_xlfn.XLOOKUP(salesitems[[#This Row],[product_id]],fashion_store_products!A:A,fashion_store_products!C:C)</f>
        <v>Pants</v>
      </c>
    </row>
    <row r="1464" spans="1:16" x14ac:dyDescent="0.45">
      <c r="A1464">
        <v>1383</v>
      </c>
      <c r="B1464">
        <v>1000</v>
      </c>
      <c r="C1464">
        <v>145</v>
      </c>
      <c r="D1464">
        <v>4</v>
      </c>
      <c r="E1464">
        <v>58.25</v>
      </c>
      <c r="F1464">
        <v>58.25</v>
      </c>
      <c r="G1464">
        <v>0</v>
      </c>
      <c r="H1464" s="2">
        <v>0</v>
      </c>
      <c r="I1464">
        <v>0</v>
      </c>
      <c r="J1464">
        <v>233</v>
      </c>
      <c r="K1464" s="1">
        <v>45797</v>
      </c>
      <c r="L1464" t="s">
        <v>21</v>
      </c>
      <c r="M1464" t="s">
        <v>18</v>
      </c>
      <c r="N1464">
        <f>salesitems[[#This Row],[quantity]]*salesitems[[#This Row],[unit_price]]</f>
        <v>233</v>
      </c>
      <c r="O1464" t="str">
        <f>_xlfn.XLOOKUP(salesitems[[#This Row],[product_id]],products[product_id],products[product_name])</f>
        <v>Classic Boxy Shoes</v>
      </c>
      <c r="P1464" t="str">
        <f>_xlfn.XLOOKUP(salesitems[[#This Row],[product_id]],fashion_store_products!A:A,fashion_store_products!C:C)</f>
        <v>Shoes</v>
      </c>
    </row>
    <row r="1465" spans="1:16" x14ac:dyDescent="0.45">
      <c r="A1465">
        <v>1655</v>
      </c>
      <c r="B1465">
        <v>871</v>
      </c>
      <c r="C1465">
        <v>101</v>
      </c>
      <c r="D1465">
        <v>4</v>
      </c>
      <c r="E1465">
        <v>58.11</v>
      </c>
      <c r="F1465">
        <v>58.11</v>
      </c>
      <c r="G1465">
        <v>0</v>
      </c>
      <c r="H1465" s="2">
        <v>0</v>
      </c>
      <c r="I1465">
        <v>0</v>
      </c>
      <c r="J1465">
        <v>232.44</v>
      </c>
      <c r="K1465" s="1">
        <v>45781</v>
      </c>
      <c r="L1465" t="s">
        <v>21</v>
      </c>
      <c r="M1465" t="s">
        <v>18</v>
      </c>
      <c r="N1465">
        <f>salesitems[[#This Row],[quantity]]*salesitems[[#This Row],[unit_price]]</f>
        <v>232.44</v>
      </c>
      <c r="O1465" t="str">
        <f>_xlfn.XLOOKUP(salesitems[[#This Row],[product_id]],products[product_id],products[product_name])</f>
        <v>Classic Wrap Tee</v>
      </c>
      <c r="P1465" t="str">
        <f>_xlfn.XLOOKUP(salesitems[[#This Row],[product_id]],fashion_store_products!A:A,fashion_store_products!C:C)</f>
        <v>T-Shirts</v>
      </c>
    </row>
    <row r="1466" spans="1:16" x14ac:dyDescent="0.45">
      <c r="A1466">
        <v>2566</v>
      </c>
      <c r="B1466">
        <v>139</v>
      </c>
      <c r="C1466">
        <v>225</v>
      </c>
      <c r="D1466">
        <v>4</v>
      </c>
      <c r="E1466">
        <v>58.11</v>
      </c>
      <c r="F1466">
        <v>58.11</v>
      </c>
      <c r="G1466">
        <v>0</v>
      </c>
      <c r="H1466" s="2">
        <v>0</v>
      </c>
      <c r="I1466">
        <v>0</v>
      </c>
      <c r="J1466">
        <v>232.44</v>
      </c>
      <c r="K1466" s="1">
        <v>45798</v>
      </c>
      <c r="L1466" t="s">
        <v>15</v>
      </c>
      <c r="M1466" t="s">
        <v>15</v>
      </c>
      <c r="N1466">
        <f>salesitems[[#This Row],[quantity]]*salesitems[[#This Row],[unit_price]]</f>
        <v>232.44</v>
      </c>
      <c r="O1466" t="str">
        <f>_xlfn.XLOOKUP(salesitems[[#This Row],[product_id]],products[product_id],products[product_name])</f>
        <v>Polished Crew Shoes</v>
      </c>
      <c r="P1466" t="str">
        <f>_xlfn.XLOOKUP(salesitems[[#This Row],[product_id]],fashion_store_products!A:A,fashion_store_products!C:C)</f>
        <v>Shoes</v>
      </c>
    </row>
    <row r="1467" spans="1:16" x14ac:dyDescent="0.45">
      <c r="A1467">
        <v>578</v>
      </c>
      <c r="B1467">
        <v>769</v>
      </c>
      <c r="C1467">
        <v>473</v>
      </c>
      <c r="D1467">
        <v>4</v>
      </c>
      <c r="E1467">
        <v>57.98</v>
      </c>
      <c r="F1467">
        <v>57.98</v>
      </c>
      <c r="G1467">
        <v>0</v>
      </c>
      <c r="H1467" s="2">
        <v>0</v>
      </c>
      <c r="I1467">
        <v>0</v>
      </c>
      <c r="J1467">
        <v>231.92</v>
      </c>
      <c r="K1467" s="1">
        <v>45782</v>
      </c>
      <c r="L1467" t="s">
        <v>21</v>
      </c>
      <c r="M1467" t="s">
        <v>18</v>
      </c>
      <c r="N1467">
        <f>salesitems[[#This Row],[quantity]]*salesitems[[#This Row],[unit_price]]</f>
        <v>231.92</v>
      </c>
      <c r="O1467" t="str">
        <f>_xlfn.XLOOKUP(salesitems[[#This Row],[product_id]],products[product_id],products[product_name])</f>
        <v>Dresses Drop 2</v>
      </c>
      <c r="P1467" t="str">
        <f>_xlfn.XLOOKUP(salesitems[[#This Row],[product_id]],fashion_store_products!A:A,fashion_store_products!C:C)</f>
        <v>Dresses</v>
      </c>
    </row>
    <row r="1468" spans="1:16" x14ac:dyDescent="0.45">
      <c r="A1468">
        <v>1827</v>
      </c>
      <c r="B1468">
        <v>408</v>
      </c>
      <c r="C1468">
        <v>473</v>
      </c>
      <c r="D1468">
        <v>4</v>
      </c>
      <c r="E1468">
        <v>57.98</v>
      </c>
      <c r="F1468">
        <v>57.98</v>
      </c>
      <c r="G1468">
        <v>0</v>
      </c>
      <c r="H1468" s="2">
        <v>0</v>
      </c>
      <c r="I1468">
        <v>0</v>
      </c>
      <c r="J1468">
        <v>231.92</v>
      </c>
      <c r="K1468" s="1">
        <v>45781</v>
      </c>
      <c r="L1468" t="s">
        <v>21</v>
      </c>
      <c r="M1468" t="s">
        <v>18</v>
      </c>
      <c r="N1468">
        <f>salesitems[[#This Row],[quantity]]*salesitems[[#This Row],[unit_price]]</f>
        <v>231.92</v>
      </c>
      <c r="O1468" t="str">
        <f>_xlfn.XLOOKUP(salesitems[[#This Row],[product_id]],products[product_id],products[product_name])</f>
        <v>Dresses Drop 2</v>
      </c>
      <c r="P1468" t="str">
        <f>_xlfn.XLOOKUP(salesitems[[#This Row],[product_id]],fashion_store_products!A:A,fashion_store_products!C:C)</f>
        <v>Dresses</v>
      </c>
    </row>
    <row r="1469" spans="1:16" x14ac:dyDescent="0.45">
      <c r="A1469">
        <v>2813</v>
      </c>
      <c r="B1469">
        <v>1020</v>
      </c>
      <c r="C1469">
        <v>473</v>
      </c>
      <c r="D1469">
        <v>4</v>
      </c>
      <c r="E1469">
        <v>57.98</v>
      </c>
      <c r="F1469">
        <v>57.98</v>
      </c>
      <c r="G1469">
        <v>0</v>
      </c>
      <c r="H1469" s="2">
        <v>0</v>
      </c>
      <c r="I1469">
        <v>0</v>
      </c>
      <c r="J1469">
        <v>231.92</v>
      </c>
      <c r="K1469" s="1">
        <v>45794</v>
      </c>
      <c r="L1469" t="s">
        <v>21</v>
      </c>
      <c r="M1469" t="s">
        <v>18</v>
      </c>
      <c r="N1469">
        <f>salesitems[[#This Row],[quantity]]*salesitems[[#This Row],[unit_price]]</f>
        <v>231.92</v>
      </c>
      <c r="O1469" t="str">
        <f>_xlfn.XLOOKUP(salesitems[[#This Row],[product_id]],products[product_id],products[product_name])</f>
        <v>Dresses Drop 2</v>
      </c>
      <c r="P1469" t="str">
        <f>_xlfn.XLOOKUP(salesitems[[#This Row],[product_id]],fashion_store_products!A:A,fashion_store_products!C:C)</f>
        <v>Dresses</v>
      </c>
    </row>
    <row r="1470" spans="1:16" x14ac:dyDescent="0.45">
      <c r="A1470">
        <v>3082</v>
      </c>
      <c r="B1470">
        <v>133</v>
      </c>
      <c r="C1470">
        <v>473</v>
      </c>
      <c r="D1470">
        <v>4</v>
      </c>
      <c r="E1470">
        <v>57.98</v>
      </c>
      <c r="F1470">
        <v>57.98</v>
      </c>
      <c r="G1470">
        <v>0</v>
      </c>
      <c r="H1470" s="2">
        <v>0</v>
      </c>
      <c r="I1470">
        <v>0</v>
      </c>
      <c r="J1470">
        <v>231.92</v>
      </c>
      <c r="K1470" s="1">
        <v>45822</v>
      </c>
      <c r="L1470" t="s">
        <v>15</v>
      </c>
      <c r="M1470" t="s">
        <v>15</v>
      </c>
      <c r="N1470">
        <f>salesitems[[#This Row],[quantity]]*salesitems[[#This Row],[unit_price]]</f>
        <v>231.92</v>
      </c>
      <c r="O1470" t="str">
        <f>_xlfn.XLOOKUP(salesitems[[#This Row],[product_id]],products[product_id],products[product_name])</f>
        <v>Dresses Drop 2</v>
      </c>
      <c r="P1470" t="str">
        <f>_xlfn.XLOOKUP(salesitems[[#This Row],[product_id]],fashion_store_products!A:A,fashion_store_products!C:C)</f>
        <v>Dresses</v>
      </c>
    </row>
    <row r="1471" spans="1:16" x14ac:dyDescent="0.45">
      <c r="A1471">
        <v>1902</v>
      </c>
      <c r="B1471">
        <v>131</v>
      </c>
      <c r="C1471">
        <v>83</v>
      </c>
      <c r="D1471">
        <v>4</v>
      </c>
      <c r="E1471">
        <v>57.8</v>
      </c>
      <c r="F1471">
        <v>57.8</v>
      </c>
      <c r="G1471">
        <v>0</v>
      </c>
      <c r="H1471" s="2">
        <v>0</v>
      </c>
      <c r="I1471">
        <v>0</v>
      </c>
      <c r="J1471">
        <v>231.2</v>
      </c>
      <c r="K1471" s="1">
        <v>45769</v>
      </c>
      <c r="L1471" t="s">
        <v>21</v>
      </c>
      <c r="M1471" t="s">
        <v>18</v>
      </c>
      <c r="N1471">
        <f>salesitems[[#This Row],[quantity]]*salesitems[[#This Row],[unit_price]]</f>
        <v>231.2</v>
      </c>
      <c r="O1471" t="str">
        <f>_xlfn.XLOOKUP(salesitems[[#This Row],[product_id]],products[product_id],products[product_name])</f>
        <v>Modern Sleeveless Tee</v>
      </c>
      <c r="P1471" t="str">
        <f>_xlfn.XLOOKUP(salesitems[[#This Row],[product_id]],fashion_store_products!A:A,fashion_store_products!C:C)</f>
        <v>T-Shirts</v>
      </c>
    </row>
    <row r="1472" spans="1:16" x14ac:dyDescent="0.45">
      <c r="A1472">
        <v>1258</v>
      </c>
      <c r="B1472">
        <v>489</v>
      </c>
      <c r="C1472">
        <v>7</v>
      </c>
      <c r="D1472">
        <v>4</v>
      </c>
      <c r="E1472">
        <v>57.66</v>
      </c>
      <c r="F1472">
        <v>57.66</v>
      </c>
      <c r="G1472">
        <v>0</v>
      </c>
      <c r="H1472" s="2">
        <v>0</v>
      </c>
      <c r="I1472">
        <v>0</v>
      </c>
      <c r="J1472">
        <v>230.64</v>
      </c>
      <c r="K1472" s="1">
        <v>45821</v>
      </c>
      <c r="L1472" t="s">
        <v>21</v>
      </c>
      <c r="M1472" t="s">
        <v>18</v>
      </c>
      <c r="N1472">
        <f>salesitems[[#This Row],[quantity]]*salesitems[[#This Row],[unit_price]]</f>
        <v>230.64</v>
      </c>
      <c r="O1472" t="str">
        <f>_xlfn.XLOOKUP(salesitems[[#This Row],[product_id]],products[product_id],products[product_name])</f>
        <v>Soft Linen Dress</v>
      </c>
      <c r="P1472" t="str">
        <f>_xlfn.XLOOKUP(salesitems[[#This Row],[product_id]],fashion_store_products!A:A,fashion_store_products!C:C)</f>
        <v>Dresses</v>
      </c>
    </row>
    <row r="1473" spans="1:16" x14ac:dyDescent="0.45">
      <c r="A1473">
        <v>1918</v>
      </c>
      <c r="B1473">
        <v>465</v>
      </c>
      <c r="C1473">
        <v>7</v>
      </c>
      <c r="D1473">
        <v>4</v>
      </c>
      <c r="E1473">
        <v>57.66</v>
      </c>
      <c r="F1473">
        <v>57.66</v>
      </c>
      <c r="G1473">
        <v>0</v>
      </c>
      <c r="H1473" s="2">
        <v>0</v>
      </c>
      <c r="I1473">
        <v>0</v>
      </c>
      <c r="J1473">
        <v>230.64</v>
      </c>
      <c r="K1473" s="1">
        <v>45822</v>
      </c>
      <c r="L1473" t="s">
        <v>21</v>
      </c>
      <c r="M1473" t="s">
        <v>18</v>
      </c>
      <c r="N1473">
        <f>salesitems[[#This Row],[quantity]]*salesitems[[#This Row],[unit_price]]</f>
        <v>230.64</v>
      </c>
      <c r="O1473" t="str">
        <f>_xlfn.XLOOKUP(salesitems[[#This Row],[product_id]],products[product_id],products[product_name])</f>
        <v>Soft Linen Dress</v>
      </c>
      <c r="P1473" t="str">
        <f>_xlfn.XLOOKUP(salesitems[[#This Row],[product_id]],fashion_store_products!A:A,fashion_store_products!C:C)</f>
        <v>Dresses</v>
      </c>
    </row>
    <row r="1474" spans="1:16" x14ac:dyDescent="0.45">
      <c r="A1474">
        <v>429</v>
      </c>
      <c r="B1474">
        <v>191</v>
      </c>
      <c r="C1474">
        <v>227</v>
      </c>
      <c r="D1474">
        <v>4</v>
      </c>
      <c r="E1474">
        <v>57.51</v>
      </c>
      <c r="F1474">
        <v>57.51</v>
      </c>
      <c r="G1474">
        <v>0</v>
      </c>
      <c r="H1474" s="2">
        <v>0</v>
      </c>
      <c r="I1474">
        <v>0</v>
      </c>
      <c r="J1474">
        <v>230.04</v>
      </c>
      <c r="K1474" s="1">
        <v>45800</v>
      </c>
      <c r="L1474" t="s">
        <v>15</v>
      </c>
      <c r="M1474" t="s">
        <v>15</v>
      </c>
      <c r="N1474">
        <f>salesitems[[#This Row],[quantity]]*salesitems[[#This Row],[unit_price]]</f>
        <v>230.04</v>
      </c>
      <c r="O1474" t="str">
        <f>_xlfn.XLOOKUP(salesitems[[#This Row],[product_id]],products[product_id],products[product_name])</f>
        <v>Polished Crew Tee</v>
      </c>
      <c r="P1474" t="str">
        <f>_xlfn.XLOOKUP(salesitems[[#This Row],[product_id]],fashion_store_products!A:A,fashion_store_products!C:C)</f>
        <v>T-Shirts</v>
      </c>
    </row>
    <row r="1475" spans="1:16" x14ac:dyDescent="0.45">
      <c r="A1475">
        <v>906</v>
      </c>
      <c r="B1475">
        <v>664</v>
      </c>
      <c r="C1475">
        <v>227</v>
      </c>
      <c r="D1475">
        <v>4</v>
      </c>
      <c r="E1475">
        <v>57.51</v>
      </c>
      <c r="F1475">
        <v>57.51</v>
      </c>
      <c r="G1475">
        <v>0</v>
      </c>
      <c r="H1475" s="2">
        <v>0</v>
      </c>
      <c r="I1475">
        <v>0</v>
      </c>
      <c r="J1475">
        <v>230.04</v>
      </c>
      <c r="K1475" s="1">
        <v>45822</v>
      </c>
      <c r="L1475" t="s">
        <v>15</v>
      </c>
      <c r="M1475" t="s">
        <v>15</v>
      </c>
      <c r="N1475">
        <f>salesitems[[#This Row],[quantity]]*salesitems[[#This Row],[unit_price]]</f>
        <v>230.04</v>
      </c>
      <c r="O1475" t="str">
        <f>_xlfn.XLOOKUP(salesitems[[#This Row],[product_id]],products[product_id],products[product_name])</f>
        <v>Polished Crew Tee</v>
      </c>
      <c r="P1475" t="str">
        <f>_xlfn.XLOOKUP(salesitems[[#This Row],[product_id]],fashion_store_products!A:A,fashion_store_products!C:C)</f>
        <v>T-Shirts</v>
      </c>
    </row>
    <row r="1476" spans="1:16" x14ac:dyDescent="0.45">
      <c r="A1476">
        <v>867</v>
      </c>
      <c r="B1476">
        <v>337</v>
      </c>
      <c r="C1476">
        <v>213</v>
      </c>
      <c r="D1476">
        <v>4</v>
      </c>
      <c r="E1476">
        <v>57.31</v>
      </c>
      <c r="F1476">
        <v>57.31</v>
      </c>
      <c r="G1476">
        <v>0</v>
      </c>
      <c r="H1476" s="2">
        <v>0</v>
      </c>
      <c r="I1476">
        <v>0</v>
      </c>
      <c r="J1476">
        <v>229.24</v>
      </c>
      <c r="K1476" s="1">
        <v>45801</v>
      </c>
      <c r="L1476" t="s">
        <v>15</v>
      </c>
      <c r="M1476" t="s">
        <v>15</v>
      </c>
      <c r="N1476">
        <f>salesitems[[#This Row],[quantity]]*salesitems[[#This Row],[unit_price]]</f>
        <v>229.24</v>
      </c>
      <c r="O1476" t="str">
        <f>_xlfn.XLOOKUP(salesitems[[#This Row],[product_id]],products[product_id],products[product_name])</f>
        <v>Polished Ribbed Tee</v>
      </c>
      <c r="P1476" t="str">
        <f>_xlfn.XLOOKUP(salesitems[[#This Row],[product_id]],fashion_store_products!A:A,fashion_store_products!C:C)</f>
        <v>T-Shirts</v>
      </c>
    </row>
    <row r="1477" spans="1:16" x14ac:dyDescent="0.45">
      <c r="A1477">
        <v>157</v>
      </c>
      <c r="B1477">
        <v>225</v>
      </c>
      <c r="C1477">
        <v>53</v>
      </c>
      <c r="D1477">
        <v>4</v>
      </c>
      <c r="E1477">
        <v>57.17</v>
      </c>
      <c r="F1477">
        <v>57.17</v>
      </c>
      <c r="G1477">
        <v>0</v>
      </c>
      <c r="H1477" s="2">
        <v>0</v>
      </c>
      <c r="I1477">
        <v>0</v>
      </c>
      <c r="J1477">
        <v>228.68</v>
      </c>
      <c r="K1477" s="1">
        <v>45797</v>
      </c>
      <c r="L1477" t="s">
        <v>15</v>
      </c>
      <c r="M1477" t="s">
        <v>15</v>
      </c>
      <c r="N1477">
        <f>salesitems[[#This Row],[quantity]]*salesitems[[#This Row],[unit_price]]</f>
        <v>228.68</v>
      </c>
      <c r="O1477" t="str">
        <f>_xlfn.XLOOKUP(salesitems[[#This Row],[product_id]],products[product_id],products[product_name])</f>
        <v>Soft Boxy Shoes</v>
      </c>
      <c r="P1477" t="str">
        <f>_xlfn.XLOOKUP(salesitems[[#This Row],[product_id]],fashion_store_products!A:A,fashion_store_products!C:C)</f>
        <v>Shoes</v>
      </c>
    </row>
    <row r="1478" spans="1:16" x14ac:dyDescent="0.45">
      <c r="A1478">
        <v>1912</v>
      </c>
      <c r="B1478">
        <v>1285</v>
      </c>
      <c r="C1478">
        <v>53</v>
      </c>
      <c r="D1478">
        <v>4</v>
      </c>
      <c r="E1478">
        <v>57.17</v>
      </c>
      <c r="F1478">
        <v>57.17</v>
      </c>
      <c r="G1478">
        <v>0</v>
      </c>
      <c r="H1478" s="2">
        <v>0</v>
      </c>
      <c r="I1478">
        <v>0</v>
      </c>
      <c r="J1478">
        <v>228.68</v>
      </c>
      <c r="K1478" s="1">
        <v>45808</v>
      </c>
      <c r="L1478" t="s">
        <v>15</v>
      </c>
      <c r="M1478" t="s">
        <v>15</v>
      </c>
      <c r="N1478">
        <f>salesitems[[#This Row],[quantity]]*salesitems[[#This Row],[unit_price]]</f>
        <v>228.68</v>
      </c>
      <c r="O1478" t="str">
        <f>_xlfn.XLOOKUP(salesitems[[#This Row],[product_id]],products[product_id],products[product_name])</f>
        <v>Soft Boxy Shoes</v>
      </c>
      <c r="P1478" t="str">
        <f>_xlfn.XLOOKUP(salesitems[[#This Row],[product_id]],fashion_store_products!A:A,fashion_store_products!C:C)</f>
        <v>Shoes</v>
      </c>
    </row>
    <row r="1479" spans="1:16" x14ac:dyDescent="0.45">
      <c r="A1479">
        <v>3182</v>
      </c>
      <c r="B1479">
        <v>1197</v>
      </c>
      <c r="C1479">
        <v>288</v>
      </c>
      <c r="D1479">
        <v>4</v>
      </c>
      <c r="E1479">
        <v>57.11</v>
      </c>
      <c r="F1479">
        <v>57.11</v>
      </c>
      <c r="G1479">
        <v>0</v>
      </c>
      <c r="H1479" s="2">
        <v>0</v>
      </c>
      <c r="I1479">
        <v>0</v>
      </c>
      <c r="J1479">
        <v>228.44</v>
      </c>
      <c r="K1479" s="1">
        <v>45799</v>
      </c>
      <c r="L1479" t="s">
        <v>21</v>
      </c>
      <c r="M1479" t="s">
        <v>18</v>
      </c>
      <c r="N1479">
        <f>salesitems[[#This Row],[quantity]]*salesitems[[#This Row],[unit_price]]</f>
        <v>228.44</v>
      </c>
      <c r="O1479" t="str">
        <f>_xlfn.XLOOKUP(salesitems[[#This Row],[product_id]],products[product_id],products[product_name])</f>
        <v>Essential Ribbed Tee</v>
      </c>
      <c r="P1479" t="str">
        <f>_xlfn.XLOOKUP(salesitems[[#This Row],[product_id]],fashion_store_products!A:A,fashion_store_products!C:C)</f>
        <v>T-Shirts</v>
      </c>
    </row>
    <row r="1480" spans="1:16" x14ac:dyDescent="0.45">
      <c r="A1480">
        <v>2674</v>
      </c>
      <c r="B1480">
        <v>1177</v>
      </c>
      <c r="C1480">
        <v>407</v>
      </c>
      <c r="D1480">
        <v>4</v>
      </c>
      <c r="E1480">
        <v>56.84</v>
      </c>
      <c r="F1480">
        <v>56.84</v>
      </c>
      <c r="G1480">
        <v>0</v>
      </c>
      <c r="H1480" s="2">
        <v>0</v>
      </c>
      <c r="I1480">
        <v>0</v>
      </c>
      <c r="J1480">
        <v>227.36</v>
      </c>
      <c r="K1480" s="1">
        <v>45774</v>
      </c>
      <c r="L1480" t="s">
        <v>21</v>
      </c>
      <c r="M1480" t="s">
        <v>18</v>
      </c>
      <c r="N1480">
        <f>salesitems[[#This Row],[quantity]]*salesitems[[#This Row],[unit_price]]</f>
        <v>227.36</v>
      </c>
      <c r="O1480" t="str">
        <f>_xlfn.XLOOKUP(salesitems[[#This Row],[product_id]],products[product_id],products[product_name])</f>
        <v>Elegant Sleeveless Tee</v>
      </c>
      <c r="P1480" t="str">
        <f>_xlfn.XLOOKUP(salesitems[[#This Row],[product_id]],fashion_store_products!A:A,fashion_store_products!C:C)</f>
        <v>T-Shirts</v>
      </c>
    </row>
    <row r="1481" spans="1:16" x14ac:dyDescent="0.45">
      <c r="A1481">
        <v>1832</v>
      </c>
      <c r="B1481">
        <v>239</v>
      </c>
      <c r="C1481">
        <v>326</v>
      </c>
      <c r="D1481">
        <v>4</v>
      </c>
      <c r="E1481">
        <v>56.7</v>
      </c>
      <c r="F1481">
        <v>56.7</v>
      </c>
      <c r="G1481">
        <v>0</v>
      </c>
      <c r="H1481" s="2">
        <v>0</v>
      </c>
      <c r="I1481">
        <v>0</v>
      </c>
      <c r="J1481">
        <v>226.8</v>
      </c>
      <c r="K1481" s="1">
        <v>45767</v>
      </c>
      <c r="L1481" t="s">
        <v>21</v>
      </c>
      <c r="M1481" t="s">
        <v>18</v>
      </c>
      <c r="N1481">
        <f>salesitems[[#This Row],[quantity]]*salesitems[[#This Row],[unit_price]]</f>
        <v>226.8</v>
      </c>
      <c r="O1481" t="str">
        <f>_xlfn.XLOOKUP(salesitems[[#This Row],[product_id]],products[product_id],products[product_name])</f>
        <v>Essential High-Waist Dress</v>
      </c>
      <c r="P1481" t="str">
        <f>_xlfn.XLOOKUP(salesitems[[#This Row],[product_id]],fashion_store_products!A:A,fashion_store_products!C:C)</f>
        <v>Dresses</v>
      </c>
    </row>
    <row r="1482" spans="1:16" x14ac:dyDescent="0.45">
      <c r="A1482">
        <v>2742</v>
      </c>
      <c r="B1482">
        <v>334</v>
      </c>
      <c r="C1482">
        <v>326</v>
      </c>
      <c r="D1482">
        <v>4</v>
      </c>
      <c r="E1482">
        <v>56.7</v>
      </c>
      <c r="F1482">
        <v>56.7</v>
      </c>
      <c r="G1482">
        <v>0</v>
      </c>
      <c r="H1482" s="2">
        <v>0</v>
      </c>
      <c r="I1482">
        <v>0</v>
      </c>
      <c r="J1482">
        <v>226.8</v>
      </c>
      <c r="K1482" s="1">
        <v>45806</v>
      </c>
      <c r="L1482" t="s">
        <v>15</v>
      </c>
      <c r="M1482" t="s">
        <v>15</v>
      </c>
      <c r="N1482">
        <f>salesitems[[#This Row],[quantity]]*salesitems[[#This Row],[unit_price]]</f>
        <v>226.8</v>
      </c>
      <c r="O1482" t="str">
        <f>_xlfn.XLOOKUP(salesitems[[#This Row],[product_id]],products[product_id],products[product_name])</f>
        <v>Essential High-Waist Dress</v>
      </c>
      <c r="P1482" t="str">
        <f>_xlfn.XLOOKUP(salesitems[[#This Row],[product_id]],fashion_store_products!A:A,fashion_store_products!C:C)</f>
        <v>Dresses</v>
      </c>
    </row>
    <row r="1483" spans="1:16" x14ac:dyDescent="0.45">
      <c r="A1483">
        <v>1797</v>
      </c>
      <c r="B1483">
        <v>215</v>
      </c>
      <c r="C1483">
        <v>38</v>
      </c>
      <c r="D1483">
        <v>4</v>
      </c>
      <c r="E1483">
        <v>62.8</v>
      </c>
      <c r="F1483">
        <v>56.52</v>
      </c>
      <c r="G1483">
        <v>6.28</v>
      </c>
      <c r="H1483" s="2">
        <v>0.1</v>
      </c>
      <c r="I1483">
        <v>1</v>
      </c>
      <c r="J1483">
        <v>226.08</v>
      </c>
      <c r="K1483" s="1">
        <v>45812</v>
      </c>
      <c r="L1483" t="s">
        <v>21</v>
      </c>
      <c r="M1483" t="s">
        <v>18</v>
      </c>
      <c r="N1483">
        <f>salesitems[[#This Row],[quantity]]*salesitems[[#This Row],[unit_price]]</f>
        <v>226.08</v>
      </c>
      <c r="O1483" t="str">
        <f>_xlfn.XLOOKUP(salesitems[[#This Row],[product_id]],products[product_id],products[product_name])</f>
        <v>Soft Crew Tee</v>
      </c>
      <c r="P1483" t="str">
        <f>_xlfn.XLOOKUP(salesitems[[#This Row],[product_id]],fashion_store_products!A:A,fashion_store_products!C:C)</f>
        <v>T-Shirts</v>
      </c>
    </row>
    <row r="1484" spans="1:16" x14ac:dyDescent="0.45">
      <c r="A1484">
        <v>329</v>
      </c>
      <c r="B1484">
        <v>312</v>
      </c>
      <c r="C1484">
        <v>314</v>
      </c>
      <c r="D1484">
        <v>4</v>
      </c>
      <c r="E1484">
        <v>56.29</v>
      </c>
      <c r="F1484">
        <v>56.29</v>
      </c>
      <c r="G1484">
        <v>0</v>
      </c>
      <c r="H1484" s="2">
        <v>0</v>
      </c>
      <c r="I1484">
        <v>0</v>
      </c>
      <c r="J1484">
        <v>225.16</v>
      </c>
      <c r="K1484" s="1">
        <v>45808</v>
      </c>
      <c r="L1484" t="s">
        <v>21</v>
      </c>
      <c r="M1484" t="s">
        <v>18</v>
      </c>
      <c r="N1484">
        <f>salesitems[[#This Row],[quantity]]*salesitems[[#This Row],[unit_price]]</f>
        <v>225.16</v>
      </c>
      <c r="O1484" t="str">
        <f>_xlfn.XLOOKUP(salesitems[[#This Row],[product_id]],products[product_id],products[product_name])</f>
        <v>Relaxed Sleeveless Set</v>
      </c>
      <c r="P1484" t="str">
        <f>_xlfn.XLOOKUP(salesitems[[#This Row],[product_id]],fashion_store_products!A:A,fashion_store_products!C:C)</f>
        <v>Sleepwear</v>
      </c>
    </row>
    <row r="1485" spans="1:16" x14ac:dyDescent="0.45">
      <c r="A1485">
        <v>1440</v>
      </c>
      <c r="B1485">
        <v>348</v>
      </c>
      <c r="C1485">
        <v>314</v>
      </c>
      <c r="D1485">
        <v>4</v>
      </c>
      <c r="E1485">
        <v>56.29</v>
      </c>
      <c r="F1485">
        <v>56.29</v>
      </c>
      <c r="G1485">
        <v>0</v>
      </c>
      <c r="H1485" s="2">
        <v>0</v>
      </c>
      <c r="I1485">
        <v>0</v>
      </c>
      <c r="J1485">
        <v>225.16</v>
      </c>
      <c r="K1485" s="1">
        <v>45807</v>
      </c>
      <c r="L1485" t="s">
        <v>21</v>
      </c>
      <c r="M1485" t="s">
        <v>18</v>
      </c>
      <c r="N1485">
        <f>salesitems[[#This Row],[quantity]]*salesitems[[#This Row],[unit_price]]</f>
        <v>225.16</v>
      </c>
      <c r="O1485" t="str">
        <f>_xlfn.XLOOKUP(salesitems[[#This Row],[product_id]],products[product_id],products[product_name])</f>
        <v>Relaxed Sleeveless Set</v>
      </c>
      <c r="P1485" t="str">
        <f>_xlfn.XLOOKUP(salesitems[[#This Row],[product_id]],fashion_store_products!A:A,fashion_store_products!C:C)</f>
        <v>Sleepwear</v>
      </c>
    </row>
    <row r="1486" spans="1:16" x14ac:dyDescent="0.45">
      <c r="A1486">
        <v>1711</v>
      </c>
      <c r="B1486">
        <v>1315</v>
      </c>
      <c r="C1486">
        <v>485</v>
      </c>
      <c r="D1486">
        <v>4</v>
      </c>
      <c r="E1486">
        <v>56.2</v>
      </c>
      <c r="F1486">
        <v>56.2</v>
      </c>
      <c r="G1486">
        <v>0</v>
      </c>
      <c r="H1486" s="2">
        <v>0</v>
      </c>
      <c r="I1486">
        <v>0</v>
      </c>
      <c r="J1486">
        <v>224.8</v>
      </c>
      <c r="K1486" s="1">
        <v>45773</v>
      </c>
      <c r="L1486" t="s">
        <v>15</v>
      </c>
      <c r="M1486" t="s">
        <v>15</v>
      </c>
      <c r="N1486">
        <f>salesitems[[#This Row],[quantity]]*salesitems[[#This Row],[unit_price]]</f>
        <v>224.8</v>
      </c>
      <c r="O1486" t="str">
        <f>_xlfn.XLOOKUP(salesitems[[#This Row],[product_id]],products[product_id],products[product_name])</f>
        <v>Bold Sleeveless Shoes</v>
      </c>
      <c r="P1486" t="str">
        <f>_xlfn.XLOOKUP(salesitems[[#This Row],[product_id]],fashion_store_products!A:A,fashion_store_products!C:C)</f>
        <v>Shoes</v>
      </c>
    </row>
    <row r="1487" spans="1:16" x14ac:dyDescent="0.45">
      <c r="A1487">
        <v>866</v>
      </c>
      <c r="B1487">
        <v>874</v>
      </c>
      <c r="C1487">
        <v>422</v>
      </c>
      <c r="D1487">
        <v>4</v>
      </c>
      <c r="E1487">
        <v>55.91</v>
      </c>
      <c r="F1487">
        <v>55.91</v>
      </c>
      <c r="G1487">
        <v>0</v>
      </c>
      <c r="H1487" s="2">
        <v>0</v>
      </c>
      <c r="I1487">
        <v>0</v>
      </c>
      <c r="J1487">
        <v>223.64</v>
      </c>
      <c r="K1487" s="1">
        <v>45824</v>
      </c>
      <c r="L1487" t="s">
        <v>21</v>
      </c>
      <c r="M1487" t="s">
        <v>18</v>
      </c>
      <c r="N1487">
        <f>salesitems[[#This Row],[quantity]]*salesitems[[#This Row],[unit_price]]</f>
        <v>223.64</v>
      </c>
      <c r="O1487" t="str">
        <f>_xlfn.XLOOKUP(salesitems[[#This Row],[product_id]],products[product_id],products[product_name])</f>
        <v>Elegant High-Waist Set</v>
      </c>
      <c r="P1487" t="str">
        <f>_xlfn.XLOOKUP(salesitems[[#This Row],[product_id]],fashion_store_products!A:A,fashion_store_products!C:C)</f>
        <v>Sleepwear</v>
      </c>
    </row>
    <row r="1488" spans="1:16" x14ac:dyDescent="0.45">
      <c r="A1488">
        <v>1495</v>
      </c>
      <c r="B1488">
        <v>1352</v>
      </c>
      <c r="C1488">
        <v>422</v>
      </c>
      <c r="D1488">
        <v>4</v>
      </c>
      <c r="E1488">
        <v>55.91</v>
      </c>
      <c r="F1488">
        <v>55.91</v>
      </c>
      <c r="G1488">
        <v>0</v>
      </c>
      <c r="H1488" s="2">
        <v>0</v>
      </c>
      <c r="I1488">
        <v>0</v>
      </c>
      <c r="J1488">
        <v>223.64</v>
      </c>
      <c r="K1488" s="1">
        <v>45799</v>
      </c>
      <c r="L1488" t="s">
        <v>15</v>
      </c>
      <c r="M1488" t="s">
        <v>15</v>
      </c>
      <c r="N1488">
        <f>salesitems[[#This Row],[quantity]]*salesitems[[#This Row],[unit_price]]</f>
        <v>223.64</v>
      </c>
      <c r="O1488" t="str">
        <f>_xlfn.XLOOKUP(salesitems[[#This Row],[product_id]],products[product_id],products[product_name])</f>
        <v>Elegant High-Waist Set</v>
      </c>
      <c r="P1488" t="str">
        <f>_xlfn.XLOOKUP(salesitems[[#This Row],[product_id]],fashion_store_products!A:A,fashion_store_products!C:C)</f>
        <v>Sleepwear</v>
      </c>
    </row>
    <row r="1489" spans="1:16" x14ac:dyDescent="0.45">
      <c r="A1489">
        <v>2350</v>
      </c>
      <c r="B1489">
        <v>639</v>
      </c>
      <c r="C1489">
        <v>156</v>
      </c>
      <c r="D1489">
        <v>4</v>
      </c>
      <c r="E1489">
        <v>55.52</v>
      </c>
      <c r="F1489">
        <v>55.52</v>
      </c>
      <c r="G1489">
        <v>0</v>
      </c>
      <c r="H1489" s="2">
        <v>0</v>
      </c>
      <c r="I1489">
        <v>0</v>
      </c>
      <c r="J1489">
        <v>222.08</v>
      </c>
      <c r="K1489" s="1">
        <v>45769</v>
      </c>
      <c r="L1489" t="s">
        <v>21</v>
      </c>
      <c r="M1489" t="s">
        <v>18</v>
      </c>
      <c r="N1489">
        <f>salesitems[[#This Row],[quantity]]*salesitems[[#This Row],[unit_price]]</f>
        <v>222.08</v>
      </c>
      <c r="O1489" t="str">
        <f>_xlfn.XLOOKUP(salesitems[[#This Row],[product_id]],products[product_id],products[product_name])</f>
        <v>Vintage Crew Dress</v>
      </c>
      <c r="P1489" t="str">
        <f>_xlfn.XLOOKUP(salesitems[[#This Row],[product_id]],fashion_store_products!A:A,fashion_store_products!C:C)</f>
        <v>Dresses</v>
      </c>
    </row>
    <row r="1490" spans="1:16" x14ac:dyDescent="0.45">
      <c r="A1490">
        <v>2976</v>
      </c>
      <c r="B1490">
        <v>643</v>
      </c>
      <c r="C1490">
        <v>446</v>
      </c>
      <c r="D1490">
        <v>4</v>
      </c>
      <c r="E1490">
        <v>55.14</v>
      </c>
      <c r="F1490">
        <v>55.14</v>
      </c>
      <c r="G1490">
        <v>0</v>
      </c>
      <c r="H1490" s="2">
        <v>0</v>
      </c>
      <c r="I1490">
        <v>0</v>
      </c>
      <c r="J1490">
        <v>220.56</v>
      </c>
      <c r="K1490" s="1">
        <v>45771</v>
      </c>
      <c r="L1490" t="s">
        <v>21</v>
      </c>
      <c r="M1490" t="s">
        <v>18</v>
      </c>
      <c r="N1490">
        <f>salesitems[[#This Row],[quantity]]*salesitems[[#This Row],[unit_price]]</f>
        <v>220.56</v>
      </c>
      <c r="O1490" t="str">
        <f>_xlfn.XLOOKUP(salesitems[[#This Row],[product_id]],products[product_id],products[product_name])</f>
        <v>Bold Cotton Tee</v>
      </c>
      <c r="P1490" t="str">
        <f>_xlfn.XLOOKUP(salesitems[[#This Row],[product_id]],fashion_store_products!A:A,fashion_store_products!C:C)</f>
        <v>T-Shirts</v>
      </c>
    </row>
    <row r="1491" spans="1:16" x14ac:dyDescent="0.45">
      <c r="A1491">
        <v>126</v>
      </c>
      <c r="B1491">
        <v>436</v>
      </c>
      <c r="C1491">
        <v>124</v>
      </c>
      <c r="D1491">
        <v>4</v>
      </c>
      <c r="E1491">
        <v>55.04</v>
      </c>
      <c r="F1491">
        <v>55.04</v>
      </c>
      <c r="G1491">
        <v>0</v>
      </c>
      <c r="H1491" s="2">
        <v>0</v>
      </c>
      <c r="I1491">
        <v>0</v>
      </c>
      <c r="J1491">
        <v>220.16</v>
      </c>
      <c r="K1491" s="1">
        <v>45775</v>
      </c>
      <c r="L1491" t="s">
        <v>15</v>
      </c>
      <c r="M1491" t="s">
        <v>15</v>
      </c>
      <c r="N1491">
        <f>salesitems[[#This Row],[quantity]]*salesitems[[#This Row],[unit_price]]</f>
        <v>220.16</v>
      </c>
      <c r="O1491" t="str">
        <f>_xlfn.XLOOKUP(salesitems[[#This Row],[product_id]],products[product_id],products[product_name])</f>
        <v>Classic Linen Set</v>
      </c>
      <c r="P1491" t="str">
        <f>_xlfn.XLOOKUP(salesitems[[#This Row],[product_id]],fashion_store_products!A:A,fashion_store_products!C:C)</f>
        <v>Sleepwear</v>
      </c>
    </row>
    <row r="1492" spans="1:16" x14ac:dyDescent="0.45">
      <c r="A1492">
        <v>1952</v>
      </c>
      <c r="B1492">
        <v>1210</v>
      </c>
      <c r="C1492">
        <v>124</v>
      </c>
      <c r="D1492">
        <v>4</v>
      </c>
      <c r="E1492">
        <v>55.04</v>
      </c>
      <c r="F1492">
        <v>55.04</v>
      </c>
      <c r="G1492">
        <v>0</v>
      </c>
      <c r="H1492" s="2">
        <v>0</v>
      </c>
      <c r="I1492">
        <v>0</v>
      </c>
      <c r="J1492">
        <v>220.16</v>
      </c>
      <c r="K1492" s="1">
        <v>45825</v>
      </c>
      <c r="L1492" t="s">
        <v>15</v>
      </c>
      <c r="M1492" t="s">
        <v>15</v>
      </c>
      <c r="N1492">
        <f>salesitems[[#This Row],[quantity]]*salesitems[[#This Row],[unit_price]]</f>
        <v>220.16</v>
      </c>
      <c r="O1492" t="str">
        <f>_xlfn.XLOOKUP(salesitems[[#This Row],[product_id]],products[product_id],products[product_name])</f>
        <v>Classic Linen Set</v>
      </c>
      <c r="P1492" t="str">
        <f>_xlfn.XLOOKUP(salesitems[[#This Row],[product_id]],fashion_store_products!A:A,fashion_store_products!C:C)</f>
        <v>Sleepwear</v>
      </c>
    </row>
    <row r="1493" spans="1:16" x14ac:dyDescent="0.45">
      <c r="A1493">
        <v>827</v>
      </c>
      <c r="B1493">
        <v>990</v>
      </c>
      <c r="C1493">
        <v>126</v>
      </c>
      <c r="D1493">
        <v>4</v>
      </c>
      <c r="E1493">
        <v>55.03</v>
      </c>
      <c r="F1493">
        <v>55.03</v>
      </c>
      <c r="G1493">
        <v>0</v>
      </c>
      <c r="H1493" s="2">
        <v>0</v>
      </c>
      <c r="I1493">
        <v>0</v>
      </c>
      <c r="J1493">
        <v>220.12</v>
      </c>
      <c r="K1493" s="1">
        <v>45764</v>
      </c>
      <c r="L1493" t="s">
        <v>15</v>
      </c>
      <c r="M1493" t="s">
        <v>15</v>
      </c>
      <c r="N1493">
        <f>salesitems[[#This Row],[quantity]]*salesitems[[#This Row],[unit_price]]</f>
        <v>220.12</v>
      </c>
      <c r="O1493" t="str">
        <f>_xlfn.XLOOKUP(salesitems[[#This Row],[product_id]],products[product_id],products[product_name])</f>
        <v>Classic Silk Shoes</v>
      </c>
      <c r="P1493" t="str">
        <f>_xlfn.XLOOKUP(salesitems[[#This Row],[product_id]],fashion_store_products!A:A,fashion_store_products!C:C)</f>
        <v>Shoes</v>
      </c>
    </row>
    <row r="1494" spans="1:16" x14ac:dyDescent="0.45">
      <c r="A1494">
        <v>1446</v>
      </c>
      <c r="B1494">
        <v>940</v>
      </c>
      <c r="C1494">
        <v>188</v>
      </c>
      <c r="D1494">
        <v>4</v>
      </c>
      <c r="E1494">
        <v>55.01</v>
      </c>
      <c r="F1494">
        <v>55.01</v>
      </c>
      <c r="G1494">
        <v>0</v>
      </c>
      <c r="H1494" s="2">
        <v>0</v>
      </c>
      <c r="I1494">
        <v>0</v>
      </c>
      <c r="J1494">
        <v>220.04</v>
      </c>
      <c r="K1494" s="1">
        <v>45768</v>
      </c>
      <c r="L1494" t="s">
        <v>15</v>
      </c>
      <c r="M1494" t="s">
        <v>15</v>
      </c>
      <c r="N1494">
        <f>salesitems[[#This Row],[quantity]]*salesitems[[#This Row],[unit_price]]</f>
        <v>220.04</v>
      </c>
      <c r="O1494" t="str">
        <f>_xlfn.XLOOKUP(salesitems[[#This Row],[product_id]],products[product_id],products[product_name])</f>
        <v>Polished Wrap Shoes</v>
      </c>
      <c r="P1494" t="str">
        <f>_xlfn.XLOOKUP(salesitems[[#This Row],[product_id]],fashion_store_products!A:A,fashion_store_products!C:C)</f>
        <v>Shoes</v>
      </c>
    </row>
    <row r="1495" spans="1:16" x14ac:dyDescent="0.45">
      <c r="A1495">
        <v>1937</v>
      </c>
      <c r="B1495">
        <v>281</v>
      </c>
      <c r="C1495">
        <v>2</v>
      </c>
      <c r="D1495">
        <v>4</v>
      </c>
      <c r="E1495">
        <v>78.45</v>
      </c>
      <c r="F1495">
        <v>54.92</v>
      </c>
      <c r="G1495">
        <v>23.54</v>
      </c>
      <c r="H1495" s="2">
        <v>0.3</v>
      </c>
      <c r="I1495">
        <v>1</v>
      </c>
      <c r="J1495">
        <v>219.66</v>
      </c>
      <c r="K1495" s="1">
        <v>45794</v>
      </c>
      <c r="L1495" t="s">
        <v>15</v>
      </c>
      <c r="M1495" t="s">
        <v>11</v>
      </c>
      <c r="N1495">
        <f>salesitems[[#This Row],[quantity]]*salesitems[[#This Row],[unit_price]]</f>
        <v>219.68</v>
      </c>
      <c r="O1495" t="str">
        <f>_xlfn.XLOOKUP(salesitems[[#This Row],[product_id]],products[product_id],products[product_name])</f>
        <v>Soft Wrap Tee</v>
      </c>
      <c r="P1495" t="str">
        <f>_xlfn.XLOOKUP(salesitems[[#This Row],[product_id]],fashion_store_products!A:A,fashion_store_products!C:C)</f>
        <v>T-Shirts</v>
      </c>
    </row>
    <row r="1496" spans="1:16" x14ac:dyDescent="0.45">
      <c r="A1496">
        <v>1213</v>
      </c>
      <c r="B1496">
        <v>1312</v>
      </c>
      <c r="C1496">
        <v>461</v>
      </c>
      <c r="D1496">
        <v>4</v>
      </c>
      <c r="E1496">
        <v>54.91</v>
      </c>
      <c r="F1496">
        <v>54.91</v>
      </c>
      <c r="G1496">
        <v>0</v>
      </c>
      <c r="H1496" s="2">
        <v>0</v>
      </c>
      <c r="I1496">
        <v>0</v>
      </c>
      <c r="J1496">
        <v>219.64</v>
      </c>
      <c r="K1496" s="1">
        <v>45775</v>
      </c>
      <c r="L1496" t="s">
        <v>15</v>
      </c>
      <c r="M1496" t="s">
        <v>15</v>
      </c>
      <c r="N1496">
        <f>salesitems[[#This Row],[quantity]]*salesitems[[#This Row],[unit_price]]</f>
        <v>219.64</v>
      </c>
      <c r="O1496" t="str">
        <f>_xlfn.XLOOKUP(salesitems[[#This Row],[product_id]],products[product_id],products[product_name])</f>
        <v>Bold High-Waist Tee</v>
      </c>
      <c r="P1496" t="str">
        <f>_xlfn.XLOOKUP(salesitems[[#This Row],[product_id]],fashion_store_products!A:A,fashion_store_products!C:C)</f>
        <v>T-Shirts</v>
      </c>
    </row>
    <row r="1497" spans="1:16" x14ac:dyDescent="0.45">
      <c r="A1497">
        <v>2892</v>
      </c>
      <c r="B1497">
        <v>230</v>
      </c>
      <c r="C1497">
        <v>304</v>
      </c>
      <c r="D1497">
        <v>4</v>
      </c>
      <c r="E1497">
        <v>54.88</v>
      </c>
      <c r="F1497">
        <v>54.88</v>
      </c>
      <c r="G1497">
        <v>0</v>
      </c>
      <c r="H1497" s="2">
        <v>0</v>
      </c>
      <c r="I1497">
        <v>0</v>
      </c>
      <c r="J1497">
        <v>219.52</v>
      </c>
      <c r="K1497" s="1">
        <v>45768</v>
      </c>
      <c r="L1497" t="s">
        <v>15</v>
      </c>
      <c r="M1497" t="s">
        <v>15</v>
      </c>
      <c r="N1497">
        <f>salesitems[[#This Row],[quantity]]*salesitems[[#This Row],[unit_price]]</f>
        <v>219.52</v>
      </c>
      <c r="O1497" t="str">
        <f>_xlfn.XLOOKUP(salesitems[[#This Row],[product_id]],products[product_id],products[product_name])</f>
        <v>Essential Silk Tee</v>
      </c>
      <c r="P1497" t="str">
        <f>_xlfn.XLOOKUP(salesitems[[#This Row],[product_id]],fashion_store_products!A:A,fashion_store_products!C:C)</f>
        <v>T-Shirts</v>
      </c>
    </row>
    <row r="1498" spans="1:16" x14ac:dyDescent="0.45">
      <c r="A1498">
        <v>1820</v>
      </c>
      <c r="B1498">
        <v>1003</v>
      </c>
      <c r="C1498">
        <v>496</v>
      </c>
      <c r="D1498">
        <v>4</v>
      </c>
      <c r="E1498">
        <v>54.61</v>
      </c>
      <c r="F1498">
        <v>54.61</v>
      </c>
      <c r="G1498">
        <v>0</v>
      </c>
      <c r="H1498" s="2">
        <v>0</v>
      </c>
      <c r="I1498">
        <v>0</v>
      </c>
      <c r="J1498">
        <v>218.44</v>
      </c>
      <c r="K1498" s="1">
        <v>45814</v>
      </c>
      <c r="L1498" t="s">
        <v>15</v>
      </c>
      <c r="M1498" t="s">
        <v>15</v>
      </c>
      <c r="N1498">
        <f>salesitems[[#This Row],[quantity]]*salesitems[[#This Row],[unit_price]]</f>
        <v>218.44</v>
      </c>
      <c r="O1498" t="str">
        <f>_xlfn.XLOOKUP(salesitems[[#This Row],[product_id]],products[product_id],products[product_name])</f>
        <v>Tailored High-Waist Trousers</v>
      </c>
      <c r="P1498" t="str">
        <f>_xlfn.XLOOKUP(salesitems[[#This Row],[product_id]],fashion_store_products!A:A,fashion_store_products!C:C)</f>
        <v>Pants</v>
      </c>
    </row>
    <row r="1499" spans="1:16" x14ac:dyDescent="0.45">
      <c r="A1499">
        <v>161</v>
      </c>
      <c r="B1499">
        <v>1044</v>
      </c>
      <c r="C1499">
        <v>271</v>
      </c>
      <c r="D1499">
        <v>4</v>
      </c>
      <c r="E1499">
        <v>54.28</v>
      </c>
      <c r="F1499">
        <v>54.28</v>
      </c>
      <c r="G1499">
        <v>0</v>
      </c>
      <c r="H1499" s="2">
        <v>0</v>
      </c>
      <c r="I1499">
        <v>0</v>
      </c>
      <c r="J1499">
        <v>217.12</v>
      </c>
      <c r="K1499" s="1">
        <v>45777</v>
      </c>
      <c r="L1499" t="s">
        <v>15</v>
      </c>
      <c r="M1499" t="s">
        <v>15</v>
      </c>
      <c r="N1499">
        <f>salesitems[[#This Row],[quantity]]*salesitems[[#This Row],[unit_price]]</f>
        <v>217.12</v>
      </c>
      <c r="O1499" t="str">
        <f>_xlfn.XLOOKUP(salesitems[[#This Row],[product_id]],products[product_id],products[product_name])</f>
        <v>Essential Wrap Shoes</v>
      </c>
      <c r="P1499" t="str">
        <f>_xlfn.XLOOKUP(salesitems[[#This Row],[product_id]],fashion_store_products!A:A,fashion_store_products!C:C)</f>
        <v>Shoes</v>
      </c>
    </row>
    <row r="1500" spans="1:16" x14ac:dyDescent="0.45">
      <c r="A1500">
        <v>417</v>
      </c>
      <c r="B1500">
        <v>1088</v>
      </c>
      <c r="C1500">
        <v>42</v>
      </c>
      <c r="D1500">
        <v>4</v>
      </c>
      <c r="E1500">
        <v>54.2</v>
      </c>
      <c r="F1500">
        <v>54.2</v>
      </c>
      <c r="G1500">
        <v>0</v>
      </c>
      <c r="H1500" s="2">
        <v>0</v>
      </c>
      <c r="I1500">
        <v>0</v>
      </c>
      <c r="J1500">
        <v>216.8</v>
      </c>
      <c r="K1500" s="1">
        <v>45760</v>
      </c>
      <c r="L1500" t="s">
        <v>15</v>
      </c>
      <c r="M1500" t="s">
        <v>15</v>
      </c>
      <c r="N1500">
        <f>salesitems[[#This Row],[quantity]]*salesitems[[#This Row],[unit_price]]</f>
        <v>216.8</v>
      </c>
      <c r="O1500" t="str">
        <f>_xlfn.XLOOKUP(salesitems[[#This Row],[product_id]],products[product_id],products[product_name])</f>
        <v>Soft Ribbed Set</v>
      </c>
      <c r="P1500" t="str">
        <f>_xlfn.XLOOKUP(salesitems[[#This Row],[product_id]],fashion_store_products!A:A,fashion_store_products!C:C)</f>
        <v>Sleepwear</v>
      </c>
    </row>
    <row r="1501" spans="1:16" x14ac:dyDescent="0.45">
      <c r="A1501">
        <v>2381</v>
      </c>
      <c r="B1501">
        <v>857</v>
      </c>
      <c r="C1501">
        <v>425</v>
      </c>
      <c r="D1501">
        <v>4</v>
      </c>
      <c r="E1501">
        <v>53.99</v>
      </c>
      <c r="F1501">
        <v>53.99</v>
      </c>
      <c r="G1501">
        <v>0</v>
      </c>
      <c r="H1501" s="2">
        <v>0</v>
      </c>
      <c r="I1501">
        <v>0</v>
      </c>
      <c r="J1501">
        <v>215.96</v>
      </c>
      <c r="K1501" s="1">
        <v>45763</v>
      </c>
      <c r="L1501" t="s">
        <v>15</v>
      </c>
      <c r="M1501" t="s">
        <v>15</v>
      </c>
      <c r="N1501">
        <f>salesitems[[#This Row],[quantity]]*salesitems[[#This Row],[unit_price]]</f>
        <v>215.96</v>
      </c>
      <c r="O1501" t="str">
        <f>_xlfn.XLOOKUP(salesitems[[#This Row],[product_id]],products[product_id],products[product_name])</f>
        <v>Elegant Boxy Set</v>
      </c>
      <c r="P1501" t="str">
        <f>_xlfn.XLOOKUP(salesitems[[#This Row],[product_id]],fashion_store_products!A:A,fashion_store_products!C:C)</f>
        <v>Sleepwear</v>
      </c>
    </row>
    <row r="1502" spans="1:16" x14ac:dyDescent="0.45">
      <c r="A1502">
        <v>2444</v>
      </c>
      <c r="B1502">
        <v>746</v>
      </c>
      <c r="C1502">
        <v>439</v>
      </c>
      <c r="D1502">
        <v>4</v>
      </c>
      <c r="E1502">
        <v>53.93</v>
      </c>
      <c r="F1502">
        <v>53.93</v>
      </c>
      <c r="G1502">
        <v>0</v>
      </c>
      <c r="H1502" s="2">
        <v>0</v>
      </c>
      <c r="I1502">
        <v>0</v>
      </c>
      <c r="J1502">
        <v>215.72</v>
      </c>
      <c r="K1502" s="1">
        <v>45793</v>
      </c>
      <c r="L1502" t="s">
        <v>21</v>
      </c>
      <c r="M1502" t="s">
        <v>18</v>
      </c>
      <c r="N1502">
        <f>salesitems[[#This Row],[quantity]]*salesitems[[#This Row],[unit_price]]</f>
        <v>215.72</v>
      </c>
      <c r="O1502" t="str">
        <f>_xlfn.XLOOKUP(salesitems[[#This Row],[product_id]],products[product_id],products[product_name])</f>
        <v>Tailored Linen Trousers</v>
      </c>
      <c r="P1502" t="str">
        <f>_xlfn.XLOOKUP(salesitems[[#This Row],[product_id]],fashion_store_products!A:A,fashion_store_products!C:C)</f>
        <v>Pants</v>
      </c>
    </row>
    <row r="1503" spans="1:16" x14ac:dyDescent="0.45">
      <c r="A1503">
        <v>1474</v>
      </c>
      <c r="B1503">
        <v>349</v>
      </c>
      <c r="C1503">
        <v>154</v>
      </c>
      <c r="D1503">
        <v>4</v>
      </c>
      <c r="E1503">
        <v>53.74</v>
      </c>
      <c r="F1503">
        <v>53.74</v>
      </c>
      <c r="G1503">
        <v>0</v>
      </c>
      <c r="H1503" s="2">
        <v>0</v>
      </c>
      <c r="I1503">
        <v>0</v>
      </c>
      <c r="J1503">
        <v>214.96</v>
      </c>
      <c r="K1503" s="1">
        <v>45823</v>
      </c>
      <c r="L1503" t="s">
        <v>15</v>
      </c>
      <c r="M1503" t="s">
        <v>15</v>
      </c>
      <c r="N1503">
        <f>salesitems[[#This Row],[quantity]]*salesitems[[#This Row],[unit_price]]</f>
        <v>214.96</v>
      </c>
      <c r="O1503" t="str">
        <f>_xlfn.XLOOKUP(salesitems[[#This Row],[product_id]],products[product_id],products[product_name])</f>
        <v>Classic Crew Set</v>
      </c>
      <c r="P1503" t="str">
        <f>_xlfn.XLOOKUP(salesitems[[#This Row],[product_id]],fashion_store_products!A:A,fashion_store_products!C:C)</f>
        <v>Sleepwear</v>
      </c>
    </row>
    <row r="1504" spans="1:16" x14ac:dyDescent="0.45">
      <c r="A1504">
        <v>1960</v>
      </c>
      <c r="B1504">
        <v>310</v>
      </c>
      <c r="C1504">
        <v>406</v>
      </c>
      <c r="D1504">
        <v>4</v>
      </c>
      <c r="E1504">
        <v>53.74</v>
      </c>
      <c r="F1504">
        <v>53.74</v>
      </c>
      <c r="G1504">
        <v>0</v>
      </c>
      <c r="H1504" s="2">
        <v>0</v>
      </c>
      <c r="I1504">
        <v>0</v>
      </c>
      <c r="J1504">
        <v>214.96</v>
      </c>
      <c r="K1504" s="1">
        <v>45765</v>
      </c>
      <c r="L1504" t="s">
        <v>21</v>
      </c>
      <c r="M1504" t="s">
        <v>18</v>
      </c>
      <c r="N1504">
        <f>salesitems[[#This Row],[quantity]]*salesitems[[#This Row],[unit_price]]</f>
        <v>214.96</v>
      </c>
      <c r="O1504" t="str">
        <f>_xlfn.XLOOKUP(salesitems[[#This Row],[product_id]],products[product_id],products[product_name])</f>
        <v>Essential Crew Trousers</v>
      </c>
      <c r="P1504" t="str">
        <f>_xlfn.XLOOKUP(salesitems[[#This Row],[product_id]],fashion_store_products!A:A,fashion_store_products!C:C)</f>
        <v>Pants</v>
      </c>
    </row>
    <row r="1505" spans="1:16" x14ac:dyDescent="0.45">
      <c r="A1505">
        <v>2331</v>
      </c>
      <c r="B1505">
        <v>1172</v>
      </c>
      <c r="C1505">
        <v>127</v>
      </c>
      <c r="D1505">
        <v>4</v>
      </c>
      <c r="E1505">
        <v>53.67</v>
      </c>
      <c r="F1505">
        <v>53.67</v>
      </c>
      <c r="G1505">
        <v>0</v>
      </c>
      <c r="H1505" s="2">
        <v>0</v>
      </c>
      <c r="I1505">
        <v>0</v>
      </c>
      <c r="J1505">
        <v>214.68</v>
      </c>
      <c r="K1505" s="1">
        <v>45808</v>
      </c>
      <c r="L1505" t="s">
        <v>21</v>
      </c>
      <c r="M1505" t="s">
        <v>18</v>
      </c>
      <c r="N1505">
        <f>salesitems[[#This Row],[quantity]]*salesitems[[#This Row],[unit_price]]</f>
        <v>214.68</v>
      </c>
      <c r="O1505" t="str">
        <f>_xlfn.XLOOKUP(salesitems[[#This Row],[product_id]],products[product_id],products[product_name])</f>
        <v>Classic Wrap Trousers</v>
      </c>
      <c r="P1505" t="str">
        <f>_xlfn.XLOOKUP(salesitems[[#This Row],[product_id]],fashion_store_products!A:A,fashion_store_products!C:C)</f>
        <v>Pants</v>
      </c>
    </row>
    <row r="1506" spans="1:16" x14ac:dyDescent="0.45">
      <c r="A1506">
        <v>912</v>
      </c>
      <c r="B1506">
        <v>214</v>
      </c>
      <c r="C1506">
        <v>52</v>
      </c>
      <c r="D1506">
        <v>4</v>
      </c>
      <c r="E1506">
        <v>53.61</v>
      </c>
      <c r="F1506">
        <v>53.61</v>
      </c>
      <c r="G1506">
        <v>0</v>
      </c>
      <c r="H1506" s="2">
        <v>0</v>
      </c>
      <c r="I1506">
        <v>0</v>
      </c>
      <c r="J1506">
        <v>214.44</v>
      </c>
      <c r="K1506" s="1">
        <v>45775</v>
      </c>
      <c r="L1506" t="s">
        <v>15</v>
      </c>
      <c r="M1506" t="s">
        <v>15</v>
      </c>
      <c r="N1506">
        <f>salesitems[[#This Row],[quantity]]*salesitems[[#This Row],[unit_price]]</f>
        <v>214.44</v>
      </c>
      <c r="O1506" t="str">
        <f>_xlfn.XLOOKUP(salesitems[[#This Row],[product_id]],products[product_id],products[product_name])</f>
        <v>Modern Linen Tee</v>
      </c>
      <c r="P1506" t="str">
        <f>_xlfn.XLOOKUP(salesitems[[#This Row],[product_id]],fashion_store_products!A:A,fashion_store_products!C:C)</f>
        <v>T-Shirts</v>
      </c>
    </row>
    <row r="1507" spans="1:16" x14ac:dyDescent="0.45">
      <c r="A1507">
        <v>812</v>
      </c>
      <c r="B1507">
        <v>1139</v>
      </c>
      <c r="C1507">
        <v>416</v>
      </c>
      <c r="D1507">
        <v>4</v>
      </c>
      <c r="E1507">
        <v>53.46</v>
      </c>
      <c r="F1507">
        <v>53.46</v>
      </c>
      <c r="G1507">
        <v>0</v>
      </c>
      <c r="H1507" s="2">
        <v>0</v>
      </c>
      <c r="I1507">
        <v>0</v>
      </c>
      <c r="J1507">
        <v>213.84</v>
      </c>
      <c r="K1507" s="1">
        <v>45763</v>
      </c>
      <c r="L1507" t="s">
        <v>15</v>
      </c>
      <c r="M1507" t="s">
        <v>15</v>
      </c>
      <c r="N1507">
        <f>salesitems[[#This Row],[quantity]]*salesitems[[#This Row],[unit_price]]</f>
        <v>213.84</v>
      </c>
      <c r="O1507" t="str">
        <f>_xlfn.XLOOKUP(salesitems[[#This Row],[product_id]],products[product_id],products[product_name])</f>
        <v>Essential High-Waist Trousers</v>
      </c>
      <c r="P1507" t="str">
        <f>_xlfn.XLOOKUP(salesitems[[#This Row],[product_id]],fashion_store_products!A:A,fashion_store_products!C:C)</f>
        <v>Pants</v>
      </c>
    </row>
    <row r="1508" spans="1:16" x14ac:dyDescent="0.45">
      <c r="A1508">
        <v>3033</v>
      </c>
      <c r="B1508">
        <v>179</v>
      </c>
      <c r="C1508">
        <v>73</v>
      </c>
      <c r="D1508">
        <v>4</v>
      </c>
      <c r="E1508">
        <v>53.25</v>
      </c>
      <c r="F1508">
        <v>53.25</v>
      </c>
      <c r="G1508">
        <v>0</v>
      </c>
      <c r="H1508" s="2">
        <v>0</v>
      </c>
      <c r="I1508">
        <v>0</v>
      </c>
      <c r="J1508">
        <v>213</v>
      </c>
      <c r="K1508" s="1">
        <v>45806</v>
      </c>
      <c r="L1508" t="s">
        <v>15</v>
      </c>
      <c r="M1508" t="s">
        <v>15</v>
      </c>
      <c r="N1508">
        <f>salesitems[[#This Row],[quantity]]*salesitems[[#This Row],[unit_price]]</f>
        <v>213</v>
      </c>
      <c r="O1508" t="str">
        <f>_xlfn.XLOOKUP(salesitems[[#This Row],[product_id]],products[product_id],products[product_name])</f>
        <v>Soft Boxy Set</v>
      </c>
      <c r="P1508" t="str">
        <f>_xlfn.XLOOKUP(salesitems[[#This Row],[product_id]],fashion_store_products!A:A,fashion_store_products!C:C)</f>
        <v>Sleepwear</v>
      </c>
    </row>
    <row r="1509" spans="1:16" x14ac:dyDescent="0.45">
      <c r="A1509">
        <v>1900</v>
      </c>
      <c r="B1509">
        <v>377</v>
      </c>
      <c r="C1509">
        <v>40</v>
      </c>
      <c r="D1509">
        <v>4</v>
      </c>
      <c r="E1509">
        <v>53.19</v>
      </c>
      <c r="F1509">
        <v>53.19</v>
      </c>
      <c r="G1509">
        <v>0</v>
      </c>
      <c r="H1509" s="2">
        <v>0</v>
      </c>
      <c r="I1509">
        <v>0</v>
      </c>
      <c r="J1509">
        <v>212.76</v>
      </c>
      <c r="K1509" s="1">
        <v>45791</v>
      </c>
      <c r="L1509" t="s">
        <v>21</v>
      </c>
      <c r="M1509" t="s">
        <v>18</v>
      </c>
      <c r="N1509">
        <f>salesitems[[#This Row],[quantity]]*salesitems[[#This Row],[unit_price]]</f>
        <v>212.76</v>
      </c>
      <c r="O1509" t="str">
        <f>_xlfn.XLOOKUP(salesitems[[#This Row],[product_id]],products[product_id],products[product_name])</f>
        <v>Soft High-Waist Trousers</v>
      </c>
      <c r="P1509" t="str">
        <f>_xlfn.XLOOKUP(salesitems[[#This Row],[product_id]],fashion_store_products!A:A,fashion_store_products!C:C)</f>
        <v>Pants</v>
      </c>
    </row>
    <row r="1510" spans="1:16" x14ac:dyDescent="0.45">
      <c r="A1510">
        <v>243</v>
      </c>
      <c r="B1510">
        <v>1003</v>
      </c>
      <c r="C1510">
        <v>133</v>
      </c>
      <c r="D1510">
        <v>4</v>
      </c>
      <c r="E1510">
        <v>53.05</v>
      </c>
      <c r="F1510">
        <v>53.05</v>
      </c>
      <c r="G1510">
        <v>0</v>
      </c>
      <c r="H1510" s="2">
        <v>0</v>
      </c>
      <c r="I1510">
        <v>0</v>
      </c>
      <c r="J1510">
        <v>212.2</v>
      </c>
      <c r="K1510" s="1">
        <v>45814</v>
      </c>
      <c r="L1510" t="s">
        <v>15</v>
      </c>
      <c r="M1510" t="s">
        <v>15</v>
      </c>
      <c r="N1510">
        <f>salesitems[[#This Row],[quantity]]*salesitems[[#This Row],[unit_price]]</f>
        <v>212.2</v>
      </c>
      <c r="O1510" t="str">
        <f>_xlfn.XLOOKUP(salesitems[[#This Row],[product_id]],products[product_id],products[product_name])</f>
        <v>Classic Sleeveless Tee</v>
      </c>
      <c r="P1510" t="str">
        <f>_xlfn.XLOOKUP(salesitems[[#This Row],[product_id]],fashion_store_products!A:A,fashion_store_products!C:C)</f>
        <v>T-Shirts</v>
      </c>
    </row>
    <row r="1511" spans="1:16" x14ac:dyDescent="0.45">
      <c r="A1511">
        <v>2982</v>
      </c>
      <c r="B1511">
        <v>701</v>
      </c>
      <c r="C1511">
        <v>133</v>
      </c>
      <c r="D1511">
        <v>4</v>
      </c>
      <c r="E1511">
        <v>53.05</v>
      </c>
      <c r="F1511">
        <v>53.05</v>
      </c>
      <c r="G1511">
        <v>0</v>
      </c>
      <c r="H1511" s="2">
        <v>0</v>
      </c>
      <c r="I1511">
        <v>0</v>
      </c>
      <c r="J1511">
        <v>212.2</v>
      </c>
      <c r="K1511" s="1">
        <v>45821</v>
      </c>
      <c r="L1511" t="s">
        <v>15</v>
      </c>
      <c r="M1511" t="s">
        <v>15</v>
      </c>
      <c r="N1511">
        <f>salesitems[[#This Row],[quantity]]*salesitems[[#This Row],[unit_price]]</f>
        <v>212.2</v>
      </c>
      <c r="O1511" t="str">
        <f>_xlfn.XLOOKUP(salesitems[[#This Row],[product_id]],products[product_id],products[product_name])</f>
        <v>Classic Sleeveless Tee</v>
      </c>
      <c r="P1511" t="str">
        <f>_xlfn.XLOOKUP(salesitems[[#This Row],[product_id]],fashion_store_products!A:A,fashion_store_products!C:C)</f>
        <v>T-Shirts</v>
      </c>
    </row>
    <row r="1512" spans="1:16" x14ac:dyDescent="0.45">
      <c r="A1512">
        <v>2985</v>
      </c>
      <c r="B1512">
        <v>1050</v>
      </c>
      <c r="C1512">
        <v>286</v>
      </c>
      <c r="D1512">
        <v>4</v>
      </c>
      <c r="E1512">
        <v>58.91</v>
      </c>
      <c r="F1512">
        <v>53.02</v>
      </c>
      <c r="G1512">
        <v>5.89</v>
      </c>
      <c r="H1512" s="2">
        <v>0.1</v>
      </c>
      <c r="I1512">
        <v>1</v>
      </c>
      <c r="J1512">
        <v>212.08</v>
      </c>
      <c r="K1512" s="1">
        <v>45812</v>
      </c>
      <c r="L1512" t="s">
        <v>21</v>
      </c>
      <c r="M1512" t="s">
        <v>18</v>
      </c>
      <c r="N1512">
        <f>salesitems[[#This Row],[quantity]]*salesitems[[#This Row],[unit_price]]</f>
        <v>212.08</v>
      </c>
      <c r="O1512" t="str">
        <f>_xlfn.XLOOKUP(salesitems[[#This Row],[product_id]],products[product_id],products[product_name])</f>
        <v>Essential Satin Shoes</v>
      </c>
      <c r="P1512" t="str">
        <f>_xlfn.XLOOKUP(salesitems[[#This Row],[product_id]],fashion_store_products!A:A,fashion_store_products!C:C)</f>
        <v>Shoes</v>
      </c>
    </row>
    <row r="1513" spans="1:16" x14ac:dyDescent="0.45">
      <c r="A1513">
        <v>2522</v>
      </c>
      <c r="B1513">
        <v>1044</v>
      </c>
      <c r="C1513">
        <v>147</v>
      </c>
      <c r="D1513">
        <v>4</v>
      </c>
      <c r="E1513">
        <v>52.91</v>
      </c>
      <c r="F1513">
        <v>52.91</v>
      </c>
      <c r="G1513">
        <v>0</v>
      </c>
      <c r="H1513" s="2">
        <v>0</v>
      </c>
      <c r="I1513">
        <v>0</v>
      </c>
      <c r="J1513">
        <v>211.64</v>
      </c>
      <c r="K1513" s="1">
        <v>45777</v>
      </c>
      <c r="L1513" t="s">
        <v>15</v>
      </c>
      <c r="M1513" t="s">
        <v>15</v>
      </c>
      <c r="N1513">
        <f>salesitems[[#This Row],[quantity]]*salesitems[[#This Row],[unit_price]]</f>
        <v>211.64</v>
      </c>
      <c r="O1513" t="str">
        <f>_xlfn.XLOOKUP(salesitems[[#This Row],[product_id]],products[product_id],products[product_name])</f>
        <v>Vintage Linen Shoes</v>
      </c>
      <c r="P1513" t="str">
        <f>_xlfn.XLOOKUP(salesitems[[#This Row],[product_id]],fashion_store_products!A:A,fashion_store_products!C:C)</f>
        <v>Shoes</v>
      </c>
    </row>
    <row r="1514" spans="1:16" x14ac:dyDescent="0.45">
      <c r="A1514">
        <v>2185</v>
      </c>
      <c r="B1514">
        <v>321</v>
      </c>
      <c r="C1514">
        <v>393</v>
      </c>
      <c r="D1514">
        <v>4</v>
      </c>
      <c r="E1514">
        <v>52.88</v>
      </c>
      <c r="F1514">
        <v>52.88</v>
      </c>
      <c r="G1514">
        <v>0</v>
      </c>
      <c r="H1514" s="2">
        <v>0</v>
      </c>
      <c r="I1514">
        <v>0</v>
      </c>
      <c r="J1514">
        <v>211.52</v>
      </c>
      <c r="K1514" s="1">
        <v>45808</v>
      </c>
      <c r="L1514" t="s">
        <v>15</v>
      </c>
      <c r="M1514" t="s">
        <v>15</v>
      </c>
      <c r="N1514">
        <f>salesitems[[#This Row],[quantity]]*salesitems[[#This Row],[unit_price]]</f>
        <v>211.52</v>
      </c>
      <c r="O1514" t="str">
        <f>_xlfn.XLOOKUP(salesitems[[#This Row],[product_id]],products[product_id],products[product_name])</f>
        <v>Elegant Wrap Set</v>
      </c>
      <c r="P1514" t="str">
        <f>_xlfn.XLOOKUP(salesitems[[#This Row],[product_id]],fashion_store_products!A:A,fashion_store_products!C:C)</f>
        <v>Sleepwear</v>
      </c>
    </row>
    <row r="1515" spans="1:16" x14ac:dyDescent="0.45">
      <c r="A1515">
        <v>3220</v>
      </c>
      <c r="B1515">
        <v>978</v>
      </c>
      <c r="C1515">
        <v>393</v>
      </c>
      <c r="D1515">
        <v>4</v>
      </c>
      <c r="E1515">
        <v>52.88</v>
      </c>
      <c r="F1515">
        <v>52.88</v>
      </c>
      <c r="G1515">
        <v>0</v>
      </c>
      <c r="H1515" s="2">
        <v>0</v>
      </c>
      <c r="I1515">
        <v>0</v>
      </c>
      <c r="J1515">
        <v>211.52</v>
      </c>
      <c r="K1515" s="1">
        <v>45767</v>
      </c>
      <c r="L1515" t="s">
        <v>21</v>
      </c>
      <c r="M1515" t="s">
        <v>18</v>
      </c>
      <c r="N1515">
        <f>salesitems[[#This Row],[quantity]]*salesitems[[#This Row],[unit_price]]</f>
        <v>211.52</v>
      </c>
      <c r="O1515" t="str">
        <f>_xlfn.XLOOKUP(salesitems[[#This Row],[product_id]],products[product_id],products[product_name])</f>
        <v>Elegant Wrap Set</v>
      </c>
      <c r="P1515" t="str">
        <f>_xlfn.XLOOKUP(salesitems[[#This Row],[product_id]],fashion_store_products!A:A,fashion_store_products!C:C)</f>
        <v>Sleepwear</v>
      </c>
    </row>
    <row r="1516" spans="1:16" x14ac:dyDescent="0.45">
      <c r="A1516">
        <v>235</v>
      </c>
      <c r="B1516">
        <v>1008</v>
      </c>
      <c r="C1516">
        <v>299</v>
      </c>
      <c r="D1516">
        <v>4</v>
      </c>
      <c r="E1516">
        <v>52.65</v>
      </c>
      <c r="F1516">
        <v>52.65</v>
      </c>
      <c r="G1516">
        <v>0</v>
      </c>
      <c r="H1516" s="2">
        <v>0</v>
      </c>
      <c r="I1516">
        <v>0</v>
      </c>
      <c r="J1516">
        <v>210.6</v>
      </c>
      <c r="K1516" s="1">
        <v>45801</v>
      </c>
      <c r="L1516" t="s">
        <v>15</v>
      </c>
      <c r="M1516" t="s">
        <v>15</v>
      </c>
      <c r="N1516">
        <f>salesitems[[#This Row],[quantity]]*salesitems[[#This Row],[unit_price]]</f>
        <v>210.6</v>
      </c>
      <c r="O1516" t="str">
        <f>_xlfn.XLOOKUP(salesitems[[#This Row],[product_id]],products[product_id],products[product_name])</f>
        <v>Essential Wrap Dress</v>
      </c>
      <c r="P1516" t="str">
        <f>_xlfn.XLOOKUP(salesitems[[#This Row],[product_id]],fashion_store_products!A:A,fashion_store_products!C:C)</f>
        <v>Dresses</v>
      </c>
    </row>
    <row r="1517" spans="1:16" x14ac:dyDescent="0.45">
      <c r="A1517">
        <v>3139</v>
      </c>
      <c r="B1517">
        <v>313</v>
      </c>
      <c r="C1517">
        <v>220</v>
      </c>
      <c r="D1517">
        <v>4</v>
      </c>
      <c r="E1517">
        <v>52.6</v>
      </c>
      <c r="F1517">
        <v>52.6</v>
      </c>
      <c r="G1517">
        <v>0</v>
      </c>
      <c r="H1517" s="2">
        <v>0</v>
      </c>
      <c r="I1517">
        <v>0</v>
      </c>
      <c r="J1517">
        <v>210.4</v>
      </c>
      <c r="K1517" s="1">
        <v>45814</v>
      </c>
      <c r="L1517" t="s">
        <v>15</v>
      </c>
      <c r="M1517" t="s">
        <v>15</v>
      </c>
      <c r="N1517">
        <f>salesitems[[#This Row],[quantity]]*salesitems[[#This Row],[unit_price]]</f>
        <v>210.4</v>
      </c>
      <c r="O1517" t="str">
        <f>_xlfn.XLOOKUP(salesitems[[#This Row],[product_id]],products[product_id],products[product_name])</f>
        <v>Polished Wrap Set</v>
      </c>
      <c r="P1517" t="str">
        <f>_xlfn.XLOOKUP(salesitems[[#This Row],[product_id]],fashion_store_products!A:A,fashion_store_products!C:C)</f>
        <v>Sleepwear</v>
      </c>
    </row>
    <row r="1518" spans="1:16" x14ac:dyDescent="0.45">
      <c r="A1518">
        <v>58</v>
      </c>
      <c r="B1518">
        <v>665</v>
      </c>
      <c r="C1518">
        <v>432</v>
      </c>
      <c r="D1518">
        <v>4</v>
      </c>
      <c r="E1518">
        <v>52.39</v>
      </c>
      <c r="F1518">
        <v>52.39</v>
      </c>
      <c r="G1518">
        <v>0</v>
      </c>
      <c r="H1518" s="2">
        <v>0</v>
      </c>
      <c r="I1518">
        <v>0</v>
      </c>
      <c r="J1518">
        <v>209.56</v>
      </c>
      <c r="K1518" s="1">
        <v>45760</v>
      </c>
      <c r="L1518" t="s">
        <v>21</v>
      </c>
      <c r="M1518" t="s">
        <v>18</v>
      </c>
      <c r="N1518">
        <f>salesitems[[#This Row],[quantity]]*salesitems[[#This Row],[unit_price]]</f>
        <v>209.56</v>
      </c>
      <c r="O1518" t="str">
        <f>_xlfn.XLOOKUP(salesitems[[#This Row],[product_id]],products[product_id],products[product_name])</f>
        <v>Bold Linen Tee</v>
      </c>
      <c r="P1518" t="str">
        <f>_xlfn.XLOOKUP(salesitems[[#This Row],[product_id]],fashion_store_products!A:A,fashion_store_products!C:C)</f>
        <v>T-Shirts</v>
      </c>
    </row>
    <row r="1519" spans="1:16" x14ac:dyDescent="0.45">
      <c r="A1519">
        <v>2199</v>
      </c>
      <c r="B1519">
        <v>1078</v>
      </c>
      <c r="C1519">
        <v>432</v>
      </c>
      <c r="D1519">
        <v>4</v>
      </c>
      <c r="E1519">
        <v>52.39</v>
      </c>
      <c r="F1519">
        <v>52.39</v>
      </c>
      <c r="G1519">
        <v>0</v>
      </c>
      <c r="H1519" s="2">
        <v>0</v>
      </c>
      <c r="I1519">
        <v>0</v>
      </c>
      <c r="J1519">
        <v>209.56</v>
      </c>
      <c r="K1519" s="1">
        <v>45824</v>
      </c>
      <c r="L1519" t="s">
        <v>21</v>
      </c>
      <c r="M1519" t="s">
        <v>18</v>
      </c>
      <c r="N1519">
        <f>salesitems[[#This Row],[quantity]]*salesitems[[#This Row],[unit_price]]</f>
        <v>209.56</v>
      </c>
      <c r="O1519" t="str">
        <f>_xlfn.XLOOKUP(salesitems[[#This Row],[product_id]],products[product_id],products[product_name])</f>
        <v>Bold Linen Tee</v>
      </c>
      <c r="P1519" t="str">
        <f>_xlfn.XLOOKUP(salesitems[[#This Row],[product_id]],fashion_store_products!A:A,fashion_store_products!C:C)</f>
        <v>T-Shirts</v>
      </c>
    </row>
    <row r="1520" spans="1:16" x14ac:dyDescent="0.45">
      <c r="A1520">
        <v>532</v>
      </c>
      <c r="B1520">
        <v>121</v>
      </c>
      <c r="C1520">
        <v>153</v>
      </c>
      <c r="D1520">
        <v>4</v>
      </c>
      <c r="E1520">
        <v>52.36</v>
      </c>
      <c r="F1520">
        <v>52.36</v>
      </c>
      <c r="G1520">
        <v>0</v>
      </c>
      <c r="H1520" s="2">
        <v>0</v>
      </c>
      <c r="I1520">
        <v>0</v>
      </c>
      <c r="J1520">
        <v>209.44</v>
      </c>
      <c r="K1520" s="1">
        <v>45772</v>
      </c>
      <c r="L1520" t="s">
        <v>15</v>
      </c>
      <c r="M1520" t="s">
        <v>15</v>
      </c>
      <c r="N1520">
        <f>salesitems[[#This Row],[quantity]]*salesitems[[#This Row],[unit_price]]</f>
        <v>209.44</v>
      </c>
      <c r="O1520" t="str">
        <f>_xlfn.XLOOKUP(salesitems[[#This Row],[product_id]],products[product_id],products[product_name])</f>
        <v>Vintage Ribbed Shoes</v>
      </c>
      <c r="P1520" t="str">
        <f>_xlfn.XLOOKUP(salesitems[[#This Row],[product_id]],fashion_store_products!A:A,fashion_store_products!C:C)</f>
        <v>Shoes</v>
      </c>
    </row>
    <row r="1521" spans="1:16" x14ac:dyDescent="0.45">
      <c r="A1521">
        <v>3174</v>
      </c>
      <c r="B1521">
        <v>224</v>
      </c>
      <c r="C1521">
        <v>445</v>
      </c>
      <c r="D1521">
        <v>4</v>
      </c>
      <c r="E1521">
        <v>52.28</v>
      </c>
      <c r="F1521">
        <v>52.28</v>
      </c>
      <c r="G1521">
        <v>0</v>
      </c>
      <c r="H1521" s="2">
        <v>0</v>
      </c>
      <c r="I1521">
        <v>0</v>
      </c>
      <c r="J1521">
        <v>209.12</v>
      </c>
      <c r="K1521" s="1">
        <v>45772</v>
      </c>
      <c r="L1521" t="s">
        <v>15</v>
      </c>
      <c r="M1521" t="s">
        <v>15</v>
      </c>
      <c r="N1521">
        <f>salesitems[[#This Row],[quantity]]*salesitems[[#This Row],[unit_price]]</f>
        <v>209.12</v>
      </c>
      <c r="O1521" t="str">
        <f>_xlfn.XLOOKUP(salesitems[[#This Row],[product_id]],products[product_id],products[product_name])</f>
        <v>Bold Cotton Set</v>
      </c>
      <c r="P1521" t="str">
        <f>_xlfn.XLOOKUP(salesitems[[#This Row],[product_id]],fashion_store_products!A:A,fashion_store_products!C:C)</f>
        <v>Sleepwear</v>
      </c>
    </row>
    <row r="1522" spans="1:16" x14ac:dyDescent="0.45">
      <c r="A1522">
        <v>2133</v>
      </c>
      <c r="B1522">
        <v>903</v>
      </c>
      <c r="C1522">
        <v>217</v>
      </c>
      <c r="D1522">
        <v>4</v>
      </c>
      <c r="E1522">
        <v>52.12</v>
      </c>
      <c r="F1522">
        <v>52.12</v>
      </c>
      <c r="G1522">
        <v>0</v>
      </c>
      <c r="H1522" s="2">
        <v>0</v>
      </c>
      <c r="I1522">
        <v>0</v>
      </c>
      <c r="J1522">
        <v>208.48</v>
      </c>
      <c r="K1522" s="1">
        <v>45766</v>
      </c>
      <c r="L1522" t="s">
        <v>15</v>
      </c>
      <c r="M1522" t="s">
        <v>15</v>
      </c>
      <c r="N1522">
        <f>salesitems[[#This Row],[quantity]]*salesitems[[#This Row],[unit_price]]</f>
        <v>208.48</v>
      </c>
      <c r="O1522" t="str">
        <f>_xlfn.XLOOKUP(salesitems[[#This Row],[product_id]],products[product_id],products[product_name])</f>
        <v>Polished Cotton Tee</v>
      </c>
      <c r="P1522" t="str">
        <f>_xlfn.XLOOKUP(salesitems[[#This Row],[product_id]],fashion_store_products!A:A,fashion_store_products!C:C)</f>
        <v>T-Shirts</v>
      </c>
    </row>
    <row r="1523" spans="1:16" x14ac:dyDescent="0.45">
      <c r="A1523">
        <v>2573</v>
      </c>
      <c r="B1523">
        <v>1318</v>
      </c>
      <c r="C1523">
        <v>217</v>
      </c>
      <c r="D1523">
        <v>4</v>
      </c>
      <c r="E1523">
        <v>52.12</v>
      </c>
      <c r="F1523">
        <v>52.12</v>
      </c>
      <c r="G1523">
        <v>0</v>
      </c>
      <c r="H1523" s="2">
        <v>0</v>
      </c>
      <c r="I1523">
        <v>0</v>
      </c>
      <c r="J1523">
        <v>208.48</v>
      </c>
      <c r="K1523" s="1">
        <v>45795</v>
      </c>
      <c r="L1523" t="s">
        <v>21</v>
      </c>
      <c r="M1523" t="s">
        <v>18</v>
      </c>
      <c r="N1523">
        <f>salesitems[[#This Row],[quantity]]*salesitems[[#This Row],[unit_price]]</f>
        <v>208.48</v>
      </c>
      <c r="O1523" t="str">
        <f>_xlfn.XLOOKUP(salesitems[[#This Row],[product_id]],products[product_id],products[product_name])</f>
        <v>Polished Cotton Tee</v>
      </c>
      <c r="P1523" t="str">
        <f>_xlfn.XLOOKUP(salesitems[[#This Row],[product_id]],fashion_store_products!A:A,fashion_store_products!C:C)</f>
        <v>T-Shirts</v>
      </c>
    </row>
    <row r="1524" spans="1:16" x14ac:dyDescent="0.45">
      <c r="A1524">
        <v>222</v>
      </c>
      <c r="B1524">
        <v>144</v>
      </c>
      <c r="C1524">
        <v>275</v>
      </c>
      <c r="D1524">
        <v>4</v>
      </c>
      <c r="E1524">
        <v>52.11</v>
      </c>
      <c r="F1524">
        <v>52.11</v>
      </c>
      <c r="G1524">
        <v>0</v>
      </c>
      <c r="H1524" s="2">
        <v>0</v>
      </c>
      <c r="I1524">
        <v>0</v>
      </c>
      <c r="J1524">
        <v>208.44</v>
      </c>
      <c r="K1524" s="1">
        <v>45767</v>
      </c>
      <c r="L1524" t="s">
        <v>15</v>
      </c>
      <c r="M1524" t="s">
        <v>15</v>
      </c>
      <c r="N1524">
        <f>salesitems[[#This Row],[quantity]]*salesitems[[#This Row],[unit_price]]</f>
        <v>208.44</v>
      </c>
      <c r="O1524" t="str">
        <f>_xlfn.XLOOKUP(salesitems[[#This Row],[product_id]],products[product_id],products[product_name])</f>
        <v>Relaxed Sleeveless Tee</v>
      </c>
      <c r="P1524" t="str">
        <f>_xlfn.XLOOKUP(salesitems[[#This Row],[product_id]],fashion_store_products!A:A,fashion_store_products!C:C)</f>
        <v>T-Shirts</v>
      </c>
    </row>
    <row r="1525" spans="1:16" x14ac:dyDescent="0.45">
      <c r="A1525">
        <v>3150</v>
      </c>
      <c r="B1525">
        <v>253</v>
      </c>
      <c r="C1525">
        <v>275</v>
      </c>
      <c r="D1525">
        <v>4</v>
      </c>
      <c r="E1525">
        <v>52.11</v>
      </c>
      <c r="F1525">
        <v>52.11</v>
      </c>
      <c r="G1525">
        <v>0</v>
      </c>
      <c r="H1525" s="2">
        <v>0</v>
      </c>
      <c r="I1525">
        <v>0</v>
      </c>
      <c r="J1525">
        <v>208.44</v>
      </c>
      <c r="K1525" s="1">
        <v>45774</v>
      </c>
      <c r="L1525" t="s">
        <v>15</v>
      </c>
      <c r="M1525" t="s">
        <v>15</v>
      </c>
      <c r="N1525">
        <f>salesitems[[#This Row],[quantity]]*salesitems[[#This Row],[unit_price]]</f>
        <v>208.44</v>
      </c>
      <c r="O1525" t="str">
        <f>_xlfn.XLOOKUP(salesitems[[#This Row],[product_id]],products[product_id],products[product_name])</f>
        <v>Relaxed Sleeveless Tee</v>
      </c>
      <c r="P1525" t="str">
        <f>_xlfn.XLOOKUP(salesitems[[#This Row],[product_id]],fashion_store_products!A:A,fashion_store_products!C:C)</f>
        <v>T-Shirts</v>
      </c>
    </row>
    <row r="1526" spans="1:16" x14ac:dyDescent="0.45">
      <c r="A1526">
        <v>2632</v>
      </c>
      <c r="B1526">
        <v>1024</v>
      </c>
      <c r="C1526">
        <v>203</v>
      </c>
      <c r="D1526">
        <v>4</v>
      </c>
      <c r="E1526">
        <v>52.1</v>
      </c>
      <c r="F1526">
        <v>52.1</v>
      </c>
      <c r="G1526">
        <v>0</v>
      </c>
      <c r="H1526" s="2">
        <v>0</v>
      </c>
      <c r="I1526">
        <v>0</v>
      </c>
      <c r="J1526">
        <v>208.4</v>
      </c>
      <c r="K1526" s="1">
        <v>45762</v>
      </c>
      <c r="L1526" t="s">
        <v>15</v>
      </c>
      <c r="M1526" t="s">
        <v>15</v>
      </c>
      <c r="N1526">
        <f>salesitems[[#This Row],[quantity]]*salesitems[[#This Row],[unit_price]]</f>
        <v>208.4</v>
      </c>
      <c r="O1526" t="str">
        <f>_xlfn.XLOOKUP(salesitems[[#This Row],[product_id]],products[product_id],products[product_name])</f>
        <v>Polished High-Waist Dress</v>
      </c>
      <c r="P1526" t="str">
        <f>_xlfn.XLOOKUP(salesitems[[#This Row],[product_id]],fashion_store_products!A:A,fashion_store_products!C:C)</f>
        <v>Dresses</v>
      </c>
    </row>
    <row r="1527" spans="1:16" x14ac:dyDescent="0.45">
      <c r="A1527">
        <v>3132</v>
      </c>
      <c r="B1527">
        <v>474</v>
      </c>
      <c r="C1527">
        <v>203</v>
      </c>
      <c r="D1527">
        <v>4</v>
      </c>
      <c r="E1527">
        <v>52.1</v>
      </c>
      <c r="F1527">
        <v>52.1</v>
      </c>
      <c r="G1527">
        <v>0</v>
      </c>
      <c r="H1527" s="2">
        <v>0</v>
      </c>
      <c r="I1527">
        <v>0</v>
      </c>
      <c r="J1527">
        <v>208.4</v>
      </c>
      <c r="K1527" s="1">
        <v>45761</v>
      </c>
      <c r="L1527" t="s">
        <v>15</v>
      </c>
      <c r="M1527" t="s">
        <v>15</v>
      </c>
      <c r="N1527">
        <f>salesitems[[#This Row],[quantity]]*salesitems[[#This Row],[unit_price]]</f>
        <v>208.4</v>
      </c>
      <c r="O1527" t="str">
        <f>_xlfn.XLOOKUP(salesitems[[#This Row],[product_id]],products[product_id],products[product_name])</f>
        <v>Polished High-Waist Dress</v>
      </c>
      <c r="P1527" t="str">
        <f>_xlfn.XLOOKUP(salesitems[[#This Row],[product_id]],fashion_store_products!A:A,fashion_store_products!C:C)</f>
        <v>Dresses</v>
      </c>
    </row>
    <row r="1528" spans="1:16" x14ac:dyDescent="0.45">
      <c r="A1528">
        <v>2848</v>
      </c>
      <c r="B1528">
        <v>479</v>
      </c>
      <c r="C1528">
        <v>440</v>
      </c>
      <c r="D1528">
        <v>4</v>
      </c>
      <c r="E1528">
        <v>52.08</v>
      </c>
      <c r="F1528">
        <v>52.08</v>
      </c>
      <c r="G1528">
        <v>0</v>
      </c>
      <c r="H1528" s="2">
        <v>0</v>
      </c>
      <c r="I1528">
        <v>0</v>
      </c>
      <c r="J1528">
        <v>208.32</v>
      </c>
      <c r="K1528" s="1">
        <v>45797</v>
      </c>
      <c r="L1528" t="s">
        <v>21</v>
      </c>
      <c r="M1528" t="s">
        <v>18</v>
      </c>
      <c r="N1528">
        <f>salesitems[[#This Row],[quantity]]*salesitems[[#This Row],[unit_price]]</f>
        <v>208.32</v>
      </c>
      <c r="O1528" t="str">
        <f>_xlfn.XLOOKUP(salesitems[[#This Row],[product_id]],products[product_id],products[product_name])</f>
        <v>Bold Linen Shoes</v>
      </c>
      <c r="P1528" t="str">
        <f>_xlfn.XLOOKUP(salesitems[[#This Row],[product_id]],fashion_store_products!A:A,fashion_store_products!C:C)</f>
        <v>Shoes</v>
      </c>
    </row>
    <row r="1529" spans="1:16" x14ac:dyDescent="0.45">
      <c r="A1529">
        <v>3093</v>
      </c>
      <c r="B1529">
        <v>1139</v>
      </c>
      <c r="C1529">
        <v>440</v>
      </c>
      <c r="D1529">
        <v>4</v>
      </c>
      <c r="E1529">
        <v>52.08</v>
      </c>
      <c r="F1529">
        <v>52.08</v>
      </c>
      <c r="G1529">
        <v>0</v>
      </c>
      <c r="H1529" s="2">
        <v>0</v>
      </c>
      <c r="I1529">
        <v>0</v>
      </c>
      <c r="J1529">
        <v>208.32</v>
      </c>
      <c r="K1529" s="1">
        <v>45763</v>
      </c>
      <c r="L1529" t="s">
        <v>15</v>
      </c>
      <c r="M1529" t="s">
        <v>15</v>
      </c>
      <c r="N1529">
        <f>salesitems[[#This Row],[quantity]]*salesitems[[#This Row],[unit_price]]</f>
        <v>208.32</v>
      </c>
      <c r="O1529" t="str">
        <f>_xlfn.XLOOKUP(salesitems[[#This Row],[product_id]],products[product_id],products[product_name])</f>
        <v>Bold Linen Shoes</v>
      </c>
      <c r="P1529" t="str">
        <f>_xlfn.XLOOKUP(salesitems[[#This Row],[product_id]],fashion_store_products!A:A,fashion_store_products!C:C)</f>
        <v>Shoes</v>
      </c>
    </row>
    <row r="1530" spans="1:16" x14ac:dyDescent="0.45">
      <c r="A1530">
        <v>1800</v>
      </c>
      <c r="B1530">
        <v>440</v>
      </c>
      <c r="C1530">
        <v>320</v>
      </c>
      <c r="D1530">
        <v>4</v>
      </c>
      <c r="E1530">
        <v>74.260000000000005</v>
      </c>
      <c r="F1530">
        <v>51.98</v>
      </c>
      <c r="G1530">
        <v>22.28</v>
      </c>
      <c r="H1530" s="2">
        <v>0.3</v>
      </c>
      <c r="I1530">
        <v>1</v>
      </c>
      <c r="J1530">
        <v>207.93</v>
      </c>
      <c r="K1530" s="1">
        <v>45792</v>
      </c>
      <c r="L1530" t="s">
        <v>15</v>
      </c>
      <c r="M1530" t="s">
        <v>11</v>
      </c>
      <c r="N1530">
        <f>salesitems[[#This Row],[quantity]]*salesitems[[#This Row],[unit_price]]</f>
        <v>207.92</v>
      </c>
      <c r="O1530" t="str">
        <f>_xlfn.XLOOKUP(salesitems[[#This Row],[product_id]],products[product_id],products[product_name])</f>
        <v>Essential Crew Dress</v>
      </c>
      <c r="P1530" t="str">
        <f>_xlfn.XLOOKUP(salesitems[[#This Row],[product_id]],fashion_store_products!A:A,fashion_store_products!C:C)</f>
        <v>Dresses</v>
      </c>
    </row>
    <row r="1531" spans="1:16" x14ac:dyDescent="0.45">
      <c r="A1531">
        <v>1087</v>
      </c>
      <c r="B1531">
        <v>113</v>
      </c>
      <c r="C1531">
        <v>426</v>
      </c>
      <c r="D1531">
        <v>4</v>
      </c>
      <c r="E1531">
        <v>51.97</v>
      </c>
      <c r="F1531">
        <v>51.97</v>
      </c>
      <c r="G1531">
        <v>0</v>
      </c>
      <c r="H1531" s="2">
        <v>0</v>
      </c>
      <c r="I1531">
        <v>0</v>
      </c>
      <c r="J1531">
        <v>207.88</v>
      </c>
      <c r="K1531" s="1">
        <v>45802</v>
      </c>
      <c r="L1531" t="s">
        <v>15</v>
      </c>
      <c r="M1531" t="s">
        <v>15</v>
      </c>
      <c r="N1531">
        <f>salesitems[[#This Row],[quantity]]*salesitems[[#This Row],[unit_price]]</f>
        <v>207.88</v>
      </c>
      <c r="O1531" t="str">
        <f>_xlfn.XLOOKUP(salesitems[[#This Row],[product_id]],products[product_id],products[product_name])</f>
        <v>Elegant High-Waist Dress</v>
      </c>
      <c r="P1531" t="str">
        <f>_xlfn.XLOOKUP(salesitems[[#This Row],[product_id]],fashion_store_products!A:A,fashion_store_products!C:C)</f>
        <v>Dresses</v>
      </c>
    </row>
    <row r="1532" spans="1:16" x14ac:dyDescent="0.45">
      <c r="A1532">
        <v>534</v>
      </c>
      <c r="B1532">
        <v>916</v>
      </c>
      <c r="C1532">
        <v>327</v>
      </c>
      <c r="D1532">
        <v>4</v>
      </c>
      <c r="E1532">
        <v>74.239999999999995</v>
      </c>
      <c r="F1532">
        <v>51.97</v>
      </c>
      <c r="G1532">
        <v>22.27</v>
      </c>
      <c r="H1532" s="2">
        <v>0.3</v>
      </c>
      <c r="I1532">
        <v>1</v>
      </c>
      <c r="J1532">
        <v>207.87</v>
      </c>
      <c r="K1532" s="1">
        <v>45795</v>
      </c>
      <c r="L1532" t="s">
        <v>15</v>
      </c>
      <c r="M1532" t="s">
        <v>11</v>
      </c>
      <c r="N1532">
        <f>salesitems[[#This Row],[quantity]]*salesitems[[#This Row],[unit_price]]</f>
        <v>207.88</v>
      </c>
      <c r="O1532" t="str">
        <f>_xlfn.XLOOKUP(salesitems[[#This Row],[product_id]],products[product_id],products[product_name])</f>
        <v>Essential Boxy Dress</v>
      </c>
      <c r="P1532" t="str">
        <f>_xlfn.XLOOKUP(salesitems[[#This Row],[product_id]],fashion_store_products!A:A,fashion_store_products!C:C)</f>
        <v>Dresses</v>
      </c>
    </row>
    <row r="1533" spans="1:16" x14ac:dyDescent="0.45">
      <c r="A1533">
        <v>609</v>
      </c>
      <c r="B1533">
        <v>617</v>
      </c>
      <c r="C1533">
        <v>17</v>
      </c>
      <c r="D1533">
        <v>4</v>
      </c>
      <c r="E1533">
        <v>51.9</v>
      </c>
      <c r="F1533">
        <v>51.9</v>
      </c>
      <c r="G1533">
        <v>0</v>
      </c>
      <c r="H1533" s="2">
        <v>0</v>
      </c>
      <c r="I1533">
        <v>0</v>
      </c>
      <c r="J1533">
        <v>207.6</v>
      </c>
      <c r="K1533" s="1">
        <v>45795</v>
      </c>
      <c r="L1533" t="s">
        <v>21</v>
      </c>
      <c r="M1533" t="s">
        <v>18</v>
      </c>
      <c r="N1533">
        <f>salesitems[[#This Row],[quantity]]*salesitems[[#This Row],[unit_price]]</f>
        <v>207.6</v>
      </c>
      <c r="O1533" t="str">
        <f>_xlfn.XLOOKUP(salesitems[[#This Row],[product_id]],products[product_id],products[product_name])</f>
        <v>Soft Satin Dress</v>
      </c>
      <c r="P1533" t="str">
        <f>_xlfn.XLOOKUP(salesitems[[#This Row],[product_id]],fashion_store_products!A:A,fashion_store_products!C:C)</f>
        <v>Dresses</v>
      </c>
    </row>
    <row r="1534" spans="1:16" x14ac:dyDescent="0.45">
      <c r="A1534">
        <v>1659</v>
      </c>
      <c r="B1534">
        <v>260</v>
      </c>
      <c r="C1534">
        <v>468</v>
      </c>
      <c r="D1534">
        <v>4</v>
      </c>
      <c r="E1534">
        <v>51.8</v>
      </c>
      <c r="F1534">
        <v>51.8</v>
      </c>
      <c r="G1534">
        <v>0</v>
      </c>
      <c r="H1534" s="2">
        <v>0</v>
      </c>
      <c r="I1534">
        <v>0</v>
      </c>
      <c r="J1534">
        <v>207.2</v>
      </c>
      <c r="K1534" s="1">
        <v>45791</v>
      </c>
      <c r="L1534" t="s">
        <v>21</v>
      </c>
      <c r="M1534" t="s">
        <v>18</v>
      </c>
      <c r="N1534">
        <f>salesitems[[#This Row],[quantity]]*salesitems[[#This Row],[unit_price]]</f>
        <v>207.2</v>
      </c>
      <c r="O1534" t="str">
        <f>_xlfn.XLOOKUP(salesitems[[#This Row],[product_id]],products[product_id],products[product_name])</f>
        <v>Sleepwear Drop 1</v>
      </c>
      <c r="P1534" t="str">
        <f>_xlfn.XLOOKUP(salesitems[[#This Row],[product_id]],fashion_store_products!A:A,fashion_store_products!C:C)</f>
        <v>Sleepwear</v>
      </c>
    </row>
    <row r="1535" spans="1:16" x14ac:dyDescent="0.45">
      <c r="A1535">
        <v>3011</v>
      </c>
      <c r="B1535">
        <v>114</v>
      </c>
      <c r="C1535">
        <v>468</v>
      </c>
      <c r="D1535">
        <v>4</v>
      </c>
      <c r="E1535">
        <v>51.8</v>
      </c>
      <c r="F1535">
        <v>51.8</v>
      </c>
      <c r="G1535">
        <v>0</v>
      </c>
      <c r="H1535" s="2">
        <v>0</v>
      </c>
      <c r="I1535">
        <v>0</v>
      </c>
      <c r="J1535">
        <v>207.2</v>
      </c>
      <c r="K1535" s="1">
        <v>45772</v>
      </c>
      <c r="L1535" t="s">
        <v>15</v>
      </c>
      <c r="M1535" t="s">
        <v>15</v>
      </c>
      <c r="N1535">
        <f>salesitems[[#This Row],[quantity]]*salesitems[[#This Row],[unit_price]]</f>
        <v>207.2</v>
      </c>
      <c r="O1535" t="str">
        <f>_xlfn.XLOOKUP(salesitems[[#This Row],[product_id]],products[product_id],products[product_name])</f>
        <v>Sleepwear Drop 1</v>
      </c>
      <c r="P1535" t="str">
        <f>_xlfn.XLOOKUP(salesitems[[#This Row],[product_id]],fashion_store_products!A:A,fashion_store_products!C:C)</f>
        <v>Sleepwear</v>
      </c>
    </row>
    <row r="1536" spans="1:16" x14ac:dyDescent="0.45">
      <c r="A1536">
        <v>196</v>
      </c>
      <c r="B1536">
        <v>597</v>
      </c>
      <c r="C1536">
        <v>76</v>
      </c>
      <c r="D1536">
        <v>4</v>
      </c>
      <c r="E1536">
        <v>51.7</v>
      </c>
      <c r="F1536">
        <v>51.7</v>
      </c>
      <c r="G1536">
        <v>0</v>
      </c>
      <c r="H1536" s="2">
        <v>0</v>
      </c>
      <c r="I1536">
        <v>0</v>
      </c>
      <c r="J1536">
        <v>206.8</v>
      </c>
      <c r="K1536" s="1">
        <v>45765</v>
      </c>
      <c r="L1536" t="s">
        <v>15</v>
      </c>
      <c r="M1536" t="s">
        <v>15</v>
      </c>
      <c r="N1536">
        <f>salesitems[[#This Row],[quantity]]*salesitems[[#This Row],[unit_price]]</f>
        <v>206.8</v>
      </c>
      <c r="O1536" t="str">
        <f>_xlfn.XLOOKUP(salesitems[[#This Row],[product_id]],products[product_id],products[product_name])</f>
        <v>Modern Cotton Trousers</v>
      </c>
      <c r="P1536" t="str">
        <f>_xlfn.XLOOKUP(salesitems[[#This Row],[product_id]],fashion_store_products!A:A,fashion_store_products!C:C)</f>
        <v>Pants</v>
      </c>
    </row>
    <row r="1537" spans="1:16" x14ac:dyDescent="0.45">
      <c r="A1537">
        <v>706</v>
      </c>
      <c r="B1537">
        <v>163</v>
      </c>
      <c r="C1537">
        <v>341</v>
      </c>
      <c r="D1537">
        <v>4</v>
      </c>
      <c r="E1537">
        <v>51.4</v>
      </c>
      <c r="F1537">
        <v>51.4</v>
      </c>
      <c r="G1537">
        <v>0</v>
      </c>
      <c r="H1537" s="2">
        <v>0</v>
      </c>
      <c r="I1537">
        <v>0</v>
      </c>
      <c r="J1537">
        <v>205.6</v>
      </c>
      <c r="K1537" s="1">
        <v>45797</v>
      </c>
      <c r="L1537" t="s">
        <v>15</v>
      </c>
      <c r="M1537" t="s">
        <v>15</v>
      </c>
      <c r="N1537">
        <f>salesitems[[#This Row],[quantity]]*salesitems[[#This Row],[unit_price]]</f>
        <v>205.6</v>
      </c>
      <c r="O1537" t="str">
        <f>_xlfn.XLOOKUP(salesitems[[#This Row],[product_id]],products[product_id],products[product_name])</f>
        <v>Essential Cotton Set</v>
      </c>
      <c r="P1537" t="str">
        <f>_xlfn.XLOOKUP(salesitems[[#This Row],[product_id]],fashion_store_products!A:A,fashion_store_products!C:C)</f>
        <v>Sleepwear</v>
      </c>
    </row>
    <row r="1538" spans="1:16" x14ac:dyDescent="0.45">
      <c r="A1538">
        <v>2544</v>
      </c>
      <c r="B1538">
        <v>269</v>
      </c>
      <c r="C1538">
        <v>341</v>
      </c>
      <c r="D1538">
        <v>4</v>
      </c>
      <c r="E1538">
        <v>51.4</v>
      </c>
      <c r="F1538">
        <v>51.4</v>
      </c>
      <c r="G1538">
        <v>0</v>
      </c>
      <c r="H1538" s="2">
        <v>0</v>
      </c>
      <c r="I1538">
        <v>0</v>
      </c>
      <c r="J1538">
        <v>205.6</v>
      </c>
      <c r="K1538" s="1">
        <v>45801</v>
      </c>
      <c r="L1538" t="s">
        <v>15</v>
      </c>
      <c r="M1538" t="s">
        <v>15</v>
      </c>
      <c r="N1538">
        <f>salesitems[[#This Row],[quantity]]*salesitems[[#This Row],[unit_price]]</f>
        <v>205.6</v>
      </c>
      <c r="O1538" t="str">
        <f>_xlfn.XLOOKUP(salesitems[[#This Row],[product_id]],products[product_id],products[product_name])</f>
        <v>Essential Cotton Set</v>
      </c>
      <c r="P1538" t="str">
        <f>_xlfn.XLOOKUP(salesitems[[#This Row],[product_id]],fashion_store_products!A:A,fashion_store_products!C:C)</f>
        <v>Sleepwear</v>
      </c>
    </row>
    <row r="1539" spans="1:16" x14ac:dyDescent="0.45">
      <c r="A1539">
        <v>1584</v>
      </c>
      <c r="B1539">
        <v>127</v>
      </c>
      <c r="C1539">
        <v>11</v>
      </c>
      <c r="D1539">
        <v>4</v>
      </c>
      <c r="E1539">
        <v>51.09</v>
      </c>
      <c r="F1539">
        <v>51.09</v>
      </c>
      <c r="G1539">
        <v>0</v>
      </c>
      <c r="H1539" s="2">
        <v>0</v>
      </c>
      <c r="I1539">
        <v>0</v>
      </c>
      <c r="J1539">
        <v>204.36</v>
      </c>
      <c r="K1539" s="1">
        <v>45760</v>
      </c>
      <c r="L1539" t="s">
        <v>15</v>
      </c>
      <c r="M1539" t="s">
        <v>15</v>
      </c>
      <c r="N1539">
        <f>salesitems[[#This Row],[quantity]]*salesitems[[#This Row],[unit_price]]</f>
        <v>204.36</v>
      </c>
      <c r="O1539" t="str">
        <f>_xlfn.XLOOKUP(salesitems[[#This Row],[product_id]],products[product_id],products[product_name])</f>
        <v>Soft Ribbed Shoes</v>
      </c>
      <c r="P1539" t="str">
        <f>_xlfn.XLOOKUP(salesitems[[#This Row],[product_id]],fashion_store_products!A:A,fashion_store_products!C:C)</f>
        <v>Shoes</v>
      </c>
    </row>
    <row r="1540" spans="1:16" x14ac:dyDescent="0.45">
      <c r="A1540">
        <v>3172</v>
      </c>
      <c r="B1540">
        <v>1070</v>
      </c>
      <c r="C1540">
        <v>11</v>
      </c>
      <c r="D1540">
        <v>4</v>
      </c>
      <c r="E1540">
        <v>51.09</v>
      </c>
      <c r="F1540">
        <v>51.09</v>
      </c>
      <c r="G1540">
        <v>0</v>
      </c>
      <c r="H1540" s="2">
        <v>0</v>
      </c>
      <c r="I1540">
        <v>0</v>
      </c>
      <c r="J1540">
        <v>204.36</v>
      </c>
      <c r="K1540" s="1">
        <v>45777</v>
      </c>
      <c r="L1540" t="s">
        <v>15</v>
      </c>
      <c r="M1540" t="s">
        <v>15</v>
      </c>
      <c r="N1540">
        <f>salesitems[[#This Row],[quantity]]*salesitems[[#This Row],[unit_price]]</f>
        <v>204.36</v>
      </c>
      <c r="O1540" t="str">
        <f>_xlfn.XLOOKUP(salesitems[[#This Row],[product_id]],products[product_id],products[product_name])</f>
        <v>Soft Ribbed Shoes</v>
      </c>
      <c r="P1540" t="str">
        <f>_xlfn.XLOOKUP(salesitems[[#This Row],[product_id]],fashion_store_products!A:A,fashion_store_products!C:C)</f>
        <v>Shoes</v>
      </c>
    </row>
    <row r="1541" spans="1:16" x14ac:dyDescent="0.45">
      <c r="A1541">
        <v>324</v>
      </c>
      <c r="B1541">
        <v>258</v>
      </c>
      <c r="C1541">
        <v>396</v>
      </c>
      <c r="D1541">
        <v>4</v>
      </c>
      <c r="E1541">
        <v>51</v>
      </c>
      <c r="F1541">
        <v>51</v>
      </c>
      <c r="G1541">
        <v>0</v>
      </c>
      <c r="H1541" s="2">
        <v>0</v>
      </c>
      <c r="I1541">
        <v>0</v>
      </c>
      <c r="J1541">
        <v>204</v>
      </c>
      <c r="K1541" s="1">
        <v>45806</v>
      </c>
      <c r="L1541" t="s">
        <v>21</v>
      </c>
      <c r="M1541" t="s">
        <v>18</v>
      </c>
      <c r="N1541">
        <f>salesitems[[#This Row],[quantity]]*salesitems[[#This Row],[unit_price]]</f>
        <v>204</v>
      </c>
      <c r="O1541" t="str">
        <f>_xlfn.XLOOKUP(salesitems[[#This Row],[product_id]],products[product_id],products[product_name])</f>
        <v>Elegant Crew Tee</v>
      </c>
      <c r="P1541" t="str">
        <f>_xlfn.XLOOKUP(salesitems[[#This Row],[product_id]],fashion_store_products!A:A,fashion_store_products!C:C)</f>
        <v>T-Shirts</v>
      </c>
    </row>
    <row r="1542" spans="1:16" x14ac:dyDescent="0.45">
      <c r="A1542">
        <v>3269</v>
      </c>
      <c r="B1542">
        <v>37</v>
      </c>
      <c r="C1542">
        <v>396</v>
      </c>
      <c r="D1542">
        <v>4</v>
      </c>
      <c r="E1542">
        <v>51</v>
      </c>
      <c r="F1542">
        <v>51</v>
      </c>
      <c r="G1542">
        <v>0</v>
      </c>
      <c r="H1542" s="2">
        <v>0</v>
      </c>
      <c r="I1542">
        <v>0</v>
      </c>
      <c r="J1542">
        <v>204</v>
      </c>
      <c r="K1542" s="1">
        <v>45769</v>
      </c>
      <c r="L1542" t="s">
        <v>15</v>
      </c>
      <c r="M1542" t="s">
        <v>15</v>
      </c>
      <c r="N1542">
        <f>salesitems[[#This Row],[quantity]]*salesitems[[#This Row],[unit_price]]</f>
        <v>204</v>
      </c>
      <c r="O1542" t="str">
        <f>_xlfn.XLOOKUP(salesitems[[#This Row],[product_id]],products[product_id],products[product_name])</f>
        <v>Elegant Crew Tee</v>
      </c>
      <c r="P1542" t="str">
        <f>_xlfn.XLOOKUP(salesitems[[#This Row],[product_id]],fashion_store_products!A:A,fashion_store_products!C:C)</f>
        <v>T-Shirts</v>
      </c>
    </row>
    <row r="1543" spans="1:16" x14ac:dyDescent="0.45">
      <c r="A1543">
        <v>2252</v>
      </c>
      <c r="B1543">
        <v>1015</v>
      </c>
      <c r="C1543">
        <v>8</v>
      </c>
      <c r="D1543">
        <v>4</v>
      </c>
      <c r="E1543">
        <v>50.91</v>
      </c>
      <c r="F1543">
        <v>50.91</v>
      </c>
      <c r="G1543">
        <v>0</v>
      </c>
      <c r="H1543" s="2">
        <v>0</v>
      </c>
      <c r="I1543">
        <v>0</v>
      </c>
      <c r="J1543">
        <v>203.64</v>
      </c>
      <c r="K1543" s="1">
        <v>45804</v>
      </c>
      <c r="L1543" t="s">
        <v>15</v>
      </c>
      <c r="M1543" t="s">
        <v>15</v>
      </c>
      <c r="N1543">
        <f>salesitems[[#This Row],[quantity]]*salesitems[[#This Row],[unit_price]]</f>
        <v>203.64</v>
      </c>
      <c r="O1543" t="str">
        <f>_xlfn.XLOOKUP(salesitems[[#This Row],[product_id]],products[product_id],products[product_name])</f>
        <v>Soft Linen Trousers</v>
      </c>
      <c r="P1543" t="str">
        <f>_xlfn.XLOOKUP(salesitems[[#This Row],[product_id]],fashion_store_products!A:A,fashion_store_products!C:C)</f>
        <v>Pants</v>
      </c>
    </row>
    <row r="1544" spans="1:16" x14ac:dyDescent="0.45">
      <c r="A1544">
        <v>878</v>
      </c>
      <c r="B1544">
        <v>400</v>
      </c>
      <c r="C1544">
        <v>421</v>
      </c>
      <c r="D1544">
        <v>4</v>
      </c>
      <c r="E1544">
        <v>50.89</v>
      </c>
      <c r="F1544">
        <v>50.89</v>
      </c>
      <c r="G1544">
        <v>0</v>
      </c>
      <c r="H1544" s="2">
        <v>0</v>
      </c>
      <c r="I1544">
        <v>0</v>
      </c>
      <c r="J1544">
        <v>203.56</v>
      </c>
      <c r="K1544" s="1">
        <v>45768</v>
      </c>
      <c r="L1544" t="s">
        <v>15</v>
      </c>
      <c r="M1544" t="s">
        <v>15</v>
      </c>
      <c r="N1544">
        <f>salesitems[[#This Row],[quantity]]*salesitems[[#This Row],[unit_price]]</f>
        <v>203.56</v>
      </c>
      <c r="O1544" t="str">
        <f>_xlfn.XLOOKUP(salesitems[[#This Row],[product_id]],products[product_id],products[product_name])</f>
        <v>Elegant Sleeveless Set</v>
      </c>
      <c r="P1544" t="str">
        <f>_xlfn.XLOOKUP(salesitems[[#This Row],[product_id]],fashion_store_products!A:A,fashion_store_products!C:C)</f>
        <v>Sleepwear</v>
      </c>
    </row>
    <row r="1545" spans="1:16" x14ac:dyDescent="0.45">
      <c r="A1545">
        <v>348</v>
      </c>
      <c r="B1545">
        <v>945</v>
      </c>
      <c r="C1545">
        <v>61</v>
      </c>
      <c r="D1545">
        <v>4</v>
      </c>
      <c r="E1545">
        <v>50.88</v>
      </c>
      <c r="F1545">
        <v>50.88</v>
      </c>
      <c r="G1545">
        <v>0</v>
      </c>
      <c r="H1545" s="2">
        <v>0</v>
      </c>
      <c r="I1545">
        <v>0</v>
      </c>
      <c r="J1545">
        <v>203.52</v>
      </c>
      <c r="K1545" s="1">
        <v>45764</v>
      </c>
      <c r="L1545" t="s">
        <v>21</v>
      </c>
      <c r="M1545" t="s">
        <v>18</v>
      </c>
      <c r="N1545">
        <f>salesitems[[#This Row],[quantity]]*salesitems[[#This Row],[unit_price]]</f>
        <v>203.52</v>
      </c>
      <c r="O1545" t="str">
        <f>_xlfn.XLOOKUP(salesitems[[#This Row],[product_id]],products[product_id],products[product_name])</f>
        <v>Modern Satin Tee</v>
      </c>
      <c r="P1545" t="str">
        <f>_xlfn.XLOOKUP(salesitems[[#This Row],[product_id]],fashion_store_products!A:A,fashion_store_products!C:C)</f>
        <v>T-Shirts</v>
      </c>
    </row>
    <row r="1546" spans="1:16" x14ac:dyDescent="0.45">
      <c r="A1546">
        <v>2774</v>
      </c>
      <c r="B1546">
        <v>1183</v>
      </c>
      <c r="C1546">
        <v>450</v>
      </c>
      <c r="D1546">
        <v>4</v>
      </c>
      <c r="E1546">
        <v>50.85</v>
      </c>
      <c r="F1546">
        <v>50.85</v>
      </c>
      <c r="G1546">
        <v>0</v>
      </c>
      <c r="H1546" s="2">
        <v>0</v>
      </c>
      <c r="I1546">
        <v>0</v>
      </c>
      <c r="J1546">
        <v>203.4</v>
      </c>
      <c r="K1546" s="1">
        <v>45765</v>
      </c>
      <c r="L1546" t="s">
        <v>15</v>
      </c>
      <c r="M1546" t="s">
        <v>15</v>
      </c>
      <c r="N1546">
        <f>salesitems[[#This Row],[quantity]]*salesitems[[#This Row],[unit_price]]</f>
        <v>203.4</v>
      </c>
      <c r="O1546" t="str">
        <f>_xlfn.XLOOKUP(salesitems[[#This Row],[product_id]],products[product_id],products[product_name])</f>
        <v>Bold Silk Set</v>
      </c>
      <c r="P1546" t="str">
        <f>_xlfn.XLOOKUP(salesitems[[#This Row],[product_id]],fashion_store_products!A:A,fashion_store_products!C:C)</f>
        <v>Sleepwear</v>
      </c>
    </row>
    <row r="1547" spans="1:16" x14ac:dyDescent="0.45">
      <c r="A1547">
        <v>2999</v>
      </c>
      <c r="B1547">
        <v>1276</v>
      </c>
      <c r="C1547">
        <v>273</v>
      </c>
      <c r="D1547">
        <v>4</v>
      </c>
      <c r="E1547">
        <v>50.72</v>
      </c>
      <c r="F1547">
        <v>50.72</v>
      </c>
      <c r="G1547">
        <v>0</v>
      </c>
      <c r="H1547" s="2">
        <v>0</v>
      </c>
      <c r="I1547">
        <v>0</v>
      </c>
      <c r="J1547">
        <v>202.88</v>
      </c>
      <c r="K1547" s="1">
        <v>45783</v>
      </c>
      <c r="L1547" t="s">
        <v>15</v>
      </c>
      <c r="M1547" t="s">
        <v>15</v>
      </c>
      <c r="N1547">
        <f>salesitems[[#This Row],[quantity]]*salesitems[[#This Row],[unit_price]]</f>
        <v>202.88</v>
      </c>
      <c r="O1547" t="str">
        <f>_xlfn.XLOOKUP(salesitems[[#This Row],[product_id]],products[product_id],products[product_name])</f>
        <v>Relaxed Crew Tee</v>
      </c>
      <c r="P1547" t="str">
        <f>_xlfn.XLOOKUP(salesitems[[#This Row],[product_id]],fashion_store_products!A:A,fashion_store_products!C:C)</f>
        <v>T-Shirts</v>
      </c>
    </row>
    <row r="1548" spans="1:16" x14ac:dyDescent="0.45">
      <c r="A1548">
        <v>3309</v>
      </c>
      <c r="B1548">
        <v>89</v>
      </c>
      <c r="C1548">
        <v>273</v>
      </c>
      <c r="D1548">
        <v>4</v>
      </c>
      <c r="E1548">
        <v>50.72</v>
      </c>
      <c r="F1548">
        <v>50.72</v>
      </c>
      <c r="G1548">
        <v>0</v>
      </c>
      <c r="H1548" s="2">
        <v>0</v>
      </c>
      <c r="I1548">
        <v>0</v>
      </c>
      <c r="J1548">
        <v>202.88</v>
      </c>
      <c r="K1548" s="1">
        <v>45772</v>
      </c>
      <c r="L1548" t="s">
        <v>21</v>
      </c>
      <c r="M1548" t="s">
        <v>18</v>
      </c>
      <c r="N1548">
        <f>salesitems[[#This Row],[quantity]]*salesitems[[#This Row],[unit_price]]</f>
        <v>202.88</v>
      </c>
      <c r="O1548" t="str">
        <f>_xlfn.XLOOKUP(salesitems[[#This Row],[product_id]],products[product_id],products[product_name])</f>
        <v>Relaxed Crew Tee</v>
      </c>
      <c r="P1548" t="str">
        <f>_xlfn.XLOOKUP(salesitems[[#This Row],[product_id]],fashion_store_products!A:A,fashion_store_products!C:C)</f>
        <v>T-Shirts</v>
      </c>
    </row>
    <row r="1549" spans="1:16" x14ac:dyDescent="0.45">
      <c r="A1549">
        <v>1851</v>
      </c>
      <c r="B1549">
        <v>609</v>
      </c>
      <c r="C1549">
        <v>488</v>
      </c>
      <c r="D1549">
        <v>4</v>
      </c>
      <c r="E1549">
        <v>50.68</v>
      </c>
      <c r="F1549">
        <v>50.68</v>
      </c>
      <c r="G1549">
        <v>0</v>
      </c>
      <c r="H1549" s="2">
        <v>0</v>
      </c>
      <c r="I1549">
        <v>0</v>
      </c>
      <c r="J1549">
        <v>202.72</v>
      </c>
      <c r="K1549" s="1">
        <v>45799</v>
      </c>
      <c r="L1549" t="s">
        <v>15</v>
      </c>
      <c r="M1549" t="s">
        <v>15</v>
      </c>
      <c r="N1549">
        <f>salesitems[[#This Row],[quantity]]*salesitems[[#This Row],[unit_price]]</f>
        <v>202.72</v>
      </c>
      <c r="O1549" t="str">
        <f>_xlfn.XLOOKUP(salesitems[[#This Row],[product_id]],products[product_id],products[product_name])</f>
        <v>Sleepwear Drop 3</v>
      </c>
      <c r="P1549" t="str">
        <f>_xlfn.XLOOKUP(salesitems[[#This Row],[product_id]],fashion_store_products!A:A,fashion_store_products!C:C)</f>
        <v>Sleepwear</v>
      </c>
    </row>
    <row r="1550" spans="1:16" x14ac:dyDescent="0.45">
      <c r="A1550">
        <v>2054</v>
      </c>
      <c r="B1550">
        <v>578</v>
      </c>
      <c r="C1550">
        <v>488</v>
      </c>
      <c r="D1550">
        <v>4</v>
      </c>
      <c r="E1550">
        <v>50.68</v>
      </c>
      <c r="F1550">
        <v>50.68</v>
      </c>
      <c r="G1550">
        <v>0</v>
      </c>
      <c r="H1550" s="2">
        <v>0</v>
      </c>
      <c r="I1550">
        <v>0</v>
      </c>
      <c r="J1550">
        <v>202.72</v>
      </c>
      <c r="K1550" s="1">
        <v>45772</v>
      </c>
      <c r="L1550" t="s">
        <v>15</v>
      </c>
      <c r="M1550" t="s">
        <v>15</v>
      </c>
      <c r="N1550">
        <f>salesitems[[#This Row],[quantity]]*salesitems[[#This Row],[unit_price]]</f>
        <v>202.72</v>
      </c>
      <c r="O1550" t="str">
        <f>_xlfn.XLOOKUP(salesitems[[#This Row],[product_id]],products[product_id],products[product_name])</f>
        <v>Sleepwear Drop 3</v>
      </c>
      <c r="P1550" t="str">
        <f>_xlfn.XLOOKUP(salesitems[[#This Row],[product_id]],fashion_store_products!A:A,fashion_store_products!C:C)</f>
        <v>Sleepwear</v>
      </c>
    </row>
    <row r="1551" spans="1:16" x14ac:dyDescent="0.45">
      <c r="A1551">
        <v>557</v>
      </c>
      <c r="B1551">
        <v>605</v>
      </c>
      <c r="C1551">
        <v>193</v>
      </c>
      <c r="D1551">
        <v>4</v>
      </c>
      <c r="E1551">
        <v>50.52</v>
      </c>
      <c r="F1551">
        <v>50.52</v>
      </c>
      <c r="G1551">
        <v>0</v>
      </c>
      <c r="H1551" s="2">
        <v>0</v>
      </c>
      <c r="I1551">
        <v>0</v>
      </c>
      <c r="J1551">
        <v>202.08</v>
      </c>
      <c r="K1551" s="1">
        <v>45753</v>
      </c>
      <c r="L1551" t="s">
        <v>15</v>
      </c>
      <c r="M1551" t="s">
        <v>15</v>
      </c>
      <c r="N1551">
        <f>salesitems[[#This Row],[quantity]]*salesitems[[#This Row],[unit_price]]</f>
        <v>202.08</v>
      </c>
      <c r="O1551" t="str">
        <f>_xlfn.XLOOKUP(salesitems[[#This Row],[product_id]],products[product_id],products[product_name])</f>
        <v>Vintage Silk Tee</v>
      </c>
      <c r="P1551" t="str">
        <f>_xlfn.XLOOKUP(salesitems[[#This Row],[product_id]],fashion_store_products!A:A,fashion_store_products!C:C)</f>
        <v>T-Shirts</v>
      </c>
    </row>
    <row r="1552" spans="1:16" x14ac:dyDescent="0.45">
      <c r="A1552">
        <v>1002</v>
      </c>
      <c r="B1552">
        <v>554</v>
      </c>
      <c r="C1552">
        <v>278</v>
      </c>
      <c r="D1552">
        <v>4</v>
      </c>
      <c r="E1552">
        <v>50.41</v>
      </c>
      <c r="F1552">
        <v>50.41</v>
      </c>
      <c r="G1552">
        <v>0</v>
      </c>
      <c r="H1552" s="2">
        <v>0</v>
      </c>
      <c r="I1552">
        <v>0</v>
      </c>
      <c r="J1552">
        <v>201.64</v>
      </c>
      <c r="K1552" s="1">
        <v>45821</v>
      </c>
      <c r="L1552" t="s">
        <v>21</v>
      </c>
      <c r="M1552" t="s">
        <v>18</v>
      </c>
      <c r="N1552">
        <f>salesitems[[#This Row],[quantity]]*salesitems[[#This Row],[unit_price]]</f>
        <v>201.64</v>
      </c>
      <c r="O1552" t="str">
        <f>_xlfn.XLOOKUP(salesitems[[#This Row],[product_id]],products[product_id],products[product_name])</f>
        <v>Essential Wrap Tee</v>
      </c>
      <c r="P1552" t="str">
        <f>_xlfn.XLOOKUP(salesitems[[#This Row],[product_id]],fashion_store_products!A:A,fashion_store_products!C:C)</f>
        <v>T-Shirts</v>
      </c>
    </row>
    <row r="1553" spans="1:16" x14ac:dyDescent="0.45">
      <c r="A1553">
        <v>788</v>
      </c>
      <c r="B1553">
        <v>357</v>
      </c>
      <c r="C1553">
        <v>370</v>
      </c>
      <c r="D1553">
        <v>4</v>
      </c>
      <c r="E1553">
        <v>50.34</v>
      </c>
      <c r="F1553">
        <v>50.34</v>
      </c>
      <c r="G1553">
        <v>0</v>
      </c>
      <c r="H1553" s="2">
        <v>0</v>
      </c>
      <c r="I1553">
        <v>0</v>
      </c>
      <c r="J1553">
        <v>201.36</v>
      </c>
      <c r="K1553" s="1">
        <v>45773</v>
      </c>
      <c r="L1553" t="s">
        <v>21</v>
      </c>
      <c r="M1553" t="s">
        <v>18</v>
      </c>
      <c r="N1553">
        <f>salesitems[[#This Row],[quantity]]*salesitems[[#This Row],[unit_price]]</f>
        <v>201.36</v>
      </c>
      <c r="O1553" t="str">
        <f>_xlfn.XLOOKUP(salesitems[[#This Row],[product_id]],products[product_id],products[product_name])</f>
        <v>Elegant Ribbed Tee</v>
      </c>
      <c r="P1553" t="str">
        <f>_xlfn.XLOOKUP(salesitems[[#This Row],[product_id]],fashion_store_products!A:A,fashion_store_products!C:C)</f>
        <v>T-Shirts</v>
      </c>
    </row>
    <row r="1554" spans="1:16" x14ac:dyDescent="0.45">
      <c r="A1554">
        <v>1251</v>
      </c>
      <c r="B1554">
        <v>722</v>
      </c>
      <c r="C1554">
        <v>370</v>
      </c>
      <c r="D1554">
        <v>4</v>
      </c>
      <c r="E1554">
        <v>50.34</v>
      </c>
      <c r="F1554">
        <v>50.34</v>
      </c>
      <c r="G1554">
        <v>0</v>
      </c>
      <c r="H1554" s="2">
        <v>0</v>
      </c>
      <c r="I1554">
        <v>0</v>
      </c>
      <c r="J1554">
        <v>201.36</v>
      </c>
      <c r="K1554" s="1">
        <v>45752</v>
      </c>
      <c r="L1554" t="s">
        <v>15</v>
      </c>
      <c r="M1554" t="s">
        <v>15</v>
      </c>
      <c r="N1554">
        <f>salesitems[[#This Row],[quantity]]*salesitems[[#This Row],[unit_price]]</f>
        <v>201.36</v>
      </c>
      <c r="O1554" t="str">
        <f>_xlfn.XLOOKUP(salesitems[[#This Row],[product_id]],products[product_id],products[product_name])</f>
        <v>Elegant Ribbed Tee</v>
      </c>
      <c r="P1554" t="str">
        <f>_xlfn.XLOOKUP(salesitems[[#This Row],[product_id]],fashion_store_products!A:A,fashion_store_products!C:C)</f>
        <v>T-Shirts</v>
      </c>
    </row>
    <row r="1555" spans="1:16" x14ac:dyDescent="0.45">
      <c r="A1555">
        <v>2782</v>
      </c>
      <c r="B1555">
        <v>80</v>
      </c>
      <c r="C1555">
        <v>419</v>
      </c>
      <c r="D1555">
        <v>4</v>
      </c>
      <c r="E1555">
        <v>50.34</v>
      </c>
      <c r="F1555">
        <v>50.34</v>
      </c>
      <c r="G1555">
        <v>0</v>
      </c>
      <c r="H1555" s="2">
        <v>0</v>
      </c>
      <c r="I1555">
        <v>0</v>
      </c>
      <c r="J1555">
        <v>201.36</v>
      </c>
      <c r="K1555" s="1">
        <v>45802</v>
      </c>
      <c r="L1555" t="s">
        <v>21</v>
      </c>
      <c r="M1555" t="s">
        <v>18</v>
      </c>
      <c r="N1555">
        <f>salesitems[[#This Row],[quantity]]*salesitems[[#This Row],[unit_price]]</f>
        <v>201.36</v>
      </c>
      <c r="O1555" t="str">
        <f>_xlfn.XLOOKUP(salesitems[[#This Row],[product_id]],products[product_id],products[product_name])</f>
        <v>Elegant Crew Dress</v>
      </c>
      <c r="P1555" t="str">
        <f>_xlfn.XLOOKUP(salesitems[[#This Row],[product_id]],fashion_store_products!A:A,fashion_store_products!C:C)</f>
        <v>Dresses</v>
      </c>
    </row>
    <row r="1556" spans="1:16" x14ac:dyDescent="0.45">
      <c r="A1556">
        <v>1459</v>
      </c>
      <c r="B1556">
        <v>906</v>
      </c>
      <c r="C1556">
        <v>150</v>
      </c>
      <c r="D1556">
        <v>4</v>
      </c>
      <c r="E1556">
        <v>50.04</v>
      </c>
      <c r="F1556">
        <v>50.04</v>
      </c>
      <c r="G1556">
        <v>0</v>
      </c>
      <c r="H1556" s="2">
        <v>0</v>
      </c>
      <c r="I1556">
        <v>0</v>
      </c>
      <c r="J1556">
        <v>200.16</v>
      </c>
      <c r="K1556" s="1">
        <v>45775</v>
      </c>
      <c r="L1556" t="s">
        <v>21</v>
      </c>
      <c r="M1556" t="s">
        <v>18</v>
      </c>
      <c r="N1556">
        <f>salesitems[[#This Row],[quantity]]*salesitems[[#This Row],[unit_price]]</f>
        <v>200.16</v>
      </c>
      <c r="O1556" t="str">
        <f>_xlfn.XLOOKUP(salesitems[[#This Row],[product_id]],products[product_id],products[product_name])</f>
        <v>Vintage Wrap Tee</v>
      </c>
      <c r="P1556" t="str">
        <f>_xlfn.XLOOKUP(salesitems[[#This Row],[product_id]],fashion_store_products!A:A,fashion_store_products!C:C)</f>
        <v>T-Shirts</v>
      </c>
    </row>
    <row r="1557" spans="1:16" x14ac:dyDescent="0.45">
      <c r="A1557">
        <v>2238</v>
      </c>
      <c r="B1557">
        <v>591</v>
      </c>
      <c r="C1557">
        <v>150</v>
      </c>
      <c r="D1557">
        <v>4</v>
      </c>
      <c r="E1557">
        <v>50.04</v>
      </c>
      <c r="F1557">
        <v>50.04</v>
      </c>
      <c r="G1557">
        <v>0</v>
      </c>
      <c r="H1557" s="2">
        <v>0</v>
      </c>
      <c r="I1557">
        <v>0</v>
      </c>
      <c r="J1557">
        <v>200.16</v>
      </c>
      <c r="K1557" s="1">
        <v>45800</v>
      </c>
      <c r="L1557" t="s">
        <v>21</v>
      </c>
      <c r="M1557" t="s">
        <v>18</v>
      </c>
      <c r="N1557">
        <f>salesitems[[#This Row],[quantity]]*salesitems[[#This Row],[unit_price]]</f>
        <v>200.16</v>
      </c>
      <c r="O1557" t="str">
        <f>_xlfn.XLOOKUP(salesitems[[#This Row],[product_id]],products[product_id],products[product_name])</f>
        <v>Vintage Wrap Tee</v>
      </c>
      <c r="P1557" t="str">
        <f>_xlfn.XLOOKUP(salesitems[[#This Row],[product_id]],fashion_store_products!A:A,fashion_store_products!C:C)</f>
        <v>T-Shirts</v>
      </c>
    </row>
    <row r="1558" spans="1:16" x14ac:dyDescent="0.45">
      <c r="A1558">
        <v>1824</v>
      </c>
      <c r="B1558">
        <v>691</v>
      </c>
      <c r="C1558">
        <v>69</v>
      </c>
      <c r="D1558">
        <v>4</v>
      </c>
      <c r="E1558">
        <v>49.98</v>
      </c>
      <c r="F1558">
        <v>49.98</v>
      </c>
      <c r="G1558">
        <v>0</v>
      </c>
      <c r="H1558" s="2">
        <v>0</v>
      </c>
      <c r="I1558">
        <v>0</v>
      </c>
      <c r="J1558">
        <v>199.92</v>
      </c>
      <c r="K1558" s="1">
        <v>45825</v>
      </c>
      <c r="L1558" t="s">
        <v>15</v>
      </c>
      <c r="M1558" t="s">
        <v>15</v>
      </c>
      <c r="N1558">
        <f>salesitems[[#This Row],[quantity]]*salesitems[[#This Row],[unit_price]]</f>
        <v>199.92</v>
      </c>
      <c r="O1558" t="str">
        <f>_xlfn.XLOOKUP(salesitems[[#This Row],[product_id]],products[product_id],products[product_name])</f>
        <v>Modern Linen Shoes</v>
      </c>
      <c r="P1558" t="str">
        <f>_xlfn.XLOOKUP(salesitems[[#This Row],[product_id]],fashion_store_products!A:A,fashion_store_products!C:C)</f>
        <v>Shoes</v>
      </c>
    </row>
    <row r="1559" spans="1:16" x14ac:dyDescent="0.45">
      <c r="A1559">
        <v>1033</v>
      </c>
      <c r="B1559">
        <v>152</v>
      </c>
      <c r="C1559">
        <v>487</v>
      </c>
      <c r="D1559">
        <v>4</v>
      </c>
      <c r="E1559">
        <v>49.84</v>
      </c>
      <c r="F1559">
        <v>49.84</v>
      </c>
      <c r="G1559">
        <v>0</v>
      </c>
      <c r="H1559" s="2">
        <v>0</v>
      </c>
      <c r="I1559">
        <v>0</v>
      </c>
      <c r="J1559">
        <v>199.36</v>
      </c>
      <c r="K1559" s="1">
        <v>45781</v>
      </c>
      <c r="L1559" t="s">
        <v>15</v>
      </c>
      <c r="M1559" t="s">
        <v>15</v>
      </c>
      <c r="N1559">
        <f>salesitems[[#This Row],[quantity]]*salesitems[[#This Row],[unit_price]]</f>
        <v>199.36</v>
      </c>
      <c r="O1559" t="str">
        <f>_xlfn.XLOOKUP(salesitems[[#This Row],[product_id]],products[product_id],products[product_name])</f>
        <v>Bold High-Waist Shoes</v>
      </c>
      <c r="P1559" t="str">
        <f>_xlfn.XLOOKUP(salesitems[[#This Row],[product_id]],fashion_store_products!A:A,fashion_store_products!C:C)</f>
        <v>Shoes</v>
      </c>
    </row>
    <row r="1560" spans="1:16" x14ac:dyDescent="0.45">
      <c r="A1560">
        <v>765</v>
      </c>
      <c r="B1560">
        <v>1134</v>
      </c>
      <c r="C1560">
        <v>436</v>
      </c>
      <c r="D1560">
        <v>4</v>
      </c>
      <c r="E1560">
        <v>49.81</v>
      </c>
      <c r="F1560">
        <v>49.81</v>
      </c>
      <c r="G1560">
        <v>0</v>
      </c>
      <c r="H1560" s="2">
        <v>0</v>
      </c>
      <c r="I1560">
        <v>0</v>
      </c>
      <c r="J1560">
        <v>199.24</v>
      </c>
      <c r="K1560" s="1">
        <v>45805</v>
      </c>
      <c r="L1560" t="s">
        <v>15</v>
      </c>
      <c r="M1560" t="s">
        <v>15</v>
      </c>
      <c r="N1560">
        <f>salesitems[[#This Row],[quantity]]*salesitems[[#This Row],[unit_price]]</f>
        <v>199.24</v>
      </c>
      <c r="O1560" t="str">
        <f>_xlfn.XLOOKUP(salesitems[[#This Row],[product_id]],products[product_id],products[product_name])</f>
        <v>Bold Wrap Shoes</v>
      </c>
      <c r="P1560" t="str">
        <f>_xlfn.XLOOKUP(salesitems[[#This Row],[product_id]],fashion_store_products!A:A,fashion_store_products!C:C)</f>
        <v>Shoes</v>
      </c>
    </row>
    <row r="1561" spans="1:16" x14ac:dyDescent="0.45">
      <c r="A1561">
        <v>2639</v>
      </c>
      <c r="B1561">
        <v>827</v>
      </c>
      <c r="C1561">
        <v>173</v>
      </c>
      <c r="D1561">
        <v>4</v>
      </c>
      <c r="E1561">
        <v>49.74</v>
      </c>
      <c r="F1561">
        <v>49.74</v>
      </c>
      <c r="G1561">
        <v>0</v>
      </c>
      <c r="H1561" s="2">
        <v>0</v>
      </c>
      <c r="I1561">
        <v>0</v>
      </c>
      <c r="J1561">
        <v>198.96</v>
      </c>
      <c r="K1561" s="1">
        <v>45822</v>
      </c>
      <c r="L1561" t="s">
        <v>21</v>
      </c>
      <c r="M1561" t="s">
        <v>18</v>
      </c>
      <c r="N1561">
        <f>salesitems[[#This Row],[quantity]]*salesitems[[#This Row],[unit_price]]</f>
        <v>198.96</v>
      </c>
      <c r="O1561" t="str">
        <f>_xlfn.XLOOKUP(salesitems[[#This Row],[product_id]],products[product_id],products[product_name])</f>
        <v>Polished Linen Dress</v>
      </c>
      <c r="P1561" t="str">
        <f>_xlfn.XLOOKUP(salesitems[[#This Row],[product_id]],fashion_store_products!A:A,fashion_store_products!C:C)</f>
        <v>Dresses</v>
      </c>
    </row>
    <row r="1562" spans="1:16" x14ac:dyDescent="0.45">
      <c r="A1562">
        <v>2286</v>
      </c>
      <c r="B1562">
        <v>980</v>
      </c>
      <c r="C1562">
        <v>268</v>
      </c>
      <c r="D1562">
        <v>4</v>
      </c>
      <c r="E1562">
        <v>49.59</v>
      </c>
      <c r="F1562">
        <v>49.59</v>
      </c>
      <c r="G1562">
        <v>0</v>
      </c>
      <c r="H1562" s="2">
        <v>0</v>
      </c>
      <c r="I1562">
        <v>0</v>
      </c>
      <c r="J1562">
        <v>198.36</v>
      </c>
      <c r="K1562" s="1">
        <v>45804</v>
      </c>
      <c r="L1562" t="s">
        <v>15</v>
      </c>
      <c r="M1562" t="s">
        <v>15</v>
      </c>
      <c r="N1562">
        <f>salesitems[[#This Row],[quantity]]*salesitems[[#This Row],[unit_price]]</f>
        <v>198.36</v>
      </c>
      <c r="O1562" t="str">
        <f>_xlfn.XLOOKUP(salesitems[[#This Row],[product_id]],products[product_id],products[product_name])</f>
        <v>Polished Boxy Set</v>
      </c>
      <c r="P1562" t="str">
        <f>_xlfn.XLOOKUP(salesitems[[#This Row],[product_id]],fashion_store_products!A:A,fashion_store_products!C:C)</f>
        <v>Sleepwear</v>
      </c>
    </row>
    <row r="1563" spans="1:16" x14ac:dyDescent="0.45">
      <c r="A1563">
        <v>2137</v>
      </c>
      <c r="B1563">
        <v>1234</v>
      </c>
      <c r="C1563">
        <v>190</v>
      </c>
      <c r="D1563">
        <v>4</v>
      </c>
      <c r="E1563">
        <v>49.41</v>
      </c>
      <c r="F1563">
        <v>49.41</v>
      </c>
      <c r="G1563">
        <v>0</v>
      </c>
      <c r="H1563" s="2">
        <v>0</v>
      </c>
      <c r="I1563">
        <v>0</v>
      </c>
      <c r="J1563">
        <v>197.64</v>
      </c>
      <c r="K1563" s="1">
        <v>45770</v>
      </c>
      <c r="L1563" t="s">
        <v>15</v>
      </c>
      <c r="M1563" t="s">
        <v>15</v>
      </c>
      <c r="N1563">
        <f>salesitems[[#This Row],[quantity]]*salesitems[[#This Row],[unit_price]]</f>
        <v>197.64</v>
      </c>
      <c r="O1563" t="str">
        <f>_xlfn.XLOOKUP(salesitems[[#This Row],[product_id]],products[product_id],products[product_name])</f>
        <v>Polished Cotton Dress</v>
      </c>
      <c r="P1563" t="str">
        <f>_xlfn.XLOOKUP(salesitems[[#This Row],[product_id]],fashion_store_products!A:A,fashion_store_products!C:C)</f>
        <v>Dresses</v>
      </c>
    </row>
    <row r="1564" spans="1:16" x14ac:dyDescent="0.45">
      <c r="A1564">
        <v>2685</v>
      </c>
      <c r="B1564">
        <v>1326</v>
      </c>
      <c r="C1564">
        <v>43</v>
      </c>
      <c r="D1564">
        <v>4</v>
      </c>
      <c r="E1564">
        <v>49.4</v>
      </c>
      <c r="F1564">
        <v>49.4</v>
      </c>
      <c r="G1564">
        <v>0</v>
      </c>
      <c r="H1564" s="2">
        <v>0</v>
      </c>
      <c r="I1564">
        <v>0</v>
      </c>
      <c r="J1564">
        <v>197.6</v>
      </c>
      <c r="K1564" s="1">
        <v>45795</v>
      </c>
      <c r="L1564" t="s">
        <v>21</v>
      </c>
      <c r="M1564" t="s">
        <v>18</v>
      </c>
      <c r="N1564">
        <f>salesitems[[#This Row],[quantity]]*salesitems[[#This Row],[unit_price]]</f>
        <v>197.6</v>
      </c>
      <c r="O1564" t="str">
        <f>_xlfn.XLOOKUP(salesitems[[#This Row],[product_id]],products[product_id],products[product_name])</f>
        <v>Modern Satin Dress</v>
      </c>
      <c r="P1564" t="str">
        <f>_xlfn.XLOOKUP(salesitems[[#This Row],[product_id]],fashion_store_products!A:A,fashion_store_products!C:C)</f>
        <v>Dresses</v>
      </c>
    </row>
    <row r="1565" spans="1:16" x14ac:dyDescent="0.45">
      <c r="A1565">
        <v>2839</v>
      </c>
      <c r="B1565">
        <v>607</v>
      </c>
      <c r="C1565">
        <v>43</v>
      </c>
      <c r="D1565">
        <v>4</v>
      </c>
      <c r="E1565">
        <v>49.4</v>
      </c>
      <c r="F1565">
        <v>49.4</v>
      </c>
      <c r="G1565">
        <v>0</v>
      </c>
      <c r="H1565" s="2">
        <v>0</v>
      </c>
      <c r="I1565">
        <v>0</v>
      </c>
      <c r="J1565">
        <v>197.6</v>
      </c>
      <c r="K1565" s="1">
        <v>45777</v>
      </c>
      <c r="L1565" t="s">
        <v>15</v>
      </c>
      <c r="M1565" t="s">
        <v>15</v>
      </c>
      <c r="N1565">
        <f>salesitems[[#This Row],[quantity]]*salesitems[[#This Row],[unit_price]]</f>
        <v>197.6</v>
      </c>
      <c r="O1565" t="str">
        <f>_xlfn.XLOOKUP(salesitems[[#This Row],[product_id]],products[product_id],products[product_name])</f>
        <v>Modern Satin Dress</v>
      </c>
      <c r="P1565" t="str">
        <f>_xlfn.XLOOKUP(salesitems[[#This Row],[product_id]],fashion_store_products!A:A,fashion_store_products!C:C)</f>
        <v>Dresses</v>
      </c>
    </row>
    <row r="1566" spans="1:16" x14ac:dyDescent="0.45">
      <c r="A1566">
        <v>96</v>
      </c>
      <c r="B1566">
        <v>38</v>
      </c>
      <c r="C1566">
        <v>175</v>
      </c>
      <c r="D1566">
        <v>4</v>
      </c>
      <c r="E1566">
        <v>49.16</v>
      </c>
      <c r="F1566">
        <v>49.16</v>
      </c>
      <c r="G1566">
        <v>0</v>
      </c>
      <c r="H1566" s="2">
        <v>0</v>
      </c>
      <c r="I1566">
        <v>0</v>
      </c>
      <c r="J1566">
        <v>196.64</v>
      </c>
      <c r="K1566" s="1">
        <v>45803</v>
      </c>
      <c r="L1566" t="s">
        <v>21</v>
      </c>
      <c r="M1566" t="s">
        <v>18</v>
      </c>
      <c r="N1566">
        <f>salesitems[[#This Row],[quantity]]*salesitems[[#This Row],[unit_price]]</f>
        <v>196.64</v>
      </c>
      <c r="O1566" t="str">
        <f>_xlfn.XLOOKUP(salesitems[[#This Row],[product_id]],products[product_id],products[product_name])</f>
        <v>Vintage Cotton Tee</v>
      </c>
      <c r="P1566" t="str">
        <f>_xlfn.XLOOKUP(salesitems[[#This Row],[product_id]],fashion_store_products!A:A,fashion_store_products!C:C)</f>
        <v>T-Shirts</v>
      </c>
    </row>
    <row r="1567" spans="1:16" x14ac:dyDescent="0.45">
      <c r="A1567">
        <v>1414</v>
      </c>
      <c r="B1567">
        <v>135</v>
      </c>
      <c r="C1567">
        <v>175</v>
      </c>
      <c r="D1567">
        <v>4</v>
      </c>
      <c r="E1567">
        <v>49.16</v>
      </c>
      <c r="F1567">
        <v>49.16</v>
      </c>
      <c r="G1567">
        <v>0</v>
      </c>
      <c r="H1567" s="2">
        <v>0</v>
      </c>
      <c r="I1567">
        <v>0</v>
      </c>
      <c r="J1567">
        <v>196.64</v>
      </c>
      <c r="K1567" s="1">
        <v>45792</v>
      </c>
      <c r="L1567" t="s">
        <v>21</v>
      </c>
      <c r="M1567" t="s">
        <v>18</v>
      </c>
      <c r="N1567">
        <f>salesitems[[#This Row],[quantity]]*salesitems[[#This Row],[unit_price]]</f>
        <v>196.64</v>
      </c>
      <c r="O1567" t="str">
        <f>_xlfn.XLOOKUP(salesitems[[#This Row],[product_id]],products[product_id],products[product_name])</f>
        <v>Vintage Cotton Tee</v>
      </c>
      <c r="P1567" t="str">
        <f>_xlfn.XLOOKUP(salesitems[[#This Row],[product_id]],fashion_store_products!A:A,fashion_store_products!C:C)</f>
        <v>T-Shirts</v>
      </c>
    </row>
    <row r="1568" spans="1:16" x14ac:dyDescent="0.45">
      <c r="A1568">
        <v>2647</v>
      </c>
      <c r="B1568">
        <v>1352</v>
      </c>
      <c r="C1568">
        <v>216</v>
      </c>
      <c r="D1568">
        <v>4</v>
      </c>
      <c r="E1568">
        <v>48.86</v>
      </c>
      <c r="F1568">
        <v>48.86</v>
      </c>
      <c r="G1568">
        <v>0</v>
      </c>
      <c r="H1568" s="2">
        <v>0</v>
      </c>
      <c r="I1568">
        <v>0</v>
      </c>
      <c r="J1568">
        <v>195.44</v>
      </c>
      <c r="K1568" s="1">
        <v>45799</v>
      </c>
      <c r="L1568" t="s">
        <v>15</v>
      </c>
      <c r="M1568" t="s">
        <v>15</v>
      </c>
      <c r="N1568">
        <f>salesitems[[#This Row],[quantity]]*salesitems[[#This Row],[unit_price]]</f>
        <v>195.44</v>
      </c>
      <c r="O1568" t="str">
        <f>_xlfn.XLOOKUP(salesitems[[#This Row],[product_id]],products[product_id],products[product_name])</f>
        <v>Polished Satin Shoes</v>
      </c>
      <c r="P1568" t="str">
        <f>_xlfn.XLOOKUP(salesitems[[#This Row],[product_id]],fashion_store_products!A:A,fashion_store_products!C:C)</f>
        <v>Shoes</v>
      </c>
    </row>
    <row r="1569" spans="1:16" x14ac:dyDescent="0.45">
      <c r="A1569">
        <v>1047</v>
      </c>
      <c r="B1569">
        <v>1156</v>
      </c>
      <c r="C1569">
        <v>295</v>
      </c>
      <c r="D1569">
        <v>4</v>
      </c>
      <c r="E1569">
        <v>48.73</v>
      </c>
      <c r="F1569">
        <v>48.73</v>
      </c>
      <c r="G1569">
        <v>0</v>
      </c>
      <c r="H1569" s="2">
        <v>0</v>
      </c>
      <c r="I1569">
        <v>0</v>
      </c>
      <c r="J1569">
        <v>194.92</v>
      </c>
      <c r="K1569" s="1">
        <v>45798</v>
      </c>
      <c r="L1569" t="s">
        <v>15</v>
      </c>
      <c r="M1569" t="s">
        <v>15</v>
      </c>
      <c r="N1569">
        <f>salesitems[[#This Row],[quantity]]*salesitems[[#This Row],[unit_price]]</f>
        <v>194.92</v>
      </c>
      <c r="O1569" t="str">
        <f>_xlfn.XLOOKUP(salesitems[[#This Row],[product_id]],products[product_id],products[product_name])</f>
        <v>Polished Boxy Trousers</v>
      </c>
      <c r="P1569" t="str">
        <f>_xlfn.XLOOKUP(salesitems[[#This Row],[product_id]],fashion_store_products!A:A,fashion_store_products!C:C)</f>
        <v>Pants</v>
      </c>
    </row>
    <row r="1570" spans="1:16" x14ac:dyDescent="0.45">
      <c r="A1570">
        <v>2559</v>
      </c>
      <c r="B1570">
        <v>82</v>
      </c>
      <c r="C1570">
        <v>301</v>
      </c>
      <c r="D1570">
        <v>4</v>
      </c>
      <c r="E1570">
        <v>48.72</v>
      </c>
      <c r="F1570">
        <v>48.72</v>
      </c>
      <c r="G1570">
        <v>0</v>
      </c>
      <c r="H1570" s="2">
        <v>0</v>
      </c>
      <c r="I1570">
        <v>0</v>
      </c>
      <c r="J1570">
        <v>194.88</v>
      </c>
      <c r="K1570" s="1">
        <v>45761</v>
      </c>
      <c r="L1570" t="s">
        <v>21</v>
      </c>
      <c r="M1570" t="s">
        <v>18</v>
      </c>
      <c r="N1570">
        <f>salesitems[[#This Row],[quantity]]*salesitems[[#This Row],[unit_price]]</f>
        <v>194.88</v>
      </c>
      <c r="O1570" t="str">
        <f>_xlfn.XLOOKUP(salesitems[[#This Row],[product_id]],products[product_id],products[product_name])</f>
        <v>Essential Linen Dress</v>
      </c>
      <c r="P1570" t="str">
        <f>_xlfn.XLOOKUP(salesitems[[#This Row],[product_id]],fashion_store_products!A:A,fashion_store_products!C:C)</f>
        <v>Dresses</v>
      </c>
    </row>
    <row r="1571" spans="1:16" x14ac:dyDescent="0.45">
      <c r="A1571">
        <v>509</v>
      </c>
      <c r="B1571">
        <v>273</v>
      </c>
      <c r="C1571">
        <v>34</v>
      </c>
      <c r="D1571">
        <v>4</v>
      </c>
      <c r="E1571">
        <v>48.34</v>
      </c>
      <c r="F1571">
        <v>48.34</v>
      </c>
      <c r="G1571">
        <v>0</v>
      </c>
      <c r="H1571" s="2">
        <v>0</v>
      </c>
      <c r="I1571">
        <v>0</v>
      </c>
      <c r="J1571">
        <v>193.36</v>
      </c>
      <c r="K1571" s="1">
        <v>45824</v>
      </c>
      <c r="L1571" t="s">
        <v>15</v>
      </c>
      <c r="M1571" t="s">
        <v>15</v>
      </c>
      <c r="N1571">
        <f>salesitems[[#This Row],[quantity]]*salesitems[[#This Row],[unit_price]]</f>
        <v>193.36</v>
      </c>
      <c r="O1571" t="str">
        <f>_xlfn.XLOOKUP(salesitems[[#This Row],[product_id]],products[product_id],products[product_name])</f>
        <v>Modern Linen Dress</v>
      </c>
      <c r="P1571" t="str">
        <f>_xlfn.XLOOKUP(salesitems[[#This Row],[product_id]],fashion_store_products!A:A,fashion_store_products!C:C)</f>
        <v>Dresses</v>
      </c>
    </row>
    <row r="1572" spans="1:16" x14ac:dyDescent="0.45">
      <c r="A1572">
        <v>2851</v>
      </c>
      <c r="B1572">
        <v>235</v>
      </c>
      <c r="C1572">
        <v>108</v>
      </c>
      <c r="D1572">
        <v>4</v>
      </c>
      <c r="E1572">
        <v>48.19</v>
      </c>
      <c r="F1572">
        <v>48.19</v>
      </c>
      <c r="G1572">
        <v>0</v>
      </c>
      <c r="H1572" s="2">
        <v>0</v>
      </c>
      <c r="I1572">
        <v>0</v>
      </c>
      <c r="J1572">
        <v>192.76</v>
      </c>
      <c r="K1572" s="1">
        <v>45753</v>
      </c>
      <c r="L1572" t="s">
        <v>21</v>
      </c>
      <c r="M1572" t="s">
        <v>18</v>
      </c>
      <c r="N1572">
        <f>salesitems[[#This Row],[quantity]]*salesitems[[#This Row],[unit_price]]</f>
        <v>192.76</v>
      </c>
      <c r="O1572" t="str">
        <f>_xlfn.XLOOKUP(salesitems[[#This Row],[product_id]],products[product_id],products[product_name])</f>
        <v>Modern Crew Trousers</v>
      </c>
      <c r="P1572" t="str">
        <f>_xlfn.XLOOKUP(salesitems[[#This Row],[product_id]],fashion_store_products!A:A,fashion_store_products!C:C)</f>
        <v>Pants</v>
      </c>
    </row>
    <row r="1573" spans="1:16" x14ac:dyDescent="0.45">
      <c r="A1573">
        <v>2493</v>
      </c>
      <c r="B1573">
        <v>630</v>
      </c>
      <c r="C1573">
        <v>455</v>
      </c>
      <c r="D1573">
        <v>4</v>
      </c>
      <c r="E1573">
        <v>48.03</v>
      </c>
      <c r="F1573">
        <v>48.03</v>
      </c>
      <c r="G1573">
        <v>0</v>
      </c>
      <c r="H1573" s="2">
        <v>0</v>
      </c>
      <c r="I1573">
        <v>0</v>
      </c>
      <c r="J1573">
        <v>192.12</v>
      </c>
      <c r="K1573" s="1">
        <v>45806</v>
      </c>
      <c r="L1573" t="s">
        <v>21</v>
      </c>
      <c r="M1573" t="s">
        <v>18</v>
      </c>
      <c r="N1573">
        <f>salesitems[[#This Row],[quantity]]*salesitems[[#This Row],[unit_price]]</f>
        <v>192.12</v>
      </c>
      <c r="O1573" t="str">
        <f>_xlfn.XLOOKUP(salesitems[[#This Row],[product_id]],products[product_id],products[product_name])</f>
        <v>Tailored Ribbed Trousers</v>
      </c>
      <c r="P1573" t="str">
        <f>_xlfn.XLOOKUP(salesitems[[#This Row],[product_id]],fashion_store_products!A:A,fashion_store_products!C:C)</f>
        <v>Pants</v>
      </c>
    </row>
    <row r="1574" spans="1:16" x14ac:dyDescent="0.45">
      <c r="A1574">
        <v>1813</v>
      </c>
      <c r="B1574">
        <v>870</v>
      </c>
      <c r="C1574">
        <v>121</v>
      </c>
      <c r="D1574">
        <v>4</v>
      </c>
      <c r="E1574">
        <v>47.91</v>
      </c>
      <c r="F1574">
        <v>47.91</v>
      </c>
      <c r="G1574">
        <v>0</v>
      </c>
      <c r="H1574" s="2">
        <v>0</v>
      </c>
      <c r="I1574">
        <v>0</v>
      </c>
      <c r="J1574">
        <v>191.64</v>
      </c>
      <c r="K1574" s="1">
        <v>45805</v>
      </c>
      <c r="L1574" t="s">
        <v>15</v>
      </c>
      <c r="M1574" t="s">
        <v>15</v>
      </c>
      <c r="N1574">
        <f>salesitems[[#This Row],[quantity]]*salesitems[[#This Row],[unit_price]]</f>
        <v>191.64</v>
      </c>
      <c r="O1574" t="str">
        <f>_xlfn.XLOOKUP(salesitems[[#This Row],[product_id]],products[product_id],products[product_name])</f>
        <v>Classic Cotton Shoes</v>
      </c>
      <c r="P1574" t="str">
        <f>_xlfn.XLOOKUP(salesitems[[#This Row],[product_id]],fashion_store_products!A:A,fashion_store_products!C:C)</f>
        <v>Shoes</v>
      </c>
    </row>
    <row r="1575" spans="1:16" x14ac:dyDescent="0.45">
      <c r="A1575">
        <v>1181</v>
      </c>
      <c r="B1575">
        <v>698</v>
      </c>
      <c r="C1575">
        <v>183</v>
      </c>
      <c r="D1575">
        <v>4</v>
      </c>
      <c r="E1575">
        <v>47.87</v>
      </c>
      <c r="F1575">
        <v>47.87</v>
      </c>
      <c r="G1575">
        <v>0</v>
      </c>
      <c r="H1575" s="2">
        <v>0</v>
      </c>
      <c r="I1575">
        <v>0</v>
      </c>
      <c r="J1575">
        <v>191.48</v>
      </c>
      <c r="K1575" s="1">
        <v>45793</v>
      </c>
      <c r="L1575" t="s">
        <v>21</v>
      </c>
      <c r="M1575" t="s">
        <v>18</v>
      </c>
      <c r="N1575">
        <f>salesitems[[#This Row],[quantity]]*salesitems[[#This Row],[unit_price]]</f>
        <v>191.48</v>
      </c>
      <c r="O1575" t="str">
        <f>_xlfn.XLOOKUP(salesitems[[#This Row],[product_id]],products[product_id],products[product_name])</f>
        <v>Vintage Silk Set</v>
      </c>
      <c r="P1575" t="str">
        <f>_xlfn.XLOOKUP(salesitems[[#This Row],[product_id]],fashion_store_products!A:A,fashion_store_products!C:C)</f>
        <v>Sleepwear</v>
      </c>
    </row>
    <row r="1576" spans="1:16" x14ac:dyDescent="0.45">
      <c r="A1576">
        <v>3000</v>
      </c>
      <c r="B1576">
        <v>480</v>
      </c>
      <c r="C1576">
        <v>185</v>
      </c>
      <c r="D1576">
        <v>4</v>
      </c>
      <c r="E1576">
        <v>47.73</v>
      </c>
      <c r="F1576">
        <v>47.73</v>
      </c>
      <c r="G1576">
        <v>0</v>
      </c>
      <c r="H1576" s="2">
        <v>0</v>
      </c>
      <c r="I1576">
        <v>0</v>
      </c>
      <c r="J1576">
        <v>190.92</v>
      </c>
      <c r="K1576" s="1">
        <v>45771</v>
      </c>
      <c r="L1576" t="s">
        <v>21</v>
      </c>
      <c r="M1576" t="s">
        <v>18</v>
      </c>
      <c r="N1576">
        <f>salesitems[[#This Row],[quantity]]*salesitems[[#This Row],[unit_price]]</f>
        <v>190.92</v>
      </c>
      <c r="O1576" t="str">
        <f>_xlfn.XLOOKUP(salesitems[[#This Row],[product_id]],products[product_id],products[product_name])</f>
        <v>Vintage Linen Trousers</v>
      </c>
      <c r="P1576" t="str">
        <f>_xlfn.XLOOKUP(salesitems[[#This Row],[product_id]],fashion_store_products!A:A,fashion_store_products!C:C)</f>
        <v>Pants</v>
      </c>
    </row>
    <row r="1577" spans="1:16" x14ac:dyDescent="0.45">
      <c r="A1577">
        <v>1248</v>
      </c>
      <c r="B1577">
        <v>672</v>
      </c>
      <c r="C1577">
        <v>447</v>
      </c>
      <c r="D1577">
        <v>4</v>
      </c>
      <c r="E1577">
        <v>47.66</v>
      </c>
      <c r="F1577">
        <v>47.66</v>
      </c>
      <c r="G1577">
        <v>0</v>
      </c>
      <c r="H1577" s="2">
        <v>0</v>
      </c>
      <c r="I1577">
        <v>0</v>
      </c>
      <c r="J1577">
        <v>190.64</v>
      </c>
      <c r="K1577" s="1">
        <v>45772</v>
      </c>
      <c r="L1577" t="s">
        <v>15</v>
      </c>
      <c r="M1577" t="s">
        <v>15</v>
      </c>
      <c r="N1577">
        <f>salesitems[[#This Row],[quantity]]*salesitems[[#This Row],[unit_price]]</f>
        <v>190.64</v>
      </c>
      <c r="O1577" t="str">
        <f>_xlfn.XLOOKUP(salesitems[[#This Row],[product_id]],products[product_id],products[product_name])</f>
        <v>Bold Satin Dress</v>
      </c>
      <c r="P1577" t="str">
        <f>_xlfn.XLOOKUP(salesitems[[#This Row],[product_id]],fashion_store_products!A:A,fashion_store_products!C:C)</f>
        <v>Dresses</v>
      </c>
    </row>
    <row r="1578" spans="1:16" x14ac:dyDescent="0.45">
      <c r="A1578">
        <v>3123</v>
      </c>
      <c r="B1578">
        <v>120</v>
      </c>
      <c r="C1578">
        <v>262</v>
      </c>
      <c r="D1578">
        <v>4</v>
      </c>
      <c r="E1578">
        <v>52.94</v>
      </c>
      <c r="F1578">
        <v>47.65</v>
      </c>
      <c r="G1578">
        <v>5.29</v>
      </c>
      <c r="H1578" s="2">
        <v>0.1</v>
      </c>
      <c r="I1578">
        <v>1</v>
      </c>
      <c r="J1578">
        <v>190.58</v>
      </c>
      <c r="K1578" s="1">
        <v>45814</v>
      </c>
      <c r="L1578" t="s">
        <v>21</v>
      </c>
      <c r="M1578" t="s">
        <v>18</v>
      </c>
      <c r="N1578">
        <f>salesitems[[#This Row],[quantity]]*salesitems[[#This Row],[unit_price]]</f>
        <v>190.6</v>
      </c>
      <c r="O1578" t="str">
        <f>_xlfn.XLOOKUP(salesitems[[#This Row],[product_id]],products[product_id],products[product_name])</f>
        <v>Polished Sleeveless Set</v>
      </c>
      <c r="P1578" t="str">
        <f>_xlfn.XLOOKUP(salesitems[[#This Row],[product_id]],fashion_store_products!A:A,fashion_store_products!C:C)</f>
        <v>Sleepwear</v>
      </c>
    </row>
    <row r="1579" spans="1:16" x14ac:dyDescent="0.45">
      <c r="A1579">
        <v>3209</v>
      </c>
      <c r="B1579">
        <v>1227</v>
      </c>
      <c r="C1579">
        <v>482</v>
      </c>
      <c r="D1579">
        <v>4</v>
      </c>
      <c r="E1579">
        <v>47.59</v>
      </c>
      <c r="F1579">
        <v>47.59</v>
      </c>
      <c r="G1579">
        <v>0</v>
      </c>
      <c r="H1579" s="2">
        <v>0</v>
      </c>
      <c r="I1579">
        <v>0</v>
      </c>
      <c r="J1579">
        <v>190.36</v>
      </c>
      <c r="K1579" s="1">
        <v>45760</v>
      </c>
      <c r="L1579" t="s">
        <v>15</v>
      </c>
      <c r="M1579" t="s">
        <v>15</v>
      </c>
      <c r="N1579">
        <f>salesitems[[#This Row],[quantity]]*salesitems[[#This Row],[unit_price]]</f>
        <v>190.36</v>
      </c>
      <c r="O1579" t="str">
        <f>_xlfn.XLOOKUP(salesitems[[#This Row],[product_id]],products[product_id],products[product_name])</f>
        <v>Dresses Drop 6</v>
      </c>
      <c r="P1579" t="str">
        <f>_xlfn.XLOOKUP(salesitems[[#This Row],[product_id]],fashion_store_products!A:A,fashion_store_products!C:C)</f>
        <v>Dresses</v>
      </c>
    </row>
    <row r="1580" spans="1:16" x14ac:dyDescent="0.45">
      <c r="A1580">
        <v>1666</v>
      </c>
      <c r="B1580">
        <v>279</v>
      </c>
      <c r="C1580">
        <v>410</v>
      </c>
      <c r="D1580">
        <v>4</v>
      </c>
      <c r="E1580">
        <v>47.47</v>
      </c>
      <c r="F1580">
        <v>47.47</v>
      </c>
      <c r="G1580">
        <v>0</v>
      </c>
      <c r="H1580" s="2">
        <v>0</v>
      </c>
      <c r="I1580">
        <v>0</v>
      </c>
      <c r="J1580">
        <v>189.88</v>
      </c>
      <c r="K1580" s="1">
        <v>45824</v>
      </c>
      <c r="L1580" t="s">
        <v>21</v>
      </c>
      <c r="M1580" t="s">
        <v>18</v>
      </c>
      <c r="N1580">
        <f>salesitems[[#This Row],[quantity]]*salesitems[[#This Row],[unit_price]]</f>
        <v>189.88</v>
      </c>
      <c r="O1580" t="str">
        <f>_xlfn.XLOOKUP(salesitems[[#This Row],[product_id]],products[product_id],products[product_name])</f>
        <v>Elegant Satin Set</v>
      </c>
      <c r="P1580" t="str">
        <f>_xlfn.XLOOKUP(salesitems[[#This Row],[product_id]],fashion_store_products!A:A,fashion_store_products!C:C)</f>
        <v>Sleepwear</v>
      </c>
    </row>
    <row r="1581" spans="1:16" x14ac:dyDescent="0.45">
      <c r="A1581">
        <v>2804</v>
      </c>
      <c r="B1581">
        <v>737</v>
      </c>
      <c r="C1581">
        <v>254</v>
      </c>
      <c r="D1581">
        <v>4</v>
      </c>
      <c r="E1581">
        <v>47.44</v>
      </c>
      <c r="F1581">
        <v>47.44</v>
      </c>
      <c r="G1581">
        <v>0</v>
      </c>
      <c r="H1581" s="2">
        <v>0</v>
      </c>
      <c r="I1581">
        <v>0</v>
      </c>
      <c r="J1581">
        <v>189.76</v>
      </c>
      <c r="K1581" s="1">
        <v>45769</v>
      </c>
      <c r="L1581" t="s">
        <v>21</v>
      </c>
      <c r="M1581" t="s">
        <v>18</v>
      </c>
      <c r="N1581">
        <f>salesitems[[#This Row],[quantity]]*salesitems[[#This Row],[unit_price]]</f>
        <v>189.76</v>
      </c>
      <c r="O1581" t="str">
        <f>_xlfn.XLOOKUP(salesitems[[#This Row],[product_id]],products[product_id],products[product_name])</f>
        <v>Relaxed Silk Shoes</v>
      </c>
      <c r="P1581" t="str">
        <f>_xlfn.XLOOKUP(salesitems[[#This Row],[product_id]],fashion_store_products!A:A,fashion_store_products!C:C)</f>
        <v>Shoes</v>
      </c>
    </row>
    <row r="1582" spans="1:16" x14ac:dyDescent="0.45">
      <c r="A1582">
        <v>3147</v>
      </c>
      <c r="B1582">
        <v>937</v>
      </c>
      <c r="C1582">
        <v>479</v>
      </c>
      <c r="D1582">
        <v>4</v>
      </c>
      <c r="E1582">
        <v>47.42</v>
      </c>
      <c r="F1582">
        <v>47.42</v>
      </c>
      <c r="G1582">
        <v>0</v>
      </c>
      <c r="H1582" s="2">
        <v>0</v>
      </c>
      <c r="I1582">
        <v>0</v>
      </c>
      <c r="J1582">
        <v>189.68</v>
      </c>
      <c r="K1582" s="1">
        <v>45824</v>
      </c>
      <c r="L1582" t="s">
        <v>15</v>
      </c>
      <c r="M1582" t="s">
        <v>15</v>
      </c>
      <c r="N1582">
        <f>salesitems[[#This Row],[quantity]]*salesitems[[#This Row],[unit_price]]</f>
        <v>189.68</v>
      </c>
      <c r="O1582" t="str">
        <f>_xlfn.XLOOKUP(salesitems[[#This Row],[product_id]],products[product_id],products[product_name])</f>
        <v>Dresses Drop 4</v>
      </c>
      <c r="P1582" t="str">
        <f>_xlfn.XLOOKUP(salesitems[[#This Row],[product_id]],fashion_store_products!A:A,fashion_store_products!C:C)</f>
        <v>Dresses</v>
      </c>
    </row>
    <row r="1583" spans="1:16" x14ac:dyDescent="0.45">
      <c r="A1583">
        <v>3195</v>
      </c>
      <c r="B1583">
        <v>750</v>
      </c>
      <c r="C1583">
        <v>479</v>
      </c>
      <c r="D1583">
        <v>4</v>
      </c>
      <c r="E1583">
        <v>47.42</v>
      </c>
      <c r="F1583">
        <v>47.42</v>
      </c>
      <c r="G1583">
        <v>0</v>
      </c>
      <c r="H1583" s="2">
        <v>0</v>
      </c>
      <c r="I1583">
        <v>0</v>
      </c>
      <c r="J1583">
        <v>189.68</v>
      </c>
      <c r="K1583" s="1">
        <v>45763</v>
      </c>
      <c r="L1583" t="s">
        <v>21</v>
      </c>
      <c r="M1583" t="s">
        <v>18</v>
      </c>
      <c r="N1583">
        <f>salesitems[[#This Row],[quantity]]*salesitems[[#This Row],[unit_price]]</f>
        <v>189.68</v>
      </c>
      <c r="O1583" t="str">
        <f>_xlfn.XLOOKUP(salesitems[[#This Row],[product_id]],products[product_id],products[product_name])</f>
        <v>Dresses Drop 4</v>
      </c>
      <c r="P1583" t="str">
        <f>_xlfn.XLOOKUP(salesitems[[#This Row],[product_id]],fashion_store_products!A:A,fashion_store_products!C:C)</f>
        <v>Dresses</v>
      </c>
    </row>
    <row r="1584" spans="1:16" x14ac:dyDescent="0.45">
      <c r="A1584">
        <v>442</v>
      </c>
      <c r="B1584">
        <v>530</v>
      </c>
      <c r="C1584">
        <v>68</v>
      </c>
      <c r="D1584">
        <v>4</v>
      </c>
      <c r="E1584">
        <v>47.27</v>
      </c>
      <c r="F1584">
        <v>47.27</v>
      </c>
      <c r="G1584">
        <v>0</v>
      </c>
      <c r="H1584" s="2">
        <v>0</v>
      </c>
      <c r="I1584">
        <v>0</v>
      </c>
      <c r="J1584">
        <v>189.08</v>
      </c>
      <c r="K1584" s="1">
        <v>45766</v>
      </c>
      <c r="L1584" t="s">
        <v>15</v>
      </c>
      <c r="M1584" t="s">
        <v>15</v>
      </c>
      <c r="N1584">
        <f>salesitems[[#This Row],[quantity]]*salesitems[[#This Row],[unit_price]]</f>
        <v>189.08</v>
      </c>
      <c r="O1584" t="str">
        <f>_xlfn.XLOOKUP(salesitems[[#This Row],[product_id]],products[product_id],products[product_name])</f>
        <v>Soft High-Waist Set</v>
      </c>
      <c r="P1584" t="str">
        <f>_xlfn.XLOOKUP(salesitems[[#This Row],[product_id]],fashion_store_products!A:A,fashion_store_products!C:C)</f>
        <v>Sleepwear</v>
      </c>
    </row>
    <row r="1585" spans="1:16" x14ac:dyDescent="0.45">
      <c r="A1585">
        <v>3277</v>
      </c>
      <c r="B1585">
        <v>202</v>
      </c>
      <c r="C1585">
        <v>118</v>
      </c>
      <c r="D1585">
        <v>4</v>
      </c>
      <c r="E1585">
        <v>46.99</v>
      </c>
      <c r="F1585">
        <v>46.99</v>
      </c>
      <c r="G1585">
        <v>0</v>
      </c>
      <c r="H1585" s="2">
        <v>0</v>
      </c>
      <c r="I1585">
        <v>0</v>
      </c>
      <c r="J1585">
        <v>187.96</v>
      </c>
      <c r="K1585" s="1">
        <v>45805</v>
      </c>
      <c r="L1585" t="s">
        <v>15</v>
      </c>
      <c r="M1585" t="s">
        <v>15</v>
      </c>
      <c r="N1585">
        <f>salesitems[[#This Row],[quantity]]*salesitems[[#This Row],[unit_price]]</f>
        <v>187.96</v>
      </c>
      <c r="O1585" t="str">
        <f>_xlfn.XLOOKUP(salesitems[[#This Row],[product_id]],products[product_id],products[product_name])</f>
        <v>Classic Silk Tee</v>
      </c>
      <c r="P1585" t="str">
        <f>_xlfn.XLOOKUP(salesitems[[#This Row],[product_id]],fashion_store_products!A:A,fashion_store_products!C:C)</f>
        <v>T-Shirts</v>
      </c>
    </row>
    <row r="1586" spans="1:16" x14ac:dyDescent="0.45">
      <c r="A1586">
        <v>1509</v>
      </c>
      <c r="B1586">
        <v>1337</v>
      </c>
      <c r="C1586">
        <v>315</v>
      </c>
      <c r="D1586">
        <v>4</v>
      </c>
      <c r="E1586">
        <v>67.02</v>
      </c>
      <c r="F1586">
        <v>46.91</v>
      </c>
      <c r="G1586">
        <v>20.11</v>
      </c>
      <c r="H1586" s="2">
        <v>0.3</v>
      </c>
      <c r="I1586">
        <v>1</v>
      </c>
      <c r="J1586">
        <v>187.66</v>
      </c>
      <c r="K1586" s="1">
        <v>45795</v>
      </c>
      <c r="L1586" t="s">
        <v>15</v>
      </c>
      <c r="M1586" t="s">
        <v>11</v>
      </c>
      <c r="N1586">
        <f>salesitems[[#This Row],[quantity]]*salesitems[[#This Row],[unit_price]]</f>
        <v>187.64</v>
      </c>
      <c r="O1586" t="str">
        <f>_xlfn.XLOOKUP(salesitems[[#This Row],[product_id]],products[product_id],products[product_name])</f>
        <v>Essential Sleeveless Tee</v>
      </c>
      <c r="P1586" t="str">
        <f>_xlfn.XLOOKUP(salesitems[[#This Row],[product_id]],fashion_store_products!A:A,fashion_store_products!C:C)</f>
        <v>T-Shirts</v>
      </c>
    </row>
    <row r="1587" spans="1:16" x14ac:dyDescent="0.45">
      <c r="A1587">
        <v>2068</v>
      </c>
      <c r="B1587">
        <v>798</v>
      </c>
      <c r="C1587">
        <v>449</v>
      </c>
      <c r="D1587">
        <v>4</v>
      </c>
      <c r="E1587">
        <v>46.9</v>
      </c>
      <c r="F1587">
        <v>46.9</v>
      </c>
      <c r="G1587">
        <v>0</v>
      </c>
      <c r="H1587" s="2">
        <v>0</v>
      </c>
      <c r="I1587">
        <v>0</v>
      </c>
      <c r="J1587">
        <v>187.6</v>
      </c>
      <c r="K1587" s="1">
        <v>45751</v>
      </c>
      <c r="L1587" t="s">
        <v>21</v>
      </c>
      <c r="M1587" t="s">
        <v>18</v>
      </c>
      <c r="N1587">
        <f>salesitems[[#This Row],[quantity]]*salesitems[[#This Row],[unit_price]]</f>
        <v>187.6</v>
      </c>
      <c r="O1587" t="str">
        <f>_xlfn.XLOOKUP(salesitems[[#This Row],[product_id]],products[product_id],products[product_name])</f>
        <v>Bold Satin Set</v>
      </c>
      <c r="P1587" t="str">
        <f>_xlfn.XLOOKUP(salesitems[[#This Row],[product_id]],fashion_store_products!A:A,fashion_store_products!C:C)</f>
        <v>Sleepwear</v>
      </c>
    </row>
    <row r="1588" spans="1:16" x14ac:dyDescent="0.45">
      <c r="A1588">
        <v>3012</v>
      </c>
      <c r="B1588">
        <v>1270</v>
      </c>
      <c r="C1588">
        <v>132</v>
      </c>
      <c r="D1588">
        <v>4</v>
      </c>
      <c r="E1588">
        <v>46.9</v>
      </c>
      <c r="F1588">
        <v>46.9</v>
      </c>
      <c r="G1588">
        <v>0</v>
      </c>
      <c r="H1588" s="2">
        <v>0</v>
      </c>
      <c r="I1588">
        <v>0</v>
      </c>
      <c r="J1588">
        <v>187.6</v>
      </c>
      <c r="K1588" s="1">
        <v>45771</v>
      </c>
      <c r="L1588" t="s">
        <v>15</v>
      </c>
      <c r="M1588" t="s">
        <v>15</v>
      </c>
      <c r="N1588">
        <f>salesitems[[#This Row],[quantity]]*salesitems[[#This Row],[unit_price]]</f>
        <v>187.6</v>
      </c>
      <c r="O1588" t="str">
        <f>_xlfn.XLOOKUP(salesitems[[#This Row],[product_id]],products[product_id],products[product_name])</f>
        <v>Classic Crew Shoes</v>
      </c>
      <c r="P1588" t="str">
        <f>_xlfn.XLOOKUP(salesitems[[#This Row],[product_id]],fashion_store_products!A:A,fashion_store_products!C:C)</f>
        <v>Shoes</v>
      </c>
    </row>
    <row r="1589" spans="1:16" x14ac:dyDescent="0.45">
      <c r="A1589">
        <v>775</v>
      </c>
      <c r="B1589">
        <v>749</v>
      </c>
      <c r="C1589">
        <v>228</v>
      </c>
      <c r="D1589">
        <v>4</v>
      </c>
      <c r="E1589">
        <v>46.89</v>
      </c>
      <c r="F1589">
        <v>46.89</v>
      </c>
      <c r="G1589">
        <v>0</v>
      </c>
      <c r="H1589" s="2">
        <v>0</v>
      </c>
      <c r="I1589">
        <v>0</v>
      </c>
      <c r="J1589">
        <v>187.56</v>
      </c>
      <c r="K1589" s="1">
        <v>45773</v>
      </c>
      <c r="L1589" t="s">
        <v>21</v>
      </c>
      <c r="M1589" t="s">
        <v>18</v>
      </c>
      <c r="N1589">
        <f>salesitems[[#This Row],[quantity]]*salesitems[[#This Row],[unit_price]]</f>
        <v>187.56</v>
      </c>
      <c r="O1589" t="str">
        <f>_xlfn.XLOOKUP(salesitems[[#This Row],[product_id]],products[product_id],products[product_name])</f>
        <v>Vintage Boxy Trousers</v>
      </c>
      <c r="P1589" t="str">
        <f>_xlfn.XLOOKUP(salesitems[[#This Row],[product_id]],fashion_store_products!A:A,fashion_store_products!C:C)</f>
        <v>Pants</v>
      </c>
    </row>
    <row r="1590" spans="1:16" x14ac:dyDescent="0.45">
      <c r="A1590">
        <v>1834</v>
      </c>
      <c r="B1590">
        <v>624</v>
      </c>
      <c r="C1590">
        <v>162</v>
      </c>
      <c r="D1590">
        <v>4</v>
      </c>
      <c r="E1590">
        <v>66.5</v>
      </c>
      <c r="F1590">
        <v>46.55</v>
      </c>
      <c r="G1590">
        <v>19.95</v>
      </c>
      <c r="H1590" s="2">
        <v>0.3</v>
      </c>
      <c r="I1590">
        <v>1</v>
      </c>
      <c r="J1590">
        <v>186.2</v>
      </c>
      <c r="K1590" s="1">
        <v>45790</v>
      </c>
      <c r="L1590" t="s">
        <v>15</v>
      </c>
      <c r="M1590" t="s">
        <v>11</v>
      </c>
      <c r="N1590">
        <f>salesitems[[#This Row],[quantity]]*salesitems[[#This Row],[unit_price]]</f>
        <v>186.2</v>
      </c>
      <c r="O1590" t="str">
        <f>_xlfn.XLOOKUP(salesitems[[#This Row],[product_id]],products[product_id],products[product_name])</f>
        <v>Classic Boxy Set</v>
      </c>
      <c r="P1590" t="str">
        <f>_xlfn.XLOOKUP(salesitems[[#This Row],[product_id]],fashion_store_products!A:A,fashion_store_products!C:C)</f>
        <v>Sleepwear</v>
      </c>
    </row>
    <row r="1591" spans="1:16" x14ac:dyDescent="0.45">
      <c r="A1591">
        <v>1415</v>
      </c>
      <c r="B1591">
        <v>1310</v>
      </c>
      <c r="C1591">
        <v>137</v>
      </c>
      <c r="D1591">
        <v>4</v>
      </c>
      <c r="E1591">
        <v>46.52</v>
      </c>
      <c r="F1591">
        <v>46.52</v>
      </c>
      <c r="G1591">
        <v>0</v>
      </c>
      <c r="H1591" s="2">
        <v>0</v>
      </c>
      <c r="I1591">
        <v>0</v>
      </c>
      <c r="J1591">
        <v>186.08</v>
      </c>
      <c r="K1591" s="1">
        <v>45799</v>
      </c>
      <c r="L1591" t="s">
        <v>21</v>
      </c>
      <c r="M1591" t="s">
        <v>18</v>
      </c>
      <c r="N1591">
        <f>salesitems[[#This Row],[quantity]]*salesitems[[#This Row],[unit_price]]</f>
        <v>186.08</v>
      </c>
      <c r="O1591" t="str">
        <f>_xlfn.XLOOKUP(salesitems[[#This Row],[product_id]],products[product_id],products[product_name])</f>
        <v>Classic Satin Trousers</v>
      </c>
      <c r="P1591" t="str">
        <f>_xlfn.XLOOKUP(salesitems[[#This Row],[product_id]],fashion_store_products!A:A,fashion_store_products!C:C)</f>
        <v>Pants</v>
      </c>
    </row>
    <row r="1592" spans="1:16" x14ac:dyDescent="0.45">
      <c r="A1592">
        <v>2049</v>
      </c>
      <c r="B1592">
        <v>166</v>
      </c>
      <c r="C1592">
        <v>137</v>
      </c>
      <c r="D1592">
        <v>4</v>
      </c>
      <c r="E1592">
        <v>46.52</v>
      </c>
      <c r="F1592">
        <v>46.52</v>
      </c>
      <c r="G1592">
        <v>0</v>
      </c>
      <c r="H1592" s="2">
        <v>0</v>
      </c>
      <c r="I1592">
        <v>0</v>
      </c>
      <c r="J1592">
        <v>186.08</v>
      </c>
      <c r="K1592" s="1">
        <v>45783</v>
      </c>
      <c r="L1592" t="s">
        <v>21</v>
      </c>
      <c r="M1592" t="s">
        <v>18</v>
      </c>
      <c r="N1592">
        <f>salesitems[[#This Row],[quantity]]*salesitems[[#This Row],[unit_price]]</f>
        <v>186.08</v>
      </c>
      <c r="O1592" t="str">
        <f>_xlfn.XLOOKUP(salesitems[[#This Row],[product_id]],products[product_id],products[product_name])</f>
        <v>Classic Satin Trousers</v>
      </c>
      <c r="P1592" t="str">
        <f>_xlfn.XLOOKUP(salesitems[[#This Row],[product_id]],fashion_store_products!A:A,fashion_store_products!C:C)</f>
        <v>Pants</v>
      </c>
    </row>
    <row r="1593" spans="1:16" x14ac:dyDescent="0.45">
      <c r="A1593">
        <v>2220</v>
      </c>
      <c r="B1593">
        <v>518</v>
      </c>
      <c r="C1593">
        <v>137</v>
      </c>
      <c r="D1593">
        <v>4</v>
      </c>
      <c r="E1593">
        <v>46.52</v>
      </c>
      <c r="F1593">
        <v>46.52</v>
      </c>
      <c r="G1593">
        <v>0</v>
      </c>
      <c r="H1593" s="2">
        <v>0</v>
      </c>
      <c r="I1593">
        <v>0</v>
      </c>
      <c r="J1593">
        <v>186.08</v>
      </c>
      <c r="K1593" s="1">
        <v>45752</v>
      </c>
      <c r="L1593" t="s">
        <v>21</v>
      </c>
      <c r="M1593" t="s">
        <v>18</v>
      </c>
      <c r="N1593">
        <f>salesitems[[#This Row],[quantity]]*salesitems[[#This Row],[unit_price]]</f>
        <v>186.08</v>
      </c>
      <c r="O1593" t="str">
        <f>_xlfn.XLOOKUP(salesitems[[#This Row],[product_id]],products[product_id],products[product_name])</f>
        <v>Classic Satin Trousers</v>
      </c>
      <c r="P1593" t="str">
        <f>_xlfn.XLOOKUP(salesitems[[#This Row],[product_id]],fashion_store_products!A:A,fashion_store_products!C:C)</f>
        <v>Pants</v>
      </c>
    </row>
    <row r="1594" spans="1:16" x14ac:dyDescent="0.45">
      <c r="A1594">
        <v>2084</v>
      </c>
      <c r="B1594">
        <v>132</v>
      </c>
      <c r="C1594">
        <v>200</v>
      </c>
      <c r="D1594">
        <v>4</v>
      </c>
      <c r="E1594">
        <v>46.41</v>
      </c>
      <c r="F1594">
        <v>46.41</v>
      </c>
      <c r="G1594">
        <v>0</v>
      </c>
      <c r="H1594" s="2">
        <v>0</v>
      </c>
      <c r="I1594">
        <v>0</v>
      </c>
      <c r="J1594">
        <v>185.64</v>
      </c>
      <c r="K1594" s="1">
        <v>45767</v>
      </c>
      <c r="L1594" t="s">
        <v>15</v>
      </c>
      <c r="M1594" t="s">
        <v>15</v>
      </c>
      <c r="N1594">
        <f>salesitems[[#This Row],[quantity]]*salesitems[[#This Row],[unit_price]]</f>
        <v>185.64</v>
      </c>
      <c r="O1594" t="str">
        <f>_xlfn.XLOOKUP(salesitems[[#This Row],[product_id]],products[product_id],products[product_name])</f>
        <v>Vintage High-Waist Set</v>
      </c>
      <c r="P1594" t="str">
        <f>_xlfn.XLOOKUP(salesitems[[#This Row],[product_id]],fashion_store_products!A:A,fashion_store_products!C:C)</f>
        <v>Sleepwear</v>
      </c>
    </row>
    <row r="1595" spans="1:16" x14ac:dyDescent="0.45">
      <c r="A1595">
        <v>902</v>
      </c>
      <c r="B1595">
        <v>623</v>
      </c>
      <c r="C1595">
        <v>345</v>
      </c>
      <c r="D1595">
        <v>4</v>
      </c>
      <c r="E1595">
        <v>46.36</v>
      </c>
      <c r="F1595">
        <v>46.36</v>
      </c>
      <c r="G1595">
        <v>0</v>
      </c>
      <c r="H1595" s="2">
        <v>0</v>
      </c>
      <c r="I1595">
        <v>0</v>
      </c>
      <c r="J1595">
        <v>185.44</v>
      </c>
      <c r="K1595" s="1">
        <v>45761</v>
      </c>
      <c r="L1595" t="s">
        <v>21</v>
      </c>
      <c r="M1595" t="s">
        <v>18</v>
      </c>
      <c r="N1595">
        <f>salesitems[[#This Row],[quantity]]*salesitems[[#This Row],[unit_price]]</f>
        <v>185.44</v>
      </c>
      <c r="O1595" t="str">
        <f>_xlfn.XLOOKUP(salesitems[[#This Row],[product_id]],products[product_id],products[product_name])</f>
        <v>Tailored Crew Tee</v>
      </c>
      <c r="P1595" t="str">
        <f>_xlfn.XLOOKUP(salesitems[[#This Row],[product_id]],fashion_store_products!A:A,fashion_store_products!C:C)</f>
        <v>T-Shirts</v>
      </c>
    </row>
    <row r="1596" spans="1:16" x14ac:dyDescent="0.45">
      <c r="A1596">
        <v>1492</v>
      </c>
      <c r="B1596">
        <v>559</v>
      </c>
      <c r="C1596">
        <v>367</v>
      </c>
      <c r="D1596">
        <v>4</v>
      </c>
      <c r="E1596">
        <v>51.38</v>
      </c>
      <c r="F1596">
        <v>46.24</v>
      </c>
      <c r="G1596">
        <v>5.14</v>
      </c>
      <c r="H1596" s="2">
        <v>0.1</v>
      </c>
      <c r="I1596">
        <v>1</v>
      </c>
      <c r="J1596">
        <v>184.97</v>
      </c>
      <c r="K1596" s="1">
        <v>45812</v>
      </c>
      <c r="L1596" t="s">
        <v>21</v>
      </c>
      <c r="M1596" t="s">
        <v>18</v>
      </c>
      <c r="N1596">
        <f>salesitems[[#This Row],[quantity]]*salesitems[[#This Row],[unit_price]]</f>
        <v>184.96</v>
      </c>
      <c r="O1596" t="str">
        <f>_xlfn.XLOOKUP(salesitems[[#This Row],[product_id]],products[product_id],products[product_name])</f>
        <v>Tailored Silk Dress</v>
      </c>
      <c r="P1596" t="str">
        <f>_xlfn.XLOOKUP(salesitems[[#This Row],[product_id]],fashion_store_products!A:A,fashion_store_products!C:C)</f>
        <v>Dresses</v>
      </c>
    </row>
    <row r="1597" spans="1:16" x14ac:dyDescent="0.45">
      <c r="A1597">
        <v>2507</v>
      </c>
      <c r="B1597">
        <v>1315</v>
      </c>
      <c r="C1597">
        <v>351</v>
      </c>
      <c r="D1597">
        <v>4</v>
      </c>
      <c r="E1597">
        <v>46.11</v>
      </c>
      <c r="F1597">
        <v>46.11</v>
      </c>
      <c r="G1597">
        <v>0</v>
      </c>
      <c r="H1597" s="2">
        <v>0</v>
      </c>
      <c r="I1597">
        <v>0</v>
      </c>
      <c r="J1597">
        <v>184.44</v>
      </c>
      <c r="K1597" s="1">
        <v>45773</v>
      </c>
      <c r="L1597" t="s">
        <v>15</v>
      </c>
      <c r="M1597" t="s">
        <v>15</v>
      </c>
      <c r="N1597">
        <f>salesitems[[#This Row],[quantity]]*salesitems[[#This Row],[unit_price]]</f>
        <v>184.44</v>
      </c>
      <c r="O1597" t="str">
        <f>_xlfn.XLOOKUP(salesitems[[#This Row],[product_id]],products[product_id],products[product_name])</f>
        <v>Relaxed Sleeveless Trousers</v>
      </c>
      <c r="P1597" t="str">
        <f>_xlfn.XLOOKUP(salesitems[[#This Row],[product_id]],fashion_store_products!A:A,fashion_store_products!C:C)</f>
        <v>Pants</v>
      </c>
    </row>
    <row r="1598" spans="1:16" x14ac:dyDescent="0.45">
      <c r="A1598">
        <v>2897</v>
      </c>
      <c r="B1598">
        <v>1018</v>
      </c>
      <c r="C1598">
        <v>261</v>
      </c>
      <c r="D1598">
        <v>4</v>
      </c>
      <c r="E1598">
        <v>46.1</v>
      </c>
      <c r="F1598">
        <v>46.1</v>
      </c>
      <c r="G1598">
        <v>0</v>
      </c>
      <c r="H1598" s="2">
        <v>0</v>
      </c>
      <c r="I1598">
        <v>0</v>
      </c>
      <c r="J1598">
        <v>184.4</v>
      </c>
      <c r="K1598" s="1">
        <v>45793</v>
      </c>
      <c r="L1598" t="s">
        <v>21</v>
      </c>
      <c r="M1598" t="s">
        <v>18</v>
      </c>
      <c r="N1598">
        <f>salesitems[[#This Row],[quantity]]*salesitems[[#This Row],[unit_price]]</f>
        <v>184.4</v>
      </c>
      <c r="O1598" t="str">
        <f>_xlfn.XLOOKUP(salesitems[[#This Row],[product_id]],products[product_id],products[product_name])</f>
        <v>Relaxed Cotton Tee</v>
      </c>
      <c r="P1598" t="str">
        <f>_xlfn.XLOOKUP(salesitems[[#This Row],[product_id]],fashion_store_products!A:A,fashion_store_products!C:C)</f>
        <v>T-Shirts</v>
      </c>
    </row>
    <row r="1599" spans="1:16" x14ac:dyDescent="0.45">
      <c r="A1599">
        <v>811</v>
      </c>
      <c r="B1599">
        <v>44</v>
      </c>
      <c r="C1599">
        <v>155</v>
      </c>
      <c r="D1599">
        <v>4</v>
      </c>
      <c r="E1599">
        <v>46.07</v>
      </c>
      <c r="F1599">
        <v>46.07</v>
      </c>
      <c r="G1599">
        <v>0</v>
      </c>
      <c r="H1599" s="2">
        <v>0</v>
      </c>
      <c r="I1599">
        <v>0</v>
      </c>
      <c r="J1599">
        <v>184.28</v>
      </c>
      <c r="K1599" s="1">
        <v>45791</v>
      </c>
      <c r="L1599" t="s">
        <v>21</v>
      </c>
      <c r="M1599" t="s">
        <v>18</v>
      </c>
      <c r="N1599">
        <f>salesitems[[#This Row],[quantity]]*salesitems[[#This Row],[unit_price]]</f>
        <v>184.28</v>
      </c>
      <c r="O1599" t="str">
        <f>_xlfn.XLOOKUP(salesitems[[#This Row],[product_id]],products[product_id],products[product_name])</f>
        <v>Vintage Silk Dress</v>
      </c>
      <c r="P1599" t="str">
        <f>_xlfn.XLOOKUP(salesitems[[#This Row],[product_id]],fashion_store_products!A:A,fashion_store_products!C:C)</f>
        <v>Dresses</v>
      </c>
    </row>
    <row r="1600" spans="1:16" x14ac:dyDescent="0.45">
      <c r="A1600">
        <v>2169</v>
      </c>
      <c r="B1600">
        <v>173</v>
      </c>
      <c r="C1600">
        <v>155</v>
      </c>
      <c r="D1600">
        <v>4</v>
      </c>
      <c r="E1600">
        <v>46.07</v>
      </c>
      <c r="F1600">
        <v>46.07</v>
      </c>
      <c r="G1600">
        <v>0</v>
      </c>
      <c r="H1600" s="2">
        <v>0</v>
      </c>
      <c r="I1600">
        <v>0</v>
      </c>
      <c r="J1600">
        <v>184.28</v>
      </c>
      <c r="K1600" s="1">
        <v>45792</v>
      </c>
      <c r="L1600" t="s">
        <v>21</v>
      </c>
      <c r="M1600" t="s">
        <v>18</v>
      </c>
      <c r="N1600">
        <f>salesitems[[#This Row],[quantity]]*salesitems[[#This Row],[unit_price]]</f>
        <v>184.28</v>
      </c>
      <c r="O1600" t="str">
        <f>_xlfn.XLOOKUP(salesitems[[#This Row],[product_id]],products[product_id],products[product_name])</f>
        <v>Vintage Silk Dress</v>
      </c>
      <c r="P1600" t="str">
        <f>_xlfn.XLOOKUP(salesitems[[#This Row],[product_id]],fashion_store_products!A:A,fashion_store_products!C:C)</f>
        <v>Dresses</v>
      </c>
    </row>
    <row r="1601" spans="1:16" x14ac:dyDescent="0.45">
      <c r="A1601">
        <v>1007</v>
      </c>
      <c r="B1601">
        <v>513</v>
      </c>
      <c r="C1601">
        <v>333</v>
      </c>
      <c r="D1601">
        <v>4</v>
      </c>
      <c r="E1601">
        <v>46.04</v>
      </c>
      <c r="F1601">
        <v>46.04</v>
      </c>
      <c r="G1601">
        <v>0</v>
      </c>
      <c r="H1601" s="2">
        <v>0</v>
      </c>
      <c r="I1601">
        <v>0</v>
      </c>
      <c r="J1601">
        <v>184.16</v>
      </c>
      <c r="K1601" s="1">
        <v>45822</v>
      </c>
      <c r="L1601" t="s">
        <v>21</v>
      </c>
      <c r="M1601" t="s">
        <v>18</v>
      </c>
      <c r="N1601">
        <f>salesitems[[#This Row],[quantity]]*salesitems[[#This Row],[unit_price]]</f>
        <v>184.16</v>
      </c>
      <c r="O1601" t="str">
        <f>_xlfn.XLOOKUP(salesitems[[#This Row],[product_id]],products[product_id],products[product_name])</f>
        <v>Relaxed Silk Trousers</v>
      </c>
      <c r="P1601" t="str">
        <f>_xlfn.XLOOKUP(salesitems[[#This Row],[product_id]],fashion_store_products!A:A,fashion_store_products!C:C)</f>
        <v>Pants</v>
      </c>
    </row>
    <row r="1602" spans="1:16" x14ac:dyDescent="0.45">
      <c r="A1602">
        <v>2122</v>
      </c>
      <c r="B1602">
        <v>629</v>
      </c>
      <c r="C1602">
        <v>335</v>
      </c>
      <c r="D1602">
        <v>4</v>
      </c>
      <c r="E1602">
        <v>45.97</v>
      </c>
      <c r="F1602">
        <v>45.97</v>
      </c>
      <c r="G1602">
        <v>0</v>
      </c>
      <c r="H1602" s="2">
        <v>0</v>
      </c>
      <c r="I1602">
        <v>0</v>
      </c>
      <c r="J1602">
        <v>183.88</v>
      </c>
      <c r="K1602" s="1">
        <v>45803</v>
      </c>
      <c r="L1602" t="s">
        <v>15</v>
      </c>
      <c r="M1602" t="s">
        <v>15</v>
      </c>
      <c r="N1602">
        <f>salesitems[[#This Row],[quantity]]*salesitems[[#This Row],[unit_price]]</f>
        <v>183.88</v>
      </c>
      <c r="O1602" t="str">
        <f>_xlfn.XLOOKUP(salesitems[[#This Row],[product_id]],products[product_id],products[product_name])</f>
        <v>Tailored Ribbed Shoes</v>
      </c>
      <c r="P1602" t="str">
        <f>_xlfn.XLOOKUP(salesitems[[#This Row],[product_id]],fashion_store_products!A:A,fashion_store_products!C:C)</f>
        <v>Shoes</v>
      </c>
    </row>
    <row r="1603" spans="1:16" x14ac:dyDescent="0.45">
      <c r="A1603">
        <v>2964</v>
      </c>
      <c r="B1603">
        <v>87</v>
      </c>
      <c r="C1603">
        <v>161</v>
      </c>
      <c r="D1603">
        <v>4</v>
      </c>
      <c r="E1603">
        <v>45.75</v>
      </c>
      <c r="F1603">
        <v>45.75</v>
      </c>
      <c r="G1603">
        <v>0</v>
      </c>
      <c r="H1603" s="2">
        <v>0</v>
      </c>
      <c r="I1603">
        <v>0</v>
      </c>
      <c r="J1603">
        <v>183</v>
      </c>
      <c r="K1603" s="1">
        <v>45761</v>
      </c>
      <c r="L1603" t="s">
        <v>21</v>
      </c>
      <c r="M1603" t="s">
        <v>18</v>
      </c>
      <c r="N1603">
        <f>salesitems[[#This Row],[quantity]]*salesitems[[#This Row],[unit_price]]</f>
        <v>183</v>
      </c>
      <c r="O1603" t="str">
        <f>_xlfn.XLOOKUP(salesitems[[#This Row],[product_id]],products[product_id],products[product_name])</f>
        <v>Vintage Linen Tee</v>
      </c>
      <c r="P1603" t="str">
        <f>_xlfn.XLOOKUP(salesitems[[#This Row],[product_id]],fashion_store_products!A:A,fashion_store_products!C:C)</f>
        <v>T-Shirts</v>
      </c>
    </row>
    <row r="1604" spans="1:16" x14ac:dyDescent="0.45">
      <c r="A1604">
        <v>3126</v>
      </c>
      <c r="B1604">
        <v>666</v>
      </c>
      <c r="C1604">
        <v>161</v>
      </c>
      <c r="D1604">
        <v>4</v>
      </c>
      <c r="E1604">
        <v>45.75</v>
      </c>
      <c r="F1604">
        <v>45.75</v>
      </c>
      <c r="G1604">
        <v>0</v>
      </c>
      <c r="H1604" s="2">
        <v>0</v>
      </c>
      <c r="I1604">
        <v>0</v>
      </c>
      <c r="J1604">
        <v>183</v>
      </c>
      <c r="K1604" s="1">
        <v>45801</v>
      </c>
      <c r="L1604" t="s">
        <v>21</v>
      </c>
      <c r="M1604" t="s">
        <v>18</v>
      </c>
      <c r="N1604">
        <f>salesitems[[#This Row],[quantity]]*salesitems[[#This Row],[unit_price]]</f>
        <v>183</v>
      </c>
      <c r="O1604" t="str">
        <f>_xlfn.XLOOKUP(salesitems[[#This Row],[product_id]],products[product_id],products[product_name])</f>
        <v>Vintage Linen Tee</v>
      </c>
      <c r="P1604" t="str">
        <f>_xlfn.XLOOKUP(salesitems[[#This Row],[product_id]],fashion_store_products!A:A,fashion_store_products!C:C)</f>
        <v>T-Shirts</v>
      </c>
    </row>
    <row r="1605" spans="1:16" x14ac:dyDescent="0.45">
      <c r="A1605">
        <v>2164</v>
      </c>
      <c r="B1605">
        <v>995</v>
      </c>
      <c r="C1605">
        <v>316</v>
      </c>
      <c r="D1605">
        <v>4</v>
      </c>
      <c r="E1605">
        <v>45.73</v>
      </c>
      <c r="F1605">
        <v>45.73</v>
      </c>
      <c r="G1605">
        <v>0</v>
      </c>
      <c r="H1605" s="2">
        <v>0</v>
      </c>
      <c r="I1605">
        <v>0</v>
      </c>
      <c r="J1605">
        <v>182.92</v>
      </c>
      <c r="K1605" s="1">
        <v>45796</v>
      </c>
      <c r="L1605" t="s">
        <v>21</v>
      </c>
      <c r="M1605" t="s">
        <v>18</v>
      </c>
      <c r="N1605">
        <f>salesitems[[#This Row],[quantity]]*salesitems[[#This Row],[unit_price]]</f>
        <v>182.92</v>
      </c>
      <c r="O1605" t="str">
        <f>_xlfn.XLOOKUP(salesitems[[#This Row],[product_id]],products[product_id],products[product_name])</f>
        <v>Essential High-Waist Tee</v>
      </c>
      <c r="P1605" t="str">
        <f>_xlfn.XLOOKUP(salesitems[[#This Row],[product_id]],fashion_store_products!A:A,fashion_store_products!C:C)</f>
        <v>T-Shirts</v>
      </c>
    </row>
    <row r="1606" spans="1:16" x14ac:dyDescent="0.45">
      <c r="A1606">
        <v>2666</v>
      </c>
      <c r="B1606">
        <v>463</v>
      </c>
      <c r="C1606">
        <v>316</v>
      </c>
      <c r="D1606">
        <v>4</v>
      </c>
      <c r="E1606">
        <v>45.73</v>
      </c>
      <c r="F1606">
        <v>45.73</v>
      </c>
      <c r="G1606">
        <v>0</v>
      </c>
      <c r="H1606" s="2">
        <v>0</v>
      </c>
      <c r="I1606">
        <v>0</v>
      </c>
      <c r="J1606">
        <v>182.92</v>
      </c>
      <c r="K1606" s="1">
        <v>45821</v>
      </c>
      <c r="L1606" t="s">
        <v>15</v>
      </c>
      <c r="M1606" t="s">
        <v>15</v>
      </c>
      <c r="N1606">
        <f>salesitems[[#This Row],[quantity]]*salesitems[[#This Row],[unit_price]]</f>
        <v>182.92</v>
      </c>
      <c r="O1606" t="str">
        <f>_xlfn.XLOOKUP(salesitems[[#This Row],[product_id]],products[product_id],products[product_name])</f>
        <v>Essential High-Waist Tee</v>
      </c>
      <c r="P1606" t="str">
        <f>_xlfn.XLOOKUP(salesitems[[#This Row],[product_id]],fashion_store_products!A:A,fashion_store_products!C:C)</f>
        <v>T-Shirts</v>
      </c>
    </row>
    <row r="1607" spans="1:16" x14ac:dyDescent="0.45">
      <c r="A1607">
        <v>117</v>
      </c>
      <c r="B1607">
        <v>908</v>
      </c>
      <c r="C1607">
        <v>201</v>
      </c>
      <c r="D1607">
        <v>4</v>
      </c>
      <c r="E1607">
        <v>45.62</v>
      </c>
      <c r="F1607">
        <v>45.62</v>
      </c>
      <c r="G1607">
        <v>0</v>
      </c>
      <c r="H1607" s="2">
        <v>0</v>
      </c>
      <c r="I1607">
        <v>0</v>
      </c>
      <c r="J1607">
        <v>182.48</v>
      </c>
      <c r="K1607" s="1">
        <v>45773</v>
      </c>
      <c r="L1607" t="s">
        <v>15</v>
      </c>
      <c r="M1607" t="s">
        <v>15</v>
      </c>
      <c r="N1607">
        <f>salesitems[[#This Row],[quantity]]*salesitems[[#This Row],[unit_price]]</f>
        <v>182.48</v>
      </c>
      <c r="O1607" t="str">
        <f>_xlfn.XLOOKUP(salesitems[[#This Row],[product_id]],products[product_id],products[product_name])</f>
        <v>Vintage Sleeveless Tee</v>
      </c>
      <c r="P1607" t="str">
        <f>_xlfn.XLOOKUP(salesitems[[#This Row],[product_id]],fashion_store_products!A:A,fashion_store_products!C:C)</f>
        <v>T-Shirts</v>
      </c>
    </row>
    <row r="1608" spans="1:16" x14ac:dyDescent="0.45">
      <c r="A1608">
        <v>455</v>
      </c>
      <c r="B1608">
        <v>1133</v>
      </c>
      <c r="C1608">
        <v>201</v>
      </c>
      <c r="D1608">
        <v>4</v>
      </c>
      <c r="E1608">
        <v>45.62</v>
      </c>
      <c r="F1608">
        <v>45.62</v>
      </c>
      <c r="G1608">
        <v>0</v>
      </c>
      <c r="H1608" s="2">
        <v>0</v>
      </c>
      <c r="I1608">
        <v>0</v>
      </c>
      <c r="J1608">
        <v>182.48</v>
      </c>
      <c r="K1608" s="1">
        <v>45772</v>
      </c>
      <c r="L1608" t="s">
        <v>21</v>
      </c>
      <c r="M1608" t="s">
        <v>18</v>
      </c>
      <c r="N1608">
        <f>salesitems[[#This Row],[quantity]]*salesitems[[#This Row],[unit_price]]</f>
        <v>182.48</v>
      </c>
      <c r="O1608" t="str">
        <f>_xlfn.XLOOKUP(salesitems[[#This Row],[product_id]],products[product_id],products[product_name])</f>
        <v>Vintage Sleeveless Tee</v>
      </c>
      <c r="P1608" t="str">
        <f>_xlfn.XLOOKUP(salesitems[[#This Row],[product_id]],fashion_store_products!A:A,fashion_store_products!C:C)</f>
        <v>T-Shirts</v>
      </c>
    </row>
    <row r="1609" spans="1:16" x14ac:dyDescent="0.45">
      <c r="A1609">
        <v>2483</v>
      </c>
      <c r="B1609">
        <v>985</v>
      </c>
      <c r="C1609">
        <v>201</v>
      </c>
      <c r="D1609">
        <v>4</v>
      </c>
      <c r="E1609">
        <v>45.62</v>
      </c>
      <c r="F1609">
        <v>45.62</v>
      </c>
      <c r="G1609">
        <v>0</v>
      </c>
      <c r="H1609" s="2">
        <v>0</v>
      </c>
      <c r="I1609">
        <v>0</v>
      </c>
      <c r="J1609">
        <v>182.48</v>
      </c>
      <c r="K1609" s="1">
        <v>45781</v>
      </c>
      <c r="L1609" t="s">
        <v>21</v>
      </c>
      <c r="M1609" t="s">
        <v>18</v>
      </c>
      <c r="N1609">
        <f>salesitems[[#This Row],[quantity]]*salesitems[[#This Row],[unit_price]]</f>
        <v>182.48</v>
      </c>
      <c r="O1609" t="str">
        <f>_xlfn.XLOOKUP(salesitems[[#This Row],[product_id]],products[product_id],products[product_name])</f>
        <v>Vintage Sleeveless Tee</v>
      </c>
      <c r="P1609" t="str">
        <f>_xlfn.XLOOKUP(salesitems[[#This Row],[product_id]],fashion_store_products!A:A,fashion_store_products!C:C)</f>
        <v>T-Shirts</v>
      </c>
    </row>
    <row r="1610" spans="1:16" x14ac:dyDescent="0.45">
      <c r="A1610">
        <v>2030</v>
      </c>
      <c r="B1610">
        <v>359</v>
      </c>
      <c r="C1610">
        <v>229</v>
      </c>
      <c r="D1610">
        <v>4</v>
      </c>
      <c r="E1610">
        <v>45.58</v>
      </c>
      <c r="F1610">
        <v>45.58</v>
      </c>
      <c r="G1610">
        <v>0</v>
      </c>
      <c r="H1610" s="2">
        <v>0</v>
      </c>
      <c r="I1610">
        <v>0</v>
      </c>
      <c r="J1610">
        <v>182.32</v>
      </c>
      <c r="K1610" s="1">
        <v>45765</v>
      </c>
      <c r="L1610" t="s">
        <v>15</v>
      </c>
      <c r="M1610" t="s">
        <v>15</v>
      </c>
      <c r="N1610">
        <f>salesitems[[#This Row],[quantity]]*salesitems[[#This Row],[unit_price]]</f>
        <v>182.32</v>
      </c>
      <c r="O1610" t="str">
        <f>_xlfn.XLOOKUP(salesitems[[#This Row],[product_id]],products[product_id],products[product_name])</f>
        <v>Polished Sleeveless Shoes</v>
      </c>
      <c r="P1610" t="str">
        <f>_xlfn.XLOOKUP(salesitems[[#This Row],[product_id]],fashion_store_products!A:A,fashion_store_products!C:C)</f>
        <v>Shoes</v>
      </c>
    </row>
    <row r="1611" spans="1:16" x14ac:dyDescent="0.45">
      <c r="A1611">
        <v>1001</v>
      </c>
      <c r="B1611">
        <v>310</v>
      </c>
      <c r="C1611">
        <v>20</v>
      </c>
      <c r="D1611">
        <v>4</v>
      </c>
      <c r="E1611">
        <v>45.42</v>
      </c>
      <c r="F1611">
        <v>45.42</v>
      </c>
      <c r="G1611">
        <v>0</v>
      </c>
      <c r="H1611" s="2">
        <v>0</v>
      </c>
      <c r="I1611">
        <v>0</v>
      </c>
      <c r="J1611">
        <v>181.68</v>
      </c>
      <c r="K1611" s="1">
        <v>45765</v>
      </c>
      <c r="L1611" t="s">
        <v>21</v>
      </c>
      <c r="M1611" t="s">
        <v>18</v>
      </c>
      <c r="N1611">
        <f>salesitems[[#This Row],[quantity]]*salesitems[[#This Row],[unit_price]]</f>
        <v>181.68</v>
      </c>
      <c r="O1611" t="str">
        <f>_xlfn.XLOOKUP(salesitems[[#This Row],[product_id]],products[product_id],products[product_name])</f>
        <v>Soft Crew Dress</v>
      </c>
      <c r="P1611" t="str">
        <f>_xlfn.XLOOKUP(salesitems[[#This Row],[product_id]],fashion_store_products!A:A,fashion_store_products!C:C)</f>
        <v>Dresses</v>
      </c>
    </row>
    <row r="1612" spans="1:16" x14ac:dyDescent="0.45">
      <c r="A1612">
        <v>1017</v>
      </c>
      <c r="B1612">
        <v>552</v>
      </c>
      <c r="C1612">
        <v>44</v>
      </c>
      <c r="D1612">
        <v>4</v>
      </c>
      <c r="E1612">
        <v>64.84</v>
      </c>
      <c r="F1612">
        <v>45.39</v>
      </c>
      <c r="G1612">
        <v>19.45</v>
      </c>
      <c r="H1612" s="2">
        <v>0.3</v>
      </c>
      <c r="I1612">
        <v>1</v>
      </c>
      <c r="J1612">
        <v>181.55</v>
      </c>
      <c r="K1612" s="1">
        <v>45792</v>
      </c>
      <c r="L1612" t="s">
        <v>15</v>
      </c>
      <c r="M1612" t="s">
        <v>11</v>
      </c>
      <c r="N1612">
        <f>salesitems[[#This Row],[quantity]]*salesitems[[#This Row],[unit_price]]</f>
        <v>181.56</v>
      </c>
      <c r="O1612" t="str">
        <f>_xlfn.XLOOKUP(salesitems[[#This Row],[product_id]],products[product_id],products[product_name])</f>
        <v>Modern Wrap Trousers</v>
      </c>
      <c r="P1612" t="str">
        <f>_xlfn.XLOOKUP(salesitems[[#This Row],[product_id]],fashion_store_products!A:A,fashion_store_products!C:C)</f>
        <v>Pants</v>
      </c>
    </row>
    <row r="1613" spans="1:16" x14ac:dyDescent="0.45">
      <c r="A1613">
        <v>738</v>
      </c>
      <c r="B1613">
        <v>1154</v>
      </c>
      <c r="C1613">
        <v>109</v>
      </c>
      <c r="D1613">
        <v>4</v>
      </c>
      <c r="E1613">
        <v>45.27</v>
      </c>
      <c r="F1613">
        <v>45.27</v>
      </c>
      <c r="G1613">
        <v>0</v>
      </c>
      <c r="H1613" s="2">
        <v>0</v>
      </c>
      <c r="I1613">
        <v>0</v>
      </c>
      <c r="J1613">
        <v>181.08</v>
      </c>
      <c r="K1613" s="1">
        <v>45782</v>
      </c>
      <c r="L1613" t="s">
        <v>21</v>
      </c>
      <c r="M1613" t="s">
        <v>18</v>
      </c>
      <c r="N1613">
        <f>salesitems[[#This Row],[quantity]]*salesitems[[#This Row],[unit_price]]</f>
        <v>181.08</v>
      </c>
      <c r="O1613" t="str">
        <f>_xlfn.XLOOKUP(salesitems[[#This Row],[product_id]],products[product_id],products[product_name])</f>
        <v>Classic Sleeveless Dress</v>
      </c>
      <c r="P1613" t="str">
        <f>_xlfn.XLOOKUP(salesitems[[#This Row],[product_id]],fashion_store_products!A:A,fashion_store_products!C:C)</f>
        <v>Dresses</v>
      </c>
    </row>
    <row r="1614" spans="1:16" x14ac:dyDescent="0.45">
      <c r="A1614">
        <v>2200</v>
      </c>
      <c r="B1614">
        <v>538</v>
      </c>
      <c r="C1614">
        <v>404</v>
      </c>
      <c r="D1614">
        <v>4</v>
      </c>
      <c r="E1614">
        <v>45.19</v>
      </c>
      <c r="F1614">
        <v>45.19</v>
      </c>
      <c r="G1614">
        <v>0</v>
      </c>
      <c r="H1614" s="2">
        <v>0</v>
      </c>
      <c r="I1614">
        <v>0</v>
      </c>
      <c r="J1614">
        <v>180.76</v>
      </c>
      <c r="K1614" s="1">
        <v>45783</v>
      </c>
      <c r="L1614" t="s">
        <v>15</v>
      </c>
      <c r="M1614" t="s">
        <v>15</v>
      </c>
      <c r="N1614">
        <f>salesitems[[#This Row],[quantity]]*salesitems[[#This Row],[unit_price]]</f>
        <v>180.76</v>
      </c>
      <c r="O1614" t="str">
        <f>_xlfn.XLOOKUP(salesitems[[#This Row],[product_id]],products[product_id],products[product_name])</f>
        <v>Elegant Cotton Set</v>
      </c>
      <c r="P1614" t="str">
        <f>_xlfn.XLOOKUP(salesitems[[#This Row],[product_id]],fashion_store_products!A:A,fashion_store_products!C:C)</f>
        <v>Sleepwear</v>
      </c>
    </row>
    <row r="1615" spans="1:16" x14ac:dyDescent="0.45">
      <c r="A1615">
        <v>361</v>
      </c>
      <c r="B1615">
        <v>425</v>
      </c>
      <c r="C1615">
        <v>89</v>
      </c>
      <c r="D1615">
        <v>4</v>
      </c>
      <c r="E1615">
        <v>45.12</v>
      </c>
      <c r="F1615">
        <v>45.12</v>
      </c>
      <c r="G1615">
        <v>0</v>
      </c>
      <c r="H1615" s="2">
        <v>0</v>
      </c>
      <c r="I1615">
        <v>0</v>
      </c>
      <c r="J1615">
        <v>180.48</v>
      </c>
      <c r="K1615" s="1">
        <v>45763</v>
      </c>
      <c r="L1615" t="s">
        <v>21</v>
      </c>
      <c r="M1615" t="s">
        <v>18</v>
      </c>
      <c r="N1615">
        <f>salesitems[[#This Row],[quantity]]*salesitems[[#This Row],[unit_price]]</f>
        <v>180.48</v>
      </c>
      <c r="O1615" t="str">
        <f>_xlfn.XLOOKUP(salesitems[[#This Row],[product_id]],products[product_id],products[product_name])</f>
        <v>Modern Satin Shoes</v>
      </c>
      <c r="P1615" t="str">
        <f>_xlfn.XLOOKUP(salesitems[[#This Row],[product_id]],fashion_store_products!A:A,fashion_store_products!C:C)</f>
        <v>Shoes</v>
      </c>
    </row>
    <row r="1616" spans="1:16" x14ac:dyDescent="0.45">
      <c r="A1616">
        <v>1040</v>
      </c>
      <c r="B1616">
        <v>1321</v>
      </c>
      <c r="C1616">
        <v>89</v>
      </c>
      <c r="D1616">
        <v>4</v>
      </c>
      <c r="E1616">
        <v>45.12</v>
      </c>
      <c r="F1616">
        <v>45.12</v>
      </c>
      <c r="G1616">
        <v>0</v>
      </c>
      <c r="H1616" s="2">
        <v>0</v>
      </c>
      <c r="I1616">
        <v>0</v>
      </c>
      <c r="J1616">
        <v>180.48</v>
      </c>
      <c r="K1616" s="1">
        <v>45822</v>
      </c>
      <c r="L1616" t="s">
        <v>21</v>
      </c>
      <c r="M1616" t="s">
        <v>18</v>
      </c>
      <c r="N1616">
        <f>salesitems[[#This Row],[quantity]]*salesitems[[#This Row],[unit_price]]</f>
        <v>180.48</v>
      </c>
      <c r="O1616" t="str">
        <f>_xlfn.XLOOKUP(salesitems[[#This Row],[product_id]],products[product_id],products[product_name])</f>
        <v>Modern Satin Shoes</v>
      </c>
      <c r="P1616" t="str">
        <f>_xlfn.XLOOKUP(salesitems[[#This Row],[product_id]],fashion_store_products!A:A,fashion_store_products!C:C)</f>
        <v>Shoes</v>
      </c>
    </row>
    <row r="1617" spans="1:16" x14ac:dyDescent="0.45">
      <c r="A1617">
        <v>1917</v>
      </c>
      <c r="B1617">
        <v>347</v>
      </c>
      <c r="C1617">
        <v>128</v>
      </c>
      <c r="D1617">
        <v>4</v>
      </c>
      <c r="E1617">
        <v>44.9</v>
      </c>
      <c r="F1617">
        <v>44.9</v>
      </c>
      <c r="G1617">
        <v>0</v>
      </c>
      <c r="H1617" s="2">
        <v>0</v>
      </c>
      <c r="I1617">
        <v>0</v>
      </c>
      <c r="J1617">
        <v>179.6</v>
      </c>
      <c r="K1617" s="1">
        <v>45795</v>
      </c>
      <c r="L1617" t="s">
        <v>21</v>
      </c>
      <c r="M1617" t="s">
        <v>18</v>
      </c>
      <c r="N1617">
        <f>salesitems[[#This Row],[quantity]]*salesitems[[#This Row],[unit_price]]</f>
        <v>179.6</v>
      </c>
      <c r="O1617" t="str">
        <f>_xlfn.XLOOKUP(salesitems[[#This Row],[product_id]],products[product_id],products[product_name])</f>
        <v>Classic Crew Tee</v>
      </c>
      <c r="P1617" t="str">
        <f>_xlfn.XLOOKUP(salesitems[[#This Row],[product_id]],fashion_store_products!A:A,fashion_store_products!C:C)</f>
        <v>T-Shirts</v>
      </c>
    </row>
    <row r="1618" spans="1:16" x14ac:dyDescent="0.45">
      <c r="A1618">
        <v>2339</v>
      </c>
      <c r="B1618">
        <v>161</v>
      </c>
      <c r="C1618">
        <v>12</v>
      </c>
      <c r="D1618">
        <v>4</v>
      </c>
      <c r="E1618">
        <v>44.77</v>
      </c>
      <c r="F1618">
        <v>44.77</v>
      </c>
      <c r="G1618">
        <v>0</v>
      </c>
      <c r="H1618" s="2">
        <v>0</v>
      </c>
      <c r="I1618">
        <v>0</v>
      </c>
      <c r="J1618">
        <v>179.08</v>
      </c>
      <c r="K1618" s="1">
        <v>45773</v>
      </c>
      <c r="L1618" t="s">
        <v>15</v>
      </c>
      <c r="M1618" t="s">
        <v>15</v>
      </c>
      <c r="N1618">
        <f>salesitems[[#This Row],[quantity]]*salesitems[[#This Row],[unit_price]]</f>
        <v>179.08</v>
      </c>
      <c r="O1618" t="str">
        <f>_xlfn.XLOOKUP(salesitems[[#This Row],[product_id]],products[product_id],products[product_name])</f>
        <v>Soft Ribbed Dress</v>
      </c>
      <c r="P1618" t="str">
        <f>_xlfn.XLOOKUP(salesitems[[#This Row],[product_id]],fashion_store_products!A:A,fashion_store_products!C:C)</f>
        <v>Dresses</v>
      </c>
    </row>
    <row r="1619" spans="1:16" x14ac:dyDescent="0.45">
      <c r="A1619">
        <v>2446</v>
      </c>
      <c r="B1619">
        <v>1317</v>
      </c>
      <c r="C1619">
        <v>12</v>
      </c>
      <c r="D1619">
        <v>4</v>
      </c>
      <c r="E1619">
        <v>44.77</v>
      </c>
      <c r="F1619">
        <v>44.77</v>
      </c>
      <c r="G1619">
        <v>0</v>
      </c>
      <c r="H1619" s="2">
        <v>0</v>
      </c>
      <c r="I1619">
        <v>0</v>
      </c>
      <c r="J1619">
        <v>179.08</v>
      </c>
      <c r="K1619" s="1">
        <v>45753</v>
      </c>
      <c r="L1619" t="s">
        <v>21</v>
      </c>
      <c r="M1619" t="s">
        <v>18</v>
      </c>
      <c r="N1619">
        <f>salesitems[[#This Row],[quantity]]*salesitems[[#This Row],[unit_price]]</f>
        <v>179.08</v>
      </c>
      <c r="O1619" t="str">
        <f>_xlfn.XLOOKUP(salesitems[[#This Row],[product_id]],products[product_id],products[product_name])</f>
        <v>Soft Ribbed Dress</v>
      </c>
      <c r="P1619" t="str">
        <f>_xlfn.XLOOKUP(salesitems[[#This Row],[product_id]],fashion_store_products!A:A,fashion_store_products!C:C)</f>
        <v>Dresses</v>
      </c>
    </row>
    <row r="1620" spans="1:16" x14ac:dyDescent="0.45">
      <c r="A1620">
        <v>3166</v>
      </c>
      <c r="B1620">
        <v>787</v>
      </c>
      <c r="C1620">
        <v>322</v>
      </c>
      <c r="D1620">
        <v>4</v>
      </c>
      <c r="E1620">
        <v>44.45</v>
      </c>
      <c r="F1620">
        <v>44.45</v>
      </c>
      <c r="G1620">
        <v>0</v>
      </c>
      <c r="H1620" s="2">
        <v>0</v>
      </c>
      <c r="I1620">
        <v>0</v>
      </c>
      <c r="J1620">
        <v>177.8</v>
      </c>
      <c r="K1620" s="1">
        <v>45825</v>
      </c>
      <c r="L1620" t="s">
        <v>21</v>
      </c>
      <c r="M1620" t="s">
        <v>18</v>
      </c>
      <c r="N1620">
        <f>salesitems[[#This Row],[quantity]]*salesitems[[#This Row],[unit_price]]</f>
        <v>177.8</v>
      </c>
      <c r="O1620" t="str">
        <f>_xlfn.XLOOKUP(salesitems[[#This Row],[product_id]],products[product_id],products[product_name])</f>
        <v>Essential Sleeveless Dress</v>
      </c>
      <c r="P1620" t="str">
        <f>_xlfn.XLOOKUP(salesitems[[#This Row],[product_id]],fashion_store_products!A:A,fashion_store_products!C:C)</f>
        <v>Dresses</v>
      </c>
    </row>
    <row r="1621" spans="1:16" x14ac:dyDescent="0.45">
      <c r="A1621">
        <v>472</v>
      </c>
      <c r="B1621">
        <v>128</v>
      </c>
      <c r="C1621">
        <v>55</v>
      </c>
      <c r="D1621">
        <v>4</v>
      </c>
      <c r="E1621">
        <v>44.32</v>
      </c>
      <c r="F1621">
        <v>44.32</v>
      </c>
      <c r="G1621">
        <v>0</v>
      </c>
      <c r="H1621" s="2">
        <v>0</v>
      </c>
      <c r="I1621">
        <v>0</v>
      </c>
      <c r="J1621">
        <v>177.28</v>
      </c>
      <c r="K1621" s="1">
        <v>45766</v>
      </c>
      <c r="L1621" t="s">
        <v>21</v>
      </c>
      <c r="M1621" t="s">
        <v>18</v>
      </c>
      <c r="N1621">
        <f>salesitems[[#This Row],[quantity]]*salesitems[[#This Row],[unit_price]]</f>
        <v>177.28</v>
      </c>
      <c r="O1621" t="str">
        <f>_xlfn.XLOOKUP(salesitems[[#This Row],[product_id]],products[product_id],products[product_name])</f>
        <v>Modern Ribbed Tee</v>
      </c>
      <c r="P1621" t="str">
        <f>_xlfn.XLOOKUP(salesitems[[#This Row],[product_id]],fashion_store_products!A:A,fashion_store_products!C:C)</f>
        <v>T-Shirts</v>
      </c>
    </row>
    <row r="1622" spans="1:16" x14ac:dyDescent="0.45">
      <c r="A1622">
        <v>1237</v>
      </c>
      <c r="B1622">
        <v>92</v>
      </c>
      <c r="C1622">
        <v>55</v>
      </c>
      <c r="D1622">
        <v>4</v>
      </c>
      <c r="E1622">
        <v>44.32</v>
      </c>
      <c r="F1622">
        <v>44.32</v>
      </c>
      <c r="G1622">
        <v>0</v>
      </c>
      <c r="H1622" s="2">
        <v>0</v>
      </c>
      <c r="I1622">
        <v>0</v>
      </c>
      <c r="J1622">
        <v>177.28</v>
      </c>
      <c r="K1622" s="1">
        <v>45807</v>
      </c>
      <c r="L1622" t="s">
        <v>15</v>
      </c>
      <c r="M1622" t="s">
        <v>15</v>
      </c>
      <c r="N1622">
        <f>salesitems[[#This Row],[quantity]]*salesitems[[#This Row],[unit_price]]</f>
        <v>177.28</v>
      </c>
      <c r="O1622" t="str">
        <f>_xlfn.XLOOKUP(salesitems[[#This Row],[product_id]],products[product_id],products[product_name])</f>
        <v>Modern Ribbed Tee</v>
      </c>
      <c r="P1622" t="str">
        <f>_xlfn.XLOOKUP(salesitems[[#This Row],[product_id]],fashion_store_products!A:A,fashion_store_products!C:C)</f>
        <v>T-Shirts</v>
      </c>
    </row>
    <row r="1623" spans="1:16" x14ac:dyDescent="0.45">
      <c r="A1623">
        <v>2149</v>
      </c>
      <c r="B1623">
        <v>865</v>
      </c>
      <c r="C1623">
        <v>55</v>
      </c>
      <c r="D1623">
        <v>4</v>
      </c>
      <c r="E1623">
        <v>44.32</v>
      </c>
      <c r="F1623">
        <v>44.32</v>
      </c>
      <c r="G1623">
        <v>0</v>
      </c>
      <c r="H1623" s="2">
        <v>0</v>
      </c>
      <c r="I1623">
        <v>0</v>
      </c>
      <c r="J1623">
        <v>177.28</v>
      </c>
      <c r="K1623" s="1">
        <v>45806</v>
      </c>
      <c r="L1623" t="s">
        <v>21</v>
      </c>
      <c r="M1623" t="s">
        <v>18</v>
      </c>
      <c r="N1623">
        <f>salesitems[[#This Row],[quantity]]*salesitems[[#This Row],[unit_price]]</f>
        <v>177.28</v>
      </c>
      <c r="O1623" t="str">
        <f>_xlfn.XLOOKUP(salesitems[[#This Row],[product_id]],products[product_id],products[product_name])</f>
        <v>Modern Ribbed Tee</v>
      </c>
      <c r="P1623" t="str">
        <f>_xlfn.XLOOKUP(salesitems[[#This Row],[product_id]],fashion_store_products!A:A,fashion_store_products!C:C)</f>
        <v>T-Shirts</v>
      </c>
    </row>
    <row r="1624" spans="1:16" x14ac:dyDescent="0.45">
      <c r="A1624">
        <v>863</v>
      </c>
      <c r="B1624">
        <v>1058</v>
      </c>
      <c r="C1624">
        <v>29</v>
      </c>
      <c r="D1624">
        <v>4</v>
      </c>
      <c r="E1624">
        <v>44.27</v>
      </c>
      <c r="F1624">
        <v>44.27</v>
      </c>
      <c r="G1624">
        <v>0</v>
      </c>
      <c r="H1624" s="2">
        <v>0</v>
      </c>
      <c r="I1624">
        <v>0</v>
      </c>
      <c r="J1624">
        <v>177.08</v>
      </c>
      <c r="K1624" s="1">
        <v>45803</v>
      </c>
      <c r="L1624" t="s">
        <v>21</v>
      </c>
      <c r="M1624" t="s">
        <v>18</v>
      </c>
      <c r="N1624">
        <f>salesitems[[#This Row],[quantity]]*salesitems[[#This Row],[unit_price]]</f>
        <v>177.08</v>
      </c>
      <c r="O1624" t="str">
        <f>_xlfn.XLOOKUP(salesitems[[#This Row],[product_id]],products[product_id],products[product_name])</f>
        <v>Soft Linen Set</v>
      </c>
      <c r="P1624" t="str">
        <f>_xlfn.XLOOKUP(salesitems[[#This Row],[product_id]],fashion_store_products!A:A,fashion_store_products!C:C)</f>
        <v>Sleepwear</v>
      </c>
    </row>
    <row r="1625" spans="1:16" x14ac:dyDescent="0.45">
      <c r="A1625">
        <v>1249</v>
      </c>
      <c r="B1625">
        <v>161</v>
      </c>
      <c r="C1625">
        <v>489</v>
      </c>
      <c r="D1625">
        <v>4</v>
      </c>
      <c r="E1625">
        <v>44.21</v>
      </c>
      <c r="F1625">
        <v>44.21</v>
      </c>
      <c r="G1625">
        <v>0</v>
      </c>
      <c r="H1625" s="2">
        <v>0</v>
      </c>
      <c r="I1625">
        <v>0</v>
      </c>
      <c r="J1625">
        <v>176.84</v>
      </c>
      <c r="K1625" s="1">
        <v>45773</v>
      </c>
      <c r="L1625" t="s">
        <v>15</v>
      </c>
      <c r="M1625" t="s">
        <v>15</v>
      </c>
      <c r="N1625">
        <f>salesitems[[#This Row],[quantity]]*salesitems[[#This Row],[unit_price]]</f>
        <v>176.84</v>
      </c>
      <c r="O1625" t="str">
        <f>_xlfn.XLOOKUP(salesitems[[#This Row],[product_id]],products[product_id],products[product_name])</f>
        <v>T-Shirts Drop 5</v>
      </c>
      <c r="P1625" t="str">
        <f>_xlfn.XLOOKUP(salesitems[[#This Row],[product_id]],fashion_store_products!A:A,fashion_store_products!C:C)</f>
        <v>T-Shirts</v>
      </c>
    </row>
    <row r="1626" spans="1:16" x14ac:dyDescent="0.45">
      <c r="A1626">
        <v>808</v>
      </c>
      <c r="B1626">
        <v>166</v>
      </c>
      <c r="C1626">
        <v>280</v>
      </c>
      <c r="D1626">
        <v>4</v>
      </c>
      <c r="E1626">
        <v>44.14</v>
      </c>
      <c r="F1626">
        <v>44.14</v>
      </c>
      <c r="G1626">
        <v>0</v>
      </c>
      <c r="H1626" s="2">
        <v>0</v>
      </c>
      <c r="I1626">
        <v>0</v>
      </c>
      <c r="J1626">
        <v>176.56</v>
      </c>
      <c r="K1626" s="1">
        <v>45783</v>
      </c>
      <c r="L1626" t="s">
        <v>21</v>
      </c>
      <c r="M1626" t="s">
        <v>18</v>
      </c>
      <c r="N1626">
        <f>salesitems[[#This Row],[quantity]]*salesitems[[#This Row],[unit_price]]</f>
        <v>176.56</v>
      </c>
      <c r="O1626" t="str">
        <f>_xlfn.XLOOKUP(salesitems[[#This Row],[product_id]],products[product_id],products[product_name])</f>
        <v>Essential Linen Tee</v>
      </c>
      <c r="P1626" t="str">
        <f>_xlfn.XLOOKUP(salesitems[[#This Row],[product_id]],fashion_store_products!A:A,fashion_store_products!C:C)</f>
        <v>T-Shirts</v>
      </c>
    </row>
    <row r="1627" spans="1:16" x14ac:dyDescent="0.45">
      <c r="A1627">
        <v>2046</v>
      </c>
      <c r="B1627">
        <v>1008</v>
      </c>
      <c r="C1627">
        <v>184</v>
      </c>
      <c r="D1627">
        <v>4</v>
      </c>
      <c r="E1627">
        <v>44.08</v>
      </c>
      <c r="F1627">
        <v>44.08</v>
      </c>
      <c r="G1627">
        <v>0</v>
      </c>
      <c r="H1627" s="2">
        <v>0</v>
      </c>
      <c r="I1627">
        <v>0</v>
      </c>
      <c r="J1627">
        <v>176.32</v>
      </c>
      <c r="K1627" s="1">
        <v>45801</v>
      </c>
      <c r="L1627" t="s">
        <v>15</v>
      </c>
      <c r="M1627" t="s">
        <v>15</v>
      </c>
      <c r="N1627">
        <f>salesitems[[#This Row],[quantity]]*salesitems[[#This Row],[unit_price]]</f>
        <v>176.32</v>
      </c>
      <c r="O1627" t="str">
        <f>_xlfn.XLOOKUP(salesitems[[#This Row],[product_id]],products[product_id],products[product_name])</f>
        <v>Vintage Wrap Trousers</v>
      </c>
      <c r="P1627" t="str">
        <f>_xlfn.XLOOKUP(salesitems[[#This Row],[product_id]],fashion_store_products!A:A,fashion_store_products!C:C)</f>
        <v>Pants</v>
      </c>
    </row>
    <row r="1628" spans="1:16" x14ac:dyDescent="0.45">
      <c r="A1628">
        <v>673</v>
      </c>
      <c r="B1628">
        <v>663</v>
      </c>
      <c r="C1628">
        <v>231</v>
      </c>
      <c r="D1628">
        <v>4</v>
      </c>
      <c r="E1628">
        <v>44.06</v>
      </c>
      <c r="F1628">
        <v>44.06</v>
      </c>
      <c r="G1628">
        <v>0</v>
      </c>
      <c r="H1628" s="2">
        <v>0</v>
      </c>
      <c r="I1628">
        <v>0</v>
      </c>
      <c r="J1628">
        <v>176.24</v>
      </c>
      <c r="K1628" s="1">
        <v>45753</v>
      </c>
      <c r="L1628" t="s">
        <v>21</v>
      </c>
      <c r="M1628" t="s">
        <v>18</v>
      </c>
      <c r="N1628">
        <f>salesitems[[#This Row],[quantity]]*salesitems[[#This Row],[unit_price]]</f>
        <v>176.24</v>
      </c>
      <c r="O1628" t="str">
        <f>_xlfn.XLOOKUP(salesitems[[#This Row],[product_id]],products[product_id],products[product_name])</f>
        <v>Polished High-Waist Shoes</v>
      </c>
      <c r="P1628" t="str">
        <f>_xlfn.XLOOKUP(salesitems[[#This Row],[product_id]],fashion_store_products!A:A,fashion_store_products!C:C)</f>
        <v>Shoes</v>
      </c>
    </row>
    <row r="1629" spans="1:16" x14ac:dyDescent="0.45">
      <c r="A1629">
        <v>1121</v>
      </c>
      <c r="B1629">
        <v>198</v>
      </c>
      <c r="C1629">
        <v>411</v>
      </c>
      <c r="D1629">
        <v>4</v>
      </c>
      <c r="E1629">
        <v>43.94</v>
      </c>
      <c r="F1629">
        <v>43.94</v>
      </c>
      <c r="G1629">
        <v>0</v>
      </c>
      <c r="H1629" s="2">
        <v>0</v>
      </c>
      <c r="I1629">
        <v>0</v>
      </c>
      <c r="J1629">
        <v>175.76</v>
      </c>
      <c r="K1629" s="1">
        <v>45770</v>
      </c>
      <c r="L1629" t="s">
        <v>15</v>
      </c>
      <c r="M1629" t="s">
        <v>15</v>
      </c>
      <c r="N1629">
        <f>salesitems[[#This Row],[quantity]]*salesitems[[#This Row],[unit_price]]</f>
        <v>175.76</v>
      </c>
      <c r="O1629" t="str">
        <f>_xlfn.XLOOKUP(salesitems[[#This Row],[product_id]],products[product_id],products[product_name])</f>
        <v>Elegant Silk Set</v>
      </c>
      <c r="P1629" t="str">
        <f>_xlfn.XLOOKUP(salesitems[[#This Row],[product_id]],fashion_store_products!A:A,fashion_store_products!C:C)</f>
        <v>Sleepwear</v>
      </c>
    </row>
    <row r="1630" spans="1:16" x14ac:dyDescent="0.45">
      <c r="A1630">
        <v>1461</v>
      </c>
      <c r="B1630">
        <v>152</v>
      </c>
      <c r="C1630">
        <v>277</v>
      </c>
      <c r="D1630">
        <v>4</v>
      </c>
      <c r="E1630">
        <v>43.92</v>
      </c>
      <c r="F1630">
        <v>43.92</v>
      </c>
      <c r="G1630">
        <v>0</v>
      </c>
      <c r="H1630" s="2">
        <v>0</v>
      </c>
      <c r="I1630">
        <v>0</v>
      </c>
      <c r="J1630">
        <v>175.68</v>
      </c>
      <c r="K1630" s="1">
        <v>45781</v>
      </c>
      <c r="L1630" t="s">
        <v>15</v>
      </c>
      <c r="M1630" t="s">
        <v>15</v>
      </c>
      <c r="N1630">
        <f>salesitems[[#This Row],[quantity]]*salesitems[[#This Row],[unit_price]]</f>
        <v>175.68</v>
      </c>
      <c r="O1630" t="str">
        <f>_xlfn.XLOOKUP(salesitems[[#This Row],[product_id]],products[product_id],products[product_name])</f>
        <v>Relaxed Boxy Tee</v>
      </c>
      <c r="P1630" t="str">
        <f>_xlfn.XLOOKUP(salesitems[[#This Row],[product_id]],fashion_store_products!A:A,fashion_store_products!C:C)</f>
        <v>T-Shirts</v>
      </c>
    </row>
    <row r="1631" spans="1:16" x14ac:dyDescent="0.45">
      <c r="A1631">
        <v>2009</v>
      </c>
      <c r="B1631">
        <v>41</v>
      </c>
      <c r="C1631">
        <v>363</v>
      </c>
      <c r="D1631">
        <v>4</v>
      </c>
      <c r="E1631">
        <v>43.64</v>
      </c>
      <c r="F1631">
        <v>43.64</v>
      </c>
      <c r="G1631">
        <v>0</v>
      </c>
      <c r="H1631" s="2">
        <v>0</v>
      </c>
      <c r="I1631">
        <v>0</v>
      </c>
      <c r="J1631">
        <v>174.56</v>
      </c>
      <c r="K1631" s="1">
        <v>45761</v>
      </c>
      <c r="L1631" t="s">
        <v>21</v>
      </c>
      <c r="M1631" t="s">
        <v>18</v>
      </c>
      <c r="N1631">
        <f>salesitems[[#This Row],[quantity]]*salesitems[[#This Row],[unit_price]]</f>
        <v>174.56</v>
      </c>
      <c r="O1631" t="str">
        <f>_xlfn.XLOOKUP(salesitems[[#This Row],[product_id]],products[product_id],products[product_name])</f>
        <v>Tailored Cotton Dress</v>
      </c>
      <c r="P1631" t="str">
        <f>_xlfn.XLOOKUP(salesitems[[#This Row],[product_id]],fashion_store_products!A:A,fashion_store_products!C:C)</f>
        <v>Dresses</v>
      </c>
    </row>
    <row r="1632" spans="1:16" x14ac:dyDescent="0.45">
      <c r="A1632">
        <v>412</v>
      </c>
      <c r="B1632">
        <v>610</v>
      </c>
      <c r="C1632">
        <v>211</v>
      </c>
      <c r="D1632">
        <v>4</v>
      </c>
      <c r="E1632">
        <v>43.5</v>
      </c>
      <c r="F1632">
        <v>43.5</v>
      </c>
      <c r="G1632">
        <v>0</v>
      </c>
      <c r="H1632" s="2">
        <v>0</v>
      </c>
      <c r="I1632">
        <v>0</v>
      </c>
      <c r="J1632">
        <v>174</v>
      </c>
      <c r="K1632" s="1">
        <v>45807</v>
      </c>
      <c r="L1632" t="s">
        <v>21</v>
      </c>
      <c r="M1632" t="s">
        <v>18</v>
      </c>
      <c r="N1632">
        <f>salesitems[[#This Row],[quantity]]*salesitems[[#This Row],[unit_price]]</f>
        <v>174</v>
      </c>
      <c r="O1632" t="str">
        <f>_xlfn.XLOOKUP(salesitems[[#This Row],[product_id]],products[product_id],products[product_name])</f>
        <v>Polished Cotton Shoes</v>
      </c>
      <c r="P1632" t="str">
        <f>_xlfn.XLOOKUP(salesitems[[#This Row],[product_id]],fashion_store_products!A:A,fashion_store_products!C:C)</f>
        <v>Shoes</v>
      </c>
    </row>
    <row r="1633" spans="1:16" x14ac:dyDescent="0.45">
      <c r="A1633">
        <v>3256</v>
      </c>
      <c r="B1633">
        <v>241</v>
      </c>
      <c r="C1633">
        <v>211</v>
      </c>
      <c r="D1633">
        <v>4</v>
      </c>
      <c r="E1633">
        <v>43.5</v>
      </c>
      <c r="F1633">
        <v>43.5</v>
      </c>
      <c r="G1633">
        <v>0</v>
      </c>
      <c r="H1633" s="2">
        <v>0</v>
      </c>
      <c r="I1633">
        <v>0</v>
      </c>
      <c r="J1633">
        <v>174</v>
      </c>
      <c r="K1633" s="1">
        <v>45814</v>
      </c>
      <c r="L1633" t="s">
        <v>15</v>
      </c>
      <c r="M1633" t="s">
        <v>15</v>
      </c>
      <c r="N1633">
        <f>salesitems[[#This Row],[quantity]]*salesitems[[#This Row],[unit_price]]</f>
        <v>174</v>
      </c>
      <c r="O1633" t="str">
        <f>_xlfn.XLOOKUP(salesitems[[#This Row],[product_id]],products[product_id],products[product_name])</f>
        <v>Polished Cotton Shoes</v>
      </c>
      <c r="P1633" t="str">
        <f>_xlfn.XLOOKUP(salesitems[[#This Row],[product_id]],fashion_store_products!A:A,fashion_store_products!C:C)</f>
        <v>Shoes</v>
      </c>
    </row>
    <row r="1634" spans="1:16" x14ac:dyDescent="0.45">
      <c r="A1634">
        <v>31</v>
      </c>
      <c r="B1634">
        <v>576</v>
      </c>
      <c r="C1634">
        <v>374</v>
      </c>
      <c r="D1634">
        <v>4</v>
      </c>
      <c r="E1634">
        <v>43.43</v>
      </c>
      <c r="F1634">
        <v>43.43</v>
      </c>
      <c r="G1634">
        <v>0</v>
      </c>
      <c r="H1634" s="2">
        <v>0</v>
      </c>
      <c r="I1634">
        <v>0</v>
      </c>
      <c r="J1634">
        <v>173.72</v>
      </c>
      <c r="K1634" s="1">
        <v>45821</v>
      </c>
      <c r="L1634" t="s">
        <v>21</v>
      </c>
      <c r="M1634" t="s">
        <v>18</v>
      </c>
      <c r="N1634">
        <f>salesitems[[#This Row],[quantity]]*salesitems[[#This Row],[unit_price]]</f>
        <v>173.72</v>
      </c>
      <c r="O1634" t="str">
        <f>_xlfn.XLOOKUP(salesitems[[#This Row],[product_id]],products[product_id],products[product_name])</f>
        <v>Tailored Cotton Set</v>
      </c>
      <c r="P1634" t="str">
        <f>_xlfn.XLOOKUP(salesitems[[#This Row],[product_id]],fashion_store_products!A:A,fashion_store_products!C:C)</f>
        <v>Sleepwear</v>
      </c>
    </row>
    <row r="1635" spans="1:16" x14ac:dyDescent="0.45">
      <c r="A1635">
        <v>1173</v>
      </c>
      <c r="B1635">
        <v>67</v>
      </c>
      <c r="C1635">
        <v>374</v>
      </c>
      <c r="D1635">
        <v>4</v>
      </c>
      <c r="E1635">
        <v>43.43</v>
      </c>
      <c r="F1635">
        <v>43.43</v>
      </c>
      <c r="G1635">
        <v>0</v>
      </c>
      <c r="H1635" s="2">
        <v>0</v>
      </c>
      <c r="I1635">
        <v>0</v>
      </c>
      <c r="J1635">
        <v>173.72</v>
      </c>
      <c r="K1635" s="1">
        <v>45751</v>
      </c>
      <c r="L1635" t="s">
        <v>15</v>
      </c>
      <c r="M1635" t="s">
        <v>15</v>
      </c>
      <c r="N1635">
        <f>salesitems[[#This Row],[quantity]]*salesitems[[#This Row],[unit_price]]</f>
        <v>173.72</v>
      </c>
      <c r="O1635" t="str">
        <f>_xlfn.XLOOKUP(salesitems[[#This Row],[product_id]],products[product_id],products[product_name])</f>
        <v>Tailored Cotton Set</v>
      </c>
      <c r="P1635" t="str">
        <f>_xlfn.XLOOKUP(salesitems[[#This Row],[product_id]],fashion_store_products!A:A,fashion_store_products!C:C)</f>
        <v>Sleepwear</v>
      </c>
    </row>
    <row r="1636" spans="1:16" x14ac:dyDescent="0.45">
      <c r="A1636">
        <v>1302</v>
      </c>
      <c r="B1636">
        <v>207</v>
      </c>
      <c r="C1636">
        <v>374</v>
      </c>
      <c r="D1636">
        <v>4</v>
      </c>
      <c r="E1636">
        <v>43.43</v>
      </c>
      <c r="F1636">
        <v>43.43</v>
      </c>
      <c r="G1636">
        <v>0</v>
      </c>
      <c r="H1636" s="2">
        <v>0</v>
      </c>
      <c r="I1636">
        <v>0</v>
      </c>
      <c r="J1636">
        <v>173.72</v>
      </c>
      <c r="K1636" s="1">
        <v>45792</v>
      </c>
      <c r="L1636" t="s">
        <v>21</v>
      </c>
      <c r="M1636" t="s">
        <v>18</v>
      </c>
      <c r="N1636">
        <f>salesitems[[#This Row],[quantity]]*salesitems[[#This Row],[unit_price]]</f>
        <v>173.72</v>
      </c>
      <c r="O1636" t="str">
        <f>_xlfn.XLOOKUP(salesitems[[#This Row],[product_id]],products[product_id],products[product_name])</f>
        <v>Tailored Cotton Set</v>
      </c>
      <c r="P1636" t="str">
        <f>_xlfn.XLOOKUP(salesitems[[#This Row],[product_id]],fashion_store_products!A:A,fashion_store_products!C:C)</f>
        <v>Sleepwear</v>
      </c>
    </row>
    <row r="1637" spans="1:16" x14ac:dyDescent="0.45">
      <c r="A1637">
        <v>800</v>
      </c>
      <c r="B1637">
        <v>458</v>
      </c>
      <c r="C1637">
        <v>302</v>
      </c>
      <c r="D1637">
        <v>4</v>
      </c>
      <c r="E1637">
        <v>43.4</v>
      </c>
      <c r="F1637">
        <v>43.4</v>
      </c>
      <c r="G1637">
        <v>0</v>
      </c>
      <c r="H1637" s="2">
        <v>0</v>
      </c>
      <c r="I1637">
        <v>0</v>
      </c>
      <c r="J1637">
        <v>173.6</v>
      </c>
      <c r="K1637" s="1">
        <v>45797</v>
      </c>
      <c r="L1637" t="s">
        <v>15</v>
      </c>
      <c r="M1637" t="s">
        <v>15</v>
      </c>
      <c r="N1637">
        <f>salesitems[[#This Row],[quantity]]*salesitems[[#This Row],[unit_price]]</f>
        <v>173.6</v>
      </c>
      <c r="O1637" t="str">
        <f>_xlfn.XLOOKUP(salesitems[[#This Row],[product_id]],products[product_id],products[product_name])</f>
        <v>Essential Satin Tee</v>
      </c>
      <c r="P1637" t="str">
        <f>_xlfn.XLOOKUP(salesitems[[#This Row],[product_id]],fashion_store_products!A:A,fashion_store_products!C:C)</f>
        <v>T-Shirts</v>
      </c>
    </row>
    <row r="1638" spans="1:16" x14ac:dyDescent="0.45">
      <c r="A1638">
        <v>1589</v>
      </c>
      <c r="B1638">
        <v>960</v>
      </c>
      <c r="C1638">
        <v>429</v>
      </c>
      <c r="D1638">
        <v>4</v>
      </c>
      <c r="E1638">
        <v>43.34</v>
      </c>
      <c r="F1638">
        <v>43.34</v>
      </c>
      <c r="G1638">
        <v>0</v>
      </c>
      <c r="H1638" s="2">
        <v>0</v>
      </c>
      <c r="I1638">
        <v>0</v>
      </c>
      <c r="J1638">
        <v>173.36</v>
      </c>
      <c r="K1638" s="1">
        <v>45805</v>
      </c>
      <c r="L1638" t="s">
        <v>21</v>
      </c>
      <c r="M1638" t="s">
        <v>18</v>
      </c>
      <c r="N1638">
        <f>salesitems[[#This Row],[quantity]]*salesitems[[#This Row],[unit_price]]</f>
        <v>173.36</v>
      </c>
      <c r="O1638" t="str">
        <f>_xlfn.XLOOKUP(salesitems[[#This Row],[product_id]],products[product_id],products[product_name])</f>
        <v>Bold Wrap Tee</v>
      </c>
      <c r="P1638" t="str">
        <f>_xlfn.XLOOKUP(salesitems[[#This Row],[product_id]],fashion_store_products!A:A,fashion_store_products!C:C)</f>
        <v>T-Shirts</v>
      </c>
    </row>
    <row r="1639" spans="1:16" x14ac:dyDescent="0.45">
      <c r="A1639">
        <v>2955</v>
      </c>
      <c r="B1639">
        <v>1303</v>
      </c>
      <c r="C1639">
        <v>308</v>
      </c>
      <c r="D1639">
        <v>4</v>
      </c>
      <c r="E1639">
        <v>43.27</v>
      </c>
      <c r="F1639">
        <v>43.27</v>
      </c>
      <c r="G1639">
        <v>0</v>
      </c>
      <c r="H1639" s="2">
        <v>0</v>
      </c>
      <c r="I1639">
        <v>0</v>
      </c>
      <c r="J1639">
        <v>173.08</v>
      </c>
      <c r="K1639" s="1">
        <v>45798</v>
      </c>
      <c r="L1639" t="s">
        <v>21</v>
      </c>
      <c r="M1639" t="s">
        <v>18</v>
      </c>
      <c r="N1639">
        <f>salesitems[[#This Row],[quantity]]*salesitems[[#This Row],[unit_price]]</f>
        <v>173.08</v>
      </c>
      <c r="O1639" t="str">
        <f>_xlfn.XLOOKUP(salesitems[[#This Row],[product_id]],products[product_id],products[product_name])</f>
        <v>Relaxed Linen Trousers</v>
      </c>
      <c r="P1639" t="str">
        <f>_xlfn.XLOOKUP(salesitems[[#This Row],[product_id]],fashion_store_products!A:A,fashion_store_products!C:C)</f>
        <v>Pants</v>
      </c>
    </row>
    <row r="1640" spans="1:16" x14ac:dyDescent="0.45">
      <c r="A1640">
        <v>1465</v>
      </c>
      <c r="B1640">
        <v>483</v>
      </c>
      <c r="C1640">
        <v>455</v>
      </c>
      <c r="D1640">
        <v>4</v>
      </c>
      <c r="E1640">
        <v>48.03</v>
      </c>
      <c r="F1640">
        <v>43.23</v>
      </c>
      <c r="G1640">
        <v>4.8</v>
      </c>
      <c r="H1640" s="2">
        <v>0.1</v>
      </c>
      <c r="I1640">
        <v>1</v>
      </c>
      <c r="J1640">
        <v>172.91</v>
      </c>
      <c r="K1640" s="1">
        <v>45814</v>
      </c>
      <c r="L1640" t="s">
        <v>21</v>
      </c>
      <c r="M1640" t="s">
        <v>18</v>
      </c>
      <c r="N1640">
        <f>salesitems[[#This Row],[quantity]]*salesitems[[#This Row],[unit_price]]</f>
        <v>172.92</v>
      </c>
      <c r="O1640" t="str">
        <f>_xlfn.XLOOKUP(salesitems[[#This Row],[product_id]],products[product_id],products[product_name])</f>
        <v>Tailored Ribbed Trousers</v>
      </c>
      <c r="P1640" t="str">
        <f>_xlfn.XLOOKUP(salesitems[[#This Row],[product_id]],fashion_store_products!A:A,fashion_store_products!C:C)</f>
        <v>Pants</v>
      </c>
    </row>
    <row r="1641" spans="1:16" x14ac:dyDescent="0.45">
      <c r="A1641">
        <v>1305</v>
      </c>
      <c r="B1641">
        <v>233</v>
      </c>
      <c r="C1641">
        <v>434</v>
      </c>
      <c r="D1641">
        <v>4</v>
      </c>
      <c r="E1641">
        <v>43.14</v>
      </c>
      <c r="F1641">
        <v>43.14</v>
      </c>
      <c r="G1641">
        <v>0</v>
      </c>
      <c r="H1641" s="2">
        <v>0</v>
      </c>
      <c r="I1641">
        <v>0</v>
      </c>
      <c r="J1641">
        <v>172.56</v>
      </c>
      <c r="K1641" s="1">
        <v>45775</v>
      </c>
      <c r="L1641" t="s">
        <v>21</v>
      </c>
      <c r="M1641" t="s">
        <v>18</v>
      </c>
      <c r="N1641">
        <f>salesitems[[#This Row],[quantity]]*salesitems[[#This Row],[unit_price]]</f>
        <v>172.56</v>
      </c>
      <c r="O1641" t="str">
        <f>_xlfn.XLOOKUP(salesitems[[#This Row],[product_id]],products[product_id],products[product_name])</f>
        <v>Bold Ribbed Tee</v>
      </c>
      <c r="P1641" t="str">
        <f>_xlfn.XLOOKUP(salesitems[[#This Row],[product_id]],fashion_store_products!A:A,fashion_store_products!C:C)</f>
        <v>T-Shirts</v>
      </c>
    </row>
    <row r="1642" spans="1:16" x14ac:dyDescent="0.45">
      <c r="A1642">
        <v>2845</v>
      </c>
      <c r="B1642">
        <v>61</v>
      </c>
      <c r="C1642">
        <v>434</v>
      </c>
      <c r="D1642">
        <v>4</v>
      </c>
      <c r="E1642">
        <v>43.14</v>
      </c>
      <c r="F1642">
        <v>43.14</v>
      </c>
      <c r="G1642">
        <v>0</v>
      </c>
      <c r="H1642" s="2">
        <v>0</v>
      </c>
      <c r="I1642">
        <v>0</v>
      </c>
      <c r="J1642">
        <v>172.56</v>
      </c>
      <c r="K1642" s="1">
        <v>45803</v>
      </c>
      <c r="L1642" t="s">
        <v>15</v>
      </c>
      <c r="M1642" t="s">
        <v>15</v>
      </c>
      <c r="N1642">
        <f>salesitems[[#This Row],[quantity]]*salesitems[[#This Row],[unit_price]]</f>
        <v>172.56</v>
      </c>
      <c r="O1642" t="str">
        <f>_xlfn.XLOOKUP(salesitems[[#This Row],[product_id]],products[product_id],products[product_name])</f>
        <v>Bold Ribbed Tee</v>
      </c>
      <c r="P1642" t="str">
        <f>_xlfn.XLOOKUP(salesitems[[#This Row],[product_id]],fashion_store_products!A:A,fashion_store_products!C:C)</f>
        <v>T-Shirts</v>
      </c>
    </row>
    <row r="1643" spans="1:16" x14ac:dyDescent="0.45">
      <c r="A1643">
        <v>3091</v>
      </c>
      <c r="B1643">
        <v>147</v>
      </c>
      <c r="C1643">
        <v>434</v>
      </c>
      <c r="D1643">
        <v>4</v>
      </c>
      <c r="E1643">
        <v>43.14</v>
      </c>
      <c r="F1643">
        <v>43.14</v>
      </c>
      <c r="G1643">
        <v>0</v>
      </c>
      <c r="H1643" s="2">
        <v>0</v>
      </c>
      <c r="I1643">
        <v>0</v>
      </c>
      <c r="J1643">
        <v>172.56</v>
      </c>
      <c r="K1643" s="1">
        <v>45794</v>
      </c>
      <c r="L1643" t="s">
        <v>21</v>
      </c>
      <c r="M1643" t="s">
        <v>18</v>
      </c>
      <c r="N1643">
        <f>salesitems[[#This Row],[quantity]]*salesitems[[#This Row],[unit_price]]</f>
        <v>172.56</v>
      </c>
      <c r="O1643" t="str">
        <f>_xlfn.XLOOKUP(salesitems[[#This Row],[product_id]],products[product_id],products[product_name])</f>
        <v>Bold Ribbed Tee</v>
      </c>
      <c r="P1643" t="str">
        <f>_xlfn.XLOOKUP(salesitems[[#This Row],[product_id]],fashion_store_products!A:A,fashion_store_products!C:C)</f>
        <v>T-Shirts</v>
      </c>
    </row>
    <row r="1644" spans="1:16" x14ac:dyDescent="0.45">
      <c r="A1644">
        <v>2389</v>
      </c>
      <c r="B1644">
        <v>1172</v>
      </c>
      <c r="C1644">
        <v>329</v>
      </c>
      <c r="D1644">
        <v>4</v>
      </c>
      <c r="E1644">
        <v>43.09</v>
      </c>
      <c r="F1644">
        <v>43.09</v>
      </c>
      <c r="G1644">
        <v>0</v>
      </c>
      <c r="H1644" s="2">
        <v>0</v>
      </c>
      <c r="I1644">
        <v>0</v>
      </c>
      <c r="J1644">
        <v>172.36</v>
      </c>
      <c r="K1644" s="1">
        <v>45808</v>
      </c>
      <c r="L1644" t="s">
        <v>21</v>
      </c>
      <c r="M1644" t="s">
        <v>18</v>
      </c>
      <c r="N1644">
        <f>salesitems[[#This Row],[quantity]]*salesitems[[#This Row],[unit_price]]</f>
        <v>172.36</v>
      </c>
      <c r="O1644" t="str">
        <f>_xlfn.XLOOKUP(salesitems[[#This Row],[product_id]],products[product_id],products[product_name])</f>
        <v>Relaxed Boxy Set</v>
      </c>
      <c r="P1644" t="str">
        <f>_xlfn.XLOOKUP(salesitems[[#This Row],[product_id]],fashion_store_products!A:A,fashion_store_products!C:C)</f>
        <v>Sleepwear</v>
      </c>
    </row>
    <row r="1645" spans="1:16" x14ac:dyDescent="0.45">
      <c r="A1645">
        <v>2871</v>
      </c>
      <c r="B1645">
        <v>209</v>
      </c>
      <c r="C1645">
        <v>102</v>
      </c>
      <c r="D1645">
        <v>4</v>
      </c>
      <c r="E1645">
        <v>43.06</v>
      </c>
      <c r="F1645">
        <v>43.06</v>
      </c>
      <c r="G1645">
        <v>0</v>
      </c>
      <c r="H1645" s="2">
        <v>0</v>
      </c>
      <c r="I1645">
        <v>0</v>
      </c>
      <c r="J1645">
        <v>172.24</v>
      </c>
      <c r="K1645" s="1">
        <v>45808</v>
      </c>
      <c r="L1645" t="s">
        <v>15</v>
      </c>
      <c r="M1645" t="s">
        <v>15</v>
      </c>
      <c r="N1645">
        <f>salesitems[[#This Row],[quantity]]*salesitems[[#This Row],[unit_price]]</f>
        <v>172.24</v>
      </c>
      <c r="O1645" t="str">
        <f>_xlfn.XLOOKUP(salesitems[[#This Row],[product_id]],products[product_id],products[product_name])</f>
        <v>Classic Linen Tee</v>
      </c>
      <c r="P1645" t="str">
        <f>_xlfn.XLOOKUP(salesitems[[#This Row],[product_id]],fashion_store_products!A:A,fashion_store_products!C:C)</f>
        <v>T-Shirts</v>
      </c>
    </row>
    <row r="1646" spans="1:16" x14ac:dyDescent="0.45">
      <c r="A1646">
        <v>2820</v>
      </c>
      <c r="B1646">
        <v>129</v>
      </c>
      <c r="C1646">
        <v>24</v>
      </c>
      <c r="D1646">
        <v>4</v>
      </c>
      <c r="E1646">
        <v>42.76</v>
      </c>
      <c r="F1646">
        <v>42.76</v>
      </c>
      <c r="G1646">
        <v>0</v>
      </c>
      <c r="H1646" s="2">
        <v>0</v>
      </c>
      <c r="I1646">
        <v>0</v>
      </c>
      <c r="J1646">
        <v>171.04</v>
      </c>
      <c r="K1646" s="1">
        <v>45803</v>
      </c>
      <c r="L1646" t="s">
        <v>15</v>
      </c>
      <c r="M1646" t="s">
        <v>15</v>
      </c>
      <c r="N1646">
        <f>salesitems[[#This Row],[quantity]]*salesitems[[#This Row],[unit_price]]</f>
        <v>171.04</v>
      </c>
      <c r="O1646" t="str">
        <f>_xlfn.XLOOKUP(salesitems[[#This Row],[product_id]],products[product_id],products[product_name])</f>
        <v>Soft High-Waist Dress</v>
      </c>
      <c r="P1646" t="str">
        <f>_xlfn.XLOOKUP(salesitems[[#This Row],[product_id]],fashion_store_products!A:A,fashion_store_products!C:C)</f>
        <v>Dresses</v>
      </c>
    </row>
    <row r="1647" spans="1:16" x14ac:dyDescent="0.45">
      <c r="A1647">
        <v>1860</v>
      </c>
      <c r="B1647">
        <v>31</v>
      </c>
      <c r="C1647">
        <v>375</v>
      </c>
      <c r="D1647">
        <v>4</v>
      </c>
      <c r="E1647">
        <v>42.67</v>
      </c>
      <c r="F1647">
        <v>42.67</v>
      </c>
      <c r="G1647">
        <v>0</v>
      </c>
      <c r="H1647" s="2">
        <v>0</v>
      </c>
      <c r="I1647">
        <v>0</v>
      </c>
      <c r="J1647">
        <v>170.68</v>
      </c>
      <c r="K1647" s="1">
        <v>45797</v>
      </c>
      <c r="L1647" t="s">
        <v>15</v>
      </c>
      <c r="M1647" t="s">
        <v>15</v>
      </c>
      <c r="N1647">
        <f>salesitems[[#This Row],[quantity]]*salesitems[[#This Row],[unit_price]]</f>
        <v>170.68</v>
      </c>
      <c r="O1647" t="str">
        <f>_xlfn.XLOOKUP(salesitems[[#This Row],[product_id]],products[product_id],products[product_name])</f>
        <v>Tailored Sleeveless Shoes</v>
      </c>
      <c r="P1647" t="str">
        <f>_xlfn.XLOOKUP(salesitems[[#This Row],[product_id]],fashion_store_products!A:A,fashion_store_products!C:C)</f>
        <v>Shoes</v>
      </c>
    </row>
    <row r="1648" spans="1:16" x14ac:dyDescent="0.45">
      <c r="A1648">
        <v>2340</v>
      </c>
      <c r="B1648">
        <v>862</v>
      </c>
      <c r="C1648">
        <v>375</v>
      </c>
      <c r="D1648">
        <v>4</v>
      </c>
      <c r="E1648">
        <v>42.67</v>
      </c>
      <c r="F1648">
        <v>42.67</v>
      </c>
      <c r="G1648">
        <v>0</v>
      </c>
      <c r="H1648" s="2">
        <v>0</v>
      </c>
      <c r="I1648">
        <v>0</v>
      </c>
      <c r="J1648">
        <v>170.68</v>
      </c>
      <c r="K1648" s="1">
        <v>45814</v>
      </c>
      <c r="L1648" t="s">
        <v>15</v>
      </c>
      <c r="M1648" t="s">
        <v>15</v>
      </c>
      <c r="N1648">
        <f>salesitems[[#This Row],[quantity]]*salesitems[[#This Row],[unit_price]]</f>
        <v>170.68</v>
      </c>
      <c r="O1648" t="str">
        <f>_xlfn.XLOOKUP(salesitems[[#This Row],[product_id]],products[product_id],products[product_name])</f>
        <v>Tailored Sleeveless Shoes</v>
      </c>
      <c r="P1648" t="str">
        <f>_xlfn.XLOOKUP(salesitems[[#This Row],[product_id]],fashion_store_products!A:A,fashion_store_products!C:C)</f>
        <v>Shoes</v>
      </c>
    </row>
    <row r="1649" spans="1:16" x14ac:dyDescent="0.45">
      <c r="A1649">
        <v>3358</v>
      </c>
      <c r="B1649">
        <v>655</v>
      </c>
      <c r="C1649">
        <v>165</v>
      </c>
      <c r="D1649">
        <v>4</v>
      </c>
      <c r="E1649">
        <v>42.67</v>
      </c>
      <c r="F1649">
        <v>42.67</v>
      </c>
      <c r="G1649">
        <v>0</v>
      </c>
      <c r="H1649" s="2">
        <v>0</v>
      </c>
      <c r="I1649">
        <v>0</v>
      </c>
      <c r="J1649">
        <v>170.68</v>
      </c>
      <c r="K1649" s="1">
        <v>45771</v>
      </c>
      <c r="L1649" t="s">
        <v>21</v>
      </c>
      <c r="M1649" t="s">
        <v>18</v>
      </c>
      <c r="N1649">
        <f>salesitems[[#This Row],[quantity]]*salesitems[[#This Row],[unit_price]]</f>
        <v>170.68</v>
      </c>
      <c r="O1649" t="str">
        <f>_xlfn.XLOOKUP(salesitems[[#This Row],[product_id]],products[product_id],products[product_name])</f>
        <v>Vintage Cotton Shoes</v>
      </c>
      <c r="P1649" t="str">
        <f>_xlfn.XLOOKUP(salesitems[[#This Row],[product_id]],fashion_store_products!A:A,fashion_store_products!C:C)</f>
        <v>Shoes</v>
      </c>
    </row>
    <row r="1650" spans="1:16" x14ac:dyDescent="0.45">
      <c r="A1650">
        <v>545</v>
      </c>
      <c r="B1650">
        <v>56</v>
      </c>
      <c r="C1650">
        <v>177</v>
      </c>
      <c r="D1650">
        <v>4</v>
      </c>
      <c r="E1650">
        <v>42.66</v>
      </c>
      <c r="F1650">
        <v>42.66</v>
      </c>
      <c r="G1650">
        <v>0</v>
      </c>
      <c r="H1650" s="2">
        <v>0</v>
      </c>
      <c r="I1650">
        <v>0</v>
      </c>
      <c r="J1650">
        <v>170.64</v>
      </c>
      <c r="K1650" s="1">
        <v>45806</v>
      </c>
      <c r="L1650" t="s">
        <v>15</v>
      </c>
      <c r="M1650" t="s">
        <v>15</v>
      </c>
      <c r="N1650">
        <f>salesitems[[#This Row],[quantity]]*salesitems[[#This Row],[unit_price]]</f>
        <v>170.64</v>
      </c>
      <c r="O1650" t="str">
        <f>_xlfn.XLOOKUP(salesitems[[#This Row],[product_id]],products[product_id],products[product_name])</f>
        <v>Vintage Cotton Set</v>
      </c>
      <c r="P1650" t="str">
        <f>_xlfn.XLOOKUP(salesitems[[#This Row],[product_id]],fashion_store_products!A:A,fashion_store_products!C:C)</f>
        <v>Sleepwear</v>
      </c>
    </row>
    <row r="1651" spans="1:16" x14ac:dyDescent="0.45">
      <c r="A1651">
        <v>2514</v>
      </c>
      <c r="B1651">
        <v>1258</v>
      </c>
      <c r="C1651">
        <v>177</v>
      </c>
      <c r="D1651">
        <v>4</v>
      </c>
      <c r="E1651">
        <v>42.66</v>
      </c>
      <c r="F1651">
        <v>42.66</v>
      </c>
      <c r="G1651">
        <v>0</v>
      </c>
      <c r="H1651" s="2">
        <v>0</v>
      </c>
      <c r="I1651">
        <v>0</v>
      </c>
      <c r="J1651">
        <v>170.64</v>
      </c>
      <c r="K1651" s="1">
        <v>45799</v>
      </c>
      <c r="L1651" t="s">
        <v>15</v>
      </c>
      <c r="M1651" t="s">
        <v>15</v>
      </c>
      <c r="N1651">
        <f>salesitems[[#This Row],[quantity]]*salesitems[[#This Row],[unit_price]]</f>
        <v>170.64</v>
      </c>
      <c r="O1651" t="str">
        <f>_xlfn.XLOOKUP(salesitems[[#This Row],[product_id]],products[product_id],products[product_name])</f>
        <v>Vintage Cotton Set</v>
      </c>
      <c r="P1651" t="str">
        <f>_xlfn.XLOOKUP(salesitems[[#This Row],[product_id]],fashion_store_products!A:A,fashion_store_products!C:C)</f>
        <v>Sleepwear</v>
      </c>
    </row>
    <row r="1652" spans="1:16" x14ac:dyDescent="0.45">
      <c r="A1652">
        <v>332</v>
      </c>
      <c r="B1652">
        <v>155</v>
      </c>
      <c r="C1652">
        <v>68</v>
      </c>
      <c r="D1652">
        <v>4</v>
      </c>
      <c r="E1652">
        <v>47.27</v>
      </c>
      <c r="F1652">
        <v>42.54</v>
      </c>
      <c r="G1652">
        <v>4.7300000000000004</v>
      </c>
      <c r="H1652" s="2">
        <v>0.1</v>
      </c>
      <c r="I1652">
        <v>1</v>
      </c>
      <c r="J1652">
        <v>170.17</v>
      </c>
      <c r="K1652" s="1">
        <v>45812</v>
      </c>
      <c r="L1652" t="s">
        <v>21</v>
      </c>
      <c r="M1652" t="s">
        <v>18</v>
      </c>
      <c r="N1652">
        <f>salesitems[[#This Row],[quantity]]*salesitems[[#This Row],[unit_price]]</f>
        <v>170.16</v>
      </c>
      <c r="O1652" t="str">
        <f>_xlfn.XLOOKUP(salesitems[[#This Row],[product_id]],products[product_id],products[product_name])</f>
        <v>Soft High-Waist Set</v>
      </c>
      <c r="P1652" t="str">
        <f>_xlfn.XLOOKUP(salesitems[[#This Row],[product_id]],fashion_store_products!A:A,fashion_store_products!C:C)</f>
        <v>Sleepwear</v>
      </c>
    </row>
    <row r="1653" spans="1:16" x14ac:dyDescent="0.45">
      <c r="A1653">
        <v>2237</v>
      </c>
      <c r="B1653">
        <v>1067</v>
      </c>
      <c r="C1653">
        <v>263</v>
      </c>
      <c r="D1653">
        <v>4</v>
      </c>
      <c r="E1653">
        <v>42.48</v>
      </c>
      <c r="F1653">
        <v>42.48</v>
      </c>
      <c r="G1653">
        <v>0</v>
      </c>
      <c r="H1653" s="2">
        <v>0</v>
      </c>
      <c r="I1653">
        <v>0</v>
      </c>
      <c r="J1653">
        <v>169.92</v>
      </c>
      <c r="K1653" s="1">
        <v>45807</v>
      </c>
      <c r="L1653" t="s">
        <v>15</v>
      </c>
      <c r="M1653" t="s">
        <v>15</v>
      </c>
      <c r="N1653">
        <f>salesitems[[#This Row],[quantity]]*salesitems[[#This Row],[unit_price]]</f>
        <v>169.92</v>
      </c>
      <c r="O1653" t="str">
        <f>_xlfn.XLOOKUP(salesitems[[#This Row],[product_id]],products[product_id],products[product_name])</f>
        <v>Relaxed High-Waist Shoes</v>
      </c>
      <c r="P1653" t="str">
        <f>_xlfn.XLOOKUP(salesitems[[#This Row],[product_id]],fashion_store_products!A:A,fashion_store_products!C:C)</f>
        <v>Shoes</v>
      </c>
    </row>
    <row r="1654" spans="1:16" x14ac:dyDescent="0.45">
      <c r="A1654">
        <v>1244</v>
      </c>
      <c r="B1654">
        <v>419</v>
      </c>
      <c r="C1654">
        <v>395</v>
      </c>
      <c r="D1654">
        <v>4</v>
      </c>
      <c r="E1654">
        <v>42.31</v>
      </c>
      <c r="F1654">
        <v>42.31</v>
      </c>
      <c r="G1654">
        <v>0</v>
      </c>
      <c r="H1654" s="2">
        <v>0</v>
      </c>
      <c r="I1654">
        <v>0</v>
      </c>
      <c r="J1654">
        <v>169.24</v>
      </c>
      <c r="K1654" s="1">
        <v>45799</v>
      </c>
      <c r="L1654" t="s">
        <v>21</v>
      </c>
      <c r="M1654" t="s">
        <v>18</v>
      </c>
      <c r="N1654">
        <f>salesitems[[#This Row],[quantity]]*salesitems[[#This Row],[unit_price]]</f>
        <v>169.24</v>
      </c>
      <c r="O1654" t="str">
        <f>_xlfn.XLOOKUP(salesitems[[#This Row],[product_id]],products[product_id],products[product_name])</f>
        <v>Elegant Linen Dress</v>
      </c>
      <c r="P1654" t="str">
        <f>_xlfn.XLOOKUP(salesitems[[#This Row],[product_id]],fashion_store_products!A:A,fashion_store_products!C:C)</f>
        <v>Dresses</v>
      </c>
    </row>
    <row r="1655" spans="1:16" x14ac:dyDescent="0.45">
      <c r="A1655">
        <v>1380</v>
      </c>
      <c r="B1655">
        <v>575</v>
      </c>
      <c r="C1655">
        <v>395</v>
      </c>
      <c r="D1655">
        <v>4</v>
      </c>
      <c r="E1655">
        <v>42.31</v>
      </c>
      <c r="F1655">
        <v>42.31</v>
      </c>
      <c r="G1655">
        <v>0</v>
      </c>
      <c r="H1655" s="2">
        <v>0</v>
      </c>
      <c r="I1655">
        <v>0</v>
      </c>
      <c r="J1655">
        <v>169.24</v>
      </c>
      <c r="K1655" s="1">
        <v>45774</v>
      </c>
      <c r="L1655" t="s">
        <v>15</v>
      </c>
      <c r="M1655" t="s">
        <v>15</v>
      </c>
      <c r="N1655">
        <f>salesitems[[#This Row],[quantity]]*salesitems[[#This Row],[unit_price]]</f>
        <v>169.24</v>
      </c>
      <c r="O1655" t="str">
        <f>_xlfn.XLOOKUP(salesitems[[#This Row],[product_id]],products[product_id],products[product_name])</f>
        <v>Elegant Linen Dress</v>
      </c>
      <c r="P1655" t="str">
        <f>_xlfn.XLOOKUP(salesitems[[#This Row],[product_id]],fashion_store_products!A:A,fashion_store_products!C:C)</f>
        <v>Dresses</v>
      </c>
    </row>
    <row r="1656" spans="1:16" x14ac:dyDescent="0.45">
      <c r="A1656">
        <v>444</v>
      </c>
      <c r="B1656">
        <v>125</v>
      </c>
      <c r="C1656">
        <v>309</v>
      </c>
      <c r="D1656">
        <v>4</v>
      </c>
      <c r="E1656">
        <v>42.14</v>
      </c>
      <c r="F1656">
        <v>42.14</v>
      </c>
      <c r="G1656">
        <v>0</v>
      </c>
      <c r="H1656" s="2">
        <v>0</v>
      </c>
      <c r="I1656">
        <v>0</v>
      </c>
      <c r="J1656">
        <v>168.56</v>
      </c>
      <c r="K1656" s="1">
        <v>45813</v>
      </c>
      <c r="L1656" t="s">
        <v>15</v>
      </c>
      <c r="M1656" t="s">
        <v>15</v>
      </c>
      <c r="N1656">
        <f>salesitems[[#This Row],[quantity]]*salesitems[[#This Row],[unit_price]]</f>
        <v>168.56</v>
      </c>
      <c r="O1656" t="str">
        <f>_xlfn.XLOOKUP(salesitems[[#This Row],[product_id]],products[product_id],products[product_name])</f>
        <v>Essential Ribbed Dress</v>
      </c>
      <c r="P1656" t="str">
        <f>_xlfn.XLOOKUP(salesitems[[#This Row],[product_id]],fashion_store_products!A:A,fashion_store_products!C:C)</f>
        <v>Dresses</v>
      </c>
    </row>
    <row r="1657" spans="1:16" x14ac:dyDescent="0.45">
      <c r="A1657">
        <v>1367</v>
      </c>
      <c r="B1657">
        <v>94</v>
      </c>
      <c r="C1657">
        <v>172</v>
      </c>
      <c r="D1657">
        <v>4</v>
      </c>
      <c r="E1657">
        <v>41.7</v>
      </c>
      <c r="F1657">
        <v>41.7</v>
      </c>
      <c r="G1657">
        <v>0</v>
      </c>
      <c r="H1657" s="2">
        <v>0</v>
      </c>
      <c r="I1657">
        <v>0</v>
      </c>
      <c r="J1657">
        <v>166.8</v>
      </c>
      <c r="K1657" s="1">
        <v>45760</v>
      </c>
      <c r="L1657" t="s">
        <v>21</v>
      </c>
      <c r="M1657" t="s">
        <v>18</v>
      </c>
      <c r="N1657">
        <f>salesitems[[#This Row],[quantity]]*salesitems[[#This Row],[unit_price]]</f>
        <v>166.8</v>
      </c>
      <c r="O1657" t="str">
        <f>_xlfn.XLOOKUP(salesitems[[#This Row],[product_id]],products[product_id],products[product_name])</f>
        <v>Vintage Crew Shoes</v>
      </c>
      <c r="P1657" t="str">
        <f>_xlfn.XLOOKUP(salesitems[[#This Row],[product_id]],fashion_store_products!A:A,fashion_store_products!C:C)</f>
        <v>Shoes</v>
      </c>
    </row>
    <row r="1658" spans="1:16" x14ac:dyDescent="0.45">
      <c r="A1658">
        <v>2997</v>
      </c>
      <c r="B1658">
        <v>323</v>
      </c>
      <c r="C1658">
        <v>172</v>
      </c>
      <c r="D1658">
        <v>4</v>
      </c>
      <c r="E1658">
        <v>41.7</v>
      </c>
      <c r="F1658">
        <v>41.7</v>
      </c>
      <c r="G1658">
        <v>0</v>
      </c>
      <c r="H1658" s="2">
        <v>0</v>
      </c>
      <c r="I1658">
        <v>0</v>
      </c>
      <c r="J1658">
        <v>166.8</v>
      </c>
      <c r="K1658" s="1">
        <v>45783</v>
      </c>
      <c r="L1658" t="s">
        <v>21</v>
      </c>
      <c r="M1658" t="s">
        <v>18</v>
      </c>
      <c r="N1658">
        <f>salesitems[[#This Row],[quantity]]*salesitems[[#This Row],[unit_price]]</f>
        <v>166.8</v>
      </c>
      <c r="O1658" t="str">
        <f>_xlfn.XLOOKUP(salesitems[[#This Row],[product_id]],products[product_id],products[product_name])</f>
        <v>Vintage Crew Shoes</v>
      </c>
      <c r="P1658" t="str">
        <f>_xlfn.XLOOKUP(salesitems[[#This Row],[product_id]],fashion_store_products!A:A,fashion_store_products!C:C)</f>
        <v>Shoes</v>
      </c>
    </row>
    <row r="1659" spans="1:16" x14ac:dyDescent="0.45">
      <c r="A1659">
        <v>3048</v>
      </c>
      <c r="B1659">
        <v>967</v>
      </c>
      <c r="C1659">
        <v>172</v>
      </c>
      <c r="D1659">
        <v>4</v>
      </c>
      <c r="E1659">
        <v>41.7</v>
      </c>
      <c r="F1659">
        <v>41.7</v>
      </c>
      <c r="G1659">
        <v>0</v>
      </c>
      <c r="H1659" s="2">
        <v>0</v>
      </c>
      <c r="I1659">
        <v>0</v>
      </c>
      <c r="J1659">
        <v>166.8</v>
      </c>
      <c r="K1659" s="1">
        <v>45773</v>
      </c>
      <c r="L1659" t="s">
        <v>15</v>
      </c>
      <c r="M1659" t="s">
        <v>15</v>
      </c>
      <c r="N1659">
        <f>salesitems[[#This Row],[quantity]]*salesitems[[#This Row],[unit_price]]</f>
        <v>166.8</v>
      </c>
      <c r="O1659" t="str">
        <f>_xlfn.XLOOKUP(salesitems[[#This Row],[product_id]],products[product_id],products[product_name])</f>
        <v>Vintage Crew Shoes</v>
      </c>
      <c r="P1659" t="str">
        <f>_xlfn.XLOOKUP(salesitems[[#This Row],[product_id]],fashion_store_products!A:A,fashion_store_products!C:C)</f>
        <v>Shoes</v>
      </c>
    </row>
    <row r="1660" spans="1:16" x14ac:dyDescent="0.45">
      <c r="A1660">
        <v>3273</v>
      </c>
      <c r="B1660">
        <v>1186</v>
      </c>
      <c r="C1660">
        <v>157</v>
      </c>
      <c r="D1660">
        <v>4</v>
      </c>
      <c r="E1660">
        <v>41.56</v>
      </c>
      <c r="F1660">
        <v>41.56</v>
      </c>
      <c r="G1660">
        <v>0</v>
      </c>
      <c r="H1660" s="2">
        <v>0</v>
      </c>
      <c r="I1660">
        <v>0</v>
      </c>
      <c r="J1660">
        <v>166.24</v>
      </c>
      <c r="K1660" s="1">
        <v>45764</v>
      </c>
      <c r="L1660" t="s">
        <v>21</v>
      </c>
      <c r="M1660" t="s">
        <v>18</v>
      </c>
      <c r="N1660">
        <f>salesitems[[#This Row],[quantity]]*salesitems[[#This Row],[unit_price]]</f>
        <v>166.24</v>
      </c>
      <c r="O1660" t="str">
        <f>_xlfn.XLOOKUP(salesitems[[#This Row],[product_id]],products[product_id],products[product_name])</f>
        <v>Classic Sleeveless Set</v>
      </c>
      <c r="P1660" t="str">
        <f>_xlfn.XLOOKUP(salesitems[[#This Row],[product_id]],fashion_store_products!A:A,fashion_store_products!C:C)</f>
        <v>Sleepwear</v>
      </c>
    </row>
    <row r="1661" spans="1:16" x14ac:dyDescent="0.45">
      <c r="A1661">
        <v>1941</v>
      </c>
      <c r="B1661">
        <v>1262</v>
      </c>
      <c r="C1661">
        <v>289</v>
      </c>
      <c r="D1661">
        <v>4</v>
      </c>
      <c r="E1661">
        <v>41.51</v>
      </c>
      <c r="F1661">
        <v>41.51</v>
      </c>
      <c r="G1661">
        <v>0</v>
      </c>
      <c r="H1661" s="2">
        <v>0</v>
      </c>
      <c r="I1661">
        <v>0</v>
      </c>
      <c r="J1661">
        <v>166.04</v>
      </c>
      <c r="K1661" s="1">
        <v>45775</v>
      </c>
      <c r="L1661" t="s">
        <v>21</v>
      </c>
      <c r="M1661" t="s">
        <v>18</v>
      </c>
      <c r="N1661">
        <f>salesitems[[#This Row],[quantity]]*salesitems[[#This Row],[unit_price]]</f>
        <v>166.04</v>
      </c>
      <c r="O1661" t="str">
        <f>_xlfn.XLOOKUP(salesitems[[#This Row],[product_id]],products[product_id],products[product_name])</f>
        <v>Relaxed High-Waist Dress</v>
      </c>
      <c r="P1661" t="str">
        <f>_xlfn.XLOOKUP(salesitems[[#This Row],[product_id]],fashion_store_products!A:A,fashion_store_products!C:C)</f>
        <v>Dresses</v>
      </c>
    </row>
    <row r="1662" spans="1:16" x14ac:dyDescent="0.45">
      <c r="A1662">
        <v>2356</v>
      </c>
      <c r="B1662">
        <v>337</v>
      </c>
      <c r="C1662">
        <v>289</v>
      </c>
      <c r="D1662">
        <v>4</v>
      </c>
      <c r="E1662">
        <v>41.51</v>
      </c>
      <c r="F1662">
        <v>41.51</v>
      </c>
      <c r="G1662">
        <v>0</v>
      </c>
      <c r="H1662" s="2">
        <v>0</v>
      </c>
      <c r="I1662">
        <v>0</v>
      </c>
      <c r="J1662">
        <v>166.04</v>
      </c>
      <c r="K1662" s="1">
        <v>45801</v>
      </c>
      <c r="L1662" t="s">
        <v>15</v>
      </c>
      <c r="M1662" t="s">
        <v>15</v>
      </c>
      <c r="N1662">
        <f>salesitems[[#This Row],[quantity]]*salesitems[[#This Row],[unit_price]]</f>
        <v>166.04</v>
      </c>
      <c r="O1662" t="str">
        <f>_xlfn.XLOOKUP(salesitems[[#This Row],[product_id]],products[product_id],products[product_name])</f>
        <v>Relaxed High-Waist Dress</v>
      </c>
      <c r="P1662" t="str">
        <f>_xlfn.XLOOKUP(salesitems[[#This Row],[product_id]],fashion_store_products!A:A,fashion_store_products!C:C)</f>
        <v>Dresses</v>
      </c>
    </row>
    <row r="1663" spans="1:16" x14ac:dyDescent="0.45">
      <c r="A1663">
        <v>2934</v>
      </c>
      <c r="B1663">
        <v>1337</v>
      </c>
      <c r="C1663">
        <v>110</v>
      </c>
      <c r="D1663">
        <v>4</v>
      </c>
      <c r="E1663">
        <v>58.7</v>
      </c>
      <c r="F1663">
        <v>41.09</v>
      </c>
      <c r="G1663">
        <v>17.61</v>
      </c>
      <c r="H1663" s="2">
        <v>0.3</v>
      </c>
      <c r="I1663">
        <v>1</v>
      </c>
      <c r="J1663">
        <v>164.36</v>
      </c>
      <c r="K1663" s="1">
        <v>45795</v>
      </c>
      <c r="L1663" t="s">
        <v>15</v>
      </c>
      <c r="M1663" t="s">
        <v>11</v>
      </c>
      <c r="N1663">
        <f>salesitems[[#This Row],[quantity]]*salesitems[[#This Row],[unit_price]]</f>
        <v>164.36</v>
      </c>
      <c r="O1663" t="str">
        <f>_xlfn.XLOOKUP(salesitems[[#This Row],[product_id]],products[product_id],products[product_name])</f>
        <v>Classic High-Waist Dress</v>
      </c>
      <c r="P1663" t="str">
        <f>_xlfn.XLOOKUP(salesitems[[#This Row],[product_id]],fashion_store_products!A:A,fashion_store_products!C:C)</f>
        <v>Dresses</v>
      </c>
    </row>
    <row r="1664" spans="1:16" x14ac:dyDescent="0.45">
      <c r="A1664">
        <v>836</v>
      </c>
      <c r="B1664">
        <v>965</v>
      </c>
      <c r="C1664">
        <v>74</v>
      </c>
      <c r="D1664">
        <v>4</v>
      </c>
      <c r="E1664">
        <v>40.94</v>
      </c>
      <c r="F1664">
        <v>40.94</v>
      </c>
      <c r="G1664">
        <v>0</v>
      </c>
      <c r="H1664" s="2">
        <v>0</v>
      </c>
      <c r="I1664">
        <v>0</v>
      </c>
      <c r="J1664">
        <v>163.76</v>
      </c>
      <c r="K1664" s="1">
        <v>45804</v>
      </c>
      <c r="L1664" t="s">
        <v>21</v>
      </c>
      <c r="M1664" t="s">
        <v>18</v>
      </c>
      <c r="N1664">
        <f>salesitems[[#This Row],[quantity]]*salesitems[[#This Row],[unit_price]]</f>
        <v>163.76</v>
      </c>
      <c r="O1664" t="str">
        <f>_xlfn.XLOOKUP(salesitems[[#This Row],[product_id]],products[product_id],products[product_name])</f>
        <v>Modern Wrap Set</v>
      </c>
      <c r="P1664" t="str">
        <f>_xlfn.XLOOKUP(salesitems[[#This Row],[product_id]],fashion_store_products!A:A,fashion_store_products!C:C)</f>
        <v>Sleepwear</v>
      </c>
    </row>
    <row r="1665" spans="1:16" x14ac:dyDescent="0.45">
      <c r="A1665">
        <v>3323</v>
      </c>
      <c r="B1665">
        <v>23</v>
      </c>
      <c r="C1665">
        <v>74</v>
      </c>
      <c r="D1665">
        <v>4</v>
      </c>
      <c r="E1665">
        <v>40.94</v>
      </c>
      <c r="F1665">
        <v>40.94</v>
      </c>
      <c r="G1665">
        <v>0</v>
      </c>
      <c r="H1665" s="2">
        <v>0</v>
      </c>
      <c r="I1665">
        <v>0</v>
      </c>
      <c r="J1665">
        <v>163.76</v>
      </c>
      <c r="K1665" s="1">
        <v>45775</v>
      </c>
      <c r="L1665" t="s">
        <v>15</v>
      </c>
      <c r="M1665" t="s">
        <v>15</v>
      </c>
      <c r="N1665">
        <f>salesitems[[#This Row],[quantity]]*salesitems[[#This Row],[unit_price]]</f>
        <v>163.76</v>
      </c>
      <c r="O1665" t="str">
        <f>_xlfn.XLOOKUP(salesitems[[#This Row],[product_id]],products[product_id],products[product_name])</f>
        <v>Modern Wrap Set</v>
      </c>
      <c r="P1665" t="str">
        <f>_xlfn.XLOOKUP(salesitems[[#This Row],[product_id]],fashion_store_products!A:A,fashion_store_products!C:C)</f>
        <v>Sleepwear</v>
      </c>
    </row>
    <row r="1666" spans="1:16" x14ac:dyDescent="0.45">
      <c r="A1666">
        <v>1759</v>
      </c>
      <c r="B1666">
        <v>284</v>
      </c>
      <c r="C1666">
        <v>293</v>
      </c>
      <c r="D1666">
        <v>4</v>
      </c>
      <c r="E1666">
        <v>40.770000000000003</v>
      </c>
      <c r="F1666">
        <v>40.770000000000003</v>
      </c>
      <c r="G1666">
        <v>0</v>
      </c>
      <c r="H1666" s="2">
        <v>0</v>
      </c>
      <c r="I1666">
        <v>0</v>
      </c>
      <c r="J1666">
        <v>163.08000000000001</v>
      </c>
      <c r="K1666" s="1">
        <v>45776</v>
      </c>
      <c r="L1666" t="s">
        <v>15</v>
      </c>
      <c r="M1666" t="s">
        <v>15</v>
      </c>
      <c r="N1666">
        <f>salesitems[[#This Row],[quantity]]*salesitems[[#This Row],[unit_price]]</f>
        <v>163.08000000000001</v>
      </c>
      <c r="O1666" t="str">
        <f>_xlfn.XLOOKUP(salesitems[[#This Row],[product_id]],products[product_id],products[product_name])</f>
        <v>Essential Crew Shoes</v>
      </c>
      <c r="P1666" t="str">
        <f>_xlfn.XLOOKUP(salesitems[[#This Row],[product_id]],fashion_store_products!A:A,fashion_store_products!C:C)</f>
        <v>Shoes</v>
      </c>
    </row>
    <row r="1667" spans="1:16" x14ac:dyDescent="0.45">
      <c r="A1667">
        <v>280</v>
      </c>
      <c r="B1667">
        <v>774</v>
      </c>
      <c r="C1667">
        <v>106</v>
      </c>
      <c r="D1667">
        <v>4</v>
      </c>
      <c r="E1667">
        <v>40.75</v>
      </c>
      <c r="F1667">
        <v>40.75</v>
      </c>
      <c r="G1667">
        <v>0</v>
      </c>
      <c r="H1667" s="2">
        <v>0</v>
      </c>
      <c r="I1667">
        <v>0</v>
      </c>
      <c r="J1667">
        <v>163</v>
      </c>
      <c r="K1667" s="1">
        <v>45799</v>
      </c>
      <c r="L1667" t="s">
        <v>15</v>
      </c>
      <c r="M1667" t="s">
        <v>15</v>
      </c>
      <c r="N1667">
        <f>salesitems[[#This Row],[quantity]]*salesitems[[#This Row],[unit_price]]</f>
        <v>163</v>
      </c>
      <c r="O1667" t="str">
        <f>_xlfn.XLOOKUP(salesitems[[#This Row],[product_id]],products[product_id],products[product_name])</f>
        <v>Classic Satin Tee</v>
      </c>
      <c r="P1667" t="str">
        <f>_xlfn.XLOOKUP(salesitems[[#This Row],[product_id]],fashion_store_products!A:A,fashion_store_products!C:C)</f>
        <v>T-Shirts</v>
      </c>
    </row>
    <row r="1668" spans="1:16" x14ac:dyDescent="0.45">
      <c r="A1668">
        <v>2143</v>
      </c>
      <c r="B1668">
        <v>451</v>
      </c>
      <c r="C1668">
        <v>106</v>
      </c>
      <c r="D1668">
        <v>4</v>
      </c>
      <c r="E1668">
        <v>40.75</v>
      </c>
      <c r="F1668">
        <v>40.75</v>
      </c>
      <c r="G1668">
        <v>0</v>
      </c>
      <c r="H1668" s="2">
        <v>0</v>
      </c>
      <c r="I1668">
        <v>0</v>
      </c>
      <c r="J1668">
        <v>163</v>
      </c>
      <c r="K1668" s="1">
        <v>45762</v>
      </c>
      <c r="L1668" t="s">
        <v>21</v>
      </c>
      <c r="M1668" t="s">
        <v>18</v>
      </c>
      <c r="N1668">
        <f>salesitems[[#This Row],[quantity]]*salesitems[[#This Row],[unit_price]]</f>
        <v>163</v>
      </c>
      <c r="O1668" t="str">
        <f>_xlfn.XLOOKUP(salesitems[[#This Row],[product_id]],products[product_id],products[product_name])</f>
        <v>Classic Satin Tee</v>
      </c>
      <c r="P1668" t="str">
        <f>_xlfn.XLOOKUP(salesitems[[#This Row],[product_id]],fashion_store_products!A:A,fashion_store_products!C:C)</f>
        <v>T-Shirts</v>
      </c>
    </row>
    <row r="1669" spans="1:16" x14ac:dyDescent="0.45">
      <c r="A1669">
        <v>612</v>
      </c>
      <c r="B1669">
        <v>663</v>
      </c>
      <c r="C1669">
        <v>9</v>
      </c>
      <c r="D1669">
        <v>4</v>
      </c>
      <c r="E1669">
        <v>40.5</v>
      </c>
      <c r="F1669">
        <v>40.5</v>
      </c>
      <c r="G1669">
        <v>0</v>
      </c>
      <c r="H1669" s="2">
        <v>0</v>
      </c>
      <c r="I1669">
        <v>0</v>
      </c>
      <c r="J1669">
        <v>162</v>
      </c>
      <c r="K1669" s="1">
        <v>45753</v>
      </c>
      <c r="L1669" t="s">
        <v>21</v>
      </c>
      <c r="M1669" t="s">
        <v>18</v>
      </c>
      <c r="N1669">
        <f>salesitems[[#This Row],[quantity]]*salesitems[[#This Row],[unit_price]]</f>
        <v>162</v>
      </c>
      <c r="O1669" t="str">
        <f>_xlfn.XLOOKUP(salesitems[[#This Row],[product_id]],products[product_id],products[product_name])</f>
        <v>Soft Linen Shoes</v>
      </c>
      <c r="P1669" t="str">
        <f>_xlfn.XLOOKUP(salesitems[[#This Row],[product_id]],fashion_store_products!A:A,fashion_store_products!C:C)</f>
        <v>Shoes</v>
      </c>
    </row>
    <row r="1670" spans="1:16" x14ac:dyDescent="0.45">
      <c r="A1670">
        <v>846</v>
      </c>
      <c r="B1670">
        <v>610</v>
      </c>
      <c r="C1670">
        <v>9</v>
      </c>
      <c r="D1670">
        <v>4</v>
      </c>
      <c r="E1670">
        <v>40.5</v>
      </c>
      <c r="F1670">
        <v>40.5</v>
      </c>
      <c r="G1670">
        <v>0</v>
      </c>
      <c r="H1670" s="2">
        <v>0</v>
      </c>
      <c r="I1670">
        <v>0</v>
      </c>
      <c r="J1670">
        <v>162</v>
      </c>
      <c r="K1670" s="1">
        <v>45807</v>
      </c>
      <c r="L1670" t="s">
        <v>21</v>
      </c>
      <c r="M1670" t="s">
        <v>18</v>
      </c>
      <c r="N1670">
        <f>salesitems[[#This Row],[quantity]]*salesitems[[#This Row],[unit_price]]</f>
        <v>162</v>
      </c>
      <c r="O1670" t="str">
        <f>_xlfn.XLOOKUP(salesitems[[#This Row],[product_id]],products[product_id],products[product_name])</f>
        <v>Soft Linen Shoes</v>
      </c>
      <c r="P1670" t="str">
        <f>_xlfn.XLOOKUP(salesitems[[#This Row],[product_id]],fashion_store_products!A:A,fashion_store_products!C:C)</f>
        <v>Shoes</v>
      </c>
    </row>
    <row r="1671" spans="1:16" x14ac:dyDescent="0.45">
      <c r="A1671">
        <v>1316</v>
      </c>
      <c r="B1671">
        <v>275</v>
      </c>
      <c r="C1671">
        <v>16</v>
      </c>
      <c r="D1671">
        <v>4</v>
      </c>
      <c r="E1671">
        <v>40.36</v>
      </c>
      <c r="F1671">
        <v>40.36</v>
      </c>
      <c r="G1671">
        <v>0</v>
      </c>
      <c r="H1671" s="2">
        <v>0</v>
      </c>
      <c r="I1671">
        <v>0</v>
      </c>
      <c r="J1671">
        <v>161.44</v>
      </c>
      <c r="K1671" s="1">
        <v>45765</v>
      </c>
      <c r="L1671" t="s">
        <v>15</v>
      </c>
      <c r="M1671" t="s">
        <v>15</v>
      </c>
      <c r="N1671">
        <f>salesitems[[#This Row],[quantity]]*salesitems[[#This Row],[unit_price]]</f>
        <v>161.44</v>
      </c>
      <c r="O1671" t="str">
        <f>_xlfn.XLOOKUP(salesitems[[#This Row],[product_id]],products[product_id],products[product_name])</f>
        <v>Soft Cotton Trousers</v>
      </c>
      <c r="P1671" t="str">
        <f>_xlfn.XLOOKUP(salesitems[[#This Row],[product_id]],fashion_store_products!A:A,fashion_store_products!C:C)</f>
        <v>Pants</v>
      </c>
    </row>
    <row r="1672" spans="1:16" x14ac:dyDescent="0.45">
      <c r="A1672">
        <v>1364</v>
      </c>
      <c r="B1672">
        <v>597</v>
      </c>
      <c r="C1672">
        <v>92</v>
      </c>
      <c r="D1672">
        <v>4</v>
      </c>
      <c r="E1672">
        <v>40.25</v>
      </c>
      <c r="F1672">
        <v>40.25</v>
      </c>
      <c r="G1672">
        <v>0</v>
      </c>
      <c r="H1672" s="2">
        <v>0</v>
      </c>
      <c r="I1672">
        <v>0</v>
      </c>
      <c r="J1672">
        <v>161</v>
      </c>
      <c r="K1672" s="1">
        <v>45765</v>
      </c>
      <c r="L1672" t="s">
        <v>15</v>
      </c>
      <c r="M1672" t="s">
        <v>15</v>
      </c>
      <c r="N1672">
        <f>salesitems[[#This Row],[quantity]]*salesitems[[#This Row],[unit_price]]</f>
        <v>161</v>
      </c>
      <c r="O1672" t="str">
        <f>_xlfn.XLOOKUP(salesitems[[#This Row],[product_id]],products[product_id],products[product_name])</f>
        <v>Modern Crew Shoes</v>
      </c>
      <c r="P1672" t="str">
        <f>_xlfn.XLOOKUP(salesitems[[#This Row],[product_id]],fashion_store_products!A:A,fashion_store_products!C:C)</f>
        <v>Shoes</v>
      </c>
    </row>
    <row r="1673" spans="1:16" x14ac:dyDescent="0.45">
      <c r="A1673">
        <v>2419</v>
      </c>
      <c r="B1673">
        <v>476</v>
      </c>
      <c r="C1673">
        <v>222</v>
      </c>
      <c r="D1673">
        <v>4</v>
      </c>
      <c r="E1673">
        <v>57.19</v>
      </c>
      <c r="F1673">
        <v>40.03</v>
      </c>
      <c r="G1673">
        <v>17.16</v>
      </c>
      <c r="H1673" s="2">
        <v>0.3</v>
      </c>
      <c r="I1673">
        <v>1</v>
      </c>
      <c r="J1673">
        <v>160.13</v>
      </c>
      <c r="K1673" s="1">
        <v>45794</v>
      </c>
      <c r="L1673" t="s">
        <v>15</v>
      </c>
      <c r="M1673" t="s">
        <v>11</v>
      </c>
      <c r="N1673">
        <f>salesitems[[#This Row],[quantity]]*salesitems[[#This Row],[unit_price]]</f>
        <v>160.12</v>
      </c>
      <c r="O1673" t="str">
        <f>_xlfn.XLOOKUP(salesitems[[#This Row],[product_id]],products[product_id],products[product_name])</f>
        <v>Relaxed Wrap Dress</v>
      </c>
      <c r="P1673" t="str">
        <f>_xlfn.XLOOKUP(salesitems[[#This Row],[product_id]],fashion_store_products!A:A,fashion_store_products!C:C)</f>
        <v>Dresses</v>
      </c>
    </row>
    <row r="1674" spans="1:16" x14ac:dyDescent="0.45">
      <c r="A1674">
        <v>3330</v>
      </c>
      <c r="B1674">
        <v>40</v>
      </c>
      <c r="C1674">
        <v>288</v>
      </c>
      <c r="D1674">
        <v>4</v>
      </c>
      <c r="E1674">
        <v>57.11</v>
      </c>
      <c r="F1674">
        <v>39.979999999999997</v>
      </c>
      <c r="G1674">
        <v>17.13</v>
      </c>
      <c r="H1674" s="2">
        <v>0.3</v>
      </c>
      <c r="I1674">
        <v>1</v>
      </c>
      <c r="J1674">
        <v>159.91</v>
      </c>
      <c r="K1674" s="1">
        <v>45790</v>
      </c>
      <c r="L1674" t="s">
        <v>15</v>
      </c>
      <c r="M1674" t="s">
        <v>11</v>
      </c>
      <c r="N1674">
        <f>salesitems[[#This Row],[quantity]]*salesitems[[#This Row],[unit_price]]</f>
        <v>159.91999999999999</v>
      </c>
      <c r="O1674" t="str">
        <f>_xlfn.XLOOKUP(salesitems[[#This Row],[product_id]],products[product_id],products[product_name])</f>
        <v>Essential Ribbed Tee</v>
      </c>
      <c r="P1674" t="str">
        <f>_xlfn.XLOOKUP(salesitems[[#This Row],[product_id]],fashion_store_products!A:A,fashion_store_products!C:C)</f>
        <v>T-Shirts</v>
      </c>
    </row>
    <row r="1675" spans="1:16" x14ac:dyDescent="0.45">
      <c r="A1675">
        <v>1207</v>
      </c>
      <c r="B1675">
        <v>966</v>
      </c>
      <c r="C1675">
        <v>226</v>
      </c>
      <c r="D1675">
        <v>4</v>
      </c>
      <c r="E1675">
        <v>39.78</v>
      </c>
      <c r="F1675">
        <v>39.78</v>
      </c>
      <c r="G1675">
        <v>0</v>
      </c>
      <c r="H1675" s="2">
        <v>0</v>
      </c>
      <c r="I1675">
        <v>0</v>
      </c>
      <c r="J1675">
        <v>159.12</v>
      </c>
      <c r="K1675" s="1">
        <v>45794</v>
      </c>
      <c r="L1675" t="s">
        <v>21</v>
      </c>
      <c r="M1675" t="s">
        <v>18</v>
      </c>
      <c r="N1675">
        <f>salesitems[[#This Row],[quantity]]*salesitems[[#This Row],[unit_price]]</f>
        <v>159.12</v>
      </c>
      <c r="O1675" t="str">
        <f>_xlfn.XLOOKUP(salesitems[[#This Row],[product_id]],products[product_id],products[product_name])</f>
        <v>Polished Linen Set</v>
      </c>
      <c r="P1675" t="str">
        <f>_xlfn.XLOOKUP(salesitems[[#This Row],[product_id]],fashion_store_products!A:A,fashion_store_products!C:C)</f>
        <v>Sleepwear</v>
      </c>
    </row>
    <row r="1676" spans="1:16" x14ac:dyDescent="0.45">
      <c r="A1676">
        <v>2052</v>
      </c>
      <c r="B1676">
        <v>629</v>
      </c>
      <c r="C1676">
        <v>325</v>
      </c>
      <c r="D1676">
        <v>4</v>
      </c>
      <c r="E1676">
        <v>39.78</v>
      </c>
      <c r="F1676">
        <v>39.78</v>
      </c>
      <c r="G1676">
        <v>0</v>
      </c>
      <c r="H1676" s="2">
        <v>0</v>
      </c>
      <c r="I1676">
        <v>0</v>
      </c>
      <c r="J1676">
        <v>159.12</v>
      </c>
      <c r="K1676" s="1">
        <v>45803</v>
      </c>
      <c r="L1676" t="s">
        <v>15</v>
      </c>
      <c r="M1676" t="s">
        <v>15</v>
      </c>
      <c r="N1676">
        <f>salesitems[[#This Row],[quantity]]*salesitems[[#This Row],[unit_price]]</f>
        <v>159.12</v>
      </c>
      <c r="O1676" t="str">
        <f>_xlfn.XLOOKUP(salesitems[[#This Row],[product_id]],products[product_id],products[product_name])</f>
        <v>Tailored Linen Shoes</v>
      </c>
      <c r="P1676" t="str">
        <f>_xlfn.XLOOKUP(salesitems[[#This Row],[product_id]],fashion_store_products!A:A,fashion_store_products!C:C)</f>
        <v>Shoes</v>
      </c>
    </row>
    <row r="1677" spans="1:16" x14ac:dyDescent="0.45">
      <c r="A1677">
        <v>2888</v>
      </c>
      <c r="B1677">
        <v>474</v>
      </c>
      <c r="C1677">
        <v>325</v>
      </c>
      <c r="D1677">
        <v>4</v>
      </c>
      <c r="E1677">
        <v>39.78</v>
      </c>
      <c r="F1677">
        <v>39.78</v>
      </c>
      <c r="G1677">
        <v>0</v>
      </c>
      <c r="H1677" s="2">
        <v>0</v>
      </c>
      <c r="I1677">
        <v>0</v>
      </c>
      <c r="J1677">
        <v>159.12</v>
      </c>
      <c r="K1677" s="1">
        <v>45761</v>
      </c>
      <c r="L1677" t="s">
        <v>15</v>
      </c>
      <c r="M1677" t="s">
        <v>15</v>
      </c>
      <c r="N1677">
        <f>salesitems[[#This Row],[quantity]]*salesitems[[#This Row],[unit_price]]</f>
        <v>159.12</v>
      </c>
      <c r="O1677" t="str">
        <f>_xlfn.XLOOKUP(salesitems[[#This Row],[product_id]],products[product_id],products[product_name])</f>
        <v>Tailored Linen Shoes</v>
      </c>
      <c r="P1677" t="str">
        <f>_xlfn.XLOOKUP(salesitems[[#This Row],[product_id]],fashion_store_products!A:A,fashion_store_products!C:C)</f>
        <v>Shoes</v>
      </c>
    </row>
    <row r="1678" spans="1:16" x14ac:dyDescent="0.45">
      <c r="A1678">
        <v>762</v>
      </c>
      <c r="B1678">
        <v>145</v>
      </c>
      <c r="C1678">
        <v>143</v>
      </c>
      <c r="D1678">
        <v>4</v>
      </c>
      <c r="E1678">
        <v>39.75</v>
      </c>
      <c r="F1678">
        <v>39.75</v>
      </c>
      <c r="G1678">
        <v>0</v>
      </c>
      <c r="H1678" s="2">
        <v>0</v>
      </c>
      <c r="I1678">
        <v>0</v>
      </c>
      <c r="J1678">
        <v>159</v>
      </c>
      <c r="K1678" s="1">
        <v>45797</v>
      </c>
      <c r="L1678" t="s">
        <v>21</v>
      </c>
      <c r="M1678" t="s">
        <v>18</v>
      </c>
      <c r="N1678">
        <f>salesitems[[#This Row],[quantity]]*salesitems[[#This Row],[unit_price]]</f>
        <v>159</v>
      </c>
      <c r="O1678" t="str">
        <f>_xlfn.XLOOKUP(salesitems[[#This Row],[product_id]],products[product_id],products[product_name])</f>
        <v>Classic Satin Set</v>
      </c>
      <c r="P1678" t="str">
        <f>_xlfn.XLOOKUP(salesitems[[#This Row],[product_id]],fashion_store_products!A:A,fashion_store_products!C:C)</f>
        <v>Sleepwear</v>
      </c>
    </row>
    <row r="1679" spans="1:16" x14ac:dyDescent="0.45">
      <c r="A1679">
        <v>713</v>
      </c>
      <c r="B1679">
        <v>361</v>
      </c>
      <c r="C1679">
        <v>283</v>
      </c>
      <c r="D1679">
        <v>4</v>
      </c>
      <c r="E1679">
        <v>39.619999999999997</v>
      </c>
      <c r="F1679">
        <v>39.619999999999997</v>
      </c>
      <c r="G1679">
        <v>0</v>
      </c>
      <c r="H1679" s="2">
        <v>0</v>
      </c>
      <c r="I1679">
        <v>0</v>
      </c>
      <c r="J1679">
        <v>158.47999999999999</v>
      </c>
      <c r="K1679" s="1">
        <v>45782</v>
      </c>
      <c r="L1679" t="s">
        <v>21</v>
      </c>
      <c r="M1679" t="s">
        <v>18</v>
      </c>
      <c r="N1679">
        <f>salesitems[[#This Row],[quantity]]*salesitems[[#This Row],[unit_price]]</f>
        <v>158.47999999999999</v>
      </c>
      <c r="O1679" t="str">
        <f>_xlfn.XLOOKUP(salesitems[[#This Row],[product_id]],products[product_id],products[product_name])</f>
        <v>Essential Ribbed Shoes</v>
      </c>
      <c r="P1679" t="str">
        <f>_xlfn.XLOOKUP(salesitems[[#This Row],[product_id]],fashion_store_products!A:A,fashion_store_products!C:C)</f>
        <v>Shoes</v>
      </c>
    </row>
    <row r="1680" spans="1:16" x14ac:dyDescent="0.45">
      <c r="A1680">
        <v>2928</v>
      </c>
      <c r="B1680">
        <v>55</v>
      </c>
      <c r="C1680">
        <v>283</v>
      </c>
      <c r="D1680">
        <v>4</v>
      </c>
      <c r="E1680">
        <v>39.619999999999997</v>
      </c>
      <c r="F1680">
        <v>39.619999999999997</v>
      </c>
      <c r="G1680">
        <v>0</v>
      </c>
      <c r="H1680" s="2">
        <v>0</v>
      </c>
      <c r="I1680">
        <v>0</v>
      </c>
      <c r="J1680">
        <v>158.47999999999999</v>
      </c>
      <c r="K1680" s="1">
        <v>45764</v>
      </c>
      <c r="L1680" t="s">
        <v>21</v>
      </c>
      <c r="M1680" t="s">
        <v>18</v>
      </c>
      <c r="N1680">
        <f>salesitems[[#This Row],[quantity]]*salesitems[[#This Row],[unit_price]]</f>
        <v>158.47999999999999</v>
      </c>
      <c r="O1680" t="str">
        <f>_xlfn.XLOOKUP(salesitems[[#This Row],[product_id]],products[product_id],products[product_name])</f>
        <v>Essential Ribbed Shoes</v>
      </c>
      <c r="P1680" t="str">
        <f>_xlfn.XLOOKUP(salesitems[[#This Row],[product_id]],fashion_store_products!A:A,fashion_store_products!C:C)</f>
        <v>Shoes</v>
      </c>
    </row>
    <row r="1681" spans="1:16" x14ac:dyDescent="0.45">
      <c r="A1681">
        <v>80</v>
      </c>
      <c r="B1681">
        <v>184</v>
      </c>
      <c r="C1681">
        <v>490</v>
      </c>
      <c r="D1681">
        <v>4</v>
      </c>
      <c r="E1681">
        <v>39.42</v>
      </c>
      <c r="F1681">
        <v>39.42</v>
      </c>
      <c r="G1681">
        <v>0</v>
      </c>
      <c r="H1681" s="2">
        <v>0</v>
      </c>
      <c r="I1681">
        <v>0</v>
      </c>
      <c r="J1681">
        <v>157.68</v>
      </c>
      <c r="K1681" s="1">
        <v>45765</v>
      </c>
      <c r="L1681" t="s">
        <v>21</v>
      </c>
      <c r="M1681" t="s">
        <v>18</v>
      </c>
      <c r="N1681">
        <f>salesitems[[#This Row],[quantity]]*salesitems[[#This Row],[unit_price]]</f>
        <v>157.68</v>
      </c>
      <c r="O1681" t="str">
        <f>_xlfn.XLOOKUP(salesitems[[#This Row],[product_id]],products[product_id],products[product_name])</f>
        <v>Bold Boxy Shoes</v>
      </c>
      <c r="P1681" t="str">
        <f>_xlfn.XLOOKUP(salesitems[[#This Row],[product_id]],fashion_store_products!A:A,fashion_store_products!C:C)</f>
        <v>Shoes</v>
      </c>
    </row>
    <row r="1682" spans="1:16" x14ac:dyDescent="0.45">
      <c r="A1682">
        <v>292</v>
      </c>
      <c r="B1682">
        <v>145</v>
      </c>
      <c r="C1682">
        <v>490</v>
      </c>
      <c r="D1682">
        <v>4</v>
      </c>
      <c r="E1682">
        <v>39.42</v>
      </c>
      <c r="F1682">
        <v>39.42</v>
      </c>
      <c r="G1682">
        <v>0</v>
      </c>
      <c r="H1682" s="2">
        <v>0</v>
      </c>
      <c r="I1682">
        <v>0</v>
      </c>
      <c r="J1682">
        <v>157.68</v>
      </c>
      <c r="K1682" s="1">
        <v>45797</v>
      </c>
      <c r="L1682" t="s">
        <v>21</v>
      </c>
      <c r="M1682" t="s">
        <v>18</v>
      </c>
      <c r="N1682">
        <f>salesitems[[#This Row],[quantity]]*salesitems[[#This Row],[unit_price]]</f>
        <v>157.68</v>
      </c>
      <c r="O1682" t="str">
        <f>_xlfn.XLOOKUP(salesitems[[#This Row],[product_id]],products[product_id],products[product_name])</f>
        <v>Bold Boxy Shoes</v>
      </c>
      <c r="P1682" t="str">
        <f>_xlfn.XLOOKUP(salesitems[[#This Row],[product_id]],fashion_store_products!A:A,fashion_store_products!C:C)</f>
        <v>Shoes</v>
      </c>
    </row>
    <row r="1683" spans="1:16" x14ac:dyDescent="0.45">
      <c r="A1683">
        <v>1333</v>
      </c>
      <c r="B1683">
        <v>899</v>
      </c>
      <c r="C1683">
        <v>490</v>
      </c>
      <c r="D1683">
        <v>4</v>
      </c>
      <c r="E1683">
        <v>39.42</v>
      </c>
      <c r="F1683">
        <v>39.42</v>
      </c>
      <c r="G1683">
        <v>0</v>
      </c>
      <c r="H1683" s="2">
        <v>0</v>
      </c>
      <c r="I1683">
        <v>0</v>
      </c>
      <c r="J1683">
        <v>157.68</v>
      </c>
      <c r="K1683" s="1">
        <v>45801</v>
      </c>
      <c r="L1683" t="s">
        <v>15</v>
      </c>
      <c r="M1683" t="s">
        <v>15</v>
      </c>
      <c r="N1683">
        <f>salesitems[[#This Row],[quantity]]*salesitems[[#This Row],[unit_price]]</f>
        <v>157.68</v>
      </c>
      <c r="O1683" t="str">
        <f>_xlfn.XLOOKUP(salesitems[[#This Row],[product_id]],products[product_id],products[product_name])</f>
        <v>Bold Boxy Shoes</v>
      </c>
      <c r="P1683" t="str">
        <f>_xlfn.XLOOKUP(salesitems[[#This Row],[product_id]],fashion_store_products!A:A,fashion_store_products!C:C)</f>
        <v>Shoes</v>
      </c>
    </row>
    <row r="1684" spans="1:16" x14ac:dyDescent="0.45">
      <c r="A1684">
        <v>1694</v>
      </c>
      <c r="B1684">
        <v>307</v>
      </c>
      <c r="C1684">
        <v>467</v>
      </c>
      <c r="D1684">
        <v>4</v>
      </c>
      <c r="E1684">
        <v>39.22</v>
      </c>
      <c r="F1684">
        <v>39.22</v>
      </c>
      <c r="G1684">
        <v>0</v>
      </c>
      <c r="H1684" s="2">
        <v>0</v>
      </c>
      <c r="I1684">
        <v>0</v>
      </c>
      <c r="J1684">
        <v>156.88</v>
      </c>
      <c r="K1684" s="1">
        <v>45798</v>
      </c>
      <c r="L1684" t="s">
        <v>21</v>
      </c>
      <c r="M1684" t="s">
        <v>18</v>
      </c>
      <c r="N1684">
        <f>salesitems[[#This Row],[quantity]]*salesitems[[#This Row],[unit_price]]</f>
        <v>156.88</v>
      </c>
      <c r="O1684" t="str">
        <f>_xlfn.XLOOKUP(salesitems[[#This Row],[product_id]],products[product_id],products[product_name])</f>
        <v>Tailored Cotton Trousers</v>
      </c>
      <c r="P1684" t="str">
        <f>_xlfn.XLOOKUP(salesitems[[#This Row],[product_id]],fashion_store_products!A:A,fashion_store_products!C:C)</f>
        <v>Pants</v>
      </c>
    </row>
    <row r="1685" spans="1:16" x14ac:dyDescent="0.45">
      <c r="A1685">
        <v>782</v>
      </c>
      <c r="B1685">
        <v>541</v>
      </c>
      <c r="C1685">
        <v>113</v>
      </c>
      <c r="D1685">
        <v>4</v>
      </c>
      <c r="E1685">
        <v>39.18</v>
      </c>
      <c r="F1685">
        <v>39.18</v>
      </c>
      <c r="G1685">
        <v>0</v>
      </c>
      <c r="H1685" s="2">
        <v>0</v>
      </c>
      <c r="I1685">
        <v>0</v>
      </c>
      <c r="J1685">
        <v>156.72</v>
      </c>
      <c r="K1685" s="1">
        <v>45774</v>
      </c>
      <c r="L1685" t="s">
        <v>15</v>
      </c>
      <c r="M1685" t="s">
        <v>15</v>
      </c>
      <c r="N1685">
        <f>salesitems[[#This Row],[quantity]]*salesitems[[#This Row],[unit_price]]</f>
        <v>156.72</v>
      </c>
      <c r="O1685" t="str">
        <f>_xlfn.XLOOKUP(salesitems[[#This Row],[product_id]],products[product_id],products[product_name])</f>
        <v>Classic Boxy Dress</v>
      </c>
      <c r="P1685" t="str">
        <f>_xlfn.XLOOKUP(salesitems[[#This Row],[product_id]],fashion_store_products!A:A,fashion_store_products!C:C)</f>
        <v>Dresses</v>
      </c>
    </row>
    <row r="1686" spans="1:16" x14ac:dyDescent="0.45">
      <c r="A1686">
        <v>2568</v>
      </c>
      <c r="B1686">
        <v>498</v>
      </c>
      <c r="C1686">
        <v>113</v>
      </c>
      <c r="D1686">
        <v>4</v>
      </c>
      <c r="E1686">
        <v>39.18</v>
      </c>
      <c r="F1686">
        <v>39.18</v>
      </c>
      <c r="G1686">
        <v>0</v>
      </c>
      <c r="H1686" s="2">
        <v>0</v>
      </c>
      <c r="I1686">
        <v>0</v>
      </c>
      <c r="J1686">
        <v>156.72</v>
      </c>
      <c r="K1686" s="1">
        <v>45802</v>
      </c>
      <c r="L1686" t="s">
        <v>21</v>
      </c>
      <c r="M1686" t="s">
        <v>18</v>
      </c>
      <c r="N1686">
        <f>salesitems[[#This Row],[quantity]]*salesitems[[#This Row],[unit_price]]</f>
        <v>156.72</v>
      </c>
      <c r="O1686" t="str">
        <f>_xlfn.XLOOKUP(salesitems[[#This Row],[product_id]],products[product_id],products[product_name])</f>
        <v>Classic Boxy Dress</v>
      </c>
      <c r="P1686" t="str">
        <f>_xlfn.XLOOKUP(salesitems[[#This Row],[product_id]],fashion_store_products!A:A,fashion_store_products!C:C)</f>
        <v>Dresses</v>
      </c>
    </row>
    <row r="1687" spans="1:16" x14ac:dyDescent="0.45">
      <c r="A1687">
        <v>2565</v>
      </c>
      <c r="B1687">
        <v>521</v>
      </c>
      <c r="C1687">
        <v>456</v>
      </c>
      <c r="D1687">
        <v>4</v>
      </c>
      <c r="E1687">
        <v>39.090000000000003</v>
      </c>
      <c r="F1687">
        <v>39.090000000000003</v>
      </c>
      <c r="G1687">
        <v>0</v>
      </c>
      <c r="H1687" s="2">
        <v>0</v>
      </c>
      <c r="I1687">
        <v>0</v>
      </c>
      <c r="J1687">
        <v>156.36000000000001</v>
      </c>
      <c r="K1687" s="1">
        <v>45752</v>
      </c>
      <c r="L1687" t="s">
        <v>15</v>
      </c>
      <c r="M1687" t="s">
        <v>15</v>
      </c>
      <c r="N1687">
        <f>salesitems[[#This Row],[quantity]]*salesitems[[#This Row],[unit_price]]</f>
        <v>156.36000000000001</v>
      </c>
      <c r="O1687" t="str">
        <f>_xlfn.XLOOKUP(salesitems[[#This Row],[product_id]],products[product_id],products[product_name])</f>
        <v>Bold Sleeveless Dress</v>
      </c>
      <c r="P1687" t="str">
        <f>_xlfn.XLOOKUP(salesitems[[#This Row],[product_id]],fashion_store_products!A:A,fashion_store_products!C:C)</f>
        <v>Dresses</v>
      </c>
    </row>
    <row r="1688" spans="1:16" x14ac:dyDescent="0.45">
      <c r="A1688">
        <v>760</v>
      </c>
      <c r="B1688">
        <v>1110</v>
      </c>
      <c r="C1688">
        <v>311</v>
      </c>
      <c r="D1688">
        <v>4</v>
      </c>
      <c r="E1688">
        <v>43.38</v>
      </c>
      <c r="F1688">
        <v>39.04</v>
      </c>
      <c r="G1688">
        <v>4.34</v>
      </c>
      <c r="H1688" s="2">
        <v>0.1</v>
      </c>
      <c r="I1688">
        <v>1</v>
      </c>
      <c r="J1688">
        <v>156.16999999999999</v>
      </c>
      <c r="K1688" s="1">
        <v>45814</v>
      </c>
      <c r="L1688" t="s">
        <v>21</v>
      </c>
      <c r="M1688" t="s">
        <v>18</v>
      </c>
      <c r="N1688">
        <f>salesitems[[#This Row],[quantity]]*salesitems[[#This Row],[unit_price]]</f>
        <v>156.16</v>
      </c>
      <c r="O1688" t="str">
        <f>_xlfn.XLOOKUP(salesitems[[#This Row],[product_id]],products[product_id],products[product_name])</f>
        <v>Essential Cotton Dress</v>
      </c>
      <c r="P1688" t="str">
        <f>_xlfn.XLOOKUP(salesitems[[#This Row],[product_id]],fashion_store_products!A:A,fashion_store_products!C:C)</f>
        <v>Dresses</v>
      </c>
    </row>
    <row r="1689" spans="1:16" x14ac:dyDescent="0.45">
      <c r="A1689">
        <v>1042</v>
      </c>
      <c r="B1689">
        <v>130</v>
      </c>
      <c r="C1689">
        <v>96</v>
      </c>
      <c r="D1689">
        <v>4</v>
      </c>
      <c r="E1689">
        <v>39.03</v>
      </c>
      <c r="F1689">
        <v>39.03</v>
      </c>
      <c r="G1689">
        <v>0</v>
      </c>
      <c r="H1689" s="2">
        <v>0</v>
      </c>
      <c r="I1689">
        <v>0</v>
      </c>
      <c r="J1689">
        <v>156.12</v>
      </c>
      <c r="K1689" s="1">
        <v>45781</v>
      </c>
      <c r="L1689" t="s">
        <v>15</v>
      </c>
      <c r="M1689" t="s">
        <v>15</v>
      </c>
      <c r="N1689">
        <f>salesitems[[#This Row],[quantity]]*salesitems[[#This Row],[unit_price]]</f>
        <v>156.12</v>
      </c>
      <c r="O1689" t="str">
        <f>_xlfn.XLOOKUP(salesitems[[#This Row],[product_id]],products[product_id],products[product_name])</f>
        <v>Modern High-Waist Tee</v>
      </c>
      <c r="P1689" t="str">
        <f>_xlfn.XLOOKUP(salesitems[[#This Row],[product_id]],fashion_store_products!A:A,fashion_store_products!C:C)</f>
        <v>T-Shirts</v>
      </c>
    </row>
    <row r="1690" spans="1:16" x14ac:dyDescent="0.45">
      <c r="A1690">
        <v>2247</v>
      </c>
      <c r="B1690">
        <v>1197</v>
      </c>
      <c r="C1690">
        <v>96</v>
      </c>
      <c r="D1690">
        <v>4</v>
      </c>
      <c r="E1690">
        <v>39.03</v>
      </c>
      <c r="F1690">
        <v>39.03</v>
      </c>
      <c r="G1690">
        <v>0</v>
      </c>
      <c r="H1690" s="2">
        <v>0</v>
      </c>
      <c r="I1690">
        <v>0</v>
      </c>
      <c r="J1690">
        <v>156.12</v>
      </c>
      <c r="K1690" s="1">
        <v>45799</v>
      </c>
      <c r="L1690" t="s">
        <v>21</v>
      </c>
      <c r="M1690" t="s">
        <v>18</v>
      </c>
      <c r="N1690">
        <f>salesitems[[#This Row],[quantity]]*salesitems[[#This Row],[unit_price]]</f>
        <v>156.12</v>
      </c>
      <c r="O1690" t="str">
        <f>_xlfn.XLOOKUP(salesitems[[#This Row],[product_id]],products[product_id],products[product_name])</f>
        <v>Modern High-Waist Tee</v>
      </c>
      <c r="P1690" t="str">
        <f>_xlfn.XLOOKUP(salesitems[[#This Row],[product_id]],fashion_store_products!A:A,fashion_store_products!C:C)</f>
        <v>T-Shirts</v>
      </c>
    </row>
    <row r="1691" spans="1:16" x14ac:dyDescent="0.45">
      <c r="A1691">
        <v>2207</v>
      </c>
      <c r="B1691">
        <v>98</v>
      </c>
      <c r="C1691">
        <v>477</v>
      </c>
      <c r="D1691">
        <v>4</v>
      </c>
      <c r="E1691">
        <v>38.9</v>
      </c>
      <c r="F1691">
        <v>38.9</v>
      </c>
      <c r="G1691">
        <v>0</v>
      </c>
      <c r="H1691" s="2">
        <v>0</v>
      </c>
      <c r="I1691">
        <v>0</v>
      </c>
      <c r="J1691">
        <v>155.6</v>
      </c>
      <c r="K1691" s="1">
        <v>45797</v>
      </c>
      <c r="L1691" t="s">
        <v>21</v>
      </c>
      <c r="M1691" t="s">
        <v>18</v>
      </c>
      <c r="N1691">
        <f>salesitems[[#This Row],[quantity]]*salesitems[[#This Row],[unit_price]]</f>
        <v>155.6</v>
      </c>
      <c r="O1691" t="str">
        <f>_xlfn.XLOOKUP(salesitems[[#This Row],[product_id]],products[product_id],products[product_name])</f>
        <v>Bold Silk Shoes</v>
      </c>
      <c r="P1691" t="str">
        <f>_xlfn.XLOOKUP(salesitems[[#This Row],[product_id]],fashion_store_products!A:A,fashion_store_products!C:C)</f>
        <v>Shoes</v>
      </c>
    </row>
    <row r="1692" spans="1:16" x14ac:dyDescent="0.45">
      <c r="A1692">
        <v>905</v>
      </c>
      <c r="B1692">
        <v>166</v>
      </c>
      <c r="C1692">
        <v>180</v>
      </c>
      <c r="D1692">
        <v>4</v>
      </c>
      <c r="E1692">
        <v>38.81</v>
      </c>
      <c r="F1692">
        <v>38.81</v>
      </c>
      <c r="G1692">
        <v>0</v>
      </c>
      <c r="H1692" s="2">
        <v>0</v>
      </c>
      <c r="I1692">
        <v>0</v>
      </c>
      <c r="J1692">
        <v>155.24</v>
      </c>
      <c r="K1692" s="1">
        <v>45783</v>
      </c>
      <c r="L1692" t="s">
        <v>21</v>
      </c>
      <c r="M1692" t="s">
        <v>18</v>
      </c>
      <c r="N1692">
        <f>salesitems[[#This Row],[quantity]]*salesitems[[#This Row],[unit_price]]</f>
        <v>155.24</v>
      </c>
      <c r="O1692" t="str">
        <f>_xlfn.XLOOKUP(salesitems[[#This Row],[product_id]],products[product_id],products[product_name])</f>
        <v>Vintage Sleeveless Shoes</v>
      </c>
      <c r="P1692" t="str">
        <f>_xlfn.XLOOKUP(salesitems[[#This Row],[product_id]],fashion_store_products!A:A,fashion_store_products!C:C)</f>
        <v>Shoes</v>
      </c>
    </row>
    <row r="1693" spans="1:16" x14ac:dyDescent="0.45">
      <c r="A1693">
        <v>3057</v>
      </c>
      <c r="B1693">
        <v>448</v>
      </c>
      <c r="C1693">
        <v>180</v>
      </c>
      <c r="D1693">
        <v>4</v>
      </c>
      <c r="E1693">
        <v>38.81</v>
      </c>
      <c r="F1693">
        <v>38.81</v>
      </c>
      <c r="G1693">
        <v>0</v>
      </c>
      <c r="H1693" s="2">
        <v>0</v>
      </c>
      <c r="I1693">
        <v>0</v>
      </c>
      <c r="J1693">
        <v>155.24</v>
      </c>
      <c r="K1693" s="1">
        <v>45776</v>
      </c>
      <c r="L1693" t="s">
        <v>15</v>
      </c>
      <c r="M1693" t="s">
        <v>15</v>
      </c>
      <c r="N1693">
        <f>salesitems[[#This Row],[quantity]]*salesitems[[#This Row],[unit_price]]</f>
        <v>155.24</v>
      </c>
      <c r="O1693" t="str">
        <f>_xlfn.XLOOKUP(salesitems[[#This Row],[product_id]],products[product_id],products[product_name])</f>
        <v>Vintage Sleeveless Shoes</v>
      </c>
      <c r="P1693" t="str">
        <f>_xlfn.XLOOKUP(salesitems[[#This Row],[product_id]],fashion_store_products!A:A,fashion_store_products!C:C)</f>
        <v>Shoes</v>
      </c>
    </row>
    <row r="1694" spans="1:16" x14ac:dyDescent="0.45">
      <c r="A1694">
        <v>2652</v>
      </c>
      <c r="B1694">
        <v>756</v>
      </c>
      <c r="C1694">
        <v>438</v>
      </c>
      <c r="D1694">
        <v>4</v>
      </c>
      <c r="E1694">
        <v>38.74</v>
      </c>
      <c r="F1694">
        <v>38.74</v>
      </c>
      <c r="G1694">
        <v>0</v>
      </c>
      <c r="H1694" s="2">
        <v>0</v>
      </c>
      <c r="I1694">
        <v>0</v>
      </c>
      <c r="J1694">
        <v>154.96</v>
      </c>
      <c r="K1694" s="1">
        <v>45821</v>
      </c>
      <c r="L1694" t="s">
        <v>21</v>
      </c>
      <c r="M1694" t="s">
        <v>18</v>
      </c>
      <c r="N1694">
        <f>salesitems[[#This Row],[quantity]]*salesitems[[#This Row],[unit_price]]</f>
        <v>154.96</v>
      </c>
      <c r="O1694" t="str">
        <f>_xlfn.XLOOKUP(salesitems[[#This Row],[product_id]],products[product_id],products[product_name])</f>
        <v>Bold Wrap Dress</v>
      </c>
      <c r="P1694" t="str">
        <f>_xlfn.XLOOKUP(salesitems[[#This Row],[product_id]],fashion_store_products!A:A,fashion_store_products!C:C)</f>
        <v>Dresses</v>
      </c>
    </row>
    <row r="1695" spans="1:16" x14ac:dyDescent="0.45">
      <c r="A1695">
        <v>155</v>
      </c>
      <c r="B1695">
        <v>695</v>
      </c>
      <c r="C1695">
        <v>233</v>
      </c>
      <c r="D1695">
        <v>4</v>
      </c>
      <c r="E1695">
        <v>38.68</v>
      </c>
      <c r="F1695">
        <v>38.68</v>
      </c>
      <c r="G1695">
        <v>0</v>
      </c>
      <c r="H1695" s="2">
        <v>0</v>
      </c>
      <c r="I1695">
        <v>0</v>
      </c>
      <c r="J1695">
        <v>154.72</v>
      </c>
      <c r="K1695" s="1">
        <v>45771</v>
      </c>
      <c r="L1695" t="s">
        <v>15</v>
      </c>
      <c r="M1695" t="s">
        <v>15</v>
      </c>
      <c r="N1695">
        <f>salesitems[[#This Row],[quantity]]*salesitems[[#This Row],[unit_price]]</f>
        <v>154.72</v>
      </c>
      <c r="O1695" t="str">
        <f>_xlfn.XLOOKUP(salesitems[[#This Row],[product_id]],products[product_id],products[product_name])</f>
        <v>Relaxed Wrap Shoes</v>
      </c>
      <c r="P1695" t="str">
        <f>_xlfn.XLOOKUP(salesitems[[#This Row],[product_id]],fashion_store_products!A:A,fashion_store_products!C:C)</f>
        <v>Shoes</v>
      </c>
    </row>
    <row r="1696" spans="1:16" x14ac:dyDescent="0.45">
      <c r="A1696">
        <v>1526</v>
      </c>
      <c r="B1696">
        <v>1026</v>
      </c>
      <c r="C1696">
        <v>233</v>
      </c>
      <c r="D1696">
        <v>4</v>
      </c>
      <c r="E1696">
        <v>38.68</v>
      </c>
      <c r="F1696">
        <v>38.68</v>
      </c>
      <c r="G1696">
        <v>0</v>
      </c>
      <c r="H1696" s="2">
        <v>0</v>
      </c>
      <c r="I1696">
        <v>0</v>
      </c>
      <c r="J1696">
        <v>154.72</v>
      </c>
      <c r="K1696" s="1">
        <v>45796</v>
      </c>
      <c r="L1696" t="s">
        <v>21</v>
      </c>
      <c r="M1696" t="s">
        <v>18</v>
      </c>
      <c r="N1696">
        <f>salesitems[[#This Row],[quantity]]*salesitems[[#This Row],[unit_price]]</f>
        <v>154.72</v>
      </c>
      <c r="O1696" t="str">
        <f>_xlfn.XLOOKUP(salesitems[[#This Row],[product_id]],products[product_id],products[product_name])</f>
        <v>Relaxed Wrap Shoes</v>
      </c>
      <c r="P1696" t="str">
        <f>_xlfn.XLOOKUP(salesitems[[#This Row],[product_id]],fashion_store_products!A:A,fashion_store_products!C:C)</f>
        <v>Shoes</v>
      </c>
    </row>
    <row r="1697" spans="1:16" x14ac:dyDescent="0.45">
      <c r="A1697">
        <v>2125</v>
      </c>
      <c r="B1697">
        <v>918</v>
      </c>
      <c r="C1697">
        <v>484</v>
      </c>
      <c r="D1697">
        <v>4</v>
      </c>
      <c r="E1697">
        <v>38.49</v>
      </c>
      <c r="F1697">
        <v>38.49</v>
      </c>
      <c r="G1697">
        <v>0</v>
      </c>
      <c r="H1697" s="2">
        <v>0</v>
      </c>
      <c r="I1697">
        <v>0</v>
      </c>
      <c r="J1697">
        <v>153.96</v>
      </c>
      <c r="K1697" s="1">
        <v>45762</v>
      </c>
      <c r="L1697" t="s">
        <v>21</v>
      </c>
      <c r="M1697" t="s">
        <v>18</v>
      </c>
      <c r="N1697">
        <f>salesitems[[#This Row],[quantity]]*salesitems[[#This Row],[unit_price]]</f>
        <v>153.96</v>
      </c>
      <c r="O1697" t="str">
        <f>_xlfn.XLOOKUP(salesitems[[#This Row],[product_id]],products[product_id],products[product_name])</f>
        <v>Tailored Silk Trousers</v>
      </c>
      <c r="P1697" t="str">
        <f>_xlfn.XLOOKUP(salesitems[[#This Row],[product_id]],fashion_store_products!A:A,fashion_store_products!C:C)</f>
        <v>Pants</v>
      </c>
    </row>
    <row r="1698" spans="1:16" x14ac:dyDescent="0.45">
      <c r="A1698">
        <v>2178</v>
      </c>
      <c r="B1698">
        <v>572</v>
      </c>
      <c r="C1698">
        <v>484</v>
      </c>
      <c r="D1698">
        <v>4</v>
      </c>
      <c r="E1698">
        <v>38.49</v>
      </c>
      <c r="F1698">
        <v>38.49</v>
      </c>
      <c r="G1698">
        <v>0</v>
      </c>
      <c r="H1698" s="2">
        <v>0</v>
      </c>
      <c r="I1698">
        <v>0</v>
      </c>
      <c r="J1698">
        <v>153.96</v>
      </c>
      <c r="K1698" s="1">
        <v>45769</v>
      </c>
      <c r="L1698" t="s">
        <v>15</v>
      </c>
      <c r="M1698" t="s">
        <v>15</v>
      </c>
      <c r="N1698">
        <f>salesitems[[#This Row],[quantity]]*salesitems[[#This Row],[unit_price]]</f>
        <v>153.96</v>
      </c>
      <c r="O1698" t="str">
        <f>_xlfn.XLOOKUP(salesitems[[#This Row],[product_id]],products[product_id],products[product_name])</f>
        <v>Tailored Silk Trousers</v>
      </c>
      <c r="P1698" t="str">
        <f>_xlfn.XLOOKUP(salesitems[[#This Row],[product_id]],fashion_store_products!A:A,fashion_store_products!C:C)</f>
        <v>Pants</v>
      </c>
    </row>
    <row r="1699" spans="1:16" x14ac:dyDescent="0.45">
      <c r="A1699">
        <v>2915</v>
      </c>
      <c r="B1699">
        <v>1180</v>
      </c>
      <c r="C1699">
        <v>256</v>
      </c>
      <c r="D1699">
        <v>4</v>
      </c>
      <c r="E1699">
        <v>38.409999999999997</v>
      </c>
      <c r="F1699">
        <v>38.409999999999997</v>
      </c>
      <c r="G1699">
        <v>0</v>
      </c>
      <c r="H1699" s="2">
        <v>0</v>
      </c>
      <c r="I1699">
        <v>0</v>
      </c>
      <c r="J1699">
        <v>153.63999999999999</v>
      </c>
      <c r="K1699" s="1">
        <v>45803</v>
      </c>
      <c r="L1699" t="s">
        <v>21</v>
      </c>
      <c r="M1699" t="s">
        <v>18</v>
      </c>
      <c r="N1699">
        <f>salesitems[[#This Row],[quantity]]*salesitems[[#This Row],[unit_price]]</f>
        <v>153.63999999999999</v>
      </c>
      <c r="O1699" t="str">
        <f>_xlfn.XLOOKUP(salesitems[[#This Row],[product_id]],products[product_id],products[product_name])</f>
        <v>Polished Crew Set</v>
      </c>
      <c r="P1699" t="str">
        <f>_xlfn.XLOOKUP(salesitems[[#This Row],[product_id]],fashion_store_products!A:A,fashion_store_products!C:C)</f>
        <v>Sleepwear</v>
      </c>
    </row>
    <row r="1700" spans="1:16" x14ac:dyDescent="0.45">
      <c r="A1700">
        <v>252</v>
      </c>
      <c r="B1700">
        <v>346</v>
      </c>
      <c r="C1700">
        <v>498</v>
      </c>
      <c r="D1700">
        <v>4</v>
      </c>
      <c r="E1700">
        <v>38.33</v>
      </c>
      <c r="F1700">
        <v>38.33</v>
      </c>
      <c r="G1700">
        <v>0</v>
      </c>
      <c r="H1700" s="2">
        <v>0</v>
      </c>
      <c r="I1700">
        <v>0</v>
      </c>
      <c r="J1700">
        <v>153.32</v>
      </c>
      <c r="K1700" s="1">
        <v>45803</v>
      </c>
      <c r="L1700" t="s">
        <v>15</v>
      </c>
      <c r="M1700" t="s">
        <v>15</v>
      </c>
      <c r="N1700">
        <f>salesitems[[#This Row],[quantity]]*salesitems[[#This Row],[unit_price]]</f>
        <v>153.32</v>
      </c>
      <c r="O1700" t="str">
        <f>_xlfn.XLOOKUP(salesitems[[#This Row],[product_id]],products[product_id],products[product_name])</f>
        <v>T-Shirts Drop 8</v>
      </c>
      <c r="P1700" t="str">
        <f>_xlfn.XLOOKUP(salesitems[[#This Row],[product_id]],fashion_store_products!A:A,fashion_store_products!C:C)</f>
        <v>T-Shirts</v>
      </c>
    </row>
    <row r="1701" spans="1:16" x14ac:dyDescent="0.45">
      <c r="A1701">
        <v>2057</v>
      </c>
      <c r="B1701">
        <v>630</v>
      </c>
      <c r="C1701">
        <v>498</v>
      </c>
      <c r="D1701">
        <v>4</v>
      </c>
      <c r="E1701">
        <v>38.33</v>
      </c>
      <c r="F1701">
        <v>38.33</v>
      </c>
      <c r="G1701">
        <v>0</v>
      </c>
      <c r="H1701" s="2">
        <v>0</v>
      </c>
      <c r="I1701">
        <v>0</v>
      </c>
      <c r="J1701">
        <v>153.32</v>
      </c>
      <c r="K1701" s="1">
        <v>45806</v>
      </c>
      <c r="L1701" t="s">
        <v>21</v>
      </c>
      <c r="M1701" t="s">
        <v>18</v>
      </c>
      <c r="N1701">
        <f>salesitems[[#This Row],[quantity]]*salesitems[[#This Row],[unit_price]]</f>
        <v>153.32</v>
      </c>
      <c r="O1701" t="str">
        <f>_xlfn.XLOOKUP(salesitems[[#This Row],[product_id]],products[product_id],products[product_name])</f>
        <v>T-Shirts Drop 8</v>
      </c>
      <c r="P1701" t="str">
        <f>_xlfn.XLOOKUP(salesitems[[#This Row],[product_id]],fashion_store_products!A:A,fashion_store_products!C:C)</f>
        <v>T-Shirts</v>
      </c>
    </row>
    <row r="1702" spans="1:16" x14ac:dyDescent="0.45">
      <c r="A1702">
        <v>1734</v>
      </c>
      <c r="B1702">
        <v>1028</v>
      </c>
      <c r="C1702">
        <v>240</v>
      </c>
      <c r="D1702">
        <v>4</v>
      </c>
      <c r="E1702">
        <v>38.14</v>
      </c>
      <c r="F1702">
        <v>38.14</v>
      </c>
      <c r="G1702">
        <v>0</v>
      </c>
      <c r="H1702" s="2">
        <v>0</v>
      </c>
      <c r="I1702">
        <v>0</v>
      </c>
      <c r="J1702">
        <v>152.56</v>
      </c>
      <c r="K1702" s="1">
        <v>45802</v>
      </c>
      <c r="L1702" t="s">
        <v>21</v>
      </c>
      <c r="M1702" t="s">
        <v>18</v>
      </c>
      <c r="N1702">
        <f>salesitems[[#This Row],[quantity]]*salesitems[[#This Row],[unit_price]]</f>
        <v>152.56</v>
      </c>
      <c r="O1702" t="str">
        <f>_xlfn.XLOOKUP(salesitems[[#This Row],[product_id]],products[product_id],products[product_name])</f>
        <v>Polished Linen Trousers</v>
      </c>
      <c r="P1702" t="str">
        <f>_xlfn.XLOOKUP(salesitems[[#This Row],[product_id]],fashion_store_products!A:A,fashion_store_products!C:C)</f>
        <v>Pants</v>
      </c>
    </row>
    <row r="1703" spans="1:16" x14ac:dyDescent="0.45">
      <c r="A1703">
        <v>132</v>
      </c>
      <c r="B1703">
        <v>1015</v>
      </c>
      <c r="C1703">
        <v>387</v>
      </c>
      <c r="D1703">
        <v>4</v>
      </c>
      <c r="E1703">
        <v>38.06</v>
      </c>
      <c r="F1703">
        <v>38.06</v>
      </c>
      <c r="G1703">
        <v>0</v>
      </c>
      <c r="H1703" s="2">
        <v>0</v>
      </c>
      <c r="I1703">
        <v>0</v>
      </c>
      <c r="J1703">
        <v>152.24</v>
      </c>
      <c r="K1703" s="1">
        <v>45804</v>
      </c>
      <c r="L1703" t="s">
        <v>15</v>
      </c>
      <c r="M1703" t="s">
        <v>15</v>
      </c>
      <c r="N1703">
        <f>salesitems[[#This Row],[quantity]]*salesitems[[#This Row],[unit_price]]</f>
        <v>152.24</v>
      </c>
      <c r="O1703" t="str">
        <f>_xlfn.XLOOKUP(salesitems[[#This Row],[product_id]],products[product_id],products[product_name])</f>
        <v>Tailored High-Waist Set</v>
      </c>
      <c r="P1703" t="str">
        <f>_xlfn.XLOOKUP(salesitems[[#This Row],[product_id]],fashion_store_products!A:A,fashion_store_products!C:C)</f>
        <v>Sleepwear</v>
      </c>
    </row>
    <row r="1704" spans="1:16" x14ac:dyDescent="0.45">
      <c r="A1704">
        <v>3177</v>
      </c>
      <c r="B1704">
        <v>94</v>
      </c>
      <c r="C1704">
        <v>41</v>
      </c>
      <c r="D1704">
        <v>4</v>
      </c>
      <c r="E1704">
        <v>37.94</v>
      </c>
      <c r="F1704">
        <v>37.94</v>
      </c>
      <c r="G1704">
        <v>0</v>
      </c>
      <c r="H1704" s="2">
        <v>0</v>
      </c>
      <c r="I1704">
        <v>0</v>
      </c>
      <c r="J1704">
        <v>151.76</v>
      </c>
      <c r="K1704" s="1">
        <v>45760</v>
      </c>
      <c r="L1704" t="s">
        <v>21</v>
      </c>
      <c r="M1704" t="s">
        <v>18</v>
      </c>
      <c r="N1704">
        <f>salesitems[[#This Row],[quantity]]*salesitems[[#This Row],[unit_price]]</f>
        <v>151.76</v>
      </c>
      <c r="O1704" t="str">
        <f>_xlfn.XLOOKUP(salesitems[[#This Row],[product_id]],products[product_id],products[product_name])</f>
        <v>Soft Boxy Trousers</v>
      </c>
      <c r="P1704" t="str">
        <f>_xlfn.XLOOKUP(salesitems[[#This Row],[product_id]],fashion_store_products!A:A,fashion_store_products!C:C)</f>
        <v>Pants</v>
      </c>
    </row>
    <row r="1705" spans="1:16" x14ac:dyDescent="0.45">
      <c r="A1705">
        <v>3206</v>
      </c>
      <c r="B1705">
        <v>744</v>
      </c>
      <c r="C1705">
        <v>41</v>
      </c>
      <c r="D1705">
        <v>4</v>
      </c>
      <c r="E1705">
        <v>37.94</v>
      </c>
      <c r="F1705">
        <v>37.94</v>
      </c>
      <c r="G1705">
        <v>0</v>
      </c>
      <c r="H1705" s="2">
        <v>0</v>
      </c>
      <c r="I1705">
        <v>0</v>
      </c>
      <c r="J1705">
        <v>151.76</v>
      </c>
      <c r="K1705" s="1">
        <v>45814</v>
      </c>
      <c r="L1705" t="s">
        <v>15</v>
      </c>
      <c r="M1705" t="s">
        <v>15</v>
      </c>
      <c r="N1705">
        <f>salesitems[[#This Row],[quantity]]*salesitems[[#This Row],[unit_price]]</f>
        <v>151.76</v>
      </c>
      <c r="O1705" t="str">
        <f>_xlfn.XLOOKUP(salesitems[[#This Row],[product_id]],products[product_id],products[product_name])</f>
        <v>Soft Boxy Trousers</v>
      </c>
      <c r="P1705" t="str">
        <f>_xlfn.XLOOKUP(salesitems[[#This Row],[product_id]],fashion_store_products!A:A,fashion_store_products!C:C)</f>
        <v>Pants</v>
      </c>
    </row>
    <row r="1706" spans="1:16" x14ac:dyDescent="0.45">
      <c r="A1706">
        <v>3367</v>
      </c>
      <c r="B1706">
        <v>1335</v>
      </c>
      <c r="C1706">
        <v>41</v>
      </c>
      <c r="D1706">
        <v>4</v>
      </c>
      <c r="E1706">
        <v>37.94</v>
      </c>
      <c r="F1706">
        <v>37.94</v>
      </c>
      <c r="G1706">
        <v>0</v>
      </c>
      <c r="H1706" s="2">
        <v>0</v>
      </c>
      <c r="I1706">
        <v>0</v>
      </c>
      <c r="J1706">
        <v>151.76</v>
      </c>
      <c r="K1706" s="1">
        <v>45771</v>
      </c>
      <c r="L1706" t="s">
        <v>15</v>
      </c>
      <c r="M1706" t="s">
        <v>15</v>
      </c>
      <c r="N1706">
        <f>salesitems[[#This Row],[quantity]]*salesitems[[#This Row],[unit_price]]</f>
        <v>151.76</v>
      </c>
      <c r="O1706" t="str">
        <f>_xlfn.XLOOKUP(salesitems[[#This Row],[product_id]],products[product_id],products[product_name])</f>
        <v>Soft Boxy Trousers</v>
      </c>
      <c r="P1706" t="str">
        <f>_xlfn.XLOOKUP(salesitems[[#This Row],[product_id]],fashion_store_products!A:A,fashion_store_products!C:C)</f>
        <v>Pants</v>
      </c>
    </row>
    <row r="1707" spans="1:16" x14ac:dyDescent="0.45">
      <c r="A1707">
        <v>2123</v>
      </c>
      <c r="B1707">
        <v>553</v>
      </c>
      <c r="C1707">
        <v>47</v>
      </c>
      <c r="D1707">
        <v>4</v>
      </c>
      <c r="E1707">
        <v>53.73</v>
      </c>
      <c r="F1707">
        <v>37.61</v>
      </c>
      <c r="G1707">
        <v>16.12</v>
      </c>
      <c r="H1707" s="2">
        <v>0.3</v>
      </c>
      <c r="I1707">
        <v>1</v>
      </c>
      <c r="J1707">
        <v>150.44</v>
      </c>
      <c r="K1707" s="1">
        <v>45795</v>
      </c>
      <c r="L1707" t="s">
        <v>15</v>
      </c>
      <c r="M1707" t="s">
        <v>11</v>
      </c>
      <c r="N1707">
        <f>salesitems[[#This Row],[quantity]]*salesitems[[#This Row],[unit_price]]</f>
        <v>150.44</v>
      </c>
      <c r="O1707" t="str">
        <f>_xlfn.XLOOKUP(salesitems[[#This Row],[product_id]],products[product_id],products[product_name])</f>
        <v>Soft High-Waist Tee</v>
      </c>
      <c r="P1707" t="str">
        <f>_xlfn.XLOOKUP(salesitems[[#This Row],[product_id]],fashion_store_products!A:A,fashion_store_products!C:C)</f>
        <v>T-Shirts</v>
      </c>
    </row>
    <row r="1708" spans="1:16" x14ac:dyDescent="0.45">
      <c r="A1708">
        <v>1585</v>
      </c>
      <c r="B1708">
        <v>173</v>
      </c>
      <c r="C1708">
        <v>318</v>
      </c>
      <c r="D1708">
        <v>4</v>
      </c>
      <c r="E1708">
        <v>37.549999999999997</v>
      </c>
      <c r="F1708">
        <v>37.549999999999997</v>
      </c>
      <c r="G1708">
        <v>0</v>
      </c>
      <c r="H1708" s="2">
        <v>0</v>
      </c>
      <c r="I1708">
        <v>0</v>
      </c>
      <c r="J1708">
        <v>150.19999999999999</v>
      </c>
      <c r="K1708" s="1">
        <v>45792</v>
      </c>
      <c r="L1708" t="s">
        <v>21</v>
      </c>
      <c r="M1708" t="s">
        <v>18</v>
      </c>
      <c r="N1708">
        <f>salesitems[[#This Row],[quantity]]*salesitems[[#This Row],[unit_price]]</f>
        <v>150.19999999999999</v>
      </c>
      <c r="O1708" t="str">
        <f>_xlfn.XLOOKUP(salesitems[[#This Row],[product_id]],products[product_id],products[product_name])</f>
        <v>Essential Boxy Tee</v>
      </c>
      <c r="P1708" t="str">
        <f>_xlfn.XLOOKUP(salesitems[[#This Row],[product_id]],fashion_store_products!A:A,fashion_store_products!C:C)</f>
        <v>T-Shirts</v>
      </c>
    </row>
    <row r="1709" spans="1:16" x14ac:dyDescent="0.45">
      <c r="A1709">
        <v>909</v>
      </c>
      <c r="B1709">
        <v>442</v>
      </c>
      <c r="C1709">
        <v>423</v>
      </c>
      <c r="D1709">
        <v>4</v>
      </c>
      <c r="E1709">
        <v>41.64</v>
      </c>
      <c r="F1709">
        <v>37.479999999999997</v>
      </c>
      <c r="G1709">
        <v>4.16</v>
      </c>
      <c r="H1709" s="2">
        <v>0.1</v>
      </c>
      <c r="I1709">
        <v>1</v>
      </c>
      <c r="J1709">
        <v>149.9</v>
      </c>
      <c r="K1709" s="1">
        <v>45814</v>
      </c>
      <c r="L1709" t="s">
        <v>21</v>
      </c>
      <c r="M1709" t="s">
        <v>18</v>
      </c>
      <c r="N1709">
        <f>salesitems[[#This Row],[quantity]]*salesitems[[#This Row],[unit_price]]</f>
        <v>149.91999999999999</v>
      </c>
      <c r="O1709" t="str">
        <f>_xlfn.XLOOKUP(salesitems[[#This Row],[product_id]],products[product_id],products[product_name])</f>
        <v>Elegant Boxy Tee</v>
      </c>
      <c r="P1709" t="str">
        <f>_xlfn.XLOOKUP(salesitems[[#This Row],[product_id]],fashion_store_products!A:A,fashion_store_products!C:C)</f>
        <v>T-Shirts</v>
      </c>
    </row>
    <row r="1710" spans="1:16" x14ac:dyDescent="0.45">
      <c r="A1710">
        <v>2769</v>
      </c>
      <c r="B1710">
        <v>590</v>
      </c>
      <c r="C1710">
        <v>208</v>
      </c>
      <c r="D1710">
        <v>4</v>
      </c>
      <c r="E1710">
        <v>37.450000000000003</v>
      </c>
      <c r="F1710">
        <v>37.450000000000003</v>
      </c>
      <c r="G1710">
        <v>0</v>
      </c>
      <c r="H1710" s="2">
        <v>0</v>
      </c>
      <c r="I1710">
        <v>0</v>
      </c>
      <c r="J1710">
        <v>149.80000000000001</v>
      </c>
      <c r="K1710" s="1">
        <v>45760</v>
      </c>
      <c r="L1710" t="s">
        <v>21</v>
      </c>
      <c r="M1710" t="s">
        <v>18</v>
      </c>
      <c r="N1710">
        <f>salesitems[[#This Row],[quantity]]*salesitems[[#This Row],[unit_price]]</f>
        <v>149.80000000000001</v>
      </c>
      <c r="O1710" t="str">
        <f>_xlfn.XLOOKUP(salesitems[[#This Row],[product_id]],products[product_id],products[product_name])</f>
        <v>Polished Wrap Tee</v>
      </c>
      <c r="P1710" t="str">
        <f>_xlfn.XLOOKUP(salesitems[[#This Row],[product_id]],fashion_store_products!A:A,fashion_store_products!C:C)</f>
        <v>T-Shirts</v>
      </c>
    </row>
    <row r="1711" spans="1:16" x14ac:dyDescent="0.45">
      <c r="A1711">
        <v>2931</v>
      </c>
      <c r="B1711">
        <v>1095</v>
      </c>
      <c r="C1711">
        <v>85</v>
      </c>
      <c r="D1711">
        <v>4</v>
      </c>
      <c r="E1711">
        <v>37.35</v>
      </c>
      <c r="F1711">
        <v>37.35</v>
      </c>
      <c r="G1711">
        <v>0</v>
      </c>
      <c r="H1711" s="2">
        <v>0</v>
      </c>
      <c r="I1711">
        <v>0</v>
      </c>
      <c r="J1711">
        <v>149.4</v>
      </c>
      <c r="K1711" s="1">
        <v>45824</v>
      </c>
      <c r="L1711" t="s">
        <v>21</v>
      </c>
      <c r="M1711" t="s">
        <v>18</v>
      </c>
      <c r="N1711">
        <f>salesitems[[#This Row],[quantity]]*salesitems[[#This Row],[unit_price]]</f>
        <v>149.4</v>
      </c>
      <c r="O1711" t="str">
        <f>_xlfn.XLOOKUP(salesitems[[#This Row],[product_id]],products[product_id],products[product_name])</f>
        <v>Classic Satin Dress</v>
      </c>
      <c r="P1711" t="str">
        <f>_xlfn.XLOOKUP(salesitems[[#This Row],[product_id]],fashion_store_products!A:A,fashion_store_products!C:C)</f>
        <v>Dresses</v>
      </c>
    </row>
    <row r="1712" spans="1:16" x14ac:dyDescent="0.45">
      <c r="A1712">
        <v>421</v>
      </c>
      <c r="B1712">
        <v>516</v>
      </c>
      <c r="C1712">
        <v>408</v>
      </c>
      <c r="D1712">
        <v>4</v>
      </c>
      <c r="E1712">
        <v>37.17</v>
      </c>
      <c r="F1712">
        <v>37.17</v>
      </c>
      <c r="G1712">
        <v>0</v>
      </c>
      <c r="H1712" s="2">
        <v>0</v>
      </c>
      <c r="I1712">
        <v>0</v>
      </c>
      <c r="J1712">
        <v>148.68</v>
      </c>
      <c r="K1712" s="1">
        <v>45752</v>
      </c>
      <c r="L1712" t="s">
        <v>21</v>
      </c>
      <c r="M1712" t="s">
        <v>18</v>
      </c>
      <c r="N1712">
        <f>salesitems[[#This Row],[quantity]]*salesitems[[#This Row],[unit_price]]</f>
        <v>148.68</v>
      </c>
      <c r="O1712" t="str">
        <f>_xlfn.XLOOKUP(salesitems[[#This Row],[product_id]],products[product_id],products[product_name])</f>
        <v>Elegant High-Waist Tee</v>
      </c>
      <c r="P1712" t="str">
        <f>_xlfn.XLOOKUP(salesitems[[#This Row],[product_id]],fashion_store_products!A:A,fashion_store_products!C:C)</f>
        <v>T-Shirts</v>
      </c>
    </row>
    <row r="1713" spans="1:16" x14ac:dyDescent="0.45">
      <c r="A1713">
        <v>908</v>
      </c>
      <c r="B1713">
        <v>90</v>
      </c>
      <c r="C1713">
        <v>408</v>
      </c>
      <c r="D1713">
        <v>4</v>
      </c>
      <c r="E1713">
        <v>37.17</v>
      </c>
      <c r="F1713">
        <v>37.17</v>
      </c>
      <c r="G1713">
        <v>0</v>
      </c>
      <c r="H1713" s="2">
        <v>0</v>
      </c>
      <c r="I1713">
        <v>0</v>
      </c>
      <c r="J1713">
        <v>148.68</v>
      </c>
      <c r="K1713" s="1">
        <v>45803</v>
      </c>
      <c r="L1713" t="s">
        <v>21</v>
      </c>
      <c r="M1713" t="s">
        <v>18</v>
      </c>
      <c r="N1713">
        <f>salesitems[[#This Row],[quantity]]*salesitems[[#This Row],[unit_price]]</f>
        <v>148.68</v>
      </c>
      <c r="O1713" t="str">
        <f>_xlfn.XLOOKUP(salesitems[[#This Row],[product_id]],products[product_id],products[product_name])</f>
        <v>Elegant High-Waist Tee</v>
      </c>
      <c r="P1713" t="str">
        <f>_xlfn.XLOOKUP(salesitems[[#This Row],[product_id]],fashion_store_products!A:A,fashion_store_products!C:C)</f>
        <v>T-Shirts</v>
      </c>
    </row>
    <row r="1714" spans="1:16" x14ac:dyDescent="0.45">
      <c r="A1714">
        <v>1101</v>
      </c>
      <c r="B1714">
        <v>740</v>
      </c>
      <c r="C1714">
        <v>492</v>
      </c>
      <c r="D1714">
        <v>4</v>
      </c>
      <c r="E1714">
        <v>37.119999999999997</v>
      </c>
      <c r="F1714">
        <v>37.119999999999997</v>
      </c>
      <c r="G1714">
        <v>0</v>
      </c>
      <c r="H1714" s="2">
        <v>0</v>
      </c>
      <c r="I1714">
        <v>0</v>
      </c>
      <c r="J1714">
        <v>148.47999999999999</v>
      </c>
      <c r="K1714" s="1">
        <v>45776</v>
      </c>
      <c r="L1714" t="s">
        <v>21</v>
      </c>
      <c r="M1714" t="s">
        <v>18</v>
      </c>
      <c r="N1714">
        <f>salesitems[[#This Row],[quantity]]*salesitems[[#This Row],[unit_price]]</f>
        <v>148.47999999999999</v>
      </c>
      <c r="O1714" t="str">
        <f>_xlfn.XLOOKUP(salesitems[[#This Row],[product_id]],products[product_id],products[product_name])</f>
        <v>Tailored Crew Trousers</v>
      </c>
      <c r="P1714" t="str">
        <f>_xlfn.XLOOKUP(salesitems[[#This Row],[product_id]],fashion_store_products!A:A,fashion_store_products!C:C)</f>
        <v>Pants</v>
      </c>
    </row>
    <row r="1715" spans="1:16" x14ac:dyDescent="0.45">
      <c r="A1715">
        <v>1199</v>
      </c>
      <c r="B1715">
        <v>689</v>
      </c>
      <c r="C1715">
        <v>215</v>
      </c>
      <c r="D1715">
        <v>4</v>
      </c>
      <c r="E1715">
        <v>37.11</v>
      </c>
      <c r="F1715">
        <v>37.11</v>
      </c>
      <c r="G1715">
        <v>0</v>
      </c>
      <c r="H1715" s="2">
        <v>0</v>
      </c>
      <c r="I1715">
        <v>0</v>
      </c>
      <c r="J1715">
        <v>148.44</v>
      </c>
      <c r="K1715" s="1">
        <v>45762</v>
      </c>
      <c r="L1715" t="s">
        <v>15</v>
      </c>
      <c r="M1715" t="s">
        <v>15</v>
      </c>
      <c r="N1715">
        <f>salesitems[[#This Row],[quantity]]*salesitems[[#This Row],[unit_price]]</f>
        <v>148.44</v>
      </c>
      <c r="O1715" t="str">
        <f>_xlfn.XLOOKUP(salesitems[[#This Row],[product_id]],products[product_id],products[product_name])</f>
        <v>Vintage Sleeveless Trousers</v>
      </c>
      <c r="P1715" t="str">
        <f>_xlfn.XLOOKUP(salesitems[[#This Row],[product_id]],fashion_store_products!A:A,fashion_store_products!C:C)</f>
        <v>Pants</v>
      </c>
    </row>
    <row r="1716" spans="1:16" x14ac:dyDescent="0.45">
      <c r="A1716">
        <v>2069</v>
      </c>
      <c r="B1716">
        <v>44</v>
      </c>
      <c r="C1716">
        <v>243</v>
      </c>
      <c r="D1716">
        <v>4</v>
      </c>
      <c r="E1716">
        <v>37.06</v>
      </c>
      <c r="F1716">
        <v>37.06</v>
      </c>
      <c r="G1716">
        <v>0</v>
      </c>
      <c r="H1716" s="2">
        <v>0</v>
      </c>
      <c r="I1716">
        <v>0</v>
      </c>
      <c r="J1716">
        <v>148.24</v>
      </c>
      <c r="K1716" s="1">
        <v>45791</v>
      </c>
      <c r="L1716" t="s">
        <v>21</v>
      </c>
      <c r="M1716" t="s">
        <v>18</v>
      </c>
      <c r="N1716">
        <f>salesitems[[#This Row],[quantity]]*salesitems[[#This Row],[unit_price]]</f>
        <v>148.24</v>
      </c>
      <c r="O1716" t="str">
        <f>_xlfn.XLOOKUP(salesitems[[#This Row],[product_id]],products[product_id],products[product_name])</f>
        <v>Polished Satin Set</v>
      </c>
      <c r="P1716" t="str">
        <f>_xlfn.XLOOKUP(salesitems[[#This Row],[product_id]],fashion_store_products!A:A,fashion_store_products!C:C)</f>
        <v>Sleepwear</v>
      </c>
    </row>
    <row r="1717" spans="1:16" x14ac:dyDescent="0.45">
      <c r="A1717">
        <v>1107</v>
      </c>
      <c r="B1717">
        <v>189</v>
      </c>
      <c r="C1717">
        <v>441</v>
      </c>
      <c r="D1717">
        <v>4</v>
      </c>
      <c r="E1717">
        <v>36.99</v>
      </c>
      <c r="F1717">
        <v>36.99</v>
      </c>
      <c r="G1717">
        <v>0</v>
      </c>
      <c r="H1717" s="2">
        <v>0</v>
      </c>
      <c r="I1717">
        <v>0</v>
      </c>
      <c r="J1717">
        <v>147.96</v>
      </c>
      <c r="K1717" s="1">
        <v>45772</v>
      </c>
      <c r="L1717" t="s">
        <v>21</v>
      </c>
      <c r="M1717" t="s">
        <v>18</v>
      </c>
      <c r="N1717">
        <f>salesitems[[#This Row],[quantity]]*salesitems[[#This Row],[unit_price]]</f>
        <v>147.96</v>
      </c>
      <c r="O1717" t="str">
        <f>_xlfn.XLOOKUP(salesitems[[#This Row],[product_id]],products[product_id],products[product_name])</f>
        <v>Bold Linen Dress</v>
      </c>
      <c r="P1717" t="str">
        <f>_xlfn.XLOOKUP(salesitems[[#This Row],[product_id]],fashion_store_products!A:A,fashion_store_products!C:C)</f>
        <v>Dresses</v>
      </c>
    </row>
    <row r="1718" spans="1:16" x14ac:dyDescent="0.45">
      <c r="A1718">
        <v>2640</v>
      </c>
      <c r="B1718">
        <v>702</v>
      </c>
      <c r="C1718">
        <v>441</v>
      </c>
      <c r="D1718">
        <v>4</v>
      </c>
      <c r="E1718">
        <v>36.99</v>
      </c>
      <c r="F1718">
        <v>36.99</v>
      </c>
      <c r="G1718">
        <v>0</v>
      </c>
      <c r="H1718" s="2">
        <v>0</v>
      </c>
      <c r="I1718">
        <v>0</v>
      </c>
      <c r="J1718">
        <v>147.96</v>
      </c>
      <c r="K1718" s="1">
        <v>45806</v>
      </c>
      <c r="L1718" t="s">
        <v>15</v>
      </c>
      <c r="M1718" t="s">
        <v>15</v>
      </c>
      <c r="N1718">
        <f>salesitems[[#This Row],[quantity]]*salesitems[[#This Row],[unit_price]]</f>
        <v>147.96</v>
      </c>
      <c r="O1718" t="str">
        <f>_xlfn.XLOOKUP(salesitems[[#This Row],[product_id]],products[product_id],products[product_name])</f>
        <v>Bold Linen Dress</v>
      </c>
      <c r="P1718" t="str">
        <f>_xlfn.XLOOKUP(salesitems[[#This Row],[product_id]],fashion_store_products!A:A,fashion_store_products!C:C)</f>
        <v>Dresses</v>
      </c>
    </row>
    <row r="1719" spans="1:16" x14ac:dyDescent="0.45">
      <c r="A1719">
        <v>1319</v>
      </c>
      <c r="B1719">
        <v>282</v>
      </c>
      <c r="C1719">
        <v>105</v>
      </c>
      <c r="D1719">
        <v>4</v>
      </c>
      <c r="E1719">
        <v>36.9</v>
      </c>
      <c r="F1719">
        <v>36.9</v>
      </c>
      <c r="G1719">
        <v>0</v>
      </c>
      <c r="H1719" s="2">
        <v>0</v>
      </c>
      <c r="I1719">
        <v>0</v>
      </c>
      <c r="J1719">
        <v>147.6</v>
      </c>
      <c r="K1719" s="1">
        <v>45803</v>
      </c>
      <c r="L1719" t="s">
        <v>15</v>
      </c>
      <c r="M1719" t="s">
        <v>15</v>
      </c>
      <c r="N1719">
        <f>salesitems[[#This Row],[quantity]]*salesitems[[#This Row],[unit_price]]</f>
        <v>147.6</v>
      </c>
      <c r="O1719" t="str">
        <f>_xlfn.XLOOKUP(salesitems[[#This Row],[product_id]],products[product_id],products[product_name])</f>
        <v>Classic Cotton Tee</v>
      </c>
      <c r="P1719" t="str">
        <f>_xlfn.XLOOKUP(salesitems[[#This Row],[product_id]],fashion_store_products!A:A,fashion_store_products!C:C)</f>
        <v>T-Shirts</v>
      </c>
    </row>
    <row r="1720" spans="1:16" x14ac:dyDescent="0.45">
      <c r="A1720">
        <v>3175</v>
      </c>
      <c r="B1720">
        <v>581</v>
      </c>
      <c r="C1720">
        <v>105</v>
      </c>
      <c r="D1720">
        <v>4</v>
      </c>
      <c r="E1720">
        <v>36.9</v>
      </c>
      <c r="F1720">
        <v>36.9</v>
      </c>
      <c r="G1720">
        <v>0</v>
      </c>
      <c r="H1720" s="2">
        <v>0</v>
      </c>
      <c r="I1720">
        <v>0</v>
      </c>
      <c r="J1720">
        <v>147.6</v>
      </c>
      <c r="K1720" s="1">
        <v>45808</v>
      </c>
      <c r="L1720" t="s">
        <v>21</v>
      </c>
      <c r="M1720" t="s">
        <v>18</v>
      </c>
      <c r="N1720">
        <f>salesitems[[#This Row],[quantity]]*salesitems[[#This Row],[unit_price]]</f>
        <v>147.6</v>
      </c>
      <c r="O1720" t="str">
        <f>_xlfn.XLOOKUP(salesitems[[#This Row],[product_id]],products[product_id],products[product_name])</f>
        <v>Classic Cotton Tee</v>
      </c>
      <c r="P1720" t="str">
        <f>_xlfn.XLOOKUP(salesitems[[#This Row],[product_id]],fashion_store_products!A:A,fashion_store_products!C:C)</f>
        <v>T-Shirts</v>
      </c>
    </row>
    <row r="1721" spans="1:16" x14ac:dyDescent="0.45">
      <c r="A1721">
        <v>481</v>
      </c>
      <c r="B1721">
        <v>1053</v>
      </c>
      <c r="C1721">
        <v>251</v>
      </c>
      <c r="D1721">
        <v>4</v>
      </c>
      <c r="E1721">
        <v>36.880000000000003</v>
      </c>
      <c r="F1721">
        <v>36.880000000000003</v>
      </c>
      <c r="G1721">
        <v>0</v>
      </c>
      <c r="H1721" s="2">
        <v>0</v>
      </c>
      <c r="I1721">
        <v>0</v>
      </c>
      <c r="J1721">
        <v>147.52000000000001</v>
      </c>
      <c r="K1721" s="1">
        <v>45761</v>
      </c>
      <c r="L1721" t="s">
        <v>21</v>
      </c>
      <c r="M1721" t="s">
        <v>18</v>
      </c>
      <c r="N1721">
        <f>salesitems[[#This Row],[quantity]]*salesitems[[#This Row],[unit_price]]</f>
        <v>147.52000000000001</v>
      </c>
      <c r="O1721" t="str">
        <f>_xlfn.XLOOKUP(salesitems[[#This Row],[product_id]],products[product_id],products[product_name])</f>
        <v>Relaxed Wrap Tee</v>
      </c>
      <c r="P1721" t="str">
        <f>_xlfn.XLOOKUP(salesitems[[#This Row],[product_id]],fashion_store_products!A:A,fashion_store_products!C:C)</f>
        <v>T-Shirts</v>
      </c>
    </row>
    <row r="1722" spans="1:16" x14ac:dyDescent="0.45">
      <c r="A1722">
        <v>1444</v>
      </c>
      <c r="B1722">
        <v>529</v>
      </c>
      <c r="C1722">
        <v>251</v>
      </c>
      <c r="D1722">
        <v>4</v>
      </c>
      <c r="E1722">
        <v>36.880000000000003</v>
      </c>
      <c r="F1722">
        <v>36.880000000000003</v>
      </c>
      <c r="G1722">
        <v>0</v>
      </c>
      <c r="H1722" s="2">
        <v>0</v>
      </c>
      <c r="I1722">
        <v>0</v>
      </c>
      <c r="J1722">
        <v>147.52000000000001</v>
      </c>
      <c r="K1722" s="1">
        <v>45761</v>
      </c>
      <c r="L1722" t="s">
        <v>15</v>
      </c>
      <c r="M1722" t="s">
        <v>15</v>
      </c>
      <c r="N1722">
        <f>salesitems[[#This Row],[quantity]]*salesitems[[#This Row],[unit_price]]</f>
        <v>147.52000000000001</v>
      </c>
      <c r="O1722" t="str">
        <f>_xlfn.XLOOKUP(salesitems[[#This Row],[product_id]],products[product_id],products[product_name])</f>
        <v>Relaxed Wrap Tee</v>
      </c>
      <c r="P1722" t="str">
        <f>_xlfn.XLOOKUP(salesitems[[#This Row],[product_id]],fashion_store_products!A:A,fashion_store_products!C:C)</f>
        <v>T-Shirts</v>
      </c>
    </row>
    <row r="1723" spans="1:16" x14ac:dyDescent="0.45">
      <c r="A1723">
        <v>590</v>
      </c>
      <c r="B1723">
        <v>1132</v>
      </c>
      <c r="C1723">
        <v>5</v>
      </c>
      <c r="D1723">
        <v>4</v>
      </c>
      <c r="E1723">
        <v>36.840000000000003</v>
      </c>
      <c r="F1723">
        <v>36.840000000000003</v>
      </c>
      <c r="G1723">
        <v>0</v>
      </c>
      <c r="H1723" s="2">
        <v>0</v>
      </c>
      <c r="I1723">
        <v>0</v>
      </c>
      <c r="J1723">
        <v>147.36000000000001</v>
      </c>
      <c r="K1723" s="1">
        <v>45797</v>
      </c>
      <c r="L1723" t="s">
        <v>15</v>
      </c>
      <c r="M1723" t="s">
        <v>15</v>
      </c>
      <c r="N1723">
        <f>salesitems[[#This Row],[quantity]]*salesitems[[#This Row],[unit_price]]</f>
        <v>147.36000000000001</v>
      </c>
      <c r="O1723" t="str">
        <f>_xlfn.XLOOKUP(salesitems[[#This Row],[product_id]],products[product_id],products[product_name])</f>
        <v>Soft Wrap Trousers</v>
      </c>
      <c r="P1723" t="str">
        <f>_xlfn.XLOOKUP(salesitems[[#This Row],[product_id]],fashion_store_products!A:A,fashion_store_products!C:C)</f>
        <v>Pants</v>
      </c>
    </row>
    <row r="1724" spans="1:16" x14ac:dyDescent="0.45">
      <c r="A1724">
        <v>1863</v>
      </c>
      <c r="B1724">
        <v>799</v>
      </c>
      <c r="C1724">
        <v>5</v>
      </c>
      <c r="D1724">
        <v>4</v>
      </c>
      <c r="E1724">
        <v>36.840000000000003</v>
      </c>
      <c r="F1724">
        <v>36.840000000000003</v>
      </c>
      <c r="G1724">
        <v>0</v>
      </c>
      <c r="H1724" s="2">
        <v>0</v>
      </c>
      <c r="I1724">
        <v>0</v>
      </c>
      <c r="J1724">
        <v>147.36000000000001</v>
      </c>
      <c r="K1724" s="1">
        <v>45763</v>
      </c>
      <c r="L1724" t="s">
        <v>15</v>
      </c>
      <c r="M1724" t="s">
        <v>15</v>
      </c>
      <c r="N1724">
        <f>salesitems[[#This Row],[quantity]]*salesitems[[#This Row],[unit_price]]</f>
        <v>147.36000000000001</v>
      </c>
      <c r="O1724" t="str">
        <f>_xlfn.XLOOKUP(salesitems[[#This Row],[product_id]],products[product_id],products[product_name])</f>
        <v>Soft Wrap Trousers</v>
      </c>
      <c r="P1724" t="str">
        <f>_xlfn.XLOOKUP(salesitems[[#This Row],[product_id]],fashion_store_products!A:A,fashion_store_products!C:C)</f>
        <v>Pants</v>
      </c>
    </row>
    <row r="1725" spans="1:16" x14ac:dyDescent="0.45">
      <c r="A1725">
        <v>1008</v>
      </c>
      <c r="B1725">
        <v>154</v>
      </c>
      <c r="C1725">
        <v>248</v>
      </c>
      <c r="D1725">
        <v>4</v>
      </c>
      <c r="E1725">
        <v>36.79</v>
      </c>
      <c r="F1725">
        <v>36.79</v>
      </c>
      <c r="G1725">
        <v>0</v>
      </c>
      <c r="H1725" s="2">
        <v>0</v>
      </c>
      <c r="I1725">
        <v>0</v>
      </c>
      <c r="J1725">
        <v>147.16</v>
      </c>
      <c r="K1725" s="1">
        <v>45769</v>
      </c>
      <c r="L1725" t="s">
        <v>21</v>
      </c>
      <c r="M1725" t="s">
        <v>18</v>
      </c>
      <c r="N1725">
        <f>salesitems[[#This Row],[quantity]]*salesitems[[#This Row],[unit_price]]</f>
        <v>147.16</v>
      </c>
      <c r="O1725" t="str">
        <f>_xlfn.XLOOKUP(salesitems[[#This Row],[product_id]],products[product_id],products[product_name])</f>
        <v>Polished Boxy Tee</v>
      </c>
      <c r="P1725" t="str">
        <f>_xlfn.XLOOKUP(salesitems[[#This Row],[product_id]],fashion_store_products!A:A,fashion_store_products!C:C)</f>
        <v>T-Shirts</v>
      </c>
    </row>
    <row r="1726" spans="1:16" x14ac:dyDescent="0.45">
      <c r="A1726">
        <v>1919</v>
      </c>
      <c r="B1726">
        <v>1087</v>
      </c>
      <c r="C1726">
        <v>248</v>
      </c>
      <c r="D1726">
        <v>4</v>
      </c>
      <c r="E1726">
        <v>36.79</v>
      </c>
      <c r="F1726">
        <v>36.79</v>
      </c>
      <c r="G1726">
        <v>0</v>
      </c>
      <c r="H1726" s="2">
        <v>0</v>
      </c>
      <c r="I1726">
        <v>0</v>
      </c>
      <c r="J1726">
        <v>147.16</v>
      </c>
      <c r="K1726" s="1">
        <v>45801</v>
      </c>
      <c r="L1726" t="s">
        <v>15</v>
      </c>
      <c r="M1726" t="s">
        <v>15</v>
      </c>
      <c r="N1726">
        <f>salesitems[[#This Row],[quantity]]*salesitems[[#This Row],[unit_price]]</f>
        <v>147.16</v>
      </c>
      <c r="O1726" t="str">
        <f>_xlfn.XLOOKUP(salesitems[[#This Row],[product_id]],products[product_id],products[product_name])</f>
        <v>Polished Boxy Tee</v>
      </c>
      <c r="P1726" t="str">
        <f>_xlfn.XLOOKUP(salesitems[[#This Row],[product_id]],fashion_store_products!A:A,fashion_store_products!C:C)</f>
        <v>T-Shirts</v>
      </c>
    </row>
    <row r="1727" spans="1:16" x14ac:dyDescent="0.45">
      <c r="A1727">
        <v>2877</v>
      </c>
      <c r="B1727">
        <v>561</v>
      </c>
      <c r="C1727">
        <v>106</v>
      </c>
      <c r="D1727">
        <v>4</v>
      </c>
      <c r="E1727">
        <v>40.75</v>
      </c>
      <c r="F1727">
        <v>36.67</v>
      </c>
      <c r="G1727">
        <v>4.08</v>
      </c>
      <c r="H1727" s="2">
        <v>0.1</v>
      </c>
      <c r="I1727">
        <v>1</v>
      </c>
      <c r="J1727">
        <v>146.69999999999999</v>
      </c>
      <c r="K1727" s="1">
        <v>45814</v>
      </c>
      <c r="L1727" t="s">
        <v>21</v>
      </c>
      <c r="M1727" t="s">
        <v>18</v>
      </c>
      <c r="N1727">
        <f>salesitems[[#This Row],[quantity]]*salesitems[[#This Row],[unit_price]]</f>
        <v>146.68</v>
      </c>
      <c r="O1727" t="str">
        <f>_xlfn.XLOOKUP(salesitems[[#This Row],[product_id]],products[product_id],products[product_name])</f>
        <v>Classic Satin Tee</v>
      </c>
      <c r="P1727" t="str">
        <f>_xlfn.XLOOKUP(salesitems[[#This Row],[product_id]],fashion_store_products!A:A,fashion_store_products!C:C)</f>
        <v>T-Shirts</v>
      </c>
    </row>
    <row r="1728" spans="1:16" x14ac:dyDescent="0.45">
      <c r="A1728">
        <v>2586</v>
      </c>
      <c r="B1728">
        <v>839</v>
      </c>
      <c r="C1728">
        <v>199</v>
      </c>
      <c r="D1728">
        <v>4</v>
      </c>
      <c r="E1728">
        <v>36.479999999999997</v>
      </c>
      <c r="F1728">
        <v>36.479999999999997</v>
      </c>
      <c r="G1728">
        <v>0</v>
      </c>
      <c r="H1728" s="2">
        <v>0</v>
      </c>
      <c r="I1728">
        <v>0</v>
      </c>
      <c r="J1728">
        <v>145.91999999999999</v>
      </c>
      <c r="K1728" s="1">
        <v>45808</v>
      </c>
      <c r="L1728" t="s">
        <v>15</v>
      </c>
      <c r="M1728" t="s">
        <v>15</v>
      </c>
      <c r="N1728">
        <f>salesitems[[#This Row],[quantity]]*salesitems[[#This Row],[unit_price]]</f>
        <v>145.91999999999999</v>
      </c>
      <c r="O1728" t="str">
        <f>_xlfn.XLOOKUP(salesitems[[#This Row],[product_id]],products[product_id],products[product_name])</f>
        <v>Polished Sleeveless Dress</v>
      </c>
      <c r="P1728" t="str">
        <f>_xlfn.XLOOKUP(salesitems[[#This Row],[product_id]],fashion_store_products!A:A,fashion_store_products!C:C)</f>
        <v>Dresses</v>
      </c>
    </row>
    <row r="1729" spans="1:16" x14ac:dyDescent="0.45">
      <c r="A1729">
        <v>3104</v>
      </c>
      <c r="B1729">
        <v>497</v>
      </c>
      <c r="C1729">
        <v>140</v>
      </c>
      <c r="D1729">
        <v>4</v>
      </c>
      <c r="E1729">
        <v>52.08</v>
      </c>
      <c r="F1729">
        <v>36.46</v>
      </c>
      <c r="G1729">
        <v>15.62</v>
      </c>
      <c r="H1729" s="2">
        <v>0.3</v>
      </c>
      <c r="I1729">
        <v>1</v>
      </c>
      <c r="J1729">
        <v>145.82</v>
      </c>
      <c r="K1729" s="1">
        <v>45790</v>
      </c>
      <c r="L1729" t="s">
        <v>15</v>
      </c>
      <c r="M1729" t="s">
        <v>11</v>
      </c>
      <c r="N1729">
        <f>salesitems[[#This Row],[quantity]]*salesitems[[#This Row],[unit_price]]</f>
        <v>145.84</v>
      </c>
      <c r="O1729" t="str">
        <f>_xlfn.XLOOKUP(salesitems[[#This Row],[product_id]],products[product_id],products[product_name])</f>
        <v>Vintage Ribbed Dress</v>
      </c>
      <c r="P1729" t="str">
        <f>_xlfn.XLOOKUP(salesitems[[#This Row],[product_id]],fashion_store_products!A:A,fashion_store_products!C:C)</f>
        <v>Dresses</v>
      </c>
    </row>
    <row r="1730" spans="1:16" x14ac:dyDescent="0.45">
      <c r="A1730">
        <v>3363</v>
      </c>
      <c r="B1730">
        <v>1200</v>
      </c>
      <c r="C1730">
        <v>140</v>
      </c>
      <c r="D1730">
        <v>4</v>
      </c>
      <c r="E1730">
        <v>52.08</v>
      </c>
      <c r="F1730">
        <v>36.46</v>
      </c>
      <c r="G1730">
        <v>15.62</v>
      </c>
      <c r="H1730" s="2">
        <v>0.3</v>
      </c>
      <c r="I1730">
        <v>1</v>
      </c>
      <c r="J1730">
        <v>145.82</v>
      </c>
      <c r="K1730" s="1">
        <v>45793</v>
      </c>
      <c r="L1730" t="s">
        <v>15</v>
      </c>
      <c r="M1730" t="s">
        <v>11</v>
      </c>
      <c r="N1730">
        <f>salesitems[[#This Row],[quantity]]*salesitems[[#This Row],[unit_price]]</f>
        <v>145.84</v>
      </c>
      <c r="O1730" t="str">
        <f>_xlfn.XLOOKUP(salesitems[[#This Row],[product_id]],products[product_id],products[product_name])</f>
        <v>Vintage Ribbed Dress</v>
      </c>
      <c r="P1730" t="str">
        <f>_xlfn.XLOOKUP(salesitems[[#This Row],[product_id]],fashion_store_products!A:A,fashion_store_products!C:C)</f>
        <v>Dresses</v>
      </c>
    </row>
    <row r="1731" spans="1:16" x14ac:dyDescent="0.45">
      <c r="A1731">
        <v>3090</v>
      </c>
      <c r="B1731">
        <v>497</v>
      </c>
      <c r="C1731">
        <v>17</v>
      </c>
      <c r="D1731">
        <v>4</v>
      </c>
      <c r="E1731">
        <v>51.9</v>
      </c>
      <c r="F1731">
        <v>36.33</v>
      </c>
      <c r="G1731">
        <v>15.57</v>
      </c>
      <c r="H1731" s="2">
        <v>0.3</v>
      </c>
      <c r="I1731">
        <v>1</v>
      </c>
      <c r="J1731">
        <v>145.32</v>
      </c>
      <c r="K1731" s="1">
        <v>45790</v>
      </c>
      <c r="L1731" t="s">
        <v>15</v>
      </c>
      <c r="M1731" t="s">
        <v>11</v>
      </c>
      <c r="N1731">
        <f>salesitems[[#This Row],[quantity]]*salesitems[[#This Row],[unit_price]]</f>
        <v>145.32</v>
      </c>
      <c r="O1731" t="str">
        <f>_xlfn.XLOOKUP(salesitems[[#This Row],[product_id]],products[product_id],products[product_name])</f>
        <v>Soft Satin Dress</v>
      </c>
      <c r="P1731" t="str">
        <f>_xlfn.XLOOKUP(salesitems[[#This Row],[product_id]],fashion_store_products!A:A,fashion_store_products!C:C)</f>
        <v>Dresses</v>
      </c>
    </row>
    <row r="1732" spans="1:16" x14ac:dyDescent="0.45">
      <c r="A1732">
        <v>616</v>
      </c>
      <c r="B1732">
        <v>491</v>
      </c>
      <c r="C1732">
        <v>427</v>
      </c>
      <c r="D1732">
        <v>4</v>
      </c>
      <c r="E1732">
        <v>36.01</v>
      </c>
      <c r="F1732">
        <v>36.01</v>
      </c>
      <c r="G1732">
        <v>0</v>
      </c>
      <c r="H1732" s="2">
        <v>0</v>
      </c>
      <c r="I1732">
        <v>0</v>
      </c>
      <c r="J1732">
        <v>144.04</v>
      </c>
      <c r="K1732" s="1">
        <v>45800</v>
      </c>
      <c r="L1732" t="s">
        <v>21</v>
      </c>
      <c r="M1732" t="s">
        <v>18</v>
      </c>
      <c r="N1732">
        <f>salesitems[[#This Row],[quantity]]*salesitems[[#This Row],[unit_price]]</f>
        <v>144.04</v>
      </c>
      <c r="O1732" t="str">
        <f>_xlfn.XLOOKUP(salesitems[[#This Row],[product_id]],products[product_id],products[product_name])</f>
        <v>Bold Wrap Set</v>
      </c>
      <c r="P1732" t="str">
        <f>_xlfn.XLOOKUP(salesitems[[#This Row],[product_id]],fashion_store_products!A:A,fashion_store_products!C:C)</f>
        <v>Sleepwear</v>
      </c>
    </row>
    <row r="1733" spans="1:16" x14ac:dyDescent="0.45">
      <c r="A1733">
        <v>2183</v>
      </c>
      <c r="B1733">
        <v>913</v>
      </c>
      <c r="C1733">
        <v>427</v>
      </c>
      <c r="D1733">
        <v>4</v>
      </c>
      <c r="E1733">
        <v>36.01</v>
      </c>
      <c r="F1733">
        <v>36.01</v>
      </c>
      <c r="G1733">
        <v>0</v>
      </c>
      <c r="H1733" s="2">
        <v>0</v>
      </c>
      <c r="I1733">
        <v>0</v>
      </c>
      <c r="J1733">
        <v>144.04</v>
      </c>
      <c r="K1733" s="1">
        <v>45804</v>
      </c>
      <c r="L1733" t="s">
        <v>15</v>
      </c>
      <c r="M1733" t="s">
        <v>15</v>
      </c>
      <c r="N1733">
        <f>salesitems[[#This Row],[quantity]]*salesitems[[#This Row],[unit_price]]</f>
        <v>144.04</v>
      </c>
      <c r="O1733" t="str">
        <f>_xlfn.XLOOKUP(salesitems[[#This Row],[product_id]],products[product_id],products[product_name])</f>
        <v>Bold Wrap Set</v>
      </c>
      <c r="P1733" t="str">
        <f>_xlfn.XLOOKUP(salesitems[[#This Row],[product_id]],fashion_store_products!A:A,fashion_store_products!C:C)</f>
        <v>Sleepwear</v>
      </c>
    </row>
    <row r="1734" spans="1:16" x14ac:dyDescent="0.45">
      <c r="A1734">
        <v>826</v>
      </c>
      <c r="B1734">
        <v>1102</v>
      </c>
      <c r="C1734">
        <v>28</v>
      </c>
      <c r="D1734">
        <v>4</v>
      </c>
      <c r="E1734">
        <v>51.18</v>
      </c>
      <c r="F1734">
        <v>35.83</v>
      </c>
      <c r="G1734">
        <v>15.35</v>
      </c>
      <c r="H1734" s="2">
        <v>0.3</v>
      </c>
      <c r="I1734">
        <v>1</v>
      </c>
      <c r="J1734">
        <v>143.30000000000001</v>
      </c>
      <c r="K1734" s="1">
        <v>45791</v>
      </c>
      <c r="L1734" t="s">
        <v>15</v>
      </c>
      <c r="M1734" t="s">
        <v>11</v>
      </c>
      <c r="N1734">
        <f>salesitems[[#This Row],[quantity]]*salesitems[[#This Row],[unit_price]]</f>
        <v>143.32</v>
      </c>
      <c r="O1734" t="str">
        <f>_xlfn.XLOOKUP(salesitems[[#This Row],[product_id]],products[product_id],products[product_name])</f>
        <v>Soft Sleeveless Shoes</v>
      </c>
      <c r="P1734" t="str">
        <f>_xlfn.XLOOKUP(salesitems[[#This Row],[product_id]],fashion_store_products!A:A,fashion_store_products!C:C)</f>
        <v>Shoes</v>
      </c>
    </row>
    <row r="1735" spans="1:16" x14ac:dyDescent="0.45">
      <c r="A1735">
        <v>2260</v>
      </c>
      <c r="B1735">
        <v>524</v>
      </c>
      <c r="C1735">
        <v>396</v>
      </c>
      <c r="D1735">
        <v>4</v>
      </c>
      <c r="E1735">
        <v>51</v>
      </c>
      <c r="F1735">
        <v>35.700000000000003</v>
      </c>
      <c r="G1735">
        <v>15.3</v>
      </c>
      <c r="H1735" s="2">
        <v>0.3</v>
      </c>
      <c r="I1735">
        <v>1</v>
      </c>
      <c r="J1735">
        <v>142.80000000000001</v>
      </c>
      <c r="K1735" s="1">
        <v>45792</v>
      </c>
      <c r="L1735" t="s">
        <v>15</v>
      </c>
      <c r="M1735" t="s">
        <v>11</v>
      </c>
      <c r="N1735">
        <f>salesitems[[#This Row],[quantity]]*salesitems[[#This Row],[unit_price]]</f>
        <v>142.80000000000001</v>
      </c>
      <c r="O1735" t="str">
        <f>_xlfn.XLOOKUP(salesitems[[#This Row],[product_id]],products[product_id],products[product_name])</f>
        <v>Elegant Crew Tee</v>
      </c>
      <c r="P1735" t="str">
        <f>_xlfn.XLOOKUP(salesitems[[#This Row],[product_id]],fashion_store_products!A:A,fashion_store_products!C:C)</f>
        <v>T-Shirts</v>
      </c>
    </row>
    <row r="1736" spans="1:16" x14ac:dyDescent="0.45">
      <c r="A1736">
        <v>2011</v>
      </c>
      <c r="B1736">
        <v>1036</v>
      </c>
      <c r="C1736">
        <v>381</v>
      </c>
      <c r="D1736">
        <v>4</v>
      </c>
      <c r="E1736">
        <v>35.590000000000003</v>
      </c>
      <c r="F1736">
        <v>35.590000000000003</v>
      </c>
      <c r="G1736">
        <v>0</v>
      </c>
      <c r="H1736" s="2">
        <v>0</v>
      </c>
      <c r="I1736">
        <v>0</v>
      </c>
      <c r="J1736">
        <v>142.36000000000001</v>
      </c>
      <c r="K1736" s="1">
        <v>45821</v>
      </c>
      <c r="L1736" t="s">
        <v>21</v>
      </c>
      <c r="M1736" t="s">
        <v>18</v>
      </c>
      <c r="N1736">
        <f>salesitems[[#This Row],[quantity]]*salesitems[[#This Row],[unit_price]]</f>
        <v>142.36000000000001</v>
      </c>
      <c r="O1736" t="str">
        <f>_xlfn.XLOOKUP(salesitems[[#This Row],[product_id]],products[product_id],products[product_name])</f>
        <v>Elegant Satin Tee</v>
      </c>
      <c r="P1736" t="str">
        <f>_xlfn.XLOOKUP(salesitems[[#This Row],[product_id]],fashion_store_products!A:A,fashion_store_products!C:C)</f>
        <v>T-Shirts</v>
      </c>
    </row>
    <row r="1737" spans="1:16" x14ac:dyDescent="0.45">
      <c r="A1737">
        <v>2020</v>
      </c>
      <c r="B1737">
        <v>1154</v>
      </c>
      <c r="C1737">
        <v>381</v>
      </c>
      <c r="D1737">
        <v>4</v>
      </c>
      <c r="E1737">
        <v>35.590000000000003</v>
      </c>
      <c r="F1737">
        <v>35.590000000000003</v>
      </c>
      <c r="G1737">
        <v>0</v>
      </c>
      <c r="H1737" s="2">
        <v>0</v>
      </c>
      <c r="I1737">
        <v>0</v>
      </c>
      <c r="J1737">
        <v>142.36000000000001</v>
      </c>
      <c r="K1737" s="1">
        <v>45782</v>
      </c>
      <c r="L1737" t="s">
        <v>21</v>
      </c>
      <c r="M1737" t="s">
        <v>18</v>
      </c>
      <c r="N1737">
        <f>salesitems[[#This Row],[quantity]]*salesitems[[#This Row],[unit_price]]</f>
        <v>142.36000000000001</v>
      </c>
      <c r="O1737" t="str">
        <f>_xlfn.XLOOKUP(salesitems[[#This Row],[product_id]],products[product_id],products[product_name])</f>
        <v>Elegant Satin Tee</v>
      </c>
      <c r="P1737" t="str">
        <f>_xlfn.XLOOKUP(salesitems[[#This Row],[product_id]],fashion_store_products!A:A,fashion_store_products!C:C)</f>
        <v>T-Shirts</v>
      </c>
    </row>
    <row r="1738" spans="1:16" x14ac:dyDescent="0.45">
      <c r="A1738">
        <v>3354</v>
      </c>
      <c r="B1738">
        <v>2</v>
      </c>
      <c r="C1738">
        <v>381</v>
      </c>
      <c r="D1738">
        <v>4</v>
      </c>
      <c r="E1738">
        <v>35.590000000000003</v>
      </c>
      <c r="F1738">
        <v>35.590000000000003</v>
      </c>
      <c r="G1738">
        <v>0</v>
      </c>
      <c r="H1738" s="2">
        <v>0</v>
      </c>
      <c r="I1738">
        <v>0</v>
      </c>
      <c r="J1738">
        <v>142.36000000000001</v>
      </c>
      <c r="K1738" s="1">
        <v>45793</v>
      </c>
      <c r="L1738" t="s">
        <v>21</v>
      </c>
      <c r="M1738" t="s">
        <v>18</v>
      </c>
      <c r="N1738">
        <f>salesitems[[#This Row],[quantity]]*salesitems[[#This Row],[unit_price]]</f>
        <v>142.36000000000001</v>
      </c>
      <c r="O1738" t="str">
        <f>_xlfn.XLOOKUP(salesitems[[#This Row],[product_id]],products[product_id],products[product_name])</f>
        <v>Elegant Satin Tee</v>
      </c>
      <c r="P1738" t="str">
        <f>_xlfn.XLOOKUP(salesitems[[#This Row],[product_id]],fashion_store_products!A:A,fashion_store_products!C:C)</f>
        <v>T-Shirts</v>
      </c>
    </row>
    <row r="1739" spans="1:16" x14ac:dyDescent="0.45">
      <c r="A1739">
        <v>2868</v>
      </c>
      <c r="B1739">
        <v>282</v>
      </c>
      <c r="C1739">
        <v>59</v>
      </c>
      <c r="D1739">
        <v>4</v>
      </c>
      <c r="E1739">
        <v>34.58</v>
      </c>
      <c r="F1739">
        <v>34.58</v>
      </c>
      <c r="G1739">
        <v>0</v>
      </c>
      <c r="H1739" s="2">
        <v>0</v>
      </c>
      <c r="I1739">
        <v>0</v>
      </c>
      <c r="J1739">
        <v>138.32</v>
      </c>
      <c r="K1739" s="1">
        <v>45803</v>
      </c>
      <c r="L1739" t="s">
        <v>15</v>
      </c>
      <c r="M1739" t="s">
        <v>15</v>
      </c>
      <c r="N1739">
        <f>salesitems[[#This Row],[quantity]]*salesitems[[#This Row],[unit_price]]</f>
        <v>138.32</v>
      </c>
      <c r="O1739" t="str">
        <f>_xlfn.XLOOKUP(salesitems[[#This Row],[product_id]],products[product_id],products[product_name])</f>
        <v>Soft Silk Set</v>
      </c>
      <c r="P1739" t="str">
        <f>_xlfn.XLOOKUP(salesitems[[#This Row],[product_id]],fashion_store_products!A:A,fashion_store_products!C:C)</f>
        <v>Sleepwear</v>
      </c>
    </row>
    <row r="1740" spans="1:16" x14ac:dyDescent="0.45">
      <c r="A1740">
        <v>1571</v>
      </c>
      <c r="B1740">
        <v>1248</v>
      </c>
      <c r="C1740">
        <v>348</v>
      </c>
      <c r="D1740">
        <v>4</v>
      </c>
      <c r="E1740">
        <v>34.47</v>
      </c>
      <c r="F1740">
        <v>34.47</v>
      </c>
      <c r="G1740">
        <v>0</v>
      </c>
      <c r="H1740" s="2">
        <v>0</v>
      </c>
      <c r="I1740">
        <v>0</v>
      </c>
      <c r="J1740">
        <v>137.88</v>
      </c>
      <c r="K1740" s="1">
        <v>45760</v>
      </c>
      <c r="L1740" t="s">
        <v>15</v>
      </c>
      <c r="M1740" t="s">
        <v>15</v>
      </c>
      <c r="N1740">
        <f>salesitems[[#This Row],[quantity]]*salesitems[[#This Row],[unit_price]]</f>
        <v>137.88</v>
      </c>
      <c r="O1740" t="str">
        <f>_xlfn.XLOOKUP(salesitems[[#This Row],[product_id]],products[product_id],products[product_name])</f>
        <v>Essential Silk Set</v>
      </c>
      <c r="P1740" t="str">
        <f>_xlfn.XLOOKUP(salesitems[[#This Row],[product_id]],fashion_store_products!A:A,fashion_store_products!C:C)</f>
        <v>Sleepwear</v>
      </c>
    </row>
    <row r="1741" spans="1:16" x14ac:dyDescent="0.45">
      <c r="A1741">
        <v>1131</v>
      </c>
      <c r="B1741">
        <v>1106</v>
      </c>
      <c r="C1741">
        <v>402</v>
      </c>
      <c r="D1741">
        <v>4</v>
      </c>
      <c r="E1741">
        <v>34.450000000000003</v>
      </c>
      <c r="F1741">
        <v>34.450000000000003</v>
      </c>
      <c r="G1741">
        <v>0</v>
      </c>
      <c r="H1741" s="2">
        <v>0</v>
      </c>
      <c r="I1741">
        <v>0</v>
      </c>
      <c r="J1741">
        <v>137.80000000000001</v>
      </c>
      <c r="K1741" s="1">
        <v>45783</v>
      </c>
      <c r="L1741" t="s">
        <v>21</v>
      </c>
      <c r="M1741" t="s">
        <v>18</v>
      </c>
      <c r="N1741">
        <f>salesitems[[#This Row],[quantity]]*salesitems[[#This Row],[unit_price]]</f>
        <v>137.80000000000001</v>
      </c>
      <c r="O1741" t="str">
        <f>_xlfn.XLOOKUP(salesitems[[#This Row],[product_id]],products[product_id],products[product_name])</f>
        <v>Elegant Ribbed Set</v>
      </c>
      <c r="P1741" t="str">
        <f>_xlfn.XLOOKUP(salesitems[[#This Row],[product_id]],fashion_store_products!A:A,fashion_store_products!C:C)</f>
        <v>Sleepwear</v>
      </c>
    </row>
    <row r="1742" spans="1:16" x14ac:dyDescent="0.45">
      <c r="A1742">
        <v>147</v>
      </c>
      <c r="B1742">
        <v>435</v>
      </c>
      <c r="C1742">
        <v>343</v>
      </c>
      <c r="D1742">
        <v>4</v>
      </c>
      <c r="E1742">
        <v>34.39</v>
      </c>
      <c r="F1742">
        <v>34.39</v>
      </c>
      <c r="G1742">
        <v>0</v>
      </c>
      <c r="H1742" s="2">
        <v>0</v>
      </c>
      <c r="I1742">
        <v>0</v>
      </c>
      <c r="J1742">
        <v>137.56</v>
      </c>
      <c r="K1742" s="1">
        <v>45774</v>
      </c>
      <c r="L1742" t="s">
        <v>15</v>
      </c>
      <c r="M1742" t="s">
        <v>15</v>
      </c>
      <c r="N1742">
        <f>salesitems[[#This Row],[quantity]]*salesitems[[#This Row],[unit_price]]</f>
        <v>137.56</v>
      </c>
      <c r="O1742" t="str">
        <f>_xlfn.XLOOKUP(salesitems[[#This Row],[product_id]],products[product_id],products[product_name])</f>
        <v>Tailored Satin Tee</v>
      </c>
      <c r="P1742" t="str">
        <f>_xlfn.XLOOKUP(salesitems[[#This Row],[product_id]],fashion_store_products!A:A,fashion_store_products!C:C)</f>
        <v>T-Shirts</v>
      </c>
    </row>
    <row r="1743" spans="1:16" x14ac:dyDescent="0.45">
      <c r="A1743">
        <v>1084</v>
      </c>
      <c r="B1743">
        <v>607</v>
      </c>
      <c r="C1743">
        <v>343</v>
      </c>
      <c r="D1743">
        <v>4</v>
      </c>
      <c r="E1743">
        <v>34.39</v>
      </c>
      <c r="F1743">
        <v>34.39</v>
      </c>
      <c r="G1743">
        <v>0</v>
      </c>
      <c r="H1743" s="2">
        <v>0</v>
      </c>
      <c r="I1743">
        <v>0</v>
      </c>
      <c r="J1743">
        <v>137.56</v>
      </c>
      <c r="K1743" s="1">
        <v>45777</v>
      </c>
      <c r="L1743" t="s">
        <v>15</v>
      </c>
      <c r="M1743" t="s">
        <v>15</v>
      </c>
      <c r="N1743">
        <f>salesitems[[#This Row],[quantity]]*salesitems[[#This Row],[unit_price]]</f>
        <v>137.56</v>
      </c>
      <c r="O1743" t="str">
        <f>_xlfn.XLOOKUP(salesitems[[#This Row],[product_id]],products[product_id],products[product_name])</f>
        <v>Tailored Satin Tee</v>
      </c>
      <c r="P1743" t="str">
        <f>_xlfn.XLOOKUP(salesitems[[#This Row],[product_id]],fashion_store_products!A:A,fashion_store_products!C:C)</f>
        <v>T-Shirts</v>
      </c>
    </row>
    <row r="1744" spans="1:16" x14ac:dyDescent="0.45">
      <c r="A1744">
        <v>2998</v>
      </c>
      <c r="B1744">
        <v>567</v>
      </c>
      <c r="C1744">
        <v>13</v>
      </c>
      <c r="D1744">
        <v>4</v>
      </c>
      <c r="E1744">
        <v>34.25</v>
      </c>
      <c r="F1744">
        <v>34.25</v>
      </c>
      <c r="G1744">
        <v>0</v>
      </c>
      <c r="H1744" s="2">
        <v>0</v>
      </c>
      <c r="I1744">
        <v>0</v>
      </c>
      <c r="J1744">
        <v>137</v>
      </c>
      <c r="K1744" s="1">
        <v>45794</v>
      </c>
      <c r="L1744" t="s">
        <v>21</v>
      </c>
      <c r="M1744" t="s">
        <v>18</v>
      </c>
      <c r="N1744">
        <f>salesitems[[#This Row],[quantity]]*salesitems[[#This Row],[unit_price]]</f>
        <v>137</v>
      </c>
      <c r="O1744" t="str">
        <f>_xlfn.XLOOKUP(salesitems[[#This Row],[product_id]],products[product_id],products[product_name])</f>
        <v>Soft Cotton Shoes</v>
      </c>
      <c r="P1744" t="str">
        <f>_xlfn.XLOOKUP(salesitems[[#This Row],[product_id]],fashion_store_products!A:A,fashion_store_products!C:C)</f>
        <v>Shoes</v>
      </c>
    </row>
    <row r="1745" spans="1:16" x14ac:dyDescent="0.45">
      <c r="A1745">
        <v>541</v>
      </c>
      <c r="B1745">
        <v>1263</v>
      </c>
      <c r="C1745">
        <v>430</v>
      </c>
      <c r="D1745">
        <v>4</v>
      </c>
      <c r="E1745">
        <v>33.979999999999997</v>
      </c>
      <c r="F1745">
        <v>33.979999999999997</v>
      </c>
      <c r="G1745">
        <v>0</v>
      </c>
      <c r="H1745" s="2">
        <v>0</v>
      </c>
      <c r="I1745">
        <v>0</v>
      </c>
      <c r="J1745">
        <v>135.91999999999999</v>
      </c>
      <c r="K1745" s="1">
        <v>45769</v>
      </c>
      <c r="L1745" t="s">
        <v>15</v>
      </c>
      <c r="M1745" t="s">
        <v>15</v>
      </c>
      <c r="N1745">
        <f>salesitems[[#This Row],[quantity]]*salesitems[[#This Row],[unit_price]]</f>
        <v>135.91999999999999</v>
      </c>
      <c r="O1745" t="str">
        <f>_xlfn.XLOOKUP(salesitems[[#This Row],[product_id]],products[product_id],products[product_name])</f>
        <v>Bold Linen Set</v>
      </c>
      <c r="P1745" t="str">
        <f>_xlfn.XLOOKUP(salesitems[[#This Row],[product_id]],fashion_store_products!A:A,fashion_store_products!C:C)</f>
        <v>Sleepwear</v>
      </c>
    </row>
    <row r="1746" spans="1:16" x14ac:dyDescent="0.45">
      <c r="A1746">
        <v>3345</v>
      </c>
      <c r="B1746">
        <v>390</v>
      </c>
      <c r="C1746">
        <v>91</v>
      </c>
      <c r="D1746">
        <v>4</v>
      </c>
      <c r="E1746">
        <v>33.950000000000003</v>
      </c>
      <c r="F1746">
        <v>33.950000000000003</v>
      </c>
      <c r="G1746">
        <v>0</v>
      </c>
      <c r="H1746" s="2">
        <v>0</v>
      </c>
      <c r="I1746">
        <v>0</v>
      </c>
      <c r="J1746">
        <v>135.80000000000001</v>
      </c>
      <c r="K1746" s="1">
        <v>45797</v>
      </c>
      <c r="L1746" t="s">
        <v>15</v>
      </c>
      <c r="M1746" t="s">
        <v>15</v>
      </c>
      <c r="N1746">
        <f>salesitems[[#This Row],[quantity]]*salesitems[[#This Row],[unit_price]]</f>
        <v>135.80000000000001</v>
      </c>
      <c r="O1746" t="str">
        <f>_xlfn.XLOOKUP(salesitems[[#This Row],[product_id]],products[product_id],products[product_name])</f>
        <v>Modern Silk Set</v>
      </c>
      <c r="P1746" t="str">
        <f>_xlfn.XLOOKUP(salesitems[[#This Row],[product_id]],fashion_store_products!A:A,fashion_store_products!C:C)</f>
        <v>Sleepwear</v>
      </c>
    </row>
    <row r="1747" spans="1:16" x14ac:dyDescent="0.45">
      <c r="A1747">
        <v>36</v>
      </c>
      <c r="B1747">
        <v>655</v>
      </c>
      <c r="C1747">
        <v>330</v>
      </c>
      <c r="D1747">
        <v>4</v>
      </c>
      <c r="E1747">
        <v>33.94</v>
      </c>
      <c r="F1747">
        <v>33.94</v>
      </c>
      <c r="G1747">
        <v>0</v>
      </c>
      <c r="H1747" s="2">
        <v>0</v>
      </c>
      <c r="I1747">
        <v>0</v>
      </c>
      <c r="J1747">
        <v>135.76</v>
      </c>
      <c r="K1747" s="1">
        <v>45771</v>
      </c>
      <c r="L1747" t="s">
        <v>21</v>
      </c>
      <c r="M1747" t="s">
        <v>18</v>
      </c>
      <c r="N1747">
        <f>salesitems[[#This Row],[quantity]]*salesitems[[#This Row],[unit_price]]</f>
        <v>135.76</v>
      </c>
      <c r="O1747" t="str">
        <f>_xlfn.XLOOKUP(salesitems[[#This Row],[product_id]],products[product_id],products[product_name])</f>
        <v>Essential Wrap Set</v>
      </c>
      <c r="P1747" t="str">
        <f>_xlfn.XLOOKUP(salesitems[[#This Row],[product_id]],fashion_store_products!A:A,fashion_store_products!C:C)</f>
        <v>Sleepwear</v>
      </c>
    </row>
    <row r="1748" spans="1:16" x14ac:dyDescent="0.45">
      <c r="A1748">
        <v>2278</v>
      </c>
      <c r="B1748">
        <v>516</v>
      </c>
      <c r="C1748">
        <v>330</v>
      </c>
      <c r="D1748">
        <v>4</v>
      </c>
      <c r="E1748">
        <v>33.94</v>
      </c>
      <c r="F1748">
        <v>33.94</v>
      </c>
      <c r="G1748">
        <v>0</v>
      </c>
      <c r="H1748" s="2">
        <v>0</v>
      </c>
      <c r="I1748">
        <v>0</v>
      </c>
      <c r="J1748">
        <v>135.76</v>
      </c>
      <c r="K1748" s="1">
        <v>45752</v>
      </c>
      <c r="L1748" t="s">
        <v>21</v>
      </c>
      <c r="M1748" t="s">
        <v>18</v>
      </c>
      <c r="N1748">
        <f>salesitems[[#This Row],[quantity]]*salesitems[[#This Row],[unit_price]]</f>
        <v>135.76</v>
      </c>
      <c r="O1748" t="str">
        <f>_xlfn.XLOOKUP(salesitems[[#This Row],[product_id]],products[product_id],products[product_name])</f>
        <v>Essential Wrap Set</v>
      </c>
      <c r="P1748" t="str">
        <f>_xlfn.XLOOKUP(salesitems[[#This Row],[product_id]],fashion_store_products!A:A,fashion_store_products!C:C)</f>
        <v>Sleepwear</v>
      </c>
    </row>
    <row r="1749" spans="1:16" x14ac:dyDescent="0.45">
      <c r="A1749">
        <v>1394</v>
      </c>
      <c r="B1749">
        <v>558</v>
      </c>
      <c r="C1749">
        <v>455</v>
      </c>
      <c r="D1749">
        <v>4</v>
      </c>
      <c r="E1749">
        <v>48.03</v>
      </c>
      <c r="F1749">
        <v>33.619999999999997</v>
      </c>
      <c r="G1749">
        <v>14.41</v>
      </c>
      <c r="H1749" s="2">
        <v>0.3</v>
      </c>
      <c r="I1749">
        <v>1</v>
      </c>
      <c r="J1749">
        <v>134.47999999999999</v>
      </c>
      <c r="K1749" s="1">
        <v>45794</v>
      </c>
      <c r="L1749" t="s">
        <v>15</v>
      </c>
      <c r="M1749" t="s">
        <v>11</v>
      </c>
      <c r="N1749">
        <f>salesitems[[#This Row],[quantity]]*salesitems[[#This Row],[unit_price]]</f>
        <v>134.47999999999999</v>
      </c>
      <c r="O1749" t="str">
        <f>_xlfn.XLOOKUP(salesitems[[#This Row],[product_id]],products[product_id],products[product_name])</f>
        <v>Tailored Ribbed Trousers</v>
      </c>
      <c r="P1749" t="str">
        <f>_xlfn.XLOOKUP(salesitems[[#This Row],[product_id]],fashion_store_products!A:A,fashion_store_products!C:C)</f>
        <v>Pants</v>
      </c>
    </row>
    <row r="1750" spans="1:16" x14ac:dyDescent="0.45">
      <c r="A1750">
        <v>2004</v>
      </c>
      <c r="B1750">
        <v>256</v>
      </c>
      <c r="C1750">
        <v>159</v>
      </c>
      <c r="D1750">
        <v>4</v>
      </c>
      <c r="E1750">
        <v>33.590000000000003</v>
      </c>
      <c r="F1750">
        <v>33.590000000000003</v>
      </c>
      <c r="G1750">
        <v>0</v>
      </c>
      <c r="H1750" s="2">
        <v>0</v>
      </c>
      <c r="I1750">
        <v>0</v>
      </c>
      <c r="J1750">
        <v>134.36000000000001</v>
      </c>
      <c r="K1750" s="1">
        <v>45798</v>
      </c>
      <c r="L1750" t="s">
        <v>21</v>
      </c>
      <c r="M1750" t="s">
        <v>18</v>
      </c>
      <c r="N1750">
        <f>salesitems[[#This Row],[quantity]]*salesitems[[#This Row],[unit_price]]</f>
        <v>134.36000000000001</v>
      </c>
      <c r="O1750" t="str">
        <f>_xlfn.XLOOKUP(salesitems[[#This Row],[product_id]],products[product_id],products[product_name])</f>
        <v>Classic High-Waist Trousers</v>
      </c>
      <c r="P1750" t="str">
        <f>_xlfn.XLOOKUP(salesitems[[#This Row],[product_id]],fashion_store_products!A:A,fashion_store_products!C:C)</f>
        <v>Pants</v>
      </c>
    </row>
    <row r="1751" spans="1:16" x14ac:dyDescent="0.45">
      <c r="A1751">
        <v>1443</v>
      </c>
      <c r="B1751">
        <v>252</v>
      </c>
      <c r="C1751">
        <v>338</v>
      </c>
      <c r="D1751">
        <v>4</v>
      </c>
      <c r="E1751">
        <v>33.39</v>
      </c>
      <c r="F1751">
        <v>33.39</v>
      </c>
      <c r="G1751">
        <v>0</v>
      </c>
      <c r="H1751" s="2">
        <v>0</v>
      </c>
      <c r="I1751">
        <v>0</v>
      </c>
      <c r="J1751">
        <v>133.56</v>
      </c>
      <c r="K1751" s="1">
        <v>45765</v>
      </c>
      <c r="L1751" t="s">
        <v>15</v>
      </c>
      <c r="M1751" t="s">
        <v>15</v>
      </c>
      <c r="N1751">
        <f>salesitems[[#This Row],[quantity]]*salesitems[[#This Row],[unit_price]]</f>
        <v>133.56</v>
      </c>
      <c r="O1751" t="str">
        <f>_xlfn.XLOOKUP(salesitems[[#This Row],[product_id]],products[product_id],products[product_name])</f>
        <v>Essential Ribbed Set</v>
      </c>
      <c r="P1751" t="str">
        <f>_xlfn.XLOOKUP(salesitems[[#This Row],[product_id]],fashion_store_products!A:A,fashion_store_products!C:C)</f>
        <v>Sleepwear</v>
      </c>
    </row>
    <row r="1752" spans="1:16" x14ac:dyDescent="0.45">
      <c r="A1752">
        <v>3346</v>
      </c>
      <c r="B1752">
        <v>1034</v>
      </c>
      <c r="C1752">
        <v>338</v>
      </c>
      <c r="D1752">
        <v>4</v>
      </c>
      <c r="E1752">
        <v>33.39</v>
      </c>
      <c r="F1752">
        <v>33.39</v>
      </c>
      <c r="G1752">
        <v>0</v>
      </c>
      <c r="H1752" s="2">
        <v>0</v>
      </c>
      <c r="I1752">
        <v>0</v>
      </c>
      <c r="J1752">
        <v>133.56</v>
      </c>
      <c r="K1752" s="1">
        <v>45808</v>
      </c>
      <c r="L1752" t="s">
        <v>15</v>
      </c>
      <c r="M1752" t="s">
        <v>15</v>
      </c>
      <c r="N1752">
        <f>salesitems[[#This Row],[quantity]]*salesitems[[#This Row],[unit_price]]</f>
        <v>133.56</v>
      </c>
      <c r="O1752" t="str">
        <f>_xlfn.XLOOKUP(salesitems[[#This Row],[product_id]],products[product_id],products[product_name])</f>
        <v>Essential Ribbed Set</v>
      </c>
      <c r="P1752" t="str">
        <f>_xlfn.XLOOKUP(salesitems[[#This Row],[product_id]],fashion_store_products!A:A,fashion_store_products!C:C)</f>
        <v>Sleepwear</v>
      </c>
    </row>
    <row r="1753" spans="1:16" x14ac:dyDescent="0.45">
      <c r="A1753">
        <v>1330</v>
      </c>
      <c r="B1753">
        <v>1115</v>
      </c>
      <c r="C1753">
        <v>362</v>
      </c>
      <c r="D1753">
        <v>4</v>
      </c>
      <c r="E1753">
        <v>32.64</v>
      </c>
      <c r="F1753">
        <v>32.64</v>
      </c>
      <c r="G1753">
        <v>0</v>
      </c>
      <c r="H1753" s="2">
        <v>0</v>
      </c>
      <c r="I1753">
        <v>0</v>
      </c>
      <c r="J1753">
        <v>130.56</v>
      </c>
      <c r="K1753" s="1">
        <v>45766</v>
      </c>
      <c r="L1753" t="s">
        <v>21</v>
      </c>
      <c r="M1753" t="s">
        <v>18</v>
      </c>
      <c r="N1753">
        <f>salesitems[[#This Row],[quantity]]*salesitems[[#This Row],[unit_price]]</f>
        <v>130.56</v>
      </c>
      <c r="O1753" t="str">
        <f>_xlfn.XLOOKUP(salesitems[[#This Row],[product_id]],products[product_id],products[product_name])</f>
        <v>Tailored Ribbed Set</v>
      </c>
      <c r="P1753" t="str">
        <f>_xlfn.XLOOKUP(salesitems[[#This Row],[product_id]],fashion_store_products!A:A,fashion_store_products!C:C)</f>
        <v>Sleepwear</v>
      </c>
    </row>
    <row r="1754" spans="1:16" x14ac:dyDescent="0.45">
      <c r="A1754">
        <v>1089</v>
      </c>
      <c r="B1754">
        <v>1336</v>
      </c>
      <c r="C1754">
        <v>209</v>
      </c>
      <c r="D1754">
        <v>4</v>
      </c>
      <c r="E1754">
        <v>32.409999999999997</v>
      </c>
      <c r="F1754">
        <v>32.409999999999997</v>
      </c>
      <c r="G1754">
        <v>0</v>
      </c>
      <c r="H1754" s="2">
        <v>0</v>
      </c>
      <c r="I1754">
        <v>0</v>
      </c>
      <c r="J1754">
        <v>129.63999999999999</v>
      </c>
      <c r="K1754" s="1">
        <v>45751</v>
      </c>
      <c r="L1754" t="s">
        <v>21</v>
      </c>
      <c r="M1754" t="s">
        <v>18</v>
      </c>
      <c r="N1754">
        <f>salesitems[[#This Row],[quantity]]*salesitems[[#This Row],[unit_price]]</f>
        <v>129.63999999999999</v>
      </c>
      <c r="O1754" t="str">
        <f>_xlfn.XLOOKUP(salesitems[[#This Row],[product_id]],products[product_id],products[product_name])</f>
        <v>Polished Ribbed Shoes</v>
      </c>
      <c r="P1754" t="str">
        <f>_xlfn.XLOOKUP(salesitems[[#This Row],[product_id]],fashion_store_products!A:A,fashion_store_products!C:C)</f>
        <v>Shoes</v>
      </c>
    </row>
    <row r="1755" spans="1:16" x14ac:dyDescent="0.45">
      <c r="A1755">
        <v>1644</v>
      </c>
      <c r="B1755">
        <v>35</v>
      </c>
      <c r="C1755">
        <v>209</v>
      </c>
      <c r="D1755">
        <v>4</v>
      </c>
      <c r="E1755">
        <v>32.409999999999997</v>
      </c>
      <c r="F1755">
        <v>32.409999999999997</v>
      </c>
      <c r="G1755">
        <v>0</v>
      </c>
      <c r="H1755" s="2">
        <v>0</v>
      </c>
      <c r="I1755">
        <v>0</v>
      </c>
      <c r="J1755">
        <v>129.63999999999999</v>
      </c>
      <c r="K1755" s="1">
        <v>45774</v>
      </c>
      <c r="L1755" t="s">
        <v>21</v>
      </c>
      <c r="M1755" t="s">
        <v>18</v>
      </c>
      <c r="N1755">
        <f>salesitems[[#This Row],[quantity]]*salesitems[[#This Row],[unit_price]]</f>
        <v>129.63999999999999</v>
      </c>
      <c r="O1755" t="str">
        <f>_xlfn.XLOOKUP(salesitems[[#This Row],[product_id]],products[product_id],products[product_name])</f>
        <v>Polished Ribbed Shoes</v>
      </c>
      <c r="P1755" t="str">
        <f>_xlfn.XLOOKUP(salesitems[[#This Row],[product_id]],fashion_store_products!A:A,fashion_store_products!C:C)</f>
        <v>Shoes</v>
      </c>
    </row>
    <row r="1756" spans="1:16" x14ac:dyDescent="0.45">
      <c r="A1756">
        <v>952</v>
      </c>
      <c r="B1756">
        <v>384</v>
      </c>
      <c r="C1756">
        <v>82</v>
      </c>
      <c r="D1756">
        <v>4</v>
      </c>
      <c r="E1756">
        <v>32.21</v>
      </c>
      <c r="F1756">
        <v>32.21</v>
      </c>
      <c r="G1756">
        <v>0</v>
      </c>
      <c r="H1756" s="2">
        <v>0</v>
      </c>
      <c r="I1756">
        <v>0</v>
      </c>
      <c r="J1756">
        <v>128.84</v>
      </c>
      <c r="K1756" s="1">
        <v>45774</v>
      </c>
      <c r="L1756" t="s">
        <v>21</v>
      </c>
      <c r="M1756" t="s">
        <v>18</v>
      </c>
      <c r="N1756">
        <f>salesitems[[#This Row],[quantity]]*salesitems[[#This Row],[unit_price]]</f>
        <v>128.84</v>
      </c>
      <c r="O1756" t="str">
        <f>_xlfn.XLOOKUP(salesitems[[#This Row],[product_id]],products[product_id],products[product_name])</f>
        <v>Classic Cotton Dress</v>
      </c>
      <c r="P1756" t="str">
        <f>_xlfn.XLOOKUP(salesitems[[#This Row],[product_id]],fashion_store_products!A:A,fashion_store_products!C:C)</f>
        <v>Dresses</v>
      </c>
    </row>
    <row r="1757" spans="1:16" x14ac:dyDescent="0.45">
      <c r="A1757">
        <v>2306</v>
      </c>
      <c r="B1757">
        <v>946</v>
      </c>
      <c r="C1757">
        <v>82</v>
      </c>
      <c r="D1757">
        <v>4</v>
      </c>
      <c r="E1757">
        <v>32.21</v>
      </c>
      <c r="F1757">
        <v>32.21</v>
      </c>
      <c r="G1757">
        <v>0</v>
      </c>
      <c r="H1757" s="2">
        <v>0</v>
      </c>
      <c r="I1757">
        <v>0</v>
      </c>
      <c r="J1757">
        <v>128.84</v>
      </c>
      <c r="K1757" s="1">
        <v>45763</v>
      </c>
      <c r="L1757" t="s">
        <v>15</v>
      </c>
      <c r="M1757" t="s">
        <v>15</v>
      </c>
      <c r="N1757">
        <f>salesitems[[#This Row],[quantity]]*salesitems[[#This Row],[unit_price]]</f>
        <v>128.84</v>
      </c>
      <c r="O1757" t="str">
        <f>_xlfn.XLOOKUP(salesitems[[#This Row],[product_id]],products[product_id],products[product_name])</f>
        <v>Classic Cotton Dress</v>
      </c>
      <c r="P1757" t="str">
        <f>_xlfn.XLOOKUP(salesitems[[#This Row],[product_id]],fashion_store_products!A:A,fashion_store_products!C:C)</f>
        <v>Dresses</v>
      </c>
    </row>
    <row r="1758" spans="1:16" x14ac:dyDescent="0.45">
      <c r="A1758">
        <v>140</v>
      </c>
      <c r="B1758">
        <v>59</v>
      </c>
      <c r="C1758">
        <v>80</v>
      </c>
      <c r="D1758">
        <v>4</v>
      </c>
      <c r="E1758">
        <v>31.86</v>
      </c>
      <c r="F1758">
        <v>31.86</v>
      </c>
      <c r="G1758">
        <v>0</v>
      </c>
      <c r="H1758" s="2">
        <v>0</v>
      </c>
      <c r="I1758">
        <v>0</v>
      </c>
      <c r="J1758">
        <v>127.44</v>
      </c>
      <c r="K1758" s="1">
        <v>45791</v>
      </c>
      <c r="L1758" t="s">
        <v>21</v>
      </c>
      <c r="M1758" t="s">
        <v>18</v>
      </c>
      <c r="N1758">
        <f>salesitems[[#This Row],[quantity]]*salesitems[[#This Row],[unit_price]]</f>
        <v>127.44</v>
      </c>
      <c r="O1758" t="str">
        <f>_xlfn.XLOOKUP(salesitems[[#This Row],[product_id]],products[product_id],products[product_name])</f>
        <v>Classic Ribbed Dress</v>
      </c>
      <c r="P1758" t="str">
        <f>_xlfn.XLOOKUP(salesitems[[#This Row],[product_id]],fashion_store_products!A:A,fashion_store_products!C:C)</f>
        <v>Dresses</v>
      </c>
    </row>
    <row r="1759" spans="1:16" x14ac:dyDescent="0.45">
      <c r="A1759">
        <v>1887</v>
      </c>
      <c r="B1759">
        <v>233</v>
      </c>
      <c r="C1759">
        <v>80</v>
      </c>
      <c r="D1759">
        <v>4</v>
      </c>
      <c r="E1759">
        <v>31.86</v>
      </c>
      <c r="F1759">
        <v>31.86</v>
      </c>
      <c r="G1759">
        <v>0</v>
      </c>
      <c r="H1759" s="2">
        <v>0</v>
      </c>
      <c r="I1759">
        <v>0</v>
      </c>
      <c r="J1759">
        <v>127.44</v>
      </c>
      <c r="K1759" s="1">
        <v>45775</v>
      </c>
      <c r="L1759" t="s">
        <v>21</v>
      </c>
      <c r="M1759" t="s">
        <v>18</v>
      </c>
      <c r="N1759">
        <f>salesitems[[#This Row],[quantity]]*salesitems[[#This Row],[unit_price]]</f>
        <v>127.44</v>
      </c>
      <c r="O1759" t="str">
        <f>_xlfn.XLOOKUP(salesitems[[#This Row],[product_id]],products[product_id],products[product_name])</f>
        <v>Classic Ribbed Dress</v>
      </c>
      <c r="P1759" t="str">
        <f>_xlfn.XLOOKUP(salesitems[[#This Row],[product_id]],fashion_store_products!A:A,fashion_store_products!C:C)</f>
        <v>Dresses</v>
      </c>
    </row>
    <row r="1760" spans="1:16" x14ac:dyDescent="0.45">
      <c r="A1760">
        <v>2650</v>
      </c>
      <c r="B1760">
        <v>1252</v>
      </c>
      <c r="C1760">
        <v>80</v>
      </c>
      <c r="D1760">
        <v>4</v>
      </c>
      <c r="E1760">
        <v>31.86</v>
      </c>
      <c r="F1760">
        <v>31.86</v>
      </c>
      <c r="G1760">
        <v>0</v>
      </c>
      <c r="H1760" s="2">
        <v>0</v>
      </c>
      <c r="I1760">
        <v>0</v>
      </c>
      <c r="J1760">
        <v>127.44</v>
      </c>
      <c r="K1760" s="1">
        <v>45776</v>
      </c>
      <c r="L1760" t="s">
        <v>21</v>
      </c>
      <c r="M1760" t="s">
        <v>18</v>
      </c>
      <c r="N1760">
        <f>salesitems[[#This Row],[quantity]]*salesitems[[#This Row],[unit_price]]</f>
        <v>127.44</v>
      </c>
      <c r="O1760" t="str">
        <f>_xlfn.XLOOKUP(salesitems[[#This Row],[product_id]],products[product_id],products[product_name])</f>
        <v>Classic Ribbed Dress</v>
      </c>
      <c r="P1760" t="str">
        <f>_xlfn.XLOOKUP(salesitems[[#This Row],[product_id]],fashion_store_products!A:A,fashion_store_products!C:C)</f>
        <v>Dresses</v>
      </c>
    </row>
    <row r="1761" spans="1:16" x14ac:dyDescent="0.45">
      <c r="A1761">
        <v>1689</v>
      </c>
      <c r="B1761">
        <v>1265</v>
      </c>
      <c r="C1761">
        <v>418</v>
      </c>
      <c r="D1761">
        <v>4</v>
      </c>
      <c r="E1761">
        <v>31.84</v>
      </c>
      <c r="F1761">
        <v>31.84</v>
      </c>
      <c r="G1761">
        <v>0</v>
      </c>
      <c r="H1761" s="2">
        <v>0</v>
      </c>
      <c r="I1761">
        <v>0</v>
      </c>
      <c r="J1761">
        <v>127.36</v>
      </c>
      <c r="K1761" s="1">
        <v>45798</v>
      </c>
      <c r="L1761" t="s">
        <v>21</v>
      </c>
      <c r="M1761" t="s">
        <v>18</v>
      </c>
      <c r="N1761">
        <f>salesitems[[#This Row],[quantity]]*salesitems[[#This Row],[unit_price]]</f>
        <v>127.36</v>
      </c>
      <c r="O1761" t="str">
        <f>_xlfn.XLOOKUP(salesitems[[#This Row],[product_id]],products[product_id],products[product_name])</f>
        <v>Elegant Crew Shoes</v>
      </c>
      <c r="P1761" t="str">
        <f>_xlfn.XLOOKUP(salesitems[[#This Row],[product_id]],fashion_store_products!A:A,fashion_store_products!C:C)</f>
        <v>Shoes</v>
      </c>
    </row>
    <row r="1762" spans="1:16" x14ac:dyDescent="0.45">
      <c r="A1762">
        <v>2784</v>
      </c>
      <c r="B1762">
        <v>133</v>
      </c>
      <c r="C1762">
        <v>90</v>
      </c>
      <c r="D1762">
        <v>4</v>
      </c>
      <c r="E1762">
        <v>31.67</v>
      </c>
      <c r="F1762">
        <v>31.67</v>
      </c>
      <c r="G1762">
        <v>0</v>
      </c>
      <c r="H1762" s="2">
        <v>0</v>
      </c>
      <c r="I1762">
        <v>0</v>
      </c>
      <c r="J1762">
        <v>126.68</v>
      </c>
      <c r="K1762" s="1">
        <v>45822</v>
      </c>
      <c r="L1762" t="s">
        <v>15</v>
      </c>
      <c r="M1762" t="s">
        <v>15</v>
      </c>
      <c r="N1762">
        <f>salesitems[[#This Row],[quantity]]*salesitems[[#This Row],[unit_price]]</f>
        <v>126.68</v>
      </c>
      <c r="O1762" t="str">
        <f>_xlfn.XLOOKUP(salesitems[[#This Row],[product_id]],products[product_id],products[product_name])</f>
        <v>Modern Silk Shoes</v>
      </c>
      <c r="P1762" t="str">
        <f>_xlfn.XLOOKUP(salesitems[[#This Row],[product_id]],fashion_store_products!A:A,fashion_store_products!C:C)</f>
        <v>Shoes</v>
      </c>
    </row>
    <row r="1763" spans="1:16" x14ac:dyDescent="0.45">
      <c r="A1763">
        <v>1352</v>
      </c>
      <c r="B1763">
        <v>251</v>
      </c>
      <c r="C1763">
        <v>454</v>
      </c>
      <c r="D1763">
        <v>4</v>
      </c>
      <c r="E1763">
        <v>35.159999999999997</v>
      </c>
      <c r="F1763">
        <v>31.64</v>
      </c>
      <c r="G1763">
        <v>3.52</v>
      </c>
      <c r="H1763" s="2">
        <v>0.1</v>
      </c>
      <c r="I1763">
        <v>1</v>
      </c>
      <c r="J1763">
        <v>126.58</v>
      </c>
      <c r="K1763" s="1">
        <v>45812</v>
      </c>
      <c r="L1763" t="s">
        <v>21</v>
      </c>
      <c r="M1763" t="s">
        <v>18</v>
      </c>
      <c r="N1763">
        <f>salesitems[[#This Row],[quantity]]*salesitems[[#This Row],[unit_price]]</f>
        <v>126.56</v>
      </c>
      <c r="O1763" t="str">
        <f>_xlfn.XLOOKUP(salesitems[[#This Row],[product_id]],products[product_id],products[product_name])</f>
        <v>Bold Crew Set</v>
      </c>
      <c r="P1763" t="str">
        <f>_xlfn.XLOOKUP(salesitems[[#This Row],[product_id]],fashion_store_products!A:A,fashion_store_products!C:C)</f>
        <v>Sleepwear</v>
      </c>
    </row>
    <row r="1764" spans="1:16" x14ac:dyDescent="0.45">
      <c r="A1764">
        <v>2800</v>
      </c>
      <c r="B1764">
        <v>297</v>
      </c>
      <c r="C1764">
        <v>404</v>
      </c>
      <c r="D1764">
        <v>4</v>
      </c>
      <c r="E1764">
        <v>45.19</v>
      </c>
      <c r="F1764">
        <v>31.63</v>
      </c>
      <c r="G1764">
        <v>13.56</v>
      </c>
      <c r="H1764" s="2">
        <v>0.3</v>
      </c>
      <c r="I1764">
        <v>1</v>
      </c>
      <c r="J1764">
        <v>126.53</v>
      </c>
      <c r="K1764" s="1">
        <v>45794</v>
      </c>
      <c r="L1764" t="s">
        <v>15</v>
      </c>
      <c r="M1764" t="s">
        <v>11</v>
      </c>
      <c r="N1764">
        <f>salesitems[[#This Row],[quantity]]*salesitems[[#This Row],[unit_price]]</f>
        <v>126.52</v>
      </c>
      <c r="O1764" t="str">
        <f>_xlfn.XLOOKUP(salesitems[[#This Row],[product_id]],products[product_id],products[product_name])</f>
        <v>Elegant Cotton Set</v>
      </c>
      <c r="P1764" t="str">
        <f>_xlfn.XLOOKUP(salesitems[[#This Row],[product_id]],fashion_store_products!A:A,fashion_store_products!C:C)</f>
        <v>Sleepwear</v>
      </c>
    </row>
    <row r="1765" spans="1:16" x14ac:dyDescent="0.45">
      <c r="A1765">
        <v>525</v>
      </c>
      <c r="B1765">
        <v>612</v>
      </c>
      <c r="C1765">
        <v>258</v>
      </c>
      <c r="D1765">
        <v>4</v>
      </c>
      <c r="E1765">
        <v>31.48</v>
      </c>
      <c r="F1765">
        <v>31.48</v>
      </c>
      <c r="G1765">
        <v>0</v>
      </c>
      <c r="H1765" s="2">
        <v>0</v>
      </c>
      <c r="I1765">
        <v>0</v>
      </c>
      <c r="J1765">
        <v>125.92</v>
      </c>
      <c r="K1765" s="1">
        <v>45802</v>
      </c>
      <c r="L1765" t="s">
        <v>15</v>
      </c>
      <c r="M1765" t="s">
        <v>15</v>
      </c>
      <c r="N1765">
        <f>salesitems[[#This Row],[quantity]]*salesitems[[#This Row],[unit_price]]</f>
        <v>125.92</v>
      </c>
      <c r="O1765" t="str">
        <f>_xlfn.XLOOKUP(salesitems[[#This Row],[product_id]],products[product_id],products[product_name])</f>
        <v>Relaxed Sleeveless Shoes</v>
      </c>
      <c r="P1765" t="str">
        <f>_xlfn.XLOOKUP(salesitems[[#This Row],[product_id]],fashion_store_products!A:A,fashion_store_products!C:C)</f>
        <v>Shoes</v>
      </c>
    </row>
    <row r="1766" spans="1:16" x14ac:dyDescent="0.45">
      <c r="A1766">
        <v>2266</v>
      </c>
      <c r="B1766">
        <v>1218</v>
      </c>
      <c r="C1766">
        <v>95</v>
      </c>
      <c r="D1766">
        <v>4</v>
      </c>
      <c r="E1766">
        <v>31.15</v>
      </c>
      <c r="F1766">
        <v>31.15</v>
      </c>
      <c r="G1766">
        <v>0</v>
      </c>
      <c r="H1766" s="2">
        <v>0</v>
      </c>
      <c r="I1766">
        <v>0</v>
      </c>
      <c r="J1766">
        <v>124.6</v>
      </c>
      <c r="K1766" s="1">
        <v>45770</v>
      </c>
      <c r="L1766" t="s">
        <v>15</v>
      </c>
      <c r="M1766" t="s">
        <v>15</v>
      </c>
      <c r="N1766">
        <f>salesitems[[#This Row],[quantity]]*salesitems[[#This Row],[unit_price]]</f>
        <v>124.6</v>
      </c>
      <c r="O1766" t="str">
        <f>_xlfn.XLOOKUP(salesitems[[#This Row],[product_id]],products[product_id],products[product_name])</f>
        <v>Modern Crew Set</v>
      </c>
      <c r="P1766" t="str">
        <f>_xlfn.XLOOKUP(salesitems[[#This Row],[product_id]],fashion_store_products!A:A,fashion_store_products!C:C)</f>
        <v>Sleepwear</v>
      </c>
    </row>
    <row r="1767" spans="1:16" x14ac:dyDescent="0.45">
      <c r="A1767">
        <v>2944</v>
      </c>
      <c r="B1767">
        <v>307</v>
      </c>
      <c r="C1767">
        <v>95</v>
      </c>
      <c r="D1767">
        <v>4</v>
      </c>
      <c r="E1767">
        <v>31.15</v>
      </c>
      <c r="F1767">
        <v>31.15</v>
      </c>
      <c r="G1767">
        <v>0</v>
      </c>
      <c r="H1767" s="2">
        <v>0</v>
      </c>
      <c r="I1767">
        <v>0</v>
      </c>
      <c r="J1767">
        <v>124.6</v>
      </c>
      <c r="K1767" s="1">
        <v>45798</v>
      </c>
      <c r="L1767" t="s">
        <v>21</v>
      </c>
      <c r="M1767" t="s">
        <v>18</v>
      </c>
      <c r="N1767">
        <f>salesitems[[#This Row],[quantity]]*salesitems[[#This Row],[unit_price]]</f>
        <v>124.6</v>
      </c>
      <c r="O1767" t="str">
        <f>_xlfn.XLOOKUP(salesitems[[#This Row],[product_id]],products[product_id],products[product_name])</f>
        <v>Modern Crew Set</v>
      </c>
      <c r="P1767" t="str">
        <f>_xlfn.XLOOKUP(salesitems[[#This Row],[product_id]],fashion_store_products!A:A,fashion_store_products!C:C)</f>
        <v>Sleepwear</v>
      </c>
    </row>
    <row r="1768" spans="1:16" x14ac:dyDescent="0.45">
      <c r="A1768">
        <v>3134</v>
      </c>
      <c r="B1768">
        <v>552</v>
      </c>
      <c r="C1768">
        <v>322</v>
      </c>
      <c r="D1768">
        <v>4</v>
      </c>
      <c r="E1768">
        <v>44.45</v>
      </c>
      <c r="F1768">
        <v>31.12</v>
      </c>
      <c r="G1768">
        <v>13.34</v>
      </c>
      <c r="H1768" s="2">
        <v>0.3</v>
      </c>
      <c r="I1768">
        <v>1</v>
      </c>
      <c r="J1768">
        <v>124.46</v>
      </c>
      <c r="K1768" s="1">
        <v>45792</v>
      </c>
      <c r="L1768" t="s">
        <v>15</v>
      </c>
      <c r="M1768" t="s">
        <v>15</v>
      </c>
      <c r="N1768">
        <f>salesitems[[#This Row],[quantity]]*salesitems[[#This Row],[unit_price]]</f>
        <v>124.48</v>
      </c>
      <c r="O1768" t="str">
        <f>_xlfn.XLOOKUP(salesitems[[#This Row],[product_id]],products[product_id],products[product_name])</f>
        <v>Essential Sleeveless Dress</v>
      </c>
      <c r="P1768" t="str">
        <f>_xlfn.XLOOKUP(salesitems[[#This Row],[product_id]],fashion_store_products!A:A,fashion_store_products!C:C)</f>
        <v>Dresses</v>
      </c>
    </row>
    <row r="1769" spans="1:16" x14ac:dyDescent="0.45">
      <c r="A1769">
        <v>1739</v>
      </c>
      <c r="B1769">
        <v>382</v>
      </c>
      <c r="C1769">
        <v>452</v>
      </c>
      <c r="D1769">
        <v>4</v>
      </c>
      <c r="E1769">
        <v>30.85</v>
      </c>
      <c r="F1769">
        <v>30.85</v>
      </c>
      <c r="G1769">
        <v>0</v>
      </c>
      <c r="H1769" s="2">
        <v>0</v>
      </c>
      <c r="I1769">
        <v>0</v>
      </c>
      <c r="J1769">
        <v>123.4</v>
      </c>
      <c r="K1769" s="1">
        <v>45773</v>
      </c>
      <c r="L1769" t="s">
        <v>21</v>
      </c>
      <c r="M1769" t="s">
        <v>18</v>
      </c>
      <c r="N1769">
        <f>salesitems[[#This Row],[quantity]]*salesitems[[#This Row],[unit_price]]</f>
        <v>123.4</v>
      </c>
      <c r="O1769" t="str">
        <f>_xlfn.XLOOKUP(salesitems[[#This Row],[product_id]],products[product_id],products[product_name])</f>
        <v>Bold Crew Dress</v>
      </c>
      <c r="P1769" t="str">
        <f>_xlfn.XLOOKUP(salesitems[[#This Row],[product_id]],fashion_store_products!A:A,fashion_store_products!C:C)</f>
        <v>Dresses</v>
      </c>
    </row>
    <row r="1770" spans="1:16" x14ac:dyDescent="0.45">
      <c r="A1770">
        <v>3192</v>
      </c>
      <c r="B1770">
        <v>1332</v>
      </c>
      <c r="C1770">
        <v>452</v>
      </c>
      <c r="D1770">
        <v>4</v>
      </c>
      <c r="E1770">
        <v>30.85</v>
      </c>
      <c r="F1770">
        <v>30.85</v>
      </c>
      <c r="G1770">
        <v>0</v>
      </c>
      <c r="H1770" s="2">
        <v>0</v>
      </c>
      <c r="I1770">
        <v>0</v>
      </c>
      <c r="J1770">
        <v>123.4</v>
      </c>
      <c r="K1770" s="1">
        <v>45790</v>
      </c>
      <c r="L1770" t="s">
        <v>21</v>
      </c>
      <c r="M1770" t="s">
        <v>18</v>
      </c>
      <c r="N1770">
        <f>salesitems[[#This Row],[quantity]]*salesitems[[#This Row],[unit_price]]</f>
        <v>123.4</v>
      </c>
      <c r="O1770" t="str">
        <f>_xlfn.XLOOKUP(salesitems[[#This Row],[product_id]],products[product_id],products[product_name])</f>
        <v>Bold Crew Dress</v>
      </c>
      <c r="P1770" t="str">
        <f>_xlfn.XLOOKUP(salesitems[[#This Row],[product_id]],fashion_store_products!A:A,fashion_store_products!C:C)</f>
        <v>Dresses</v>
      </c>
    </row>
    <row r="1771" spans="1:16" x14ac:dyDescent="0.45">
      <c r="A1771">
        <v>853</v>
      </c>
      <c r="B1771">
        <v>413</v>
      </c>
      <c r="C1771">
        <v>401</v>
      </c>
      <c r="D1771">
        <v>4</v>
      </c>
      <c r="E1771">
        <v>30.83</v>
      </c>
      <c r="F1771">
        <v>30.83</v>
      </c>
      <c r="G1771">
        <v>0</v>
      </c>
      <c r="H1771" s="2">
        <v>0</v>
      </c>
      <c r="I1771">
        <v>0</v>
      </c>
      <c r="J1771">
        <v>123.32</v>
      </c>
      <c r="K1771" s="1">
        <v>45825</v>
      </c>
      <c r="L1771" t="s">
        <v>21</v>
      </c>
      <c r="M1771" t="s">
        <v>18</v>
      </c>
      <c r="N1771">
        <f>salesitems[[#This Row],[quantity]]*salesitems[[#This Row],[unit_price]]</f>
        <v>123.32</v>
      </c>
      <c r="O1771" t="str">
        <f>_xlfn.XLOOKUP(salesitems[[#This Row],[product_id]],products[product_id],products[product_name])</f>
        <v>Elegant Cotton Dress</v>
      </c>
      <c r="P1771" t="str">
        <f>_xlfn.XLOOKUP(salesitems[[#This Row],[product_id]],fashion_store_products!A:A,fashion_store_products!C:C)</f>
        <v>Dresses</v>
      </c>
    </row>
    <row r="1772" spans="1:16" x14ac:dyDescent="0.45">
      <c r="A1772">
        <v>2385</v>
      </c>
      <c r="B1772">
        <v>73</v>
      </c>
      <c r="C1772">
        <v>401</v>
      </c>
      <c r="D1772">
        <v>4</v>
      </c>
      <c r="E1772">
        <v>30.83</v>
      </c>
      <c r="F1772">
        <v>30.83</v>
      </c>
      <c r="G1772">
        <v>0</v>
      </c>
      <c r="H1772" s="2">
        <v>0</v>
      </c>
      <c r="I1772">
        <v>0</v>
      </c>
      <c r="J1772">
        <v>123.32</v>
      </c>
      <c r="K1772" s="1">
        <v>45796</v>
      </c>
      <c r="L1772" t="s">
        <v>21</v>
      </c>
      <c r="M1772" t="s">
        <v>18</v>
      </c>
      <c r="N1772">
        <f>salesitems[[#This Row],[quantity]]*salesitems[[#This Row],[unit_price]]</f>
        <v>123.32</v>
      </c>
      <c r="O1772" t="str">
        <f>_xlfn.XLOOKUP(salesitems[[#This Row],[product_id]],products[product_id],products[product_name])</f>
        <v>Elegant Cotton Dress</v>
      </c>
      <c r="P1772" t="str">
        <f>_xlfn.XLOOKUP(salesitems[[#This Row],[product_id]],fashion_store_products!A:A,fashion_store_products!C:C)</f>
        <v>Dresses</v>
      </c>
    </row>
    <row r="1773" spans="1:16" x14ac:dyDescent="0.45">
      <c r="A1773">
        <v>806</v>
      </c>
      <c r="B1773">
        <v>230</v>
      </c>
      <c r="C1773">
        <v>431</v>
      </c>
      <c r="D1773">
        <v>4</v>
      </c>
      <c r="E1773">
        <v>30.41</v>
      </c>
      <c r="F1773">
        <v>30.41</v>
      </c>
      <c r="G1773">
        <v>0</v>
      </c>
      <c r="H1773" s="2">
        <v>0</v>
      </c>
      <c r="I1773">
        <v>0</v>
      </c>
      <c r="J1773">
        <v>121.64</v>
      </c>
      <c r="K1773" s="1">
        <v>45768</v>
      </c>
      <c r="L1773" t="s">
        <v>15</v>
      </c>
      <c r="M1773" t="s">
        <v>15</v>
      </c>
      <c r="N1773">
        <f>salesitems[[#This Row],[quantity]]*salesitems[[#This Row],[unit_price]]</f>
        <v>121.64</v>
      </c>
      <c r="O1773" t="str">
        <f>_xlfn.XLOOKUP(salesitems[[#This Row],[product_id]],products[product_id],products[product_name])</f>
        <v>Elegant Boxy Shoes</v>
      </c>
      <c r="P1773" t="str">
        <f>_xlfn.XLOOKUP(salesitems[[#This Row],[product_id]],fashion_store_products!A:A,fashion_store_products!C:C)</f>
        <v>Shoes</v>
      </c>
    </row>
    <row r="1774" spans="1:16" x14ac:dyDescent="0.45">
      <c r="A1774">
        <v>2223</v>
      </c>
      <c r="B1774">
        <v>1161</v>
      </c>
      <c r="C1774">
        <v>431</v>
      </c>
      <c r="D1774">
        <v>4</v>
      </c>
      <c r="E1774">
        <v>30.41</v>
      </c>
      <c r="F1774">
        <v>30.41</v>
      </c>
      <c r="G1774">
        <v>0</v>
      </c>
      <c r="H1774" s="2">
        <v>0</v>
      </c>
      <c r="I1774">
        <v>0</v>
      </c>
      <c r="J1774">
        <v>121.64</v>
      </c>
      <c r="K1774" s="1">
        <v>45773</v>
      </c>
      <c r="L1774" t="s">
        <v>15</v>
      </c>
      <c r="M1774" t="s">
        <v>15</v>
      </c>
      <c r="N1774">
        <f>salesitems[[#This Row],[quantity]]*salesitems[[#This Row],[unit_price]]</f>
        <v>121.64</v>
      </c>
      <c r="O1774" t="str">
        <f>_xlfn.XLOOKUP(salesitems[[#This Row],[product_id]],products[product_id],products[product_name])</f>
        <v>Elegant Boxy Shoes</v>
      </c>
      <c r="P1774" t="str">
        <f>_xlfn.XLOOKUP(salesitems[[#This Row],[product_id]],fashion_store_products!A:A,fashion_store_products!C:C)</f>
        <v>Shoes</v>
      </c>
    </row>
    <row r="1775" spans="1:16" x14ac:dyDescent="0.45">
      <c r="A1775">
        <v>18</v>
      </c>
      <c r="B1775">
        <v>319</v>
      </c>
      <c r="C1775">
        <v>339</v>
      </c>
      <c r="D1775">
        <v>4</v>
      </c>
      <c r="E1775">
        <v>30.35</v>
      </c>
      <c r="F1775">
        <v>30.35</v>
      </c>
      <c r="G1775">
        <v>0</v>
      </c>
      <c r="H1775" s="2">
        <v>0</v>
      </c>
      <c r="I1775">
        <v>0</v>
      </c>
      <c r="J1775">
        <v>121.4</v>
      </c>
      <c r="K1775" s="1">
        <v>45808</v>
      </c>
      <c r="L1775" t="s">
        <v>15</v>
      </c>
      <c r="M1775" t="s">
        <v>15</v>
      </c>
      <c r="N1775">
        <f>salesitems[[#This Row],[quantity]]*salesitems[[#This Row],[unit_price]]</f>
        <v>121.4</v>
      </c>
      <c r="O1775" t="str">
        <f>_xlfn.XLOOKUP(salesitems[[#This Row],[product_id]],products[product_id],products[product_name])</f>
        <v>Tailored Cotton Tee</v>
      </c>
      <c r="P1775" t="str">
        <f>_xlfn.XLOOKUP(salesitems[[#This Row],[product_id]],fashion_store_products!A:A,fashion_store_products!C:C)</f>
        <v>T-Shirts</v>
      </c>
    </row>
    <row r="1776" spans="1:16" x14ac:dyDescent="0.45">
      <c r="A1776">
        <v>318</v>
      </c>
      <c r="B1776">
        <v>292</v>
      </c>
      <c r="C1776">
        <v>339</v>
      </c>
      <c r="D1776">
        <v>4</v>
      </c>
      <c r="E1776">
        <v>30.35</v>
      </c>
      <c r="F1776">
        <v>30.35</v>
      </c>
      <c r="G1776">
        <v>0</v>
      </c>
      <c r="H1776" s="2">
        <v>0</v>
      </c>
      <c r="I1776">
        <v>0</v>
      </c>
      <c r="J1776">
        <v>121.4</v>
      </c>
      <c r="K1776" s="1">
        <v>45777</v>
      </c>
      <c r="L1776" t="s">
        <v>15</v>
      </c>
      <c r="M1776" t="s">
        <v>15</v>
      </c>
      <c r="N1776">
        <f>salesitems[[#This Row],[quantity]]*salesitems[[#This Row],[unit_price]]</f>
        <v>121.4</v>
      </c>
      <c r="O1776" t="str">
        <f>_xlfn.XLOOKUP(salesitems[[#This Row],[product_id]],products[product_id],products[product_name])</f>
        <v>Tailored Cotton Tee</v>
      </c>
      <c r="P1776" t="str">
        <f>_xlfn.XLOOKUP(salesitems[[#This Row],[product_id]],fashion_store_products!A:A,fashion_store_products!C:C)</f>
        <v>T-Shirts</v>
      </c>
    </row>
    <row r="1777" spans="1:16" x14ac:dyDescent="0.45">
      <c r="A1777">
        <v>1442</v>
      </c>
      <c r="B1777">
        <v>448</v>
      </c>
      <c r="C1777">
        <v>339</v>
      </c>
      <c r="D1777">
        <v>4</v>
      </c>
      <c r="E1777">
        <v>30.35</v>
      </c>
      <c r="F1777">
        <v>30.35</v>
      </c>
      <c r="G1777">
        <v>0</v>
      </c>
      <c r="H1777" s="2">
        <v>0</v>
      </c>
      <c r="I1777">
        <v>0</v>
      </c>
      <c r="J1777">
        <v>121.4</v>
      </c>
      <c r="K1777" s="1">
        <v>45776</v>
      </c>
      <c r="L1777" t="s">
        <v>15</v>
      </c>
      <c r="M1777" t="s">
        <v>15</v>
      </c>
      <c r="N1777">
        <f>salesitems[[#This Row],[quantity]]*salesitems[[#This Row],[unit_price]]</f>
        <v>121.4</v>
      </c>
      <c r="O1777" t="str">
        <f>_xlfn.XLOOKUP(salesitems[[#This Row],[product_id]],products[product_id],products[product_name])</f>
        <v>Tailored Cotton Tee</v>
      </c>
      <c r="P1777" t="str">
        <f>_xlfn.XLOOKUP(salesitems[[#This Row],[product_id]],fashion_store_products!A:A,fashion_store_products!C:C)</f>
        <v>T-Shirts</v>
      </c>
    </row>
    <row r="1778" spans="1:16" x14ac:dyDescent="0.45">
      <c r="A1778">
        <v>3232</v>
      </c>
      <c r="B1778">
        <v>475</v>
      </c>
      <c r="C1778">
        <v>339</v>
      </c>
      <c r="D1778">
        <v>4</v>
      </c>
      <c r="E1778">
        <v>30.35</v>
      </c>
      <c r="F1778">
        <v>30.35</v>
      </c>
      <c r="G1778">
        <v>0</v>
      </c>
      <c r="H1778" s="2">
        <v>0</v>
      </c>
      <c r="I1778">
        <v>0</v>
      </c>
      <c r="J1778">
        <v>121.4</v>
      </c>
      <c r="K1778" s="1">
        <v>45775</v>
      </c>
      <c r="L1778" t="s">
        <v>15</v>
      </c>
      <c r="M1778" t="s">
        <v>15</v>
      </c>
      <c r="N1778">
        <f>salesitems[[#This Row],[quantity]]*salesitems[[#This Row],[unit_price]]</f>
        <v>121.4</v>
      </c>
      <c r="O1778" t="str">
        <f>_xlfn.XLOOKUP(salesitems[[#This Row],[product_id]],products[product_id],products[product_name])</f>
        <v>Tailored Cotton Tee</v>
      </c>
      <c r="P1778" t="str">
        <f>_xlfn.XLOOKUP(salesitems[[#This Row],[product_id]],fashion_store_products!A:A,fashion_store_products!C:C)</f>
        <v>T-Shirts</v>
      </c>
    </row>
    <row r="1779" spans="1:16" x14ac:dyDescent="0.45">
      <c r="A1779">
        <v>2484</v>
      </c>
      <c r="B1779">
        <v>630</v>
      </c>
      <c r="C1779">
        <v>187</v>
      </c>
      <c r="D1779">
        <v>4</v>
      </c>
      <c r="E1779">
        <v>30.19</v>
      </c>
      <c r="F1779">
        <v>30.19</v>
      </c>
      <c r="G1779">
        <v>0</v>
      </c>
      <c r="H1779" s="2">
        <v>0</v>
      </c>
      <c r="I1779">
        <v>0</v>
      </c>
      <c r="J1779">
        <v>120.76</v>
      </c>
      <c r="K1779" s="1">
        <v>45806</v>
      </c>
      <c r="L1779" t="s">
        <v>21</v>
      </c>
      <c r="M1779" t="s">
        <v>18</v>
      </c>
      <c r="N1779">
        <f>salesitems[[#This Row],[quantity]]*salesitems[[#This Row],[unit_price]]</f>
        <v>120.76</v>
      </c>
      <c r="O1779" t="str">
        <f>_xlfn.XLOOKUP(salesitems[[#This Row],[product_id]],products[product_id],products[product_name])</f>
        <v>Vintage Ribbed Trousers</v>
      </c>
      <c r="P1779" t="str">
        <f>_xlfn.XLOOKUP(salesitems[[#This Row],[product_id]],fashion_store_products!A:A,fashion_store_products!C:C)</f>
        <v>Pants</v>
      </c>
    </row>
    <row r="1780" spans="1:16" x14ac:dyDescent="0.45">
      <c r="A1780">
        <v>11</v>
      </c>
      <c r="B1780">
        <v>742</v>
      </c>
      <c r="C1780">
        <v>88</v>
      </c>
      <c r="D1780">
        <v>4</v>
      </c>
      <c r="E1780">
        <v>29.81</v>
      </c>
      <c r="F1780">
        <v>29.81</v>
      </c>
      <c r="G1780">
        <v>0</v>
      </c>
      <c r="H1780" s="2">
        <v>0</v>
      </c>
      <c r="I1780">
        <v>0</v>
      </c>
      <c r="J1780">
        <v>119.24</v>
      </c>
      <c r="K1780" s="1">
        <v>45767</v>
      </c>
      <c r="L1780" t="s">
        <v>15</v>
      </c>
      <c r="M1780" t="s">
        <v>15</v>
      </c>
      <c r="N1780">
        <f>salesitems[[#This Row],[quantity]]*salesitems[[#This Row],[unit_price]]</f>
        <v>119.24</v>
      </c>
      <c r="O1780" t="str">
        <f>_xlfn.XLOOKUP(salesitems[[#This Row],[product_id]],products[product_id],products[product_name])</f>
        <v>Modern Satin Set</v>
      </c>
      <c r="P1780" t="str">
        <f>_xlfn.XLOOKUP(salesitems[[#This Row],[product_id]],fashion_store_products!A:A,fashion_store_products!C:C)</f>
        <v>Sleepwear</v>
      </c>
    </row>
    <row r="1781" spans="1:16" x14ac:dyDescent="0.45">
      <c r="A1781">
        <v>1339</v>
      </c>
      <c r="B1781">
        <v>143</v>
      </c>
      <c r="C1781">
        <v>88</v>
      </c>
      <c r="D1781">
        <v>4</v>
      </c>
      <c r="E1781">
        <v>29.81</v>
      </c>
      <c r="F1781">
        <v>29.81</v>
      </c>
      <c r="G1781">
        <v>0</v>
      </c>
      <c r="H1781" s="2">
        <v>0</v>
      </c>
      <c r="I1781">
        <v>0</v>
      </c>
      <c r="J1781">
        <v>119.24</v>
      </c>
      <c r="K1781" s="1">
        <v>45824</v>
      </c>
      <c r="L1781" t="s">
        <v>21</v>
      </c>
      <c r="M1781" t="s">
        <v>18</v>
      </c>
      <c r="N1781">
        <f>salesitems[[#This Row],[quantity]]*salesitems[[#This Row],[unit_price]]</f>
        <v>119.24</v>
      </c>
      <c r="O1781" t="str">
        <f>_xlfn.XLOOKUP(salesitems[[#This Row],[product_id]],products[product_id],products[product_name])</f>
        <v>Modern Satin Set</v>
      </c>
      <c r="P1781" t="str">
        <f>_xlfn.XLOOKUP(salesitems[[#This Row],[product_id]],fashion_store_products!A:A,fashion_store_products!C:C)</f>
        <v>Sleepwear</v>
      </c>
    </row>
    <row r="1782" spans="1:16" x14ac:dyDescent="0.45">
      <c r="A1782">
        <v>1098</v>
      </c>
      <c r="B1782">
        <v>824</v>
      </c>
      <c r="C1782">
        <v>400</v>
      </c>
      <c r="D1782">
        <v>4</v>
      </c>
      <c r="E1782">
        <v>29.68</v>
      </c>
      <c r="F1782">
        <v>29.68</v>
      </c>
      <c r="G1782">
        <v>0</v>
      </c>
      <c r="H1782" s="2">
        <v>0</v>
      </c>
      <c r="I1782">
        <v>0</v>
      </c>
      <c r="J1782">
        <v>118.72</v>
      </c>
      <c r="K1782" s="1">
        <v>45782</v>
      </c>
      <c r="L1782" t="s">
        <v>21</v>
      </c>
      <c r="M1782" t="s">
        <v>18</v>
      </c>
      <c r="N1782">
        <f>salesitems[[#This Row],[quantity]]*salesitems[[#This Row],[unit_price]]</f>
        <v>118.72</v>
      </c>
      <c r="O1782" t="str">
        <f>_xlfn.XLOOKUP(salesitems[[#This Row],[product_id]],products[product_id],products[product_name])</f>
        <v>Essential Silk Trousers</v>
      </c>
      <c r="P1782" t="str">
        <f>_xlfn.XLOOKUP(salesitems[[#This Row],[product_id]],fashion_store_products!A:A,fashion_store_products!C:C)</f>
        <v>Pants</v>
      </c>
    </row>
    <row r="1783" spans="1:16" x14ac:dyDescent="0.45">
      <c r="A1783">
        <v>3066</v>
      </c>
      <c r="B1783">
        <v>295</v>
      </c>
      <c r="C1783">
        <v>144</v>
      </c>
      <c r="D1783">
        <v>4</v>
      </c>
      <c r="E1783">
        <v>41.84</v>
      </c>
      <c r="F1783">
        <v>29.29</v>
      </c>
      <c r="G1783">
        <v>12.55</v>
      </c>
      <c r="H1783" s="2">
        <v>0.3</v>
      </c>
      <c r="I1783">
        <v>1</v>
      </c>
      <c r="J1783">
        <v>117.15</v>
      </c>
      <c r="K1783" s="1">
        <v>45790</v>
      </c>
      <c r="L1783" t="s">
        <v>15</v>
      </c>
      <c r="M1783" t="s">
        <v>15</v>
      </c>
      <c r="N1783">
        <f>salesitems[[#This Row],[quantity]]*salesitems[[#This Row],[unit_price]]</f>
        <v>117.16</v>
      </c>
      <c r="O1783" t="str">
        <f>_xlfn.XLOOKUP(salesitems[[#This Row],[product_id]],products[product_id],products[product_name])</f>
        <v>Classic Silk Trousers</v>
      </c>
      <c r="P1783" t="str">
        <f>_xlfn.XLOOKUP(salesitems[[#This Row],[product_id]],fashion_store_products!A:A,fashion_store_products!C:C)</f>
        <v>Pants</v>
      </c>
    </row>
    <row r="1784" spans="1:16" x14ac:dyDescent="0.45">
      <c r="A1784">
        <v>1906</v>
      </c>
      <c r="B1784">
        <v>1182</v>
      </c>
      <c r="C1784">
        <v>246</v>
      </c>
      <c r="D1784">
        <v>4</v>
      </c>
      <c r="E1784">
        <v>28.98</v>
      </c>
      <c r="F1784">
        <v>28.98</v>
      </c>
      <c r="G1784">
        <v>0</v>
      </c>
      <c r="H1784" s="2">
        <v>0</v>
      </c>
      <c r="I1784">
        <v>0</v>
      </c>
      <c r="J1784">
        <v>115.92</v>
      </c>
      <c r="K1784" s="1">
        <v>45824</v>
      </c>
      <c r="L1784" t="s">
        <v>21</v>
      </c>
      <c r="M1784" t="s">
        <v>18</v>
      </c>
      <c r="N1784">
        <f>salesitems[[#This Row],[quantity]]*salesitems[[#This Row],[unit_price]]</f>
        <v>115.92</v>
      </c>
      <c r="O1784" t="str">
        <f>_xlfn.XLOOKUP(salesitems[[#This Row],[product_id]],products[product_id],products[product_name])</f>
        <v>Relaxed Satin Dress</v>
      </c>
      <c r="P1784" t="str">
        <f>_xlfn.XLOOKUP(salesitems[[#This Row],[product_id]],fashion_store_products!A:A,fashion_store_products!C:C)</f>
        <v>Dresses</v>
      </c>
    </row>
    <row r="1785" spans="1:16" x14ac:dyDescent="0.45">
      <c r="A1785">
        <v>3107</v>
      </c>
      <c r="B1785">
        <v>390</v>
      </c>
      <c r="C1785">
        <v>249</v>
      </c>
      <c r="D1785">
        <v>4</v>
      </c>
      <c r="E1785">
        <v>28.42</v>
      </c>
      <c r="F1785">
        <v>28.42</v>
      </c>
      <c r="G1785">
        <v>0</v>
      </c>
      <c r="H1785" s="2">
        <v>0</v>
      </c>
      <c r="I1785">
        <v>0</v>
      </c>
      <c r="J1785">
        <v>113.68</v>
      </c>
      <c r="K1785" s="1">
        <v>45797</v>
      </c>
      <c r="L1785" t="s">
        <v>15</v>
      </c>
      <c r="M1785" t="s">
        <v>15</v>
      </c>
      <c r="N1785">
        <f>salesitems[[#This Row],[quantity]]*salesitems[[#This Row],[unit_price]]</f>
        <v>113.68</v>
      </c>
      <c r="O1785" t="str">
        <f>_xlfn.XLOOKUP(salesitems[[#This Row],[product_id]],products[product_id],products[product_name])</f>
        <v>Polished Silk Set</v>
      </c>
      <c r="P1785" t="str">
        <f>_xlfn.XLOOKUP(salesitems[[#This Row],[product_id]],fashion_store_products!A:A,fashion_store_products!C:C)</f>
        <v>Sleepwear</v>
      </c>
    </row>
    <row r="1786" spans="1:16" x14ac:dyDescent="0.45">
      <c r="A1786">
        <v>1908</v>
      </c>
      <c r="B1786">
        <v>357</v>
      </c>
      <c r="C1786">
        <v>176</v>
      </c>
      <c r="D1786">
        <v>4</v>
      </c>
      <c r="E1786">
        <v>27.94</v>
      </c>
      <c r="F1786">
        <v>27.94</v>
      </c>
      <c r="G1786">
        <v>0</v>
      </c>
      <c r="H1786" s="2">
        <v>0</v>
      </c>
      <c r="I1786">
        <v>0</v>
      </c>
      <c r="J1786">
        <v>111.76</v>
      </c>
      <c r="K1786" s="1">
        <v>45773</v>
      </c>
      <c r="L1786" t="s">
        <v>21</v>
      </c>
      <c r="M1786" t="s">
        <v>18</v>
      </c>
      <c r="N1786">
        <f>salesitems[[#This Row],[quantity]]*salesitems[[#This Row],[unit_price]]</f>
        <v>111.76</v>
      </c>
      <c r="O1786" t="str">
        <f>_xlfn.XLOOKUP(salesitems[[#This Row],[product_id]],products[product_id],products[product_name])</f>
        <v>Polished Ribbed Dress</v>
      </c>
      <c r="P1786" t="str">
        <f>_xlfn.XLOOKUP(salesitems[[#This Row],[product_id]],fashion_store_products!A:A,fashion_store_products!C:C)</f>
        <v>Dresses</v>
      </c>
    </row>
    <row r="1787" spans="1:16" x14ac:dyDescent="0.45">
      <c r="A1787">
        <v>3054</v>
      </c>
      <c r="B1787">
        <v>64</v>
      </c>
      <c r="C1787">
        <v>65</v>
      </c>
      <c r="D1787">
        <v>4</v>
      </c>
      <c r="E1787">
        <v>27.45</v>
      </c>
      <c r="F1787">
        <v>27.45</v>
      </c>
      <c r="G1787">
        <v>0</v>
      </c>
      <c r="H1787" s="2">
        <v>0</v>
      </c>
      <c r="I1787">
        <v>0</v>
      </c>
      <c r="J1787">
        <v>109.8</v>
      </c>
      <c r="K1787" s="1">
        <v>45798</v>
      </c>
      <c r="L1787" t="s">
        <v>15</v>
      </c>
      <c r="M1787" t="s">
        <v>15</v>
      </c>
      <c r="N1787">
        <f>salesitems[[#This Row],[quantity]]*salesitems[[#This Row],[unit_price]]</f>
        <v>109.8</v>
      </c>
      <c r="O1787" t="str">
        <f>_xlfn.XLOOKUP(salesitems[[#This Row],[product_id]],products[product_id],products[product_name])</f>
        <v>Modern Silk Tee</v>
      </c>
      <c r="P1787" t="str">
        <f>_xlfn.XLOOKUP(salesitems[[#This Row],[product_id]],fashion_store_products!A:A,fashion_store_products!C:C)</f>
        <v>T-Shirts</v>
      </c>
    </row>
    <row r="1788" spans="1:16" x14ac:dyDescent="0.45">
      <c r="A1788">
        <v>3204</v>
      </c>
      <c r="B1788">
        <v>546</v>
      </c>
      <c r="C1788">
        <v>119</v>
      </c>
      <c r="D1788">
        <v>4</v>
      </c>
      <c r="E1788">
        <v>27.34</v>
      </c>
      <c r="F1788">
        <v>27.34</v>
      </c>
      <c r="G1788">
        <v>0</v>
      </c>
      <c r="H1788" s="2">
        <v>0</v>
      </c>
      <c r="I1788">
        <v>0</v>
      </c>
      <c r="J1788">
        <v>109.36</v>
      </c>
      <c r="K1788" s="1">
        <v>45775</v>
      </c>
      <c r="L1788" t="s">
        <v>21</v>
      </c>
      <c r="M1788" t="s">
        <v>18</v>
      </c>
      <c r="N1788">
        <f>salesitems[[#This Row],[quantity]]*salesitems[[#This Row],[unit_price]]</f>
        <v>109.36</v>
      </c>
      <c r="O1788" t="str">
        <f>_xlfn.XLOOKUP(salesitems[[#This Row],[product_id]],products[product_id],products[product_name])</f>
        <v>Vintage Linen Dress</v>
      </c>
      <c r="P1788" t="str">
        <f>_xlfn.XLOOKUP(salesitems[[#This Row],[product_id]],fashion_store_products!A:A,fashion_store_products!C:C)</f>
        <v>Dresses</v>
      </c>
    </row>
    <row r="1789" spans="1:16" x14ac:dyDescent="0.45">
      <c r="A1789">
        <v>1958</v>
      </c>
      <c r="B1789">
        <v>289</v>
      </c>
      <c r="C1789">
        <v>376</v>
      </c>
      <c r="D1789">
        <v>4</v>
      </c>
      <c r="E1789">
        <v>38.520000000000003</v>
      </c>
      <c r="F1789">
        <v>26.96</v>
      </c>
      <c r="G1789">
        <v>11.56</v>
      </c>
      <c r="H1789" s="2">
        <v>0.3</v>
      </c>
      <c r="I1789">
        <v>1</v>
      </c>
      <c r="J1789">
        <v>107.86</v>
      </c>
      <c r="K1789" s="1">
        <v>45795</v>
      </c>
      <c r="L1789" t="s">
        <v>15</v>
      </c>
      <c r="M1789" t="s">
        <v>15</v>
      </c>
      <c r="N1789">
        <f>salesitems[[#This Row],[quantity]]*salesitems[[#This Row],[unit_price]]</f>
        <v>107.84</v>
      </c>
      <c r="O1789" t="str">
        <f>_xlfn.XLOOKUP(salesitems[[#This Row],[product_id]],products[product_id],products[product_name])</f>
        <v>Tailored Satin Set</v>
      </c>
      <c r="P1789" t="str">
        <f>_xlfn.XLOOKUP(salesitems[[#This Row],[product_id]],fashion_store_products!A:A,fashion_store_products!C:C)</f>
        <v>Sleepwear</v>
      </c>
    </row>
    <row r="1790" spans="1:16" x14ac:dyDescent="0.45">
      <c r="A1790">
        <v>1610</v>
      </c>
      <c r="B1790">
        <v>1086</v>
      </c>
      <c r="C1790">
        <v>397</v>
      </c>
      <c r="D1790">
        <v>4</v>
      </c>
      <c r="E1790">
        <v>26.48</v>
      </c>
      <c r="F1790">
        <v>26.48</v>
      </c>
      <c r="G1790">
        <v>0</v>
      </c>
      <c r="H1790" s="2">
        <v>0</v>
      </c>
      <c r="I1790">
        <v>0</v>
      </c>
      <c r="J1790">
        <v>105.92</v>
      </c>
      <c r="K1790" s="1">
        <v>45764</v>
      </c>
      <c r="L1790" t="s">
        <v>21</v>
      </c>
      <c r="M1790" t="s">
        <v>18</v>
      </c>
      <c r="N1790">
        <f>salesitems[[#This Row],[quantity]]*salesitems[[#This Row],[unit_price]]</f>
        <v>105.92</v>
      </c>
      <c r="O1790" t="str">
        <f>_xlfn.XLOOKUP(salesitems[[#This Row],[product_id]],products[product_id],products[product_name])</f>
        <v>Elegant Ribbed Dress</v>
      </c>
      <c r="P1790" t="str">
        <f>_xlfn.XLOOKUP(salesitems[[#This Row],[product_id]],fashion_store_products!A:A,fashion_store_products!C:C)</f>
        <v>Dresses</v>
      </c>
    </row>
    <row r="1791" spans="1:16" x14ac:dyDescent="0.45">
      <c r="A1791">
        <v>1625</v>
      </c>
      <c r="B1791">
        <v>312</v>
      </c>
      <c r="C1791">
        <v>397</v>
      </c>
      <c r="D1791">
        <v>4</v>
      </c>
      <c r="E1791">
        <v>26.48</v>
      </c>
      <c r="F1791">
        <v>26.48</v>
      </c>
      <c r="G1791">
        <v>0</v>
      </c>
      <c r="H1791" s="2">
        <v>0</v>
      </c>
      <c r="I1791">
        <v>0</v>
      </c>
      <c r="J1791">
        <v>105.92</v>
      </c>
      <c r="K1791" s="1">
        <v>45808</v>
      </c>
      <c r="L1791" t="s">
        <v>21</v>
      </c>
      <c r="M1791" t="s">
        <v>18</v>
      </c>
      <c r="N1791">
        <f>salesitems[[#This Row],[quantity]]*salesitems[[#This Row],[unit_price]]</f>
        <v>105.92</v>
      </c>
      <c r="O1791" t="str">
        <f>_xlfn.XLOOKUP(salesitems[[#This Row],[product_id]],products[product_id],products[product_name])</f>
        <v>Elegant Ribbed Dress</v>
      </c>
      <c r="P1791" t="str">
        <f>_xlfn.XLOOKUP(salesitems[[#This Row],[product_id]],fashion_store_products!A:A,fashion_store_products!C:C)</f>
        <v>Dresses</v>
      </c>
    </row>
    <row r="1792" spans="1:16" x14ac:dyDescent="0.45">
      <c r="A1792">
        <v>1329</v>
      </c>
      <c r="B1792">
        <v>1268</v>
      </c>
      <c r="C1792">
        <v>120</v>
      </c>
      <c r="D1792">
        <v>4</v>
      </c>
      <c r="E1792">
        <v>25.7</v>
      </c>
      <c r="F1792">
        <v>25.7</v>
      </c>
      <c r="G1792">
        <v>0</v>
      </c>
      <c r="H1792" s="2">
        <v>0</v>
      </c>
      <c r="I1792">
        <v>0</v>
      </c>
      <c r="J1792">
        <v>102.8</v>
      </c>
      <c r="K1792" s="1">
        <v>45795</v>
      </c>
      <c r="L1792" t="s">
        <v>21</v>
      </c>
      <c r="M1792" t="s">
        <v>18</v>
      </c>
      <c r="N1792">
        <f>salesitems[[#This Row],[quantity]]*salesitems[[#This Row],[unit_price]]</f>
        <v>102.8</v>
      </c>
      <c r="O1792" t="str">
        <f>_xlfn.XLOOKUP(salesitems[[#This Row],[product_id]],products[product_id],products[product_name])</f>
        <v>Modern Boxy Set</v>
      </c>
      <c r="P1792" t="str">
        <f>_xlfn.XLOOKUP(salesitems[[#This Row],[product_id]],fashion_store_products!A:A,fashion_store_products!C:C)</f>
        <v>Sleepwear</v>
      </c>
    </row>
    <row r="1793" spans="1:16" x14ac:dyDescent="0.45">
      <c r="A1793">
        <v>2611</v>
      </c>
      <c r="B1793">
        <v>982</v>
      </c>
      <c r="C1793">
        <v>495</v>
      </c>
      <c r="D1793">
        <v>4</v>
      </c>
      <c r="E1793">
        <v>36.65</v>
      </c>
      <c r="F1793">
        <v>25.66</v>
      </c>
      <c r="G1793">
        <v>11</v>
      </c>
      <c r="H1793" s="2">
        <v>0.3</v>
      </c>
      <c r="I1793">
        <v>1</v>
      </c>
      <c r="J1793">
        <v>102.62</v>
      </c>
      <c r="K1793" s="1">
        <v>45796</v>
      </c>
      <c r="L1793" t="s">
        <v>15</v>
      </c>
      <c r="M1793" t="s">
        <v>15</v>
      </c>
      <c r="N1793">
        <f>salesitems[[#This Row],[quantity]]*salesitems[[#This Row],[unit_price]]</f>
        <v>102.64</v>
      </c>
      <c r="O1793" t="str">
        <f>_xlfn.XLOOKUP(salesitems[[#This Row],[product_id]],products[product_id],products[product_name])</f>
        <v>Dresses Drop 7</v>
      </c>
      <c r="P1793" t="str">
        <f>_xlfn.XLOOKUP(salesitems[[#This Row],[product_id]],fashion_store_products!A:A,fashion_store_products!C:C)</f>
        <v>Dresses</v>
      </c>
    </row>
    <row r="1794" spans="1:16" x14ac:dyDescent="0.45">
      <c r="A1794">
        <v>720</v>
      </c>
      <c r="B1794">
        <v>819</v>
      </c>
      <c r="C1794">
        <v>46</v>
      </c>
      <c r="D1794">
        <v>4</v>
      </c>
      <c r="E1794">
        <v>25.15</v>
      </c>
      <c r="F1794">
        <v>25.15</v>
      </c>
      <c r="G1794">
        <v>0</v>
      </c>
      <c r="H1794" s="2">
        <v>0</v>
      </c>
      <c r="I1794">
        <v>0</v>
      </c>
      <c r="J1794">
        <v>100.6</v>
      </c>
      <c r="K1794" s="1">
        <v>45773</v>
      </c>
      <c r="L1794" t="s">
        <v>21</v>
      </c>
      <c r="M1794" t="s">
        <v>18</v>
      </c>
      <c r="N1794">
        <f>salesitems[[#This Row],[quantity]]*salesitems[[#This Row],[unit_price]]</f>
        <v>100.6</v>
      </c>
      <c r="O1794" t="str">
        <f>_xlfn.XLOOKUP(salesitems[[#This Row],[product_id]],products[product_id],products[product_name])</f>
        <v>Soft Cotton Set</v>
      </c>
      <c r="P1794" t="str">
        <f>_xlfn.XLOOKUP(salesitems[[#This Row],[product_id]],fashion_store_products!A:A,fashion_store_products!C:C)</f>
        <v>Sleepwear</v>
      </c>
    </row>
    <row r="1795" spans="1:16" x14ac:dyDescent="0.45">
      <c r="A1795">
        <v>1650</v>
      </c>
      <c r="B1795">
        <v>624</v>
      </c>
      <c r="C1795">
        <v>313</v>
      </c>
      <c r="D1795">
        <v>4</v>
      </c>
      <c r="E1795">
        <v>35.69</v>
      </c>
      <c r="F1795">
        <v>24.98</v>
      </c>
      <c r="G1795">
        <v>10.71</v>
      </c>
      <c r="H1795" s="2">
        <v>0.3</v>
      </c>
      <c r="I1795">
        <v>1</v>
      </c>
      <c r="J1795">
        <v>99.93</v>
      </c>
      <c r="K1795" s="1">
        <v>45790</v>
      </c>
      <c r="L1795" t="s">
        <v>15</v>
      </c>
      <c r="M1795" t="s">
        <v>15</v>
      </c>
      <c r="N1795">
        <f>salesitems[[#This Row],[quantity]]*salesitems[[#This Row],[unit_price]]</f>
        <v>99.92</v>
      </c>
      <c r="O1795" t="str">
        <f>_xlfn.XLOOKUP(salesitems[[#This Row],[product_id]],products[product_id],products[product_name])</f>
        <v>Relaxed Crew Set</v>
      </c>
      <c r="P1795" t="str">
        <f>_xlfn.XLOOKUP(salesitems[[#This Row],[product_id]],fashion_store_products!A:A,fashion_store_products!C:C)</f>
        <v>Sleepwear</v>
      </c>
    </row>
    <row r="1796" spans="1:16" x14ac:dyDescent="0.45">
      <c r="A1796">
        <v>2093</v>
      </c>
      <c r="B1796">
        <v>399</v>
      </c>
      <c r="C1796">
        <v>14</v>
      </c>
      <c r="D1796">
        <v>4</v>
      </c>
      <c r="E1796">
        <v>24.96</v>
      </c>
      <c r="F1796">
        <v>24.96</v>
      </c>
      <c r="G1796">
        <v>0</v>
      </c>
      <c r="H1796" s="2">
        <v>0</v>
      </c>
      <c r="I1796">
        <v>0</v>
      </c>
      <c r="J1796">
        <v>99.84</v>
      </c>
      <c r="K1796" s="1">
        <v>45781</v>
      </c>
      <c r="L1796" t="s">
        <v>15</v>
      </c>
      <c r="M1796" t="s">
        <v>15</v>
      </c>
      <c r="N1796">
        <f>salesitems[[#This Row],[quantity]]*salesitems[[#This Row],[unit_price]]</f>
        <v>99.84</v>
      </c>
      <c r="O1796" t="str">
        <f>_xlfn.XLOOKUP(salesitems[[#This Row],[product_id]],products[product_id],products[product_name])</f>
        <v>Soft Cotton Dress</v>
      </c>
      <c r="P1796" t="str">
        <f>_xlfn.XLOOKUP(salesitems[[#This Row],[product_id]],fashion_store_products!A:A,fashion_store_products!C:C)</f>
        <v>Dresses</v>
      </c>
    </row>
    <row r="1797" spans="1:16" x14ac:dyDescent="0.45">
      <c r="A1797">
        <v>3271</v>
      </c>
      <c r="B1797">
        <v>440</v>
      </c>
      <c r="C1797">
        <v>454</v>
      </c>
      <c r="D1797">
        <v>4</v>
      </c>
      <c r="E1797">
        <v>35.159999999999997</v>
      </c>
      <c r="F1797">
        <v>24.61</v>
      </c>
      <c r="G1797">
        <v>10.55</v>
      </c>
      <c r="H1797" s="2">
        <v>0.3</v>
      </c>
      <c r="I1797">
        <v>1</v>
      </c>
      <c r="J1797">
        <v>98.45</v>
      </c>
      <c r="K1797" s="1">
        <v>45792</v>
      </c>
      <c r="L1797" t="s">
        <v>15</v>
      </c>
      <c r="M1797" t="s">
        <v>15</v>
      </c>
      <c r="N1797">
        <f>salesitems[[#This Row],[quantity]]*salesitems[[#This Row],[unit_price]]</f>
        <v>98.44</v>
      </c>
      <c r="O1797" t="str">
        <f>_xlfn.XLOOKUP(salesitems[[#This Row],[product_id]],products[product_id],products[product_name])</f>
        <v>Bold Crew Set</v>
      </c>
      <c r="P1797" t="str">
        <f>_xlfn.XLOOKUP(salesitems[[#This Row],[product_id]],fashion_store_products!A:A,fashion_store_products!C:C)</f>
        <v>Sleepwear</v>
      </c>
    </row>
    <row r="1798" spans="1:16" x14ac:dyDescent="0.45">
      <c r="A1798">
        <v>279</v>
      </c>
      <c r="B1798">
        <v>615</v>
      </c>
      <c r="C1798">
        <v>405</v>
      </c>
      <c r="D1798">
        <v>4</v>
      </c>
      <c r="E1798">
        <v>34.71</v>
      </c>
      <c r="F1798">
        <v>24.3</v>
      </c>
      <c r="G1798">
        <v>10.41</v>
      </c>
      <c r="H1798" s="2">
        <v>0.3</v>
      </c>
      <c r="I1798">
        <v>1</v>
      </c>
      <c r="J1798">
        <v>97.19</v>
      </c>
      <c r="K1798" s="1">
        <v>45793</v>
      </c>
      <c r="L1798" t="s">
        <v>15</v>
      </c>
      <c r="M1798" t="s">
        <v>15</v>
      </c>
      <c r="N1798">
        <f>salesitems[[#This Row],[quantity]]*salesitems[[#This Row],[unit_price]]</f>
        <v>97.2</v>
      </c>
      <c r="O1798" t="str">
        <f>_xlfn.XLOOKUP(salesitems[[#This Row],[product_id]],products[product_id],products[product_name])</f>
        <v>Elegant Silk Dress</v>
      </c>
      <c r="P1798" t="str">
        <f>_xlfn.XLOOKUP(salesitems[[#This Row],[product_id]],fashion_store_products!A:A,fashion_store_products!C:C)</f>
        <v>Dresses</v>
      </c>
    </row>
    <row r="1799" spans="1:16" x14ac:dyDescent="0.45">
      <c r="A1799">
        <v>1878</v>
      </c>
      <c r="B1799">
        <v>222</v>
      </c>
      <c r="C1799">
        <v>66</v>
      </c>
      <c r="D1799">
        <v>4</v>
      </c>
      <c r="E1799">
        <v>24.13</v>
      </c>
      <c r="F1799">
        <v>24.13</v>
      </c>
      <c r="G1799">
        <v>0</v>
      </c>
      <c r="H1799" s="2">
        <v>0</v>
      </c>
      <c r="I1799">
        <v>0</v>
      </c>
      <c r="J1799">
        <v>96.52</v>
      </c>
      <c r="K1799" s="1">
        <v>45798</v>
      </c>
      <c r="L1799" t="s">
        <v>15</v>
      </c>
      <c r="M1799" t="s">
        <v>15</v>
      </c>
      <c r="N1799">
        <f>salesitems[[#This Row],[quantity]]*salesitems[[#This Row],[unit_price]]</f>
        <v>96.52</v>
      </c>
      <c r="O1799" t="str">
        <f>_xlfn.XLOOKUP(salesitems[[#This Row],[product_id]],products[product_id],products[product_name])</f>
        <v>Modern High-Waist Dress</v>
      </c>
      <c r="P1799" t="str">
        <f>_xlfn.XLOOKUP(salesitems[[#This Row],[product_id]],fashion_store_products!A:A,fashion_store_products!C:C)</f>
        <v>Dresses</v>
      </c>
    </row>
    <row r="1800" spans="1:16" x14ac:dyDescent="0.45">
      <c r="A1800">
        <v>1572</v>
      </c>
      <c r="B1800">
        <v>286</v>
      </c>
      <c r="C1800">
        <v>13</v>
      </c>
      <c r="D1800">
        <v>4</v>
      </c>
      <c r="E1800">
        <v>34.25</v>
      </c>
      <c r="F1800">
        <v>23.98</v>
      </c>
      <c r="G1800">
        <v>10.28</v>
      </c>
      <c r="H1800" s="2">
        <v>0.3</v>
      </c>
      <c r="I1800">
        <v>1</v>
      </c>
      <c r="J1800">
        <v>95.9</v>
      </c>
      <c r="K1800" s="1">
        <v>45795</v>
      </c>
      <c r="L1800" t="s">
        <v>15</v>
      </c>
      <c r="M1800" t="s">
        <v>15</v>
      </c>
      <c r="N1800">
        <f>salesitems[[#This Row],[quantity]]*salesitems[[#This Row],[unit_price]]</f>
        <v>95.92</v>
      </c>
      <c r="O1800" t="str">
        <f>_xlfn.XLOOKUP(salesitems[[#This Row],[product_id]],products[product_id],products[product_name])</f>
        <v>Soft Cotton Shoes</v>
      </c>
      <c r="P1800" t="str">
        <f>_xlfn.XLOOKUP(salesitems[[#This Row],[product_id]],fashion_store_products!A:A,fashion_store_products!C:C)</f>
        <v>Shoes</v>
      </c>
    </row>
    <row r="1801" spans="1:16" x14ac:dyDescent="0.45">
      <c r="A1801">
        <v>2692</v>
      </c>
      <c r="B1801">
        <v>621</v>
      </c>
      <c r="C1801">
        <v>430</v>
      </c>
      <c r="D1801">
        <v>4</v>
      </c>
      <c r="E1801">
        <v>33.979999999999997</v>
      </c>
      <c r="F1801">
        <v>23.79</v>
      </c>
      <c r="G1801">
        <v>10.19</v>
      </c>
      <c r="H1801" s="2">
        <v>0.3</v>
      </c>
      <c r="I1801">
        <v>1</v>
      </c>
      <c r="J1801">
        <v>95.14</v>
      </c>
      <c r="K1801" s="1">
        <v>45792</v>
      </c>
      <c r="L1801" t="s">
        <v>15</v>
      </c>
      <c r="M1801" t="s">
        <v>15</v>
      </c>
      <c r="N1801">
        <f>salesitems[[#This Row],[quantity]]*salesitems[[#This Row],[unit_price]]</f>
        <v>95.16</v>
      </c>
      <c r="O1801" t="str">
        <f>_xlfn.XLOOKUP(salesitems[[#This Row],[product_id]],products[product_id],products[product_name])</f>
        <v>Bold Linen Set</v>
      </c>
      <c r="P1801" t="str">
        <f>_xlfn.XLOOKUP(salesitems[[#This Row],[product_id]],fashion_store_products!A:A,fashion_store_products!C:C)</f>
        <v>Sleepwear</v>
      </c>
    </row>
    <row r="1802" spans="1:16" x14ac:dyDescent="0.45">
      <c r="A1802">
        <v>500</v>
      </c>
      <c r="B1802">
        <v>81</v>
      </c>
      <c r="C1802">
        <v>298</v>
      </c>
      <c r="D1802">
        <v>4</v>
      </c>
      <c r="E1802">
        <v>33.94</v>
      </c>
      <c r="F1802">
        <v>23.76</v>
      </c>
      <c r="G1802">
        <v>10.18</v>
      </c>
      <c r="H1802" s="2">
        <v>0.3</v>
      </c>
      <c r="I1802">
        <v>1</v>
      </c>
      <c r="J1802">
        <v>95.03</v>
      </c>
      <c r="K1802" s="1">
        <v>45795</v>
      </c>
      <c r="L1802" t="s">
        <v>15</v>
      </c>
      <c r="M1802" t="s">
        <v>15</v>
      </c>
      <c r="N1802">
        <f>salesitems[[#This Row],[quantity]]*salesitems[[#This Row],[unit_price]]</f>
        <v>95.04</v>
      </c>
      <c r="O1802" t="str">
        <f>_xlfn.XLOOKUP(salesitems[[#This Row],[product_id]],products[product_id],products[product_name])</f>
        <v>Essential Boxy Shoes</v>
      </c>
      <c r="P1802" t="str">
        <f>_xlfn.XLOOKUP(salesitems[[#This Row],[product_id]],fashion_store_products!A:A,fashion_store_products!C:C)</f>
        <v>Shoes</v>
      </c>
    </row>
    <row r="1803" spans="1:16" x14ac:dyDescent="0.45">
      <c r="A1803">
        <v>3171</v>
      </c>
      <c r="B1803">
        <v>21</v>
      </c>
      <c r="C1803">
        <v>164</v>
      </c>
      <c r="D1803">
        <v>4</v>
      </c>
      <c r="E1803">
        <v>22.96</v>
      </c>
      <c r="F1803">
        <v>22.96</v>
      </c>
      <c r="G1803">
        <v>0</v>
      </c>
      <c r="H1803" s="2">
        <v>0</v>
      </c>
      <c r="I1803">
        <v>0</v>
      </c>
      <c r="J1803">
        <v>91.84</v>
      </c>
      <c r="K1803" s="1">
        <v>45822</v>
      </c>
      <c r="L1803" t="s">
        <v>21</v>
      </c>
      <c r="M1803" t="s">
        <v>18</v>
      </c>
      <c r="N1803">
        <f>salesitems[[#This Row],[quantity]]*salesitems[[#This Row],[unit_price]]</f>
        <v>91.84</v>
      </c>
      <c r="O1803" t="str">
        <f>_xlfn.XLOOKUP(salesitems[[#This Row],[product_id]],products[product_id],products[product_name])</f>
        <v>Vintage High-Waist Dress</v>
      </c>
      <c r="P1803" t="str">
        <f>_xlfn.XLOOKUP(salesitems[[#This Row],[product_id]],fashion_store_products!A:A,fashion_store_products!C:C)</f>
        <v>Dresses</v>
      </c>
    </row>
    <row r="1804" spans="1:16" x14ac:dyDescent="0.45">
      <c r="A1804">
        <v>1232</v>
      </c>
      <c r="B1804">
        <v>818</v>
      </c>
      <c r="C1804">
        <v>355</v>
      </c>
      <c r="D1804">
        <v>4</v>
      </c>
      <c r="E1804">
        <v>21.38</v>
      </c>
      <c r="F1804">
        <v>21.38</v>
      </c>
      <c r="G1804">
        <v>0</v>
      </c>
      <c r="H1804" s="2">
        <v>0</v>
      </c>
      <c r="I1804">
        <v>0</v>
      </c>
      <c r="J1804">
        <v>85.52</v>
      </c>
      <c r="K1804" s="1">
        <v>45824</v>
      </c>
      <c r="L1804" t="s">
        <v>21</v>
      </c>
      <c r="M1804" t="s">
        <v>18</v>
      </c>
      <c r="N1804">
        <f>salesitems[[#This Row],[quantity]]*salesitems[[#This Row],[unit_price]]</f>
        <v>85.52</v>
      </c>
      <c r="O1804" t="str">
        <f>_xlfn.XLOOKUP(salesitems[[#This Row],[product_id]],products[product_id],products[product_name])</f>
        <v>Relaxed Boxy Trousers</v>
      </c>
      <c r="P1804" t="str">
        <f>_xlfn.XLOOKUP(salesitems[[#This Row],[product_id]],fashion_store_products!A:A,fashion_store_products!C:C)</f>
        <v>Pants</v>
      </c>
    </row>
    <row r="1805" spans="1:16" x14ac:dyDescent="0.45">
      <c r="A1805">
        <v>1886</v>
      </c>
      <c r="B1805">
        <v>668</v>
      </c>
      <c r="C1805">
        <v>334</v>
      </c>
      <c r="D1805">
        <v>4</v>
      </c>
      <c r="E1805">
        <v>20.82</v>
      </c>
      <c r="F1805">
        <v>20.82</v>
      </c>
      <c r="G1805">
        <v>0</v>
      </c>
      <c r="H1805" s="2">
        <v>0</v>
      </c>
      <c r="I1805">
        <v>0</v>
      </c>
      <c r="J1805">
        <v>83.28</v>
      </c>
      <c r="K1805" s="1">
        <v>45767</v>
      </c>
      <c r="L1805" t="s">
        <v>21</v>
      </c>
      <c r="M1805" t="s">
        <v>18</v>
      </c>
      <c r="N1805">
        <f>salesitems[[#This Row],[quantity]]*salesitems[[#This Row],[unit_price]]</f>
        <v>83.28</v>
      </c>
      <c r="O1805" t="str">
        <f>_xlfn.XLOOKUP(salesitems[[#This Row],[product_id]],products[product_id],products[product_name])</f>
        <v>Tailored Ribbed Dress</v>
      </c>
      <c r="P1805" t="str">
        <f>_xlfn.XLOOKUP(salesitems[[#This Row],[product_id]],fashion_store_products!A:A,fashion_store_products!C:C)</f>
        <v>Dresses</v>
      </c>
    </row>
    <row r="1806" spans="1:16" x14ac:dyDescent="0.45">
      <c r="A1806">
        <v>3215</v>
      </c>
      <c r="B1806">
        <v>660</v>
      </c>
      <c r="C1806">
        <v>334</v>
      </c>
      <c r="D1806">
        <v>4</v>
      </c>
      <c r="E1806">
        <v>20.82</v>
      </c>
      <c r="F1806">
        <v>20.82</v>
      </c>
      <c r="G1806">
        <v>0</v>
      </c>
      <c r="H1806" s="2">
        <v>0</v>
      </c>
      <c r="I1806">
        <v>0</v>
      </c>
      <c r="J1806">
        <v>83.28</v>
      </c>
      <c r="K1806" s="1">
        <v>45822</v>
      </c>
      <c r="L1806" t="s">
        <v>15</v>
      </c>
      <c r="M1806" t="s">
        <v>15</v>
      </c>
      <c r="N1806">
        <f>salesitems[[#This Row],[quantity]]*salesitems[[#This Row],[unit_price]]</f>
        <v>83.28</v>
      </c>
      <c r="O1806" t="str">
        <f>_xlfn.XLOOKUP(salesitems[[#This Row],[product_id]],products[product_id],products[product_name])</f>
        <v>Tailored Ribbed Dress</v>
      </c>
      <c r="P1806" t="str">
        <f>_xlfn.XLOOKUP(salesitems[[#This Row],[product_id]],fashion_store_products!A:A,fashion_store_products!C:C)</f>
        <v>Dresses</v>
      </c>
    </row>
    <row r="1807" spans="1:16" x14ac:dyDescent="0.45">
      <c r="A1807">
        <v>1796</v>
      </c>
      <c r="B1807">
        <v>234</v>
      </c>
      <c r="C1807">
        <v>346</v>
      </c>
      <c r="D1807">
        <v>4</v>
      </c>
      <c r="E1807">
        <v>15.31</v>
      </c>
      <c r="F1807">
        <v>15.31</v>
      </c>
      <c r="G1807">
        <v>0</v>
      </c>
      <c r="H1807" s="2">
        <v>0</v>
      </c>
      <c r="I1807">
        <v>0</v>
      </c>
      <c r="J1807">
        <v>61.24</v>
      </c>
      <c r="K1807" s="1">
        <v>45797</v>
      </c>
      <c r="L1807" t="s">
        <v>15</v>
      </c>
      <c r="M1807" t="s">
        <v>15</v>
      </c>
      <c r="N1807">
        <f>salesitems[[#This Row],[quantity]]*salesitems[[#This Row],[unit_price]]</f>
        <v>61.24</v>
      </c>
      <c r="O1807" t="str">
        <f>_xlfn.XLOOKUP(salesitems[[#This Row],[product_id]],products[product_id],products[product_name])</f>
        <v>Relaxed Crew Trousers</v>
      </c>
      <c r="P1807" t="str">
        <f>_xlfn.XLOOKUP(salesitems[[#This Row],[product_id]],fashion_store_products!A:A,fashion_store_products!C:C)</f>
        <v>Pants</v>
      </c>
    </row>
    <row r="1808" spans="1:16" x14ac:dyDescent="0.45">
      <c r="A1808">
        <v>1537</v>
      </c>
      <c r="B1808">
        <v>193</v>
      </c>
      <c r="C1808">
        <v>198</v>
      </c>
      <c r="D1808">
        <v>4</v>
      </c>
      <c r="E1808">
        <v>14.64</v>
      </c>
      <c r="F1808">
        <v>14.64</v>
      </c>
      <c r="G1808">
        <v>0</v>
      </c>
      <c r="H1808" s="2">
        <v>0</v>
      </c>
      <c r="I1808">
        <v>0</v>
      </c>
      <c r="J1808">
        <v>58.56</v>
      </c>
      <c r="K1808" s="1">
        <v>45795</v>
      </c>
      <c r="L1808" t="s">
        <v>21</v>
      </c>
      <c r="M1808" t="s">
        <v>18</v>
      </c>
      <c r="N1808">
        <f>salesitems[[#This Row],[quantity]]*salesitems[[#This Row],[unit_price]]</f>
        <v>58.56</v>
      </c>
      <c r="O1808" t="str">
        <f>_xlfn.XLOOKUP(salesitems[[#This Row],[product_id]],products[product_id],products[product_name])</f>
        <v>Polished Crew Dress</v>
      </c>
      <c r="P1808" t="str">
        <f>_xlfn.XLOOKUP(salesitems[[#This Row],[product_id]],fashion_store_products!A:A,fashion_store_products!C:C)</f>
        <v>Dresses</v>
      </c>
    </row>
    <row r="1809" spans="1:16" x14ac:dyDescent="0.45">
      <c r="A1809">
        <v>896</v>
      </c>
      <c r="B1809">
        <v>376</v>
      </c>
      <c r="C1809">
        <v>195</v>
      </c>
      <c r="D1809">
        <v>4</v>
      </c>
      <c r="E1809">
        <v>16.690000000000001</v>
      </c>
      <c r="F1809">
        <v>11.68</v>
      </c>
      <c r="G1809">
        <v>5.01</v>
      </c>
      <c r="H1809" s="2">
        <v>0.3</v>
      </c>
      <c r="I1809">
        <v>1</v>
      </c>
      <c r="J1809">
        <v>46.73</v>
      </c>
      <c r="K1809" s="1">
        <v>45796</v>
      </c>
      <c r="L1809" t="s">
        <v>15</v>
      </c>
      <c r="M1809" t="s">
        <v>15</v>
      </c>
      <c r="N1809">
        <f>salesitems[[#This Row],[quantity]]*salesitems[[#This Row],[unit_price]]</f>
        <v>46.72</v>
      </c>
      <c r="O1809" t="str">
        <f>_xlfn.XLOOKUP(salesitems[[#This Row],[product_id]],products[product_id],products[product_name])</f>
        <v>Vintage Crew Tee</v>
      </c>
      <c r="P1809" t="str">
        <f>_xlfn.XLOOKUP(salesitems[[#This Row],[product_id]],fashion_store_products!A:A,fashion_store_products!C:C)</f>
        <v>T-Shirts</v>
      </c>
    </row>
    <row r="1810" spans="1:16" x14ac:dyDescent="0.45">
      <c r="A1810">
        <v>2322</v>
      </c>
      <c r="B1810">
        <v>420</v>
      </c>
      <c r="C1810">
        <v>71</v>
      </c>
      <c r="D1810">
        <v>5</v>
      </c>
      <c r="E1810">
        <v>80.760000000000005</v>
      </c>
      <c r="F1810">
        <v>80.760000000000005</v>
      </c>
      <c r="G1810">
        <v>0</v>
      </c>
      <c r="H1810" s="2">
        <v>0</v>
      </c>
      <c r="I1810">
        <v>0</v>
      </c>
      <c r="J1810">
        <v>403.8</v>
      </c>
      <c r="K1810" s="1">
        <v>45824</v>
      </c>
      <c r="L1810" t="s">
        <v>15</v>
      </c>
      <c r="M1810" t="s">
        <v>15</v>
      </c>
      <c r="N1810">
        <f>salesitems[[#This Row],[quantity]]*salesitems[[#This Row],[unit_price]]</f>
        <v>403.8</v>
      </c>
      <c r="O1810" t="str">
        <f>_xlfn.XLOOKUP(salesitems[[#This Row],[product_id]],products[product_id],products[product_name])</f>
        <v>Modern Ribbed Trousers</v>
      </c>
      <c r="P1810" t="str">
        <f>_xlfn.XLOOKUP(salesitems[[#This Row],[product_id]],fashion_store_products!A:A,fashion_store_products!C:C)</f>
        <v>Pants</v>
      </c>
    </row>
    <row r="1811" spans="1:16" x14ac:dyDescent="0.45">
      <c r="A1811">
        <v>2570</v>
      </c>
      <c r="B1811">
        <v>336</v>
      </c>
      <c r="C1811">
        <v>234</v>
      </c>
      <c r="D1811">
        <v>5</v>
      </c>
      <c r="E1811">
        <v>80</v>
      </c>
      <c r="F1811">
        <v>80</v>
      </c>
      <c r="G1811">
        <v>0</v>
      </c>
      <c r="H1811" s="2">
        <v>0</v>
      </c>
      <c r="I1811">
        <v>0</v>
      </c>
      <c r="J1811">
        <v>400</v>
      </c>
      <c r="K1811" s="1">
        <v>45825</v>
      </c>
      <c r="L1811" t="s">
        <v>21</v>
      </c>
      <c r="M1811" t="s">
        <v>18</v>
      </c>
      <c r="N1811">
        <f>salesitems[[#This Row],[quantity]]*salesitems[[#This Row],[unit_price]]</f>
        <v>400</v>
      </c>
      <c r="O1811" t="str">
        <f>_xlfn.XLOOKUP(salesitems[[#This Row],[product_id]],products[product_id],products[product_name])</f>
        <v>Polished Sleeveless Tee</v>
      </c>
      <c r="P1811" t="str">
        <f>_xlfn.XLOOKUP(salesitems[[#This Row],[product_id]],fashion_store_products!A:A,fashion_store_products!C:C)</f>
        <v>T-Shirts</v>
      </c>
    </row>
    <row r="1812" spans="1:16" x14ac:dyDescent="0.45">
      <c r="A1812">
        <v>856</v>
      </c>
      <c r="B1812">
        <v>800</v>
      </c>
      <c r="C1812">
        <v>10</v>
      </c>
      <c r="D1812">
        <v>5</v>
      </c>
      <c r="E1812">
        <v>79.7</v>
      </c>
      <c r="F1812">
        <v>79.7</v>
      </c>
      <c r="G1812">
        <v>0</v>
      </c>
      <c r="H1812" s="2">
        <v>0</v>
      </c>
      <c r="I1812">
        <v>0</v>
      </c>
      <c r="J1812">
        <v>398.5</v>
      </c>
      <c r="K1812" s="1">
        <v>45801</v>
      </c>
      <c r="L1812" t="s">
        <v>21</v>
      </c>
      <c r="M1812" t="s">
        <v>18</v>
      </c>
      <c r="N1812">
        <f>salesitems[[#This Row],[quantity]]*salesitems[[#This Row],[unit_price]]</f>
        <v>398.5</v>
      </c>
      <c r="O1812" t="str">
        <f>_xlfn.XLOOKUP(salesitems[[#This Row],[product_id]],products[product_id],products[product_name])</f>
        <v>Soft Ribbed Trousers</v>
      </c>
      <c r="P1812" t="str">
        <f>_xlfn.XLOOKUP(salesitems[[#This Row],[product_id]],fashion_store_products!A:A,fashion_store_products!C:C)</f>
        <v>Pants</v>
      </c>
    </row>
    <row r="1813" spans="1:16" x14ac:dyDescent="0.45">
      <c r="A1813">
        <v>250</v>
      </c>
      <c r="B1813">
        <v>597</v>
      </c>
      <c r="C1813">
        <v>98</v>
      </c>
      <c r="D1813">
        <v>5</v>
      </c>
      <c r="E1813">
        <v>78.52</v>
      </c>
      <c r="F1813">
        <v>78.52</v>
      </c>
      <c r="G1813">
        <v>0</v>
      </c>
      <c r="H1813" s="2">
        <v>0</v>
      </c>
      <c r="I1813">
        <v>0</v>
      </c>
      <c r="J1813">
        <v>392.6</v>
      </c>
      <c r="K1813" s="1">
        <v>45765</v>
      </c>
      <c r="L1813" t="s">
        <v>15</v>
      </c>
      <c r="M1813" t="s">
        <v>15</v>
      </c>
      <c r="N1813">
        <f>salesitems[[#This Row],[quantity]]*salesitems[[#This Row],[unit_price]]</f>
        <v>392.59999999999997</v>
      </c>
      <c r="O1813" t="str">
        <f>_xlfn.XLOOKUP(salesitems[[#This Row],[product_id]],products[product_id],products[product_name])</f>
        <v>Modern Boxy Shoes</v>
      </c>
      <c r="P1813" t="str">
        <f>_xlfn.XLOOKUP(salesitems[[#This Row],[product_id]],fashion_store_products!A:A,fashion_store_products!C:C)</f>
        <v>Shoes</v>
      </c>
    </row>
    <row r="1814" spans="1:16" x14ac:dyDescent="0.45">
      <c r="A1814">
        <v>580</v>
      </c>
      <c r="B1814">
        <v>86</v>
      </c>
      <c r="C1814">
        <v>98</v>
      </c>
      <c r="D1814">
        <v>5</v>
      </c>
      <c r="E1814">
        <v>78.52</v>
      </c>
      <c r="F1814">
        <v>78.52</v>
      </c>
      <c r="G1814">
        <v>0</v>
      </c>
      <c r="H1814" s="2">
        <v>0</v>
      </c>
      <c r="I1814">
        <v>0</v>
      </c>
      <c r="J1814">
        <v>392.6</v>
      </c>
      <c r="K1814" s="1">
        <v>45823</v>
      </c>
      <c r="L1814" t="s">
        <v>15</v>
      </c>
      <c r="M1814" t="s">
        <v>15</v>
      </c>
      <c r="N1814">
        <f>salesitems[[#This Row],[quantity]]*salesitems[[#This Row],[unit_price]]</f>
        <v>392.59999999999997</v>
      </c>
      <c r="O1814" t="str">
        <f>_xlfn.XLOOKUP(salesitems[[#This Row],[product_id]],products[product_id],products[product_name])</f>
        <v>Modern Boxy Shoes</v>
      </c>
      <c r="P1814" t="str">
        <f>_xlfn.XLOOKUP(salesitems[[#This Row],[product_id]],fashion_store_products!A:A,fashion_store_products!C:C)</f>
        <v>Shoes</v>
      </c>
    </row>
    <row r="1815" spans="1:16" x14ac:dyDescent="0.45">
      <c r="A1815">
        <v>1643</v>
      </c>
      <c r="B1815">
        <v>382</v>
      </c>
      <c r="C1815">
        <v>2</v>
      </c>
      <c r="D1815">
        <v>5</v>
      </c>
      <c r="E1815">
        <v>78.45</v>
      </c>
      <c r="F1815">
        <v>78.45</v>
      </c>
      <c r="G1815">
        <v>0</v>
      </c>
      <c r="H1815" s="2">
        <v>0</v>
      </c>
      <c r="I1815">
        <v>0</v>
      </c>
      <c r="J1815">
        <v>392.25</v>
      </c>
      <c r="K1815" s="1">
        <v>45773</v>
      </c>
      <c r="L1815" t="s">
        <v>21</v>
      </c>
      <c r="M1815" t="s">
        <v>18</v>
      </c>
      <c r="N1815">
        <f>salesitems[[#This Row],[quantity]]*salesitems[[#This Row],[unit_price]]</f>
        <v>392.25</v>
      </c>
      <c r="O1815" t="str">
        <f>_xlfn.XLOOKUP(salesitems[[#This Row],[product_id]],products[product_id],products[product_name])</f>
        <v>Soft Wrap Tee</v>
      </c>
      <c r="P1815" t="str">
        <f>_xlfn.XLOOKUP(salesitems[[#This Row],[product_id]],fashion_store_products!A:A,fashion_store_products!C:C)</f>
        <v>T-Shirts</v>
      </c>
    </row>
    <row r="1816" spans="1:16" x14ac:dyDescent="0.45">
      <c r="A1816">
        <v>3261</v>
      </c>
      <c r="B1816">
        <v>52</v>
      </c>
      <c r="C1816">
        <v>2</v>
      </c>
      <c r="D1816">
        <v>5</v>
      </c>
      <c r="E1816">
        <v>78.45</v>
      </c>
      <c r="F1816">
        <v>78.45</v>
      </c>
      <c r="G1816">
        <v>0</v>
      </c>
      <c r="H1816" s="2">
        <v>0</v>
      </c>
      <c r="I1816">
        <v>0</v>
      </c>
      <c r="J1816">
        <v>392.25</v>
      </c>
      <c r="K1816" s="1">
        <v>45798</v>
      </c>
      <c r="L1816" t="s">
        <v>21</v>
      </c>
      <c r="M1816" t="s">
        <v>18</v>
      </c>
      <c r="N1816">
        <f>salesitems[[#This Row],[quantity]]*salesitems[[#This Row],[unit_price]]</f>
        <v>392.25</v>
      </c>
      <c r="O1816" t="str">
        <f>_xlfn.XLOOKUP(salesitems[[#This Row],[product_id]],products[product_id],products[product_name])</f>
        <v>Soft Wrap Tee</v>
      </c>
      <c r="P1816" t="str">
        <f>_xlfn.XLOOKUP(salesitems[[#This Row],[product_id]],fashion_store_products!A:A,fashion_store_products!C:C)</f>
        <v>T-Shirts</v>
      </c>
    </row>
    <row r="1817" spans="1:16" x14ac:dyDescent="0.45">
      <c r="A1817">
        <v>2037</v>
      </c>
      <c r="B1817">
        <v>406</v>
      </c>
      <c r="C1817">
        <v>269</v>
      </c>
      <c r="D1817">
        <v>5</v>
      </c>
      <c r="E1817">
        <v>77.59</v>
      </c>
      <c r="F1817">
        <v>77.59</v>
      </c>
      <c r="G1817">
        <v>0</v>
      </c>
      <c r="H1817" s="2">
        <v>0</v>
      </c>
      <c r="I1817">
        <v>0</v>
      </c>
      <c r="J1817">
        <v>387.95</v>
      </c>
      <c r="K1817" s="1">
        <v>45791</v>
      </c>
      <c r="L1817" t="s">
        <v>21</v>
      </c>
      <c r="M1817" t="s">
        <v>18</v>
      </c>
      <c r="N1817">
        <f>salesitems[[#This Row],[quantity]]*salesitems[[#This Row],[unit_price]]</f>
        <v>387.95000000000005</v>
      </c>
      <c r="O1817" t="str">
        <f>_xlfn.XLOOKUP(salesitems[[#This Row],[product_id]],products[product_id],products[product_name])</f>
        <v>Relaxed Crew Dress</v>
      </c>
      <c r="P1817" t="str">
        <f>_xlfn.XLOOKUP(salesitems[[#This Row],[product_id]],fashion_store_products!A:A,fashion_store_products!C:C)</f>
        <v>Dresses</v>
      </c>
    </row>
    <row r="1818" spans="1:16" x14ac:dyDescent="0.45">
      <c r="A1818">
        <v>1016</v>
      </c>
      <c r="B1818">
        <v>390</v>
      </c>
      <c r="C1818">
        <v>413</v>
      </c>
      <c r="D1818">
        <v>5</v>
      </c>
      <c r="E1818">
        <v>76.150000000000006</v>
      </c>
      <c r="F1818">
        <v>76.150000000000006</v>
      </c>
      <c r="G1818">
        <v>0</v>
      </c>
      <c r="H1818" s="2">
        <v>0</v>
      </c>
      <c r="I1818">
        <v>0</v>
      </c>
      <c r="J1818">
        <v>380.75</v>
      </c>
      <c r="K1818" s="1">
        <v>45797</v>
      </c>
      <c r="L1818" t="s">
        <v>15</v>
      </c>
      <c r="M1818" t="s">
        <v>15</v>
      </c>
      <c r="N1818">
        <f>salesitems[[#This Row],[quantity]]*salesitems[[#This Row],[unit_price]]</f>
        <v>380.75</v>
      </c>
      <c r="O1818" t="str">
        <f>_xlfn.XLOOKUP(salesitems[[#This Row],[product_id]],products[product_id],products[product_name])</f>
        <v>Elegant Satin Shoes</v>
      </c>
      <c r="P1818" t="str">
        <f>_xlfn.XLOOKUP(salesitems[[#This Row],[product_id]],fashion_store_products!A:A,fashion_store_products!C:C)</f>
        <v>Shoes</v>
      </c>
    </row>
    <row r="1819" spans="1:16" x14ac:dyDescent="0.45">
      <c r="A1819">
        <v>2432</v>
      </c>
      <c r="B1819">
        <v>790</v>
      </c>
      <c r="C1819">
        <v>448</v>
      </c>
      <c r="D1819">
        <v>5</v>
      </c>
      <c r="E1819">
        <v>75.62</v>
      </c>
      <c r="F1819">
        <v>75.62</v>
      </c>
      <c r="G1819">
        <v>0</v>
      </c>
      <c r="H1819" s="2">
        <v>0</v>
      </c>
      <c r="I1819">
        <v>0</v>
      </c>
      <c r="J1819">
        <v>378.1</v>
      </c>
      <c r="K1819" s="1">
        <v>45766</v>
      </c>
      <c r="L1819" t="s">
        <v>21</v>
      </c>
      <c r="M1819" t="s">
        <v>18</v>
      </c>
      <c r="N1819">
        <f>salesitems[[#This Row],[quantity]]*salesitems[[#This Row],[unit_price]]</f>
        <v>378.1</v>
      </c>
      <c r="O1819" t="str">
        <f>_xlfn.XLOOKUP(salesitems[[#This Row],[product_id]],products[product_id],products[product_name])</f>
        <v>Bold Silk Dress</v>
      </c>
      <c r="P1819" t="str">
        <f>_xlfn.XLOOKUP(salesitems[[#This Row],[product_id]],fashion_store_products!A:A,fashion_store_products!C:C)</f>
        <v>Dresses</v>
      </c>
    </row>
    <row r="1820" spans="1:16" x14ac:dyDescent="0.45">
      <c r="A1820">
        <v>2894</v>
      </c>
      <c r="B1820">
        <v>359</v>
      </c>
      <c r="C1820">
        <v>392</v>
      </c>
      <c r="D1820">
        <v>5</v>
      </c>
      <c r="E1820">
        <v>75.47</v>
      </c>
      <c r="F1820">
        <v>75.47</v>
      </c>
      <c r="G1820">
        <v>0</v>
      </c>
      <c r="H1820" s="2">
        <v>0</v>
      </c>
      <c r="I1820">
        <v>0</v>
      </c>
      <c r="J1820">
        <v>377.35</v>
      </c>
      <c r="K1820" s="1">
        <v>45765</v>
      </c>
      <c r="L1820" t="s">
        <v>15</v>
      </c>
      <c r="M1820" t="s">
        <v>15</v>
      </c>
      <c r="N1820">
        <f>salesitems[[#This Row],[quantity]]*salesitems[[#This Row],[unit_price]]</f>
        <v>377.35</v>
      </c>
      <c r="O1820" t="str">
        <f>_xlfn.XLOOKUP(salesitems[[#This Row],[product_id]],products[product_id],products[product_name])</f>
        <v>Elegant Wrap Shoes</v>
      </c>
      <c r="P1820" t="str">
        <f>_xlfn.XLOOKUP(salesitems[[#This Row],[product_id]],fashion_store_products!A:A,fashion_store_products!C:C)</f>
        <v>Shoes</v>
      </c>
    </row>
    <row r="1821" spans="1:16" x14ac:dyDescent="0.45">
      <c r="A1821">
        <v>1015</v>
      </c>
      <c r="B1821">
        <v>1194</v>
      </c>
      <c r="C1821">
        <v>224</v>
      </c>
      <c r="D1821">
        <v>5</v>
      </c>
      <c r="E1821">
        <v>75.400000000000006</v>
      </c>
      <c r="F1821">
        <v>75.400000000000006</v>
      </c>
      <c r="G1821">
        <v>0</v>
      </c>
      <c r="H1821" s="2">
        <v>0</v>
      </c>
      <c r="I1821">
        <v>0</v>
      </c>
      <c r="J1821">
        <v>377</v>
      </c>
      <c r="K1821" s="1">
        <v>45790</v>
      </c>
      <c r="L1821" t="s">
        <v>21</v>
      </c>
      <c r="M1821" t="s">
        <v>18</v>
      </c>
      <c r="N1821">
        <f>salesitems[[#This Row],[quantity]]*salesitems[[#This Row],[unit_price]]</f>
        <v>377</v>
      </c>
      <c r="O1821" t="str">
        <f>_xlfn.XLOOKUP(salesitems[[#This Row],[product_id]],products[product_id],products[product_name])</f>
        <v>Relaxed Linen Dress</v>
      </c>
      <c r="P1821" t="str">
        <f>_xlfn.XLOOKUP(salesitems[[#This Row],[product_id]],fashion_store_products!A:A,fashion_store_products!C:C)</f>
        <v>Dresses</v>
      </c>
    </row>
    <row r="1822" spans="1:16" x14ac:dyDescent="0.45">
      <c r="A1822">
        <v>3017</v>
      </c>
      <c r="B1822">
        <v>167</v>
      </c>
      <c r="C1822">
        <v>224</v>
      </c>
      <c r="D1822">
        <v>5</v>
      </c>
      <c r="E1822">
        <v>75.400000000000006</v>
      </c>
      <c r="F1822">
        <v>75.400000000000006</v>
      </c>
      <c r="G1822">
        <v>0</v>
      </c>
      <c r="H1822" s="2">
        <v>0</v>
      </c>
      <c r="I1822">
        <v>0</v>
      </c>
      <c r="J1822">
        <v>377</v>
      </c>
      <c r="K1822" s="1">
        <v>45795</v>
      </c>
      <c r="L1822" t="s">
        <v>21</v>
      </c>
      <c r="M1822" t="s">
        <v>18</v>
      </c>
      <c r="N1822">
        <f>salesitems[[#This Row],[quantity]]*salesitems[[#This Row],[unit_price]]</f>
        <v>377</v>
      </c>
      <c r="O1822" t="str">
        <f>_xlfn.XLOOKUP(salesitems[[#This Row],[product_id]],products[product_id],products[product_name])</f>
        <v>Relaxed Linen Dress</v>
      </c>
      <c r="P1822" t="str">
        <f>_xlfn.XLOOKUP(salesitems[[#This Row],[product_id]],fashion_store_products!A:A,fashion_store_products!C:C)</f>
        <v>Dresses</v>
      </c>
    </row>
    <row r="1823" spans="1:16" x14ac:dyDescent="0.45">
      <c r="A1823">
        <v>2993</v>
      </c>
      <c r="B1823">
        <v>433</v>
      </c>
      <c r="C1823">
        <v>459</v>
      </c>
      <c r="D1823">
        <v>5</v>
      </c>
      <c r="E1823">
        <v>75.17</v>
      </c>
      <c r="F1823">
        <v>75.17</v>
      </c>
      <c r="G1823">
        <v>0</v>
      </c>
      <c r="H1823" s="2">
        <v>0</v>
      </c>
      <c r="I1823">
        <v>0</v>
      </c>
      <c r="J1823">
        <v>375.85</v>
      </c>
      <c r="K1823" s="1">
        <v>45807</v>
      </c>
      <c r="L1823" t="s">
        <v>15</v>
      </c>
      <c r="M1823" t="s">
        <v>15</v>
      </c>
      <c r="N1823">
        <f>salesitems[[#This Row],[quantity]]*salesitems[[#This Row],[unit_price]]</f>
        <v>375.85</v>
      </c>
      <c r="O1823" t="str">
        <f>_xlfn.XLOOKUP(salesitems[[#This Row],[product_id]],products[product_id],products[product_name])</f>
        <v>Bold High-Waist Dress</v>
      </c>
      <c r="P1823" t="str">
        <f>_xlfn.XLOOKUP(salesitems[[#This Row],[product_id]],fashion_store_products!A:A,fashion_store_products!C:C)</f>
        <v>Dresses</v>
      </c>
    </row>
    <row r="1824" spans="1:16" x14ac:dyDescent="0.45">
      <c r="A1824">
        <v>2947</v>
      </c>
      <c r="B1824">
        <v>850</v>
      </c>
      <c r="C1824">
        <v>116</v>
      </c>
      <c r="D1824">
        <v>5</v>
      </c>
      <c r="E1824">
        <v>74.81</v>
      </c>
      <c r="F1824">
        <v>74.81</v>
      </c>
      <c r="G1824">
        <v>0</v>
      </c>
      <c r="H1824" s="2">
        <v>0</v>
      </c>
      <c r="I1824">
        <v>0</v>
      </c>
      <c r="J1824">
        <v>374.05</v>
      </c>
      <c r="K1824" s="1">
        <v>45766</v>
      </c>
      <c r="L1824" t="s">
        <v>21</v>
      </c>
      <c r="M1824" t="s">
        <v>18</v>
      </c>
      <c r="N1824">
        <f>salesitems[[#This Row],[quantity]]*salesitems[[#This Row],[unit_price]]</f>
        <v>374.05</v>
      </c>
      <c r="O1824" t="str">
        <f>_xlfn.XLOOKUP(salesitems[[#This Row],[product_id]],products[product_id],products[product_name])</f>
        <v>Modern High-Waist Trousers</v>
      </c>
      <c r="P1824" t="str">
        <f>_xlfn.XLOOKUP(salesitems[[#This Row],[product_id]],fashion_store_products!A:A,fashion_store_products!C:C)</f>
        <v>Pants</v>
      </c>
    </row>
    <row r="1825" spans="1:16" x14ac:dyDescent="0.45">
      <c r="A1825">
        <v>2751</v>
      </c>
      <c r="B1825">
        <v>72</v>
      </c>
      <c r="C1825">
        <v>306</v>
      </c>
      <c r="D1825">
        <v>5</v>
      </c>
      <c r="E1825">
        <v>74.67</v>
      </c>
      <c r="F1825">
        <v>74.67</v>
      </c>
      <c r="G1825">
        <v>0</v>
      </c>
      <c r="H1825" s="2">
        <v>0</v>
      </c>
      <c r="I1825">
        <v>0</v>
      </c>
      <c r="J1825">
        <v>373.35</v>
      </c>
      <c r="K1825" s="1">
        <v>45796</v>
      </c>
      <c r="L1825" t="s">
        <v>21</v>
      </c>
      <c r="M1825" t="s">
        <v>18</v>
      </c>
      <c r="N1825">
        <f>salesitems[[#This Row],[quantity]]*salesitems[[#This Row],[unit_price]]</f>
        <v>373.35</v>
      </c>
      <c r="O1825" t="str">
        <f>_xlfn.XLOOKUP(salesitems[[#This Row],[product_id]],products[product_id],products[product_name])</f>
        <v>Relaxed Silk Set</v>
      </c>
      <c r="P1825" t="str">
        <f>_xlfn.XLOOKUP(salesitems[[#This Row],[product_id]],fashion_store_products!A:A,fashion_store_products!C:C)</f>
        <v>Sleepwear</v>
      </c>
    </row>
    <row r="1826" spans="1:16" x14ac:dyDescent="0.45">
      <c r="A1826">
        <v>506</v>
      </c>
      <c r="B1826">
        <v>601</v>
      </c>
      <c r="C1826">
        <v>320</v>
      </c>
      <c r="D1826">
        <v>5</v>
      </c>
      <c r="E1826">
        <v>74.260000000000005</v>
      </c>
      <c r="F1826">
        <v>74.260000000000005</v>
      </c>
      <c r="G1826">
        <v>0</v>
      </c>
      <c r="H1826" s="2">
        <v>0</v>
      </c>
      <c r="I1826">
        <v>0</v>
      </c>
      <c r="J1826">
        <v>371.3</v>
      </c>
      <c r="K1826" s="1">
        <v>45808</v>
      </c>
      <c r="L1826" t="s">
        <v>21</v>
      </c>
      <c r="M1826" t="s">
        <v>18</v>
      </c>
      <c r="N1826">
        <f>salesitems[[#This Row],[quantity]]*salesitems[[#This Row],[unit_price]]</f>
        <v>371.3</v>
      </c>
      <c r="O1826" t="str">
        <f>_xlfn.XLOOKUP(salesitems[[#This Row],[product_id]],products[product_id],products[product_name])</f>
        <v>Essential Crew Dress</v>
      </c>
      <c r="P1826" t="str">
        <f>_xlfn.XLOOKUP(salesitems[[#This Row],[product_id]],fashion_store_products!A:A,fashion_store_products!C:C)</f>
        <v>Dresses</v>
      </c>
    </row>
    <row r="1827" spans="1:16" x14ac:dyDescent="0.45">
      <c r="A1827">
        <v>611</v>
      </c>
      <c r="B1827">
        <v>39</v>
      </c>
      <c r="C1827">
        <v>320</v>
      </c>
      <c r="D1827">
        <v>5</v>
      </c>
      <c r="E1827">
        <v>74.260000000000005</v>
      </c>
      <c r="F1827">
        <v>74.260000000000005</v>
      </c>
      <c r="G1827">
        <v>0</v>
      </c>
      <c r="H1827" s="2">
        <v>0</v>
      </c>
      <c r="I1827">
        <v>0</v>
      </c>
      <c r="J1827">
        <v>371.3</v>
      </c>
      <c r="K1827" s="1">
        <v>45791</v>
      </c>
      <c r="L1827" t="s">
        <v>21</v>
      </c>
      <c r="M1827" t="s">
        <v>18</v>
      </c>
      <c r="N1827">
        <f>salesitems[[#This Row],[quantity]]*salesitems[[#This Row],[unit_price]]</f>
        <v>371.3</v>
      </c>
      <c r="O1827" t="str">
        <f>_xlfn.XLOOKUP(salesitems[[#This Row],[product_id]],products[product_id],products[product_name])</f>
        <v>Essential Crew Dress</v>
      </c>
      <c r="P1827" t="str">
        <f>_xlfn.XLOOKUP(salesitems[[#This Row],[product_id]],fashion_store_products!A:A,fashion_store_products!C:C)</f>
        <v>Dresses</v>
      </c>
    </row>
    <row r="1828" spans="1:16" x14ac:dyDescent="0.45">
      <c r="A1828">
        <v>540</v>
      </c>
      <c r="B1828">
        <v>1115</v>
      </c>
      <c r="C1828">
        <v>327</v>
      </c>
      <c r="D1828">
        <v>5</v>
      </c>
      <c r="E1828">
        <v>74.239999999999995</v>
      </c>
      <c r="F1828">
        <v>74.239999999999995</v>
      </c>
      <c r="G1828">
        <v>0</v>
      </c>
      <c r="H1828" s="2">
        <v>0</v>
      </c>
      <c r="I1828">
        <v>0</v>
      </c>
      <c r="J1828">
        <v>371.2</v>
      </c>
      <c r="K1828" s="1">
        <v>45766</v>
      </c>
      <c r="L1828" t="s">
        <v>21</v>
      </c>
      <c r="M1828" t="s">
        <v>18</v>
      </c>
      <c r="N1828">
        <f>salesitems[[#This Row],[quantity]]*salesitems[[#This Row],[unit_price]]</f>
        <v>371.2</v>
      </c>
      <c r="O1828" t="str">
        <f>_xlfn.XLOOKUP(salesitems[[#This Row],[product_id]],products[product_id],products[product_name])</f>
        <v>Essential Boxy Dress</v>
      </c>
      <c r="P1828" t="str">
        <f>_xlfn.XLOOKUP(salesitems[[#This Row],[product_id]],fashion_store_products!A:A,fashion_store_products!C:C)</f>
        <v>Dresses</v>
      </c>
    </row>
    <row r="1829" spans="1:16" x14ac:dyDescent="0.45">
      <c r="A1829">
        <v>1627</v>
      </c>
      <c r="B1829">
        <v>20</v>
      </c>
      <c r="C1829">
        <v>327</v>
      </c>
      <c r="D1829">
        <v>5</v>
      </c>
      <c r="E1829">
        <v>74.239999999999995</v>
      </c>
      <c r="F1829">
        <v>74.239999999999995</v>
      </c>
      <c r="G1829">
        <v>0</v>
      </c>
      <c r="H1829" s="2">
        <v>0</v>
      </c>
      <c r="I1829">
        <v>0</v>
      </c>
      <c r="J1829">
        <v>371.2</v>
      </c>
      <c r="K1829" s="1">
        <v>45751</v>
      </c>
      <c r="L1829" t="s">
        <v>21</v>
      </c>
      <c r="M1829" t="s">
        <v>18</v>
      </c>
      <c r="N1829">
        <f>salesitems[[#This Row],[quantity]]*salesitems[[#This Row],[unit_price]]</f>
        <v>371.2</v>
      </c>
      <c r="O1829" t="str">
        <f>_xlfn.XLOOKUP(salesitems[[#This Row],[product_id]],products[product_id],products[product_name])</f>
        <v>Essential Boxy Dress</v>
      </c>
      <c r="P1829" t="str">
        <f>_xlfn.XLOOKUP(salesitems[[#This Row],[product_id]],fashion_store_products!A:A,fashion_store_products!C:C)</f>
        <v>Dresses</v>
      </c>
    </row>
    <row r="1830" spans="1:16" x14ac:dyDescent="0.45">
      <c r="A1830">
        <v>1699</v>
      </c>
      <c r="B1830">
        <v>277</v>
      </c>
      <c r="C1830">
        <v>212</v>
      </c>
      <c r="D1830">
        <v>5</v>
      </c>
      <c r="E1830">
        <v>74.13</v>
      </c>
      <c r="F1830">
        <v>74.13</v>
      </c>
      <c r="G1830">
        <v>0</v>
      </c>
      <c r="H1830" s="2">
        <v>0</v>
      </c>
      <c r="I1830">
        <v>0</v>
      </c>
      <c r="J1830">
        <v>370.65</v>
      </c>
      <c r="K1830" s="1">
        <v>45803</v>
      </c>
      <c r="L1830" t="s">
        <v>21</v>
      </c>
      <c r="M1830" t="s">
        <v>18</v>
      </c>
      <c r="N1830">
        <f>salesitems[[#This Row],[quantity]]*salesitems[[#This Row],[unit_price]]</f>
        <v>370.65</v>
      </c>
      <c r="O1830" t="str">
        <f>_xlfn.XLOOKUP(salesitems[[#This Row],[product_id]],products[product_id],products[product_name])</f>
        <v>Polished Linen Tee</v>
      </c>
      <c r="P1830" t="str">
        <f>_xlfn.XLOOKUP(salesitems[[#This Row],[product_id]],fashion_store_products!A:A,fashion_store_products!C:C)</f>
        <v>T-Shirts</v>
      </c>
    </row>
    <row r="1831" spans="1:16" x14ac:dyDescent="0.45">
      <c r="A1831">
        <v>400</v>
      </c>
      <c r="B1831">
        <v>188</v>
      </c>
      <c r="C1831">
        <v>356</v>
      </c>
      <c r="D1831">
        <v>5</v>
      </c>
      <c r="E1831">
        <v>72.41</v>
      </c>
      <c r="F1831">
        <v>72.41</v>
      </c>
      <c r="G1831">
        <v>0</v>
      </c>
      <c r="H1831" s="2">
        <v>0</v>
      </c>
      <c r="I1831">
        <v>0</v>
      </c>
      <c r="J1831">
        <v>362.05</v>
      </c>
      <c r="K1831" s="1">
        <v>45781</v>
      </c>
      <c r="L1831" t="s">
        <v>21</v>
      </c>
      <c r="M1831" t="s">
        <v>18</v>
      </c>
      <c r="N1831">
        <f>salesitems[[#This Row],[quantity]]*salesitems[[#This Row],[unit_price]]</f>
        <v>362.04999999999995</v>
      </c>
      <c r="O1831" t="str">
        <f>_xlfn.XLOOKUP(salesitems[[#This Row],[product_id]],products[product_id],products[product_name])</f>
        <v>Essential High-Waist Set</v>
      </c>
      <c r="P1831" t="str">
        <f>_xlfn.XLOOKUP(salesitems[[#This Row],[product_id]],fashion_store_products!A:A,fashion_store_products!C:C)</f>
        <v>Sleepwear</v>
      </c>
    </row>
    <row r="1832" spans="1:16" x14ac:dyDescent="0.45">
      <c r="A1832">
        <v>1529</v>
      </c>
      <c r="B1832">
        <v>766</v>
      </c>
      <c r="C1832">
        <v>310</v>
      </c>
      <c r="D1832">
        <v>5</v>
      </c>
      <c r="E1832">
        <v>72.099999999999994</v>
      </c>
      <c r="F1832">
        <v>72.099999999999994</v>
      </c>
      <c r="G1832">
        <v>0</v>
      </c>
      <c r="H1832" s="2">
        <v>0</v>
      </c>
      <c r="I1832">
        <v>0</v>
      </c>
      <c r="J1832">
        <v>360.5</v>
      </c>
      <c r="K1832" s="1">
        <v>45824</v>
      </c>
      <c r="L1832" t="s">
        <v>15</v>
      </c>
      <c r="M1832" t="s">
        <v>15</v>
      </c>
      <c r="N1832">
        <f>salesitems[[#This Row],[quantity]]*salesitems[[#This Row],[unit_price]]</f>
        <v>360.5</v>
      </c>
      <c r="O1832" t="str">
        <f>_xlfn.XLOOKUP(salesitems[[#This Row],[product_id]],products[product_id],products[product_name])</f>
        <v>Relaxed Ribbed Trousers</v>
      </c>
      <c r="P1832" t="str">
        <f>_xlfn.XLOOKUP(salesitems[[#This Row],[product_id]],fashion_store_products!A:A,fashion_store_products!C:C)</f>
        <v>Pants</v>
      </c>
    </row>
    <row r="1833" spans="1:16" x14ac:dyDescent="0.45">
      <c r="A1833">
        <v>1714</v>
      </c>
      <c r="B1833">
        <v>139</v>
      </c>
      <c r="C1833">
        <v>310</v>
      </c>
      <c r="D1833">
        <v>5</v>
      </c>
      <c r="E1833">
        <v>72.099999999999994</v>
      </c>
      <c r="F1833">
        <v>72.099999999999994</v>
      </c>
      <c r="G1833">
        <v>0</v>
      </c>
      <c r="H1833" s="2">
        <v>0</v>
      </c>
      <c r="I1833">
        <v>0</v>
      </c>
      <c r="J1833">
        <v>360.5</v>
      </c>
      <c r="K1833" s="1">
        <v>45798</v>
      </c>
      <c r="L1833" t="s">
        <v>15</v>
      </c>
      <c r="M1833" t="s">
        <v>15</v>
      </c>
      <c r="N1833">
        <f>salesitems[[#This Row],[quantity]]*salesitems[[#This Row],[unit_price]]</f>
        <v>360.5</v>
      </c>
      <c r="O1833" t="str">
        <f>_xlfn.XLOOKUP(salesitems[[#This Row],[product_id]],products[product_id],products[product_name])</f>
        <v>Relaxed Ribbed Trousers</v>
      </c>
      <c r="P1833" t="str">
        <f>_xlfn.XLOOKUP(salesitems[[#This Row],[product_id]],fashion_store_products!A:A,fashion_store_products!C:C)</f>
        <v>Pants</v>
      </c>
    </row>
    <row r="1834" spans="1:16" x14ac:dyDescent="0.45">
      <c r="A1834">
        <v>2723</v>
      </c>
      <c r="B1834">
        <v>1254</v>
      </c>
      <c r="C1834">
        <v>310</v>
      </c>
      <c r="D1834">
        <v>5</v>
      </c>
      <c r="E1834">
        <v>72.099999999999994</v>
      </c>
      <c r="F1834">
        <v>72.099999999999994</v>
      </c>
      <c r="G1834">
        <v>0</v>
      </c>
      <c r="H1834" s="2">
        <v>0</v>
      </c>
      <c r="I1834">
        <v>0</v>
      </c>
      <c r="J1834">
        <v>360.5</v>
      </c>
      <c r="K1834" s="1">
        <v>45803</v>
      </c>
      <c r="L1834" t="s">
        <v>15</v>
      </c>
      <c r="M1834" t="s">
        <v>15</v>
      </c>
      <c r="N1834">
        <f>salesitems[[#This Row],[quantity]]*salesitems[[#This Row],[unit_price]]</f>
        <v>360.5</v>
      </c>
      <c r="O1834" t="str">
        <f>_xlfn.XLOOKUP(salesitems[[#This Row],[product_id]],products[product_id],products[product_name])</f>
        <v>Relaxed Ribbed Trousers</v>
      </c>
      <c r="P1834" t="str">
        <f>_xlfn.XLOOKUP(salesitems[[#This Row],[product_id]],fashion_store_products!A:A,fashion_store_products!C:C)</f>
        <v>Pants</v>
      </c>
    </row>
    <row r="1835" spans="1:16" x14ac:dyDescent="0.45">
      <c r="A1835">
        <v>3326</v>
      </c>
      <c r="B1835">
        <v>612</v>
      </c>
      <c r="C1835">
        <v>310</v>
      </c>
      <c r="D1835">
        <v>5</v>
      </c>
      <c r="E1835">
        <v>72.099999999999994</v>
      </c>
      <c r="F1835">
        <v>72.099999999999994</v>
      </c>
      <c r="G1835">
        <v>0</v>
      </c>
      <c r="H1835" s="2">
        <v>0</v>
      </c>
      <c r="I1835">
        <v>0</v>
      </c>
      <c r="J1835">
        <v>360.5</v>
      </c>
      <c r="K1835" s="1">
        <v>45802</v>
      </c>
      <c r="L1835" t="s">
        <v>15</v>
      </c>
      <c r="M1835" t="s">
        <v>15</v>
      </c>
      <c r="N1835">
        <f>salesitems[[#This Row],[quantity]]*salesitems[[#This Row],[unit_price]]</f>
        <v>360.5</v>
      </c>
      <c r="O1835" t="str">
        <f>_xlfn.XLOOKUP(salesitems[[#This Row],[product_id]],products[product_id],products[product_name])</f>
        <v>Relaxed Ribbed Trousers</v>
      </c>
      <c r="P1835" t="str">
        <f>_xlfn.XLOOKUP(salesitems[[#This Row],[product_id]],fashion_store_products!A:A,fashion_store_products!C:C)</f>
        <v>Pants</v>
      </c>
    </row>
    <row r="1836" spans="1:16" x14ac:dyDescent="0.45">
      <c r="A1836">
        <v>1491</v>
      </c>
      <c r="B1836">
        <v>78</v>
      </c>
      <c r="C1836">
        <v>36</v>
      </c>
      <c r="D1836">
        <v>5</v>
      </c>
      <c r="E1836">
        <v>72.06</v>
      </c>
      <c r="F1836">
        <v>72.06</v>
      </c>
      <c r="G1836">
        <v>0</v>
      </c>
      <c r="H1836" s="2">
        <v>0</v>
      </c>
      <c r="I1836">
        <v>0</v>
      </c>
      <c r="J1836">
        <v>360.3</v>
      </c>
      <c r="K1836" s="1">
        <v>45795</v>
      </c>
      <c r="L1836" t="s">
        <v>21</v>
      </c>
      <c r="M1836" t="s">
        <v>18</v>
      </c>
      <c r="N1836">
        <f>salesitems[[#This Row],[quantity]]*salesitems[[#This Row],[unit_price]]</f>
        <v>360.3</v>
      </c>
      <c r="O1836" t="str">
        <f>_xlfn.XLOOKUP(salesitems[[#This Row],[product_id]],products[product_id],products[product_name])</f>
        <v>Modern Cotton Dress</v>
      </c>
      <c r="P1836" t="str">
        <f>_xlfn.XLOOKUP(salesitems[[#This Row],[product_id]],fashion_store_products!A:A,fashion_store_products!C:C)</f>
        <v>Dresses</v>
      </c>
    </row>
    <row r="1837" spans="1:16" x14ac:dyDescent="0.45">
      <c r="A1837">
        <v>3253</v>
      </c>
      <c r="B1837">
        <v>104</v>
      </c>
      <c r="C1837">
        <v>337</v>
      </c>
      <c r="D1837">
        <v>5</v>
      </c>
      <c r="E1837">
        <v>71.72</v>
      </c>
      <c r="F1837">
        <v>71.72</v>
      </c>
      <c r="G1837">
        <v>0</v>
      </c>
      <c r="H1837" s="2">
        <v>0</v>
      </c>
      <c r="I1837">
        <v>0</v>
      </c>
      <c r="J1837">
        <v>358.6</v>
      </c>
      <c r="K1837" s="1">
        <v>45767</v>
      </c>
      <c r="L1837" t="s">
        <v>15</v>
      </c>
      <c r="M1837" t="s">
        <v>15</v>
      </c>
      <c r="N1837">
        <f>salesitems[[#This Row],[quantity]]*salesitems[[#This Row],[unit_price]]</f>
        <v>358.6</v>
      </c>
      <c r="O1837" t="str">
        <f>_xlfn.XLOOKUP(salesitems[[#This Row],[product_id]],products[product_id],products[product_name])</f>
        <v>Essential Linen Set</v>
      </c>
      <c r="P1837" t="str">
        <f>_xlfn.XLOOKUP(salesitems[[#This Row],[product_id]],fashion_store_products!A:A,fashion_store_products!C:C)</f>
        <v>Sleepwear</v>
      </c>
    </row>
    <row r="1838" spans="1:16" x14ac:dyDescent="0.45">
      <c r="A1838">
        <v>569</v>
      </c>
      <c r="B1838">
        <v>506</v>
      </c>
      <c r="C1838">
        <v>398</v>
      </c>
      <c r="D1838">
        <v>5</v>
      </c>
      <c r="E1838">
        <v>71.150000000000006</v>
      </c>
      <c r="F1838">
        <v>71.150000000000006</v>
      </c>
      <c r="G1838">
        <v>0</v>
      </c>
      <c r="H1838" s="2">
        <v>0</v>
      </c>
      <c r="I1838">
        <v>0</v>
      </c>
      <c r="J1838">
        <v>355.75</v>
      </c>
      <c r="K1838" s="1">
        <v>45770</v>
      </c>
      <c r="L1838" t="s">
        <v>21</v>
      </c>
      <c r="M1838" t="s">
        <v>18</v>
      </c>
      <c r="N1838">
        <f>salesitems[[#This Row],[quantity]]*salesitems[[#This Row],[unit_price]]</f>
        <v>355.75</v>
      </c>
      <c r="O1838" t="str">
        <f>_xlfn.XLOOKUP(salesitems[[#This Row],[product_id]],products[product_id],products[product_name])</f>
        <v>Elegant Linen Set</v>
      </c>
      <c r="P1838" t="str">
        <f>_xlfn.XLOOKUP(salesitems[[#This Row],[product_id]],fashion_store_products!A:A,fashion_store_products!C:C)</f>
        <v>Sleepwear</v>
      </c>
    </row>
    <row r="1839" spans="1:16" x14ac:dyDescent="0.45">
      <c r="A1839">
        <v>2552</v>
      </c>
      <c r="B1839">
        <v>1186</v>
      </c>
      <c r="C1839">
        <v>398</v>
      </c>
      <c r="D1839">
        <v>5</v>
      </c>
      <c r="E1839">
        <v>71.150000000000006</v>
      </c>
      <c r="F1839">
        <v>71.150000000000006</v>
      </c>
      <c r="G1839">
        <v>0</v>
      </c>
      <c r="H1839" s="2">
        <v>0</v>
      </c>
      <c r="I1839">
        <v>0</v>
      </c>
      <c r="J1839">
        <v>355.75</v>
      </c>
      <c r="K1839" s="1">
        <v>45764</v>
      </c>
      <c r="L1839" t="s">
        <v>21</v>
      </c>
      <c r="M1839" t="s">
        <v>18</v>
      </c>
      <c r="N1839">
        <f>salesitems[[#This Row],[quantity]]*salesitems[[#This Row],[unit_price]]</f>
        <v>355.75</v>
      </c>
      <c r="O1839" t="str">
        <f>_xlfn.XLOOKUP(salesitems[[#This Row],[product_id]],products[product_id],products[product_name])</f>
        <v>Elegant Linen Set</v>
      </c>
      <c r="P1839" t="str">
        <f>_xlfn.XLOOKUP(salesitems[[#This Row],[product_id]],fashion_store_products!A:A,fashion_store_products!C:C)</f>
        <v>Sleepwear</v>
      </c>
    </row>
    <row r="1840" spans="1:16" x14ac:dyDescent="0.45">
      <c r="A1840">
        <v>1664</v>
      </c>
      <c r="B1840">
        <v>491</v>
      </c>
      <c r="C1840">
        <v>463</v>
      </c>
      <c r="D1840">
        <v>5</v>
      </c>
      <c r="E1840">
        <v>70.56</v>
      </c>
      <c r="F1840">
        <v>70.56</v>
      </c>
      <c r="G1840">
        <v>0</v>
      </c>
      <c r="H1840" s="2">
        <v>0</v>
      </c>
      <c r="I1840">
        <v>0</v>
      </c>
      <c r="J1840">
        <v>352.8</v>
      </c>
      <c r="K1840" s="1">
        <v>45800</v>
      </c>
      <c r="L1840" t="s">
        <v>21</v>
      </c>
      <c r="M1840" t="s">
        <v>18</v>
      </c>
      <c r="N1840">
        <f>salesitems[[#This Row],[quantity]]*salesitems[[#This Row],[unit_price]]</f>
        <v>352.8</v>
      </c>
      <c r="O1840" t="str">
        <f>_xlfn.XLOOKUP(salesitems[[#This Row],[product_id]],products[product_id],products[product_name])</f>
        <v>Bold Boxy Dress</v>
      </c>
      <c r="P1840" t="str">
        <f>_xlfn.XLOOKUP(salesitems[[#This Row],[product_id]],fashion_store_products!A:A,fashion_store_products!C:C)</f>
        <v>Dresses</v>
      </c>
    </row>
    <row r="1841" spans="1:16" x14ac:dyDescent="0.45">
      <c r="A1841">
        <v>2236</v>
      </c>
      <c r="B1841">
        <v>135</v>
      </c>
      <c r="C1841">
        <v>463</v>
      </c>
      <c r="D1841">
        <v>5</v>
      </c>
      <c r="E1841">
        <v>70.56</v>
      </c>
      <c r="F1841">
        <v>70.56</v>
      </c>
      <c r="G1841">
        <v>0</v>
      </c>
      <c r="H1841" s="2">
        <v>0</v>
      </c>
      <c r="I1841">
        <v>0</v>
      </c>
      <c r="J1841">
        <v>352.8</v>
      </c>
      <c r="K1841" s="1">
        <v>45792</v>
      </c>
      <c r="L1841" t="s">
        <v>21</v>
      </c>
      <c r="M1841" t="s">
        <v>18</v>
      </c>
      <c r="N1841">
        <f>salesitems[[#This Row],[quantity]]*salesitems[[#This Row],[unit_price]]</f>
        <v>352.8</v>
      </c>
      <c r="O1841" t="str">
        <f>_xlfn.XLOOKUP(salesitems[[#This Row],[product_id]],products[product_id],products[product_name])</f>
        <v>Bold Boxy Dress</v>
      </c>
      <c r="P1841" t="str">
        <f>_xlfn.XLOOKUP(salesitems[[#This Row],[product_id]],fashion_store_products!A:A,fashion_store_products!C:C)</f>
        <v>Dresses</v>
      </c>
    </row>
    <row r="1842" spans="1:16" x14ac:dyDescent="0.45">
      <c r="A1842">
        <v>102</v>
      </c>
      <c r="B1842">
        <v>224</v>
      </c>
      <c r="C1842">
        <v>270</v>
      </c>
      <c r="D1842">
        <v>5</v>
      </c>
      <c r="E1842">
        <v>70.459999999999994</v>
      </c>
      <c r="F1842">
        <v>70.459999999999994</v>
      </c>
      <c r="G1842">
        <v>0</v>
      </c>
      <c r="H1842" s="2">
        <v>0</v>
      </c>
      <c r="I1842">
        <v>0</v>
      </c>
      <c r="J1842">
        <v>352.3</v>
      </c>
      <c r="K1842" s="1">
        <v>45772</v>
      </c>
      <c r="L1842" t="s">
        <v>15</v>
      </c>
      <c r="M1842" t="s">
        <v>15</v>
      </c>
      <c r="N1842">
        <f>salesitems[[#This Row],[quantity]]*salesitems[[#This Row],[unit_price]]</f>
        <v>352.29999999999995</v>
      </c>
      <c r="O1842" t="str">
        <f>_xlfn.XLOOKUP(salesitems[[#This Row],[product_id]],products[product_id],products[product_name])</f>
        <v>Relaxed Silk Tee</v>
      </c>
      <c r="P1842" t="str">
        <f>_xlfn.XLOOKUP(salesitems[[#This Row],[product_id]],fashion_store_products!A:A,fashion_store_products!C:C)</f>
        <v>T-Shirts</v>
      </c>
    </row>
    <row r="1843" spans="1:16" x14ac:dyDescent="0.45">
      <c r="A1843">
        <v>306</v>
      </c>
      <c r="B1843">
        <v>15</v>
      </c>
      <c r="C1843">
        <v>353</v>
      </c>
      <c r="D1843">
        <v>5</v>
      </c>
      <c r="E1843">
        <v>69.540000000000006</v>
      </c>
      <c r="F1843">
        <v>69.540000000000006</v>
      </c>
      <c r="G1843">
        <v>0</v>
      </c>
      <c r="H1843" s="2">
        <v>0</v>
      </c>
      <c r="I1843">
        <v>0</v>
      </c>
      <c r="J1843">
        <v>347.7</v>
      </c>
      <c r="K1843" s="1">
        <v>45797</v>
      </c>
      <c r="L1843" t="s">
        <v>21</v>
      </c>
      <c r="M1843" t="s">
        <v>18</v>
      </c>
      <c r="N1843">
        <f>salesitems[[#This Row],[quantity]]*salesitems[[#This Row],[unit_price]]</f>
        <v>347.70000000000005</v>
      </c>
      <c r="O1843" t="str">
        <f>_xlfn.XLOOKUP(salesitems[[#This Row],[product_id]],products[product_id],products[product_name])</f>
        <v>Relaxed High-Waist Trousers</v>
      </c>
      <c r="P1843" t="str">
        <f>_xlfn.XLOOKUP(salesitems[[#This Row],[product_id]],fashion_store_products!A:A,fashion_store_products!C:C)</f>
        <v>Pants</v>
      </c>
    </row>
    <row r="1844" spans="1:16" x14ac:dyDescent="0.45">
      <c r="A1844">
        <v>1145</v>
      </c>
      <c r="B1844">
        <v>1149</v>
      </c>
      <c r="C1844">
        <v>353</v>
      </c>
      <c r="D1844">
        <v>5</v>
      </c>
      <c r="E1844">
        <v>69.540000000000006</v>
      </c>
      <c r="F1844">
        <v>69.540000000000006</v>
      </c>
      <c r="G1844">
        <v>0</v>
      </c>
      <c r="H1844" s="2">
        <v>0</v>
      </c>
      <c r="I1844">
        <v>0</v>
      </c>
      <c r="J1844">
        <v>347.7</v>
      </c>
      <c r="K1844" s="1">
        <v>45807</v>
      </c>
      <c r="L1844" t="s">
        <v>21</v>
      </c>
      <c r="M1844" t="s">
        <v>18</v>
      </c>
      <c r="N1844">
        <f>salesitems[[#This Row],[quantity]]*salesitems[[#This Row],[unit_price]]</f>
        <v>347.70000000000005</v>
      </c>
      <c r="O1844" t="str">
        <f>_xlfn.XLOOKUP(salesitems[[#This Row],[product_id]],products[product_id],products[product_name])</f>
        <v>Relaxed High-Waist Trousers</v>
      </c>
      <c r="P1844" t="str">
        <f>_xlfn.XLOOKUP(salesitems[[#This Row],[product_id]],fashion_store_products!A:A,fashion_store_products!C:C)</f>
        <v>Pants</v>
      </c>
    </row>
    <row r="1845" spans="1:16" x14ac:dyDescent="0.45">
      <c r="A1845">
        <v>3083</v>
      </c>
      <c r="B1845">
        <v>291</v>
      </c>
      <c r="C1845">
        <v>360</v>
      </c>
      <c r="D1845">
        <v>5</v>
      </c>
      <c r="E1845">
        <v>69.48</v>
      </c>
      <c r="F1845">
        <v>69.48</v>
      </c>
      <c r="G1845">
        <v>0</v>
      </c>
      <c r="H1845" s="2">
        <v>0</v>
      </c>
      <c r="I1845">
        <v>0</v>
      </c>
      <c r="J1845">
        <v>347.4</v>
      </c>
      <c r="K1845" s="1">
        <v>45777</v>
      </c>
      <c r="L1845" t="s">
        <v>21</v>
      </c>
      <c r="M1845" t="s">
        <v>18</v>
      </c>
      <c r="N1845">
        <f>salesitems[[#This Row],[quantity]]*salesitems[[#This Row],[unit_price]]</f>
        <v>347.40000000000003</v>
      </c>
      <c r="O1845" t="str">
        <f>_xlfn.XLOOKUP(salesitems[[#This Row],[product_id]],products[product_id],products[product_name])</f>
        <v>Tailored Boxy Tee</v>
      </c>
      <c r="P1845" t="str">
        <f>_xlfn.XLOOKUP(salesitems[[#This Row],[product_id]],fashion_store_products!A:A,fashion_store_products!C:C)</f>
        <v>T-Shirts</v>
      </c>
    </row>
    <row r="1846" spans="1:16" x14ac:dyDescent="0.45">
      <c r="A1846">
        <v>1048</v>
      </c>
      <c r="B1846">
        <v>220</v>
      </c>
      <c r="C1846">
        <v>474</v>
      </c>
      <c r="D1846">
        <v>5</v>
      </c>
      <c r="E1846">
        <v>68.47</v>
      </c>
      <c r="F1846">
        <v>68.47</v>
      </c>
      <c r="G1846">
        <v>0</v>
      </c>
      <c r="H1846" s="2">
        <v>0</v>
      </c>
      <c r="I1846">
        <v>0</v>
      </c>
      <c r="J1846">
        <v>342.35</v>
      </c>
      <c r="K1846" s="1">
        <v>45765</v>
      </c>
      <c r="L1846" t="s">
        <v>21</v>
      </c>
      <c r="M1846" t="s">
        <v>18</v>
      </c>
      <c r="N1846">
        <f>salesitems[[#This Row],[quantity]]*salesitems[[#This Row],[unit_price]]</f>
        <v>342.35</v>
      </c>
      <c r="O1846" t="str">
        <f>_xlfn.XLOOKUP(salesitems[[#This Row],[product_id]],products[product_id],products[product_name])</f>
        <v>Bold Cotton Shoes</v>
      </c>
      <c r="P1846" t="str">
        <f>_xlfn.XLOOKUP(salesitems[[#This Row],[product_id]],fashion_store_products!A:A,fashion_store_products!C:C)</f>
        <v>Shoes</v>
      </c>
    </row>
    <row r="1847" spans="1:16" x14ac:dyDescent="0.45">
      <c r="A1847">
        <v>1617</v>
      </c>
      <c r="B1847">
        <v>1257</v>
      </c>
      <c r="C1847">
        <v>474</v>
      </c>
      <c r="D1847">
        <v>5</v>
      </c>
      <c r="E1847">
        <v>68.47</v>
      </c>
      <c r="F1847">
        <v>68.47</v>
      </c>
      <c r="G1847">
        <v>0</v>
      </c>
      <c r="H1847" s="2">
        <v>0</v>
      </c>
      <c r="I1847">
        <v>0</v>
      </c>
      <c r="J1847">
        <v>342.35</v>
      </c>
      <c r="K1847" s="1">
        <v>45804</v>
      </c>
      <c r="L1847" t="s">
        <v>21</v>
      </c>
      <c r="M1847" t="s">
        <v>18</v>
      </c>
      <c r="N1847">
        <f>salesitems[[#This Row],[quantity]]*salesitems[[#This Row],[unit_price]]</f>
        <v>342.35</v>
      </c>
      <c r="O1847" t="str">
        <f>_xlfn.XLOOKUP(salesitems[[#This Row],[product_id]],products[product_id],products[product_name])</f>
        <v>Bold Cotton Shoes</v>
      </c>
      <c r="P1847" t="str">
        <f>_xlfn.XLOOKUP(salesitems[[#This Row],[product_id]],fashion_store_products!A:A,fashion_store_products!C:C)</f>
        <v>Shoes</v>
      </c>
    </row>
    <row r="1848" spans="1:16" x14ac:dyDescent="0.45">
      <c r="A1848">
        <v>947</v>
      </c>
      <c r="B1848">
        <v>335</v>
      </c>
      <c r="C1848">
        <v>250</v>
      </c>
      <c r="D1848">
        <v>5</v>
      </c>
      <c r="E1848">
        <v>68.22</v>
      </c>
      <c r="F1848">
        <v>68.22</v>
      </c>
      <c r="G1848">
        <v>0</v>
      </c>
      <c r="H1848" s="2">
        <v>0</v>
      </c>
      <c r="I1848">
        <v>0</v>
      </c>
      <c r="J1848">
        <v>341.1</v>
      </c>
      <c r="K1848" s="1">
        <v>45762</v>
      </c>
      <c r="L1848" t="s">
        <v>15</v>
      </c>
      <c r="M1848" t="s">
        <v>15</v>
      </c>
      <c r="N1848">
        <f>salesitems[[#This Row],[quantity]]*salesitems[[#This Row],[unit_price]]</f>
        <v>341.1</v>
      </c>
      <c r="O1848" t="str">
        <f>_xlfn.XLOOKUP(salesitems[[#This Row],[product_id]],products[product_id],products[product_name])</f>
        <v>Relaxed Satin Shoes</v>
      </c>
      <c r="P1848" t="str">
        <f>_xlfn.XLOOKUP(salesitems[[#This Row],[product_id]],fashion_store_products!A:A,fashion_store_products!C:C)</f>
        <v>Shoes</v>
      </c>
    </row>
    <row r="1849" spans="1:16" x14ac:dyDescent="0.45">
      <c r="A1849">
        <v>2545</v>
      </c>
      <c r="B1849">
        <v>450</v>
      </c>
      <c r="C1849">
        <v>486</v>
      </c>
      <c r="D1849">
        <v>5</v>
      </c>
      <c r="E1849">
        <v>68.03</v>
      </c>
      <c r="F1849">
        <v>68.03</v>
      </c>
      <c r="G1849">
        <v>0</v>
      </c>
      <c r="H1849" s="2">
        <v>0</v>
      </c>
      <c r="I1849">
        <v>0</v>
      </c>
      <c r="J1849">
        <v>340.15</v>
      </c>
      <c r="K1849" s="1">
        <v>45777</v>
      </c>
      <c r="L1849" t="s">
        <v>15</v>
      </c>
      <c r="M1849" t="s">
        <v>15</v>
      </c>
      <c r="N1849">
        <f>salesitems[[#This Row],[quantity]]*salesitems[[#This Row],[unit_price]]</f>
        <v>340.15</v>
      </c>
      <c r="O1849" t="str">
        <f>_xlfn.XLOOKUP(salesitems[[#This Row],[product_id]],products[product_id],products[product_name])</f>
        <v>T-Shirts Drop 4</v>
      </c>
      <c r="P1849" t="str">
        <f>_xlfn.XLOOKUP(salesitems[[#This Row],[product_id]],fashion_store_products!A:A,fashion_store_products!C:C)</f>
        <v>T-Shirts</v>
      </c>
    </row>
    <row r="1850" spans="1:16" x14ac:dyDescent="0.45">
      <c r="A1850">
        <v>464</v>
      </c>
      <c r="B1850">
        <v>1208</v>
      </c>
      <c r="C1850">
        <v>116</v>
      </c>
      <c r="D1850">
        <v>5</v>
      </c>
      <c r="E1850">
        <v>74.81</v>
      </c>
      <c r="F1850">
        <v>67.33</v>
      </c>
      <c r="G1850">
        <v>7.48</v>
      </c>
      <c r="H1850" s="2">
        <v>0.1</v>
      </c>
      <c r="I1850">
        <v>1</v>
      </c>
      <c r="J1850">
        <v>336.65</v>
      </c>
      <c r="K1850" s="1">
        <v>45814</v>
      </c>
      <c r="L1850" t="s">
        <v>21</v>
      </c>
      <c r="M1850" t="s">
        <v>18</v>
      </c>
      <c r="N1850">
        <f>salesitems[[#This Row],[quantity]]*salesitems[[#This Row],[unit_price]]</f>
        <v>336.65</v>
      </c>
      <c r="O1850" t="str">
        <f>_xlfn.XLOOKUP(salesitems[[#This Row],[product_id]],products[product_id],products[product_name])</f>
        <v>Modern High-Waist Trousers</v>
      </c>
      <c r="P1850" t="str">
        <f>_xlfn.XLOOKUP(salesitems[[#This Row],[product_id]],fashion_store_products!A:A,fashion_store_products!C:C)</f>
        <v>Pants</v>
      </c>
    </row>
    <row r="1851" spans="1:16" x14ac:dyDescent="0.45">
      <c r="A1851">
        <v>246</v>
      </c>
      <c r="B1851">
        <v>645</v>
      </c>
      <c r="C1851">
        <v>315</v>
      </c>
      <c r="D1851">
        <v>5</v>
      </c>
      <c r="E1851">
        <v>67.02</v>
      </c>
      <c r="F1851">
        <v>67.02</v>
      </c>
      <c r="G1851">
        <v>0</v>
      </c>
      <c r="H1851" s="2">
        <v>0</v>
      </c>
      <c r="I1851">
        <v>0</v>
      </c>
      <c r="J1851">
        <v>335.1</v>
      </c>
      <c r="K1851" s="1">
        <v>45761</v>
      </c>
      <c r="L1851" t="s">
        <v>21</v>
      </c>
      <c r="M1851" t="s">
        <v>18</v>
      </c>
      <c r="N1851">
        <f>salesitems[[#This Row],[quantity]]*salesitems[[#This Row],[unit_price]]</f>
        <v>335.09999999999997</v>
      </c>
      <c r="O1851" t="str">
        <f>_xlfn.XLOOKUP(salesitems[[#This Row],[product_id]],products[product_id],products[product_name])</f>
        <v>Essential Sleeveless Tee</v>
      </c>
      <c r="P1851" t="str">
        <f>_xlfn.XLOOKUP(salesitems[[#This Row],[product_id]],fashion_store_products!A:A,fashion_store_products!C:C)</f>
        <v>T-Shirts</v>
      </c>
    </row>
    <row r="1852" spans="1:16" x14ac:dyDescent="0.45">
      <c r="A1852">
        <v>932</v>
      </c>
      <c r="B1852">
        <v>168</v>
      </c>
      <c r="C1852">
        <v>239</v>
      </c>
      <c r="D1852">
        <v>5</v>
      </c>
      <c r="E1852">
        <v>66.989999999999995</v>
      </c>
      <c r="F1852">
        <v>66.989999999999995</v>
      </c>
      <c r="G1852">
        <v>0</v>
      </c>
      <c r="H1852" s="2">
        <v>0</v>
      </c>
      <c r="I1852">
        <v>0</v>
      </c>
      <c r="J1852">
        <v>334.95</v>
      </c>
      <c r="K1852" s="1">
        <v>45751</v>
      </c>
      <c r="L1852" t="s">
        <v>15</v>
      </c>
      <c r="M1852" t="s">
        <v>15</v>
      </c>
      <c r="N1852">
        <f>salesitems[[#This Row],[quantity]]*salesitems[[#This Row],[unit_price]]</f>
        <v>334.95</v>
      </c>
      <c r="O1852" t="str">
        <f>_xlfn.XLOOKUP(salesitems[[#This Row],[product_id]],products[product_id],products[product_name])</f>
        <v>Polished Wrap Trousers</v>
      </c>
      <c r="P1852" t="str">
        <f>_xlfn.XLOOKUP(salesitems[[#This Row],[product_id]],fashion_store_products!A:A,fashion_store_products!C:C)</f>
        <v>Pants</v>
      </c>
    </row>
    <row r="1853" spans="1:16" x14ac:dyDescent="0.45">
      <c r="A1853">
        <v>2314</v>
      </c>
      <c r="B1853">
        <v>725</v>
      </c>
      <c r="C1853">
        <v>307</v>
      </c>
      <c r="D1853">
        <v>5</v>
      </c>
      <c r="E1853">
        <v>66.87</v>
      </c>
      <c r="F1853">
        <v>66.87</v>
      </c>
      <c r="G1853">
        <v>0</v>
      </c>
      <c r="H1853" s="2">
        <v>0</v>
      </c>
      <c r="I1853">
        <v>0</v>
      </c>
      <c r="J1853">
        <v>334.35</v>
      </c>
      <c r="K1853" s="1">
        <v>45823</v>
      </c>
      <c r="L1853" t="s">
        <v>15</v>
      </c>
      <c r="M1853" t="s">
        <v>15</v>
      </c>
      <c r="N1853">
        <f>salesitems[[#This Row],[quantity]]*salesitems[[#This Row],[unit_price]]</f>
        <v>334.35</v>
      </c>
      <c r="O1853" t="str">
        <f>_xlfn.XLOOKUP(salesitems[[#This Row],[product_id]],products[product_id],products[product_name])</f>
        <v>Essential Crew Tee</v>
      </c>
      <c r="P1853" t="str">
        <f>_xlfn.XLOOKUP(salesitems[[#This Row],[product_id]],fashion_store_products!A:A,fashion_store_products!C:C)</f>
        <v>T-Shirts</v>
      </c>
    </row>
    <row r="1854" spans="1:16" x14ac:dyDescent="0.45">
      <c r="A1854">
        <v>2375</v>
      </c>
      <c r="B1854">
        <v>1348</v>
      </c>
      <c r="C1854">
        <v>307</v>
      </c>
      <c r="D1854">
        <v>5</v>
      </c>
      <c r="E1854">
        <v>66.87</v>
      </c>
      <c r="F1854">
        <v>66.87</v>
      </c>
      <c r="G1854">
        <v>0</v>
      </c>
      <c r="H1854" s="2">
        <v>0</v>
      </c>
      <c r="I1854">
        <v>0</v>
      </c>
      <c r="J1854">
        <v>334.35</v>
      </c>
      <c r="K1854" s="1">
        <v>45797</v>
      </c>
      <c r="L1854" t="s">
        <v>21</v>
      </c>
      <c r="M1854" t="s">
        <v>18</v>
      </c>
      <c r="N1854">
        <f>salesitems[[#This Row],[quantity]]*salesitems[[#This Row],[unit_price]]</f>
        <v>334.35</v>
      </c>
      <c r="O1854" t="str">
        <f>_xlfn.XLOOKUP(salesitems[[#This Row],[product_id]],products[product_id],products[product_name])</f>
        <v>Essential Crew Tee</v>
      </c>
      <c r="P1854" t="str">
        <f>_xlfn.XLOOKUP(salesitems[[#This Row],[product_id]],fashion_store_products!A:A,fashion_store_products!C:C)</f>
        <v>T-Shirts</v>
      </c>
    </row>
    <row r="1855" spans="1:16" x14ac:dyDescent="0.45">
      <c r="A1855">
        <v>230</v>
      </c>
      <c r="B1855">
        <v>1130</v>
      </c>
      <c r="C1855">
        <v>131</v>
      </c>
      <c r="D1855">
        <v>5</v>
      </c>
      <c r="E1855">
        <v>66.63</v>
      </c>
      <c r="F1855">
        <v>66.63</v>
      </c>
      <c r="G1855">
        <v>0</v>
      </c>
      <c r="H1855" s="2">
        <v>0</v>
      </c>
      <c r="I1855">
        <v>0</v>
      </c>
      <c r="J1855">
        <v>333.15</v>
      </c>
      <c r="K1855" s="1">
        <v>45803</v>
      </c>
      <c r="L1855" t="s">
        <v>21</v>
      </c>
      <c r="M1855" t="s">
        <v>18</v>
      </c>
      <c r="N1855">
        <f>salesitems[[#This Row],[quantity]]*salesitems[[#This Row],[unit_price]]</f>
        <v>333.15</v>
      </c>
      <c r="O1855" t="str">
        <f>_xlfn.XLOOKUP(salesitems[[#This Row],[product_id]],products[product_id],products[product_name])</f>
        <v>Classic Cotton Set</v>
      </c>
      <c r="P1855" t="str">
        <f>_xlfn.XLOOKUP(salesitems[[#This Row],[product_id]],fashion_store_products!A:A,fashion_store_products!C:C)</f>
        <v>Sleepwear</v>
      </c>
    </row>
    <row r="1856" spans="1:16" x14ac:dyDescent="0.45">
      <c r="A1856">
        <v>1094</v>
      </c>
      <c r="B1856">
        <v>567</v>
      </c>
      <c r="C1856">
        <v>70</v>
      </c>
      <c r="D1856">
        <v>5</v>
      </c>
      <c r="E1856">
        <v>66.33</v>
      </c>
      <c r="F1856">
        <v>66.33</v>
      </c>
      <c r="G1856">
        <v>0</v>
      </c>
      <c r="H1856" s="2">
        <v>0</v>
      </c>
      <c r="I1856">
        <v>0</v>
      </c>
      <c r="J1856">
        <v>331.65</v>
      </c>
      <c r="K1856" s="1">
        <v>45794</v>
      </c>
      <c r="L1856" t="s">
        <v>21</v>
      </c>
      <c r="M1856" t="s">
        <v>18</v>
      </c>
      <c r="N1856">
        <f>salesitems[[#This Row],[quantity]]*salesitems[[#This Row],[unit_price]]</f>
        <v>331.65</v>
      </c>
      <c r="O1856" t="str">
        <f>_xlfn.XLOOKUP(salesitems[[#This Row],[product_id]],products[product_id],products[product_name])</f>
        <v>Modern Boxy Dress</v>
      </c>
      <c r="P1856" t="str">
        <f>_xlfn.XLOOKUP(salesitems[[#This Row],[product_id]],fashion_store_products!A:A,fashion_store_products!C:C)</f>
        <v>Dresses</v>
      </c>
    </row>
    <row r="1857" spans="1:16" x14ac:dyDescent="0.45">
      <c r="A1857">
        <v>692</v>
      </c>
      <c r="B1857">
        <v>1244</v>
      </c>
      <c r="C1857">
        <v>19</v>
      </c>
      <c r="D1857">
        <v>5</v>
      </c>
      <c r="E1857">
        <v>65.260000000000005</v>
      </c>
      <c r="F1857">
        <v>65.260000000000005</v>
      </c>
      <c r="G1857">
        <v>0</v>
      </c>
      <c r="H1857" s="2">
        <v>0</v>
      </c>
      <c r="I1857">
        <v>0</v>
      </c>
      <c r="J1857">
        <v>326.3</v>
      </c>
      <c r="K1857" s="1">
        <v>45808</v>
      </c>
      <c r="L1857" t="s">
        <v>21</v>
      </c>
      <c r="M1857" t="s">
        <v>18</v>
      </c>
      <c r="N1857">
        <f>salesitems[[#This Row],[quantity]]*salesitems[[#This Row],[unit_price]]</f>
        <v>326.3</v>
      </c>
      <c r="O1857" t="str">
        <f>_xlfn.XLOOKUP(salesitems[[#This Row],[product_id]],products[product_id],products[product_name])</f>
        <v>Soft Silk Dress</v>
      </c>
      <c r="P1857" t="str">
        <f>_xlfn.XLOOKUP(salesitems[[#This Row],[product_id]],fashion_store_products!A:A,fashion_store_products!C:C)</f>
        <v>Dresses</v>
      </c>
    </row>
    <row r="1858" spans="1:16" x14ac:dyDescent="0.45">
      <c r="A1858">
        <v>1020</v>
      </c>
      <c r="B1858">
        <v>348</v>
      </c>
      <c r="C1858">
        <v>166</v>
      </c>
      <c r="D1858">
        <v>5</v>
      </c>
      <c r="E1858">
        <v>65.260000000000005</v>
      </c>
      <c r="F1858">
        <v>65.260000000000005</v>
      </c>
      <c r="G1858">
        <v>0</v>
      </c>
      <c r="H1858" s="2">
        <v>0</v>
      </c>
      <c r="I1858">
        <v>0</v>
      </c>
      <c r="J1858">
        <v>326.3</v>
      </c>
      <c r="K1858" s="1">
        <v>45807</v>
      </c>
      <c r="L1858" t="s">
        <v>21</v>
      </c>
      <c r="M1858" t="s">
        <v>18</v>
      </c>
      <c r="N1858">
        <f>salesitems[[#This Row],[quantity]]*salesitems[[#This Row],[unit_price]]</f>
        <v>326.3</v>
      </c>
      <c r="O1858" t="str">
        <f>_xlfn.XLOOKUP(salesitems[[#This Row],[product_id]],products[product_id],products[product_name])</f>
        <v>Vintage Satin Shoes</v>
      </c>
      <c r="P1858" t="str">
        <f>_xlfn.XLOOKUP(salesitems[[#This Row],[product_id]],fashion_store_products!A:A,fashion_store_products!C:C)</f>
        <v>Shoes</v>
      </c>
    </row>
    <row r="1859" spans="1:16" x14ac:dyDescent="0.45">
      <c r="A1859">
        <v>2055</v>
      </c>
      <c r="B1859">
        <v>237</v>
      </c>
      <c r="C1859">
        <v>166</v>
      </c>
      <c r="D1859">
        <v>5</v>
      </c>
      <c r="E1859">
        <v>65.260000000000005</v>
      </c>
      <c r="F1859">
        <v>65.260000000000005</v>
      </c>
      <c r="G1859">
        <v>0</v>
      </c>
      <c r="H1859" s="2">
        <v>0</v>
      </c>
      <c r="I1859">
        <v>0</v>
      </c>
      <c r="J1859">
        <v>326.3</v>
      </c>
      <c r="K1859" s="1">
        <v>45793</v>
      </c>
      <c r="L1859" t="s">
        <v>21</v>
      </c>
      <c r="M1859" t="s">
        <v>18</v>
      </c>
      <c r="N1859">
        <f>salesitems[[#This Row],[quantity]]*salesitems[[#This Row],[unit_price]]</f>
        <v>326.3</v>
      </c>
      <c r="O1859" t="str">
        <f>_xlfn.XLOOKUP(salesitems[[#This Row],[product_id]],products[product_id],products[product_name])</f>
        <v>Vintage Satin Shoes</v>
      </c>
      <c r="P1859" t="str">
        <f>_xlfn.XLOOKUP(salesitems[[#This Row],[product_id]],fashion_store_products!A:A,fashion_store_products!C:C)</f>
        <v>Shoes</v>
      </c>
    </row>
    <row r="1860" spans="1:16" x14ac:dyDescent="0.45">
      <c r="A1860">
        <v>3112</v>
      </c>
      <c r="B1860">
        <v>801</v>
      </c>
      <c r="C1860">
        <v>44</v>
      </c>
      <c r="D1860">
        <v>5</v>
      </c>
      <c r="E1860">
        <v>64.84</v>
      </c>
      <c r="F1860">
        <v>64.84</v>
      </c>
      <c r="G1860">
        <v>0</v>
      </c>
      <c r="H1860" s="2">
        <v>0</v>
      </c>
      <c r="I1860">
        <v>0</v>
      </c>
      <c r="J1860">
        <v>324.2</v>
      </c>
      <c r="K1860" s="1">
        <v>45751</v>
      </c>
      <c r="L1860" t="s">
        <v>21</v>
      </c>
      <c r="M1860" t="s">
        <v>18</v>
      </c>
      <c r="N1860">
        <f>salesitems[[#This Row],[quantity]]*salesitems[[#This Row],[unit_price]]</f>
        <v>324.20000000000005</v>
      </c>
      <c r="O1860" t="str">
        <f>_xlfn.XLOOKUP(salesitems[[#This Row],[product_id]],products[product_id],products[product_name])</f>
        <v>Modern Wrap Trousers</v>
      </c>
      <c r="P1860" t="str">
        <f>_xlfn.XLOOKUP(salesitems[[#This Row],[product_id]],fashion_store_products!A:A,fashion_store_products!C:C)</f>
        <v>Pants</v>
      </c>
    </row>
    <row r="1861" spans="1:16" x14ac:dyDescent="0.45">
      <c r="A1861">
        <v>2151</v>
      </c>
      <c r="B1861">
        <v>802</v>
      </c>
      <c r="C1861">
        <v>276</v>
      </c>
      <c r="D1861">
        <v>5</v>
      </c>
      <c r="E1861">
        <v>64.44</v>
      </c>
      <c r="F1861">
        <v>64.44</v>
      </c>
      <c r="G1861">
        <v>0</v>
      </c>
      <c r="H1861" s="2">
        <v>0</v>
      </c>
      <c r="I1861">
        <v>0</v>
      </c>
      <c r="J1861">
        <v>322.2</v>
      </c>
      <c r="K1861" s="1">
        <v>45777</v>
      </c>
      <c r="L1861" t="s">
        <v>15</v>
      </c>
      <c r="M1861" t="s">
        <v>15</v>
      </c>
      <c r="N1861">
        <f>salesitems[[#This Row],[quantity]]*salesitems[[#This Row],[unit_price]]</f>
        <v>322.2</v>
      </c>
      <c r="O1861" t="str">
        <f>_xlfn.XLOOKUP(salesitems[[#This Row],[product_id]],products[product_id],products[product_name])</f>
        <v>Relaxed High-Waist Tee</v>
      </c>
      <c r="P1861" t="str">
        <f>_xlfn.XLOOKUP(salesitems[[#This Row],[product_id]],fashion_store_products!A:A,fashion_store_products!C:C)</f>
        <v>T-Shirts</v>
      </c>
    </row>
    <row r="1862" spans="1:16" x14ac:dyDescent="0.45">
      <c r="A1862">
        <v>1726</v>
      </c>
      <c r="B1862">
        <v>1066</v>
      </c>
      <c r="C1862">
        <v>260</v>
      </c>
      <c r="D1862">
        <v>5</v>
      </c>
      <c r="E1862">
        <v>64.28</v>
      </c>
      <c r="F1862">
        <v>64.28</v>
      </c>
      <c r="G1862">
        <v>0</v>
      </c>
      <c r="H1862" s="2">
        <v>0</v>
      </c>
      <c r="I1862">
        <v>0</v>
      </c>
      <c r="J1862">
        <v>321.39999999999998</v>
      </c>
      <c r="K1862" s="1">
        <v>45791</v>
      </c>
      <c r="L1862" t="s">
        <v>21</v>
      </c>
      <c r="M1862" t="s">
        <v>18</v>
      </c>
      <c r="N1862">
        <f>salesitems[[#This Row],[quantity]]*salesitems[[#This Row],[unit_price]]</f>
        <v>321.39999999999998</v>
      </c>
      <c r="O1862" t="str">
        <f>_xlfn.XLOOKUP(salesitems[[#This Row],[product_id]],products[product_id],products[product_name])</f>
        <v>Relaxed Silk Dress</v>
      </c>
      <c r="P1862" t="str">
        <f>_xlfn.XLOOKUP(salesitems[[#This Row],[product_id]],fashion_store_products!A:A,fashion_store_products!C:C)</f>
        <v>Dresses</v>
      </c>
    </row>
    <row r="1863" spans="1:16" x14ac:dyDescent="0.45">
      <c r="A1863">
        <v>287</v>
      </c>
      <c r="B1863">
        <v>1265</v>
      </c>
      <c r="C1863">
        <v>469</v>
      </c>
      <c r="D1863">
        <v>5</v>
      </c>
      <c r="E1863">
        <v>64.08</v>
      </c>
      <c r="F1863">
        <v>64.08</v>
      </c>
      <c r="G1863">
        <v>0</v>
      </c>
      <c r="H1863" s="2">
        <v>0</v>
      </c>
      <c r="I1863">
        <v>0</v>
      </c>
      <c r="J1863">
        <v>320.39999999999998</v>
      </c>
      <c r="K1863" s="1">
        <v>45798</v>
      </c>
      <c r="L1863" t="s">
        <v>21</v>
      </c>
      <c r="M1863" t="s">
        <v>18</v>
      </c>
      <c r="N1863">
        <f>salesitems[[#This Row],[quantity]]*salesitems[[#This Row],[unit_price]]</f>
        <v>320.39999999999998</v>
      </c>
      <c r="O1863" t="str">
        <f>_xlfn.XLOOKUP(salesitems[[#This Row],[product_id]],products[product_id],products[product_name])</f>
        <v>Dresses Drop 1</v>
      </c>
      <c r="P1863" t="str">
        <f>_xlfn.XLOOKUP(salesitems[[#This Row],[product_id]],fashion_store_products!A:A,fashion_store_products!C:C)</f>
        <v>Dresses</v>
      </c>
    </row>
    <row r="1864" spans="1:16" x14ac:dyDescent="0.45">
      <c r="A1864">
        <v>456</v>
      </c>
      <c r="B1864">
        <v>193</v>
      </c>
      <c r="C1864">
        <v>469</v>
      </c>
      <c r="D1864">
        <v>5</v>
      </c>
      <c r="E1864">
        <v>64.08</v>
      </c>
      <c r="F1864">
        <v>64.08</v>
      </c>
      <c r="G1864">
        <v>0</v>
      </c>
      <c r="H1864" s="2">
        <v>0</v>
      </c>
      <c r="I1864">
        <v>0</v>
      </c>
      <c r="J1864">
        <v>320.39999999999998</v>
      </c>
      <c r="K1864" s="1">
        <v>45795</v>
      </c>
      <c r="L1864" t="s">
        <v>21</v>
      </c>
      <c r="M1864" t="s">
        <v>18</v>
      </c>
      <c r="N1864">
        <f>salesitems[[#This Row],[quantity]]*salesitems[[#This Row],[unit_price]]</f>
        <v>320.39999999999998</v>
      </c>
      <c r="O1864" t="str">
        <f>_xlfn.XLOOKUP(salesitems[[#This Row],[product_id]],products[product_id],products[product_name])</f>
        <v>Dresses Drop 1</v>
      </c>
      <c r="P1864" t="str">
        <f>_xlfn.XLOOKUP(salesitems[[#This Row],[product_id]],fashion_store_products!A:A,fashion_store_products!C:C)</f>
        <v>Dresses</v>
      </c>
    </row>
    <row r="1865" spans="1:16" x14ac:dyDescent="0.45">
      <c r="A1865">
        <v>407</v>
      </c>
      <c r="B1865">
        <v>1231</v>
      </c>
      <c r="C1865">
        <v>372</v>
      </c>
      <c r="D1865">
        <v>5</v>
      </c>
      <c r="E1865">
        <v>63.79</v>
      </c>
      <c r="F1865">
        <v>63.79</v>
      </c>
      <c r="G1865">
        <v>0</v>
      </c>
      <c r="H1865" s="2">
        <v>0</v>
      </c>
      <c r="I1865">
        <v>0</v>
      </c>
      <c r="J1865">
        <v>318.95</v>
      </c>
      <c r="K1865" s="1">
        <v>45752</v>
      </c>
      <c r="L1865" t="s">
        <v>15</v>
      </c>
      <c r="M1865" t="s">
        <v>15</v>
      </c>
      <c r="N1865">
        <f>salesitems[[#This Row],[quantity]]*salesitems[[#This Row],[unit_price]]</f>
        <v>318.95</v>
      </c>
      <c r="O1865" t="str">
        <f>_xlfn.XLOOKUP(salesitems[[#This Row],[product_id]],products[product_id],products[product_name])</f>
        <v>Essential Linen Trousers</v>
      </c>
      <c r="P1865" t="str">
        <f>_xlfn.XLOOKUP(salesitems[[#This Row],[product_id]],fashion_store_products!A:A,fashion_store_products!C:C)</f>
        <v>Pants</v>
      </c>
    </row>
    <row r="1866" spans="1:16" x14ac:dyDescent="0.45">
      <c r="A1866">
        <v>571</v>
      </c>
      <c r="B1866">
        <v>480</v>
      </c>
      <c r="C1866">
        <v>385</v>
      </c>
      <c r="D1866">
        <v>5</v>
      </c>
      <c r="E1866">
        <v>63.23</v>
      </c>
      <c r="F1866">
        <v>63.23</v>
      </c>
      <c r="G1866">
        <v>0</v>
      </c>
      <c r="H1866" s="2">
        <v>0</v>
      </c>
      <c r="I1866">
        <v>0</v>
      </c>
      <c r="J1866">
        <v>316.14999999999998</v>
      </c>
      <c r="K1866" s="1">
        <v>45771</v>
      </c>
      <c r="L1866" t="s">
        <v>21</v>
      </c>
      <c r="M1866" t="s">
        <v>18</v>
      </c>
      <c r="N1866">
        <f>salesitems[[#This Row],[quantity]]*salesitems[[#This Row],[unit_price]]</f>
        <v>316.14999999999998</v>
      </c>
      <c r="O1866" t="str">
        <f>_xlfn.XLOOKUP(salesitems[[#This Row],[product_id]],products[product_id],products[product_name])</f>
        <v>Essential Satin Trousers</v>
      </c>
      <c r="P1866" t="str">
        <f>_xlfn.XLOOKUP(salesitems[[#This Row],[product_id]],fashion_store_products!A:A,fashion_store_products!C:C)</f>
        <v>Pants</v>
      </c>
    </row>
    <row r="1867" spans="1:16" x14ac:dyDescent="0.45">
      <c r="A1867">
        <v>2193</v>
      </c>
      <c r="B1867">
        <v>653</v>
      </c>
      <c r="C1867">
        <v>79</v>
      </c>
      <c r="D1867">
        <v>5</v>
      </c>
      <c r="E1867">
        <v>63.22</v>
      </c>
      <c r="F1867">
        <v>63.22</v>
      </c>
      <c r="G1867">
        <v>0</v>
      </c>
      <c r="H1867" s="2">
        <v>0</v>
      </c>
      <c r="I1867">
        <v>0</v>
      </c>
      <c r="J1867">
        <v>316.10000000000002</v>
      </c>
      <c r="K1867" s="1">
        <v>45798</v>
      </c>
      <c r="L1867" t="s">
        <v>21</v>
      </c>
      <c r="M1867" t="s">
        <v>18</v>
      </c>
      <c r="N1867">
        <f>salesitems[[#This Row],[quantity]]*salesitems[[#This Row],[unit_price]]</f>
        <v>316.10000000000002</v>
      </c>
      <c r="O1867" t="str">
        <f>_xlfn.XLOOKUP(salesitems[[#This Row],[product_id]],products[product_id],products[product_name])</f>
        <v>Modern Satin Trousers</v>
      </c>
      <c r="P1867" t="str">
        <f>_xlfn.XLOOKUP(salesitems[[#This Row],[product_id]],fashion_store_products!A:A,fashion_store_products!C:C)</f>
        <v>Pants</v>
      </c>
    </row>
    <row r="1868" spans="1:16" x14ac:dyDescent="0.45">
      <c r="A1868">
        <v>2351</v>
      </c>
      <c r="B1868">
        <v>21</v>
      </c>
      <c r="C1868">
        <v>79</v>
      </c>
      <c r="D1868">
        <v>5</v>
      </c>
      <c r="E1868">
        <v>63.22</v>
      </c>
      <c r="F1868">
        <v>63.22</v>
      </c>
      <c r="G1868">
        <v>0</v>
      </c>
      <c r="H1868" s="2">
        <v>0</v>
      </c>
      <c r="I1868">
        <v>0</v>
      </c>
      <c r="J1868">
        <v>316.10000000000002</v>
      </c>
      <c r="K1868" s="1">
        <v>45822</v>
      </c>
      <c r="L1868" t="s">
        <v>21</v>
      </c>
      <c r="M1868" t="s">
        <v>18</v>
      </c>
      <c r="N1868">
        <f>salesitems[[#This Row],[quantity]]*salesitems[[#This Row],[unit_price]]</f>
        <v>316.10000000000002</v>
      </c>
      <c r="O1868" t="str">
        <f>_xlfn.XLOOKUP(salesitems[[#This Row],[product_id]],products[product_id],products[product_name])</f>
        <v>Modern Satin Trousers</v>
      </c>
      <c r="P1868" t="str">
        <f>_xlfn.XLOOKUP(salesitems[[#This Row],[product_id]],fashion_store_products!A:A,fashion_store_products!C:C)</f>
        <v>Pants</v>
      </c>
    </row>
    <row r="1869" spans="1:16" x14ac:dyDescent="0.45">
      <c r="A1869">
        <v>1222</v>
      </c>
      <c r="B1869">
        <v>909</v>
      </c>
      <c r="C1869">
        <v>206</v>
      </c>
      <c r="D1869">
        <v>5</v>
      </c>
      <c r="E1869">
        <v>63.03</v>
      </c>
      <c r="F1869">
        <v>63.03</v>
      </c>
      <c r="G1869">
        <v>0</v>
      </c>
      <c r="H1869" s="2">
        <v>0</v>
      </c>
      <c r="I1869">
        <v>0</v>
      </c>
      <c r="J1869">
        <v>315.14999999999998</v>
      </c>
      <c r="K1869" s="1">
        <v>45769</v>
      </c>
      <c r="L1869" t="s">
        <v>15</v>
      </c>
      <c r="M1869" t="s">
        <v>15</v>
      </c>
      <c r="N1869">
        <f>salesitems[[#This Row],[quantity]]*salesitems[[#This Row],[unit_price]]</f>
        <v>315.14999999999998</v>
      </c>
      <c r="O1869" t="str">
        <f>_xlfn.XLOOKUP(salesitems[[#This Row],[product_id]],products[product_id],products[product_name])</f>
        <v>Vintage Silk Trousers</v>
      </c>
      <c r="P1869" t="str">
        <f>_xlfn.XLOOKUP(salesitems[[#This Row],[product_id]],fashion_store_products!A:A,fashion_store_products!C:C)</f>
        <v>Pants</v>
      </c>
    </row>
    <row r="1870" spans="1:16" x14ac:dyDescent="0.45">
      <c r="A1870">
        <v>1382</v>
      </c>
      <c r="B1870">
        <v>480</v>
      </c>
      <c r="C1870">
        <v>236</v>
      </c>
      <c r="D1870">
        <v>5</v>
      </c>
      <c r="E1870">
        <v>62.93</v>
      </c>
      <c r="F1870">
        <v>62.93</v>
      </c>
      <c r="G1870">
        <v>0</v>
      </c>
      <c r="H1870" s="2">
        <v>0</v>
      </c>
      <c r="I1870">
        <v>0</v>
      </c>
      <c r="J1870">
        <v>314.64999999999998</v>
      </c>
      <c r="K1870" s="1">
        <v>45771</v>
      </c>
      <c r="L1870" t="s">
        <v>21</v>
      </c>
      <c r="M1870" t="s">
        <v>18</v>
      </c>
      <c r="N1870">
        <f>salesitems[[#This Row],[quantity]]*salesitems[[#This Row],[unit_price]]</f>
        <v>314.64999999999998</v>
      </c>
      <c r="O1870" t="str">
        <f>_xlfn.XLOOKUP(salesitems[[#This Row],[product_id]],products[product_id],products[product_name])</f>
        <v>Relaxed Linen Shoes</v>
      </c>
      <c r="P1870" t="str">
        <f>_xlfn.XLOOKUP(salesitems[[#This Row],[product_id]],fashion_store_products!A:A,fashion_store_products!C:C)</f>
        <v>Shoes</v>
      </c>
    </row>
    <row r="1871" spans="1:16" x14ac:dyDescent="0.45">
      <c r="A1871">
        <v>2112</v>
      </c>
      <c r="B1871">
        <v>837</v>
      </c>
      <c r="C1871">
        <v>236</v>
      </c>
      <c r="D1871">
        <v>5</v>
      </c>
      <c r="E1871">
        <v>62.93</v>
      </c>
      <c r="F1871">
        <v>62.93</v>
      </c>
      <c r="G1871">
        <v>0</v>
      </c>
      <c r="H1871" s="2">
        <v>0</v>
      </c>
      <c r="I1871">
        <v>0</v>
      </c>
      <c r="J1871">
        <v>314.64999999999998</v>
      </c>
      <c r="K1871" s="1">
        <v>45782</v>
      </c>
      <c r="L1871" t="s">
        <v>21</v>
      </c>
      <c r="M1871" t="s">
        <v>18</v>
      </c>
      <c r="N1871">
        <f>salesitems[[#This Row],[quantity]]*salesitems[[#This Row],[unit_price]]</f>
        <v>314.64999999999998</v>
      </c>
      <c r="O1871" t="str">
        <f>_xlfn.XLOOKUP(salesitems[[#This Row],[product_id]],products[product_id],products[product_name])</f>
        <v>Relaxed Linen Shoes</v>
      </c>
      <c r="P1871" t="str">
        <f>_xlfn.XLOOKUP(salesitems[[#This Row],[product_id]],fashion_store_products!A:A,fashion_store_products!C:C)</f>
        <v>Shoes</v>
      </c>
    </row>
    <row r="1872" spans="1:16" x14ac:dyDescent="0.45">
      <c r="A1872">
        <v>1386</v>
      </c>
      <c r="B1872">
        <v>43</v>
      </c>
      <c r="C1872">
        <v>38</v>
      </c>
      <c r="D1872">
        <v>5</v>
      </c>
      <c r="E1872">
        <v>62.8</v>
      </c>
      <c r="F1872">
        <v>62.8</v>
      </c>
      <c r="G1872">
        <v>0</v>
      </c>
      <c r="H1872" s="2">
        <v>0</v>
      </c>
      <c r="I1872">
        <v>0</v>
      </c>
      <c r="J1872">
        <v>314</v>
      </c>
      <c r="K1872" s="1">
        <v>45762</v>
      </c>
      <c r="L1872" t="s">
        <v>15</v>
      </c>
      <c r="M1872" t="s">
        <v>15</v>
      </c>
      <c r="N1872">
        <f>salesitems[[#This Row],[quantity]]*salesitems[[#This Row],[unit_price]]</f>
        <v>314</v>
      </c>
      <c r="O1872" t="str">
        <f>_xlfn.XLOOKUP(salesitems[[#This Row],[product_id]],products[product_id],products[product_name])</f>
        <v>Soft Crew Tee</v>
      </c>
      <c r="P1872" t="str">
        <f>_xlfn.XLOOKUP(salesitems[[#This Row],[product_id]],fashion_store_products!A:A,fashion_store_products!C:C)</f>
        <v>T-Shirts</v>
      </c>
    </row>
    <row r="1873" spans="1:16" x14ac:dyDescent="0.45">
      <c r="A1873">
        <v>1914</v>
      </c>
      <c r="B1873">
        <v>710</v>
      </c>
      <c r="C1873">
        <v>38</v>
      </c>
      <c r="D1873">
        <v>5</v>
      </c>
      <c r="E1873">
        <v>62.8</v>
      </c>
      <c r="F1873">
        <v>62.8</v>
      </c>
      <c r="G1873">
        <v>0</v>
      </c>
      <c r="H1873" s="2">
        <v>0</v>
      </c>
      <c r="I1873">
        <v>0</v>
      </c>
      <c r="J1873">
        <v>314</v>
      </c>
      <c r="K1873" s="1">
        <v>45825</v>
      </c>
      <c r="L1873" t="s">
        <v>21</v>
      </c>
      <c r="M1873" t="s">
        <v>18</v>
      </c>
      <c r="N1873">
        <f>salesitems[[#This Row],[quantity]]*salesitems[[#This Row],[unit_price]]</f>
        <v>314</v>
      </c>
      <c r="O1873" t="str">
        <f>_xlfn.XLOOKUP(salesitems[[#This Row],[product_id]],products[product_id],products[product_name])</f>
        <v>Soft Crew Tee</v>
      </c>
      <c r="P1873" t="str">
        <f>_xlfn.XLOOKUP(salesitems[[#This Row],[product_id]],fashion_store_products!A:A,fashion_store_products!C:C)</f>
        <v>T-Shirts</v>
      </c>
    </row>
    <row r="1874" spans="1:16" x14ac:dyDescent="0.45">
      <c r="A1874">
        <v>2109</v>
      </c>
      <c r="B1874">
        <v>352</v>
      </c>
      <c r="C1874">
        <v>317</v>
      </c>
      <c r="D1874">
        <v>5</v>
      </c>
      <c r="E1874">
        <v>62.63</v>
      </c>
      <c r="F1874">
        <v>62.63</v>
      </c>
      <c r="G1874">
        <v>0</v>
      </c>
      <c r="H1874" s="2">
        <v>0</v>
      </c>
      <c r="I1874">
        <v>0</v>
      </c>
      <c r="J1874">
        <v>313.14999999999998</v>
      </c>
      <c r="K1874" s="1">
        <v>45752</v>
      </c>
      <c r="L1874" t="s">
        <v>21</v>
      </c>
      <c r="M1874" t="s">
        <v>18</v>
      </c>
      <c r="N1874">
        <f>salesitems[[#This Row],[quantity]]*salesitems[[#This Row],[unit_price]]</f>
        <v>313.15000000000003</v>
      </c>
      <c r="O1874" t="str">
        <f>_xlfn.XLOOKUP(salesitems[[#This Row],[product_id]],products[product_id],products[product_name])</f>
        <v>Relaxed High-Waist Set</v>
      </c>
      <c r="P1874" t="str">
        <f>_xlfn.XLOOKUP(salesitems[[#This Row],[product_id]],fashion_store_products!A:A,fashion_store_products!C:C)</f>
        <v>Sleepwear</v>
      </c>
    </row>
    <row r="1875" spans="1:16" x14ac:dyDescent="0.45">
      <c r="A1875">
        <v>2227</v>
      </c>
      <c r="B1875">
        <v>968</v>
      </c>
      <c r="C1875">
        <v>317</v>
      </c>
      <c r="D1875">
        <v>5</v>
      </c>
      <c r="E1875">
        <v>62.63</v>
      </c>
      <c r="F1875">
        <v>62.63</v>
      </c>
      <c r="G1875">
        <v>0</v>
      </c>
      <c r="H1875" s="2">
        <v>0</v>
      </c>
      <c r="I1875">
        <v>0</v>
      </c>
      <c r="J1875">
        <v>313.14999999999998</v>
      </c>
      <c r="K1875" s="1">
        <v>45821</v>
      </c>
      <c r="L1875" t="s">
        <v>21</v>
      </c>
      <c r="M1875" t="s">
        <v>18</v>
      </c>
      <c r="N1875">
        <f>salesitems[[#This Row],[quantity]]*salesitems[[#This Row],[unit_price]]</f>
        <v>313.15000000000003</v>
      </c>
      <c r="O1875" t="str">
        <f>_xlfn.XLOOKUP(salesitems[[#This Row],[product_id]],products[product_id],products[product_name])</f>
        <v>Relaxed High-Waist Set</v>
      </c>
      <c r="P1875" t="str">
        <f>_xlfn.XLOOKUP(salesitems[[#This Row],[product_id]],fashion_store_products!A:A,fashion_store_products!C:C)</f>
        <v>Sleepwear</v>
      </c>
    </row>
    <row r="1876" spans="1:16" x14ac:dyDescent="0.45">
      <c r="A1876">
        <v>2508</v>
      </c>
      <c r="B1876">
        <v>1215</v>
      </c>
      <c r="C1876">
        <v>317</v>
      </c>
      <c r="D1876">
        <v>5</v>
      </c>
      <c r="E1876">
        <v>62.63</v>
      </c>
      <c r="F1876">
        <v>62.63</v>
      </c>
      <c r="G1876">
        <v>0</v>
      </c>
      <c r="H1876" s="2">
        <v>0</v>
      </c>
      <c r="I1876">
        <v>0</v>
      </c>
      <c r="J1876">
        <v>313.14999999999998</v>
      </c>
      <c r="K1876" s="1">
        <v>45769</v>
      </c>
      <c r="L1876" t="s">
        <v>15</v>
      </c>
      <c r="M1876" t="s">
        <v>15</v>
      </c>
      <c r="N1876">
        <f>salesitems[[#This Row],[quantity]]*salesitems[[#This Row],[unit_price]]</f>
        <v>313.15000000000003</v>
      </c>
      <c r="O1876" t="str">
        <f>_xlfn.XLOOKUP(salesitems[[#This Row],[product_id]],products[product_id],products[product_name])</f>
        <v>Relaxed High-Waist Set</v>
      </c>
      <c r="P1876" t="str">
        <f>_xlfn.XLOOKUP(salesitems[[#This Row],[product_id]],fashion_store_products!A:A,fashion_store_products!C:C)</f>
        <v>Sleepwear</v>
      </c>
    </row>
    <row r="1877" spans="1:16" x14ac:dyDescent="0.45">
      <c r="A1877">
        <v>927</v>
      </c>
      <c r="B1877">
        <v>335</v>
      </c>
      <c r="C1877">
        <v>382</v>
      </c>
      <c r="D1877">
        <v>5</v>
      </c>
      <c r="E1877">
        <v>62.52</v>
      </c>
      <c r="F1877">
        <v>62.52</v>
      </c>
      <c r="G1877">
        <v>0</v>
      </c>
      <c r="H1877" s="2">
        <v>0</v>
      </c>
      <c r="I1877">
        <v>0</v>
      </c>
      <c r="J1877">
        <v>312.60000000000002</v>
      </c>
      <c r="K1877" s="1">
        <v>45762</v>
      </c>
      <c r="L1877" t="s">
        <v>15</v>
      </c>
      <c r="M1877" t="s">
        <v>15</v>
      </c>
      <c r="N1877">
        <f>salesitems[[#This Row],[quantity]]*salesitems[[#This Row],[unit_price]]</f>
        <v>312.60000000000002</v>
      </c>
      <c r="O1877" t="str">
        <f>_xlfn.XLOOKUP(salesitems[[#This Row],[product_id]],products[product_id],products[product_name])</f>
        <v>Tailored Sleeveless Dress</v>
      </c>
      <c r="P1877" t="str">
        <f>_xlfn.XLOOKUP(salesitems[[#This Row],[product_id]],fashion_store_products!A:A,fashion_store_products!C:C)</f>
        <v>Dresses</v>
      </c>
    </row>
    <row r="1878" spans="1:16" x14ac:dyDescent="0.45">
      <c r="A1878">
        <v>2827</v>
      </c>
      <c r="B1878">
        <v>953</v>
      </c>
      <c r="C1878">
        <v>382</v>
      </c>
      <c r="D1878">
        <v>5</v>
      </c>
      <c r="E1878">
        <v>62.52</v>
      </c>
      <c r="F1878">
        <v>62.52</v>
      </c>
      <c r="G1878">
        <v>0</v>
      </c>
      <c r="H1878" s="2">
        <v>0</v>
      </c>
      <c r="I1878">
        <v>0</v>
      </c>
      <c r="J1878">
        <v>312.60000000000002</v>
      </c>
      <c r="K1878" s="1">
        <v>45763</v>
      </c>
      <c r="L1878" t="s">
        <v>15</v>
      </c>
      <c r="M1878" t="s">
        <v>15</v>
      </c>
      <c r="N1878">
        <f>salesitems[[#This Row],[quantity]]*salesitems[[#This Row],[unit_price]]</f>
        <v>312.60000000000002</v>
      </c>
      <c r="O1878" t="str">
        <f>_xlfn.XLOOKUP(salesitems[[#This Row],[product_id]],products[product_id],products[product_name])</f>
        <v>Tailored Sleeveless Dress</v>
      </c>
      <c r="P1878" t="str">
        <f>_xlfn.XLOOKUP(salesitems[[#This Row],[product_id]],fashion_store_products!A:A,fashion_store_products!C:C)</f>
        <v>Dresses</v>
      </c>
    </row>
    <row r="1879" spans="1:16" x14ac:dyDescent="0.45">
      <c r="A1879">
        <v>969</v>
      </c>
      <c r="B1879">
        <v>361</v>
      </c>
      <c r="C1879">
        <v>378</v>
      </c>
      <c r="D1879">
        <v>5</v>
      </c>
      <c r="E1879">
        <v>62.39</v>
      </c>
      <c r="F1879">
        <v>62.39</v>
      </c>
      <c r="G1879">
        <v>0</v>
      </c>
      <c r="H1879" s="2">
        <v>0</v>
      </c>
      <c r="I1879">
        <v>0</v>
      </c>
      <c r="J1879">
        <v>311.95</v>
      </c>
      <c r="K1879" s="1">
        <v>45782</v>
      </c>
      <c r="L1879" t="s">
        <v>21</v>
      </c>
      <c r="M1879" t="s">
        <v>18</v>
      </c>
      <c r="N1879">
        <f>salesitems[[#This Row],[quantity]]*salesitems[[#This Row],[unit_price]]</f>
        <v>311.95</v>
      </c>
      <c r="O1879" t="str">
        <f>_xlfn.XLOOKUP(salesitems[[#This Row],[product_id]],products[product_id],products[product_name])</f>
        <v>Essential Ribbed Trousers</v>
      </c>
      <c r="P1879" t="str">
        <f>_xlfn.XLOOKUP(salesitems[[#This Row],[product_id]],fashion_store_products!A:A,fashion_store_products!C:C)</f>
        <v>Pants</v>
      </c>
    </row>
    <row r="1880" spans="1:16" x14ac:dyDescent="0.45">
      <c r="A1880">
        <v>2309</v>
      </c>
      <c r="B1880">
        <v>121</v>
      </c>
      <c r="C1880">
        <v>323</v>
      </c>
      <c r="D1880">
        <v>5</v>
      </c>
      <c r="E1880">
        <v>62.34</v>
      </c>
      <c r="F1880">
        <v>62.34</v>
      </c>
      <c r="G1880">
        <v>0</v>
      </c>
      <c r="H1880" s="2">
        <v>0</v>
      </c>
      <c r="I1880">
        <v>0</v>
      </c>
      <c r="J1880">
        <v>311.7</v>
      </c>
      <c r="K1880" s="1">
        <v>45772</v>
      </c>
      <c r="L1880" t="s">
        <v>15</v>
      </c>
      <c r="M1880" t="s">
        <v>15</v>
      </c>
      <c r="N1880">
        <f>salesitems[[#This Row],[quantity]]*salesitems[[#This Row],[unit_price]]</f>
        <v>311.70000000000005</v>
      </c>
      <c r="O1880" t="str">
        <f>_xlfn.XLOOKUP(salesitems[[#This Row],[product_id]],products[product_id],products[product_name])</f>
        <v>Tailored Wrap Tee</v>
      </c>
      <c r="P1880" t="str">
        <f>_xlfn.XLOOKUP(salesitems[[#This Row],[product_id]],fashion_store_products!A:A,fashion_store_products!C:C)</f>
        <v>T-Shirts</v>
      </c>
    </row>
    <row r="1881" spans="1:16" x14ac:dyDescent="0.45">
      <c r="A1881">
        <v>585</v>
      </c>
      <c r="B1881">
        <v>329</v>
      </c>
      <c r="C1881">
        <v>437</v>
      </c>
      <c r="D1881">
        <v>5</v>
      </c>
      <c r="E1881">
        <v>62.17</v>
      </c>
      <c r="F1881">
        <v>62.17</v>
      </c>
      <c r="G1881">
        <v>0</v>
      </c>
      <c r="H1881" s="2">
        <v>0</v>
      </c>
      <c r="I1881">
        <v>0</v>
      </c>
      <c r="J1881">
        <v>310.85000000000002</v>
      </c>
      <c r="K1881" s="1">
        <v>45751</v>
      </c>
      <c r="L1881" t="s">
        <v>21</v>
      </c>
      <c r="M1881" t="s">
        <v>18</v>
      </c>
      <c r="N1881">
        <f>salesitems[[#This Row],[quantity]]*salesitems[[#This Row],[unit_price]]</f>
        <v>310.85000000000002</v>
      </c>
      <c r="O1881" t="str">
        <f>_xlfn.XLOOKUP(salesitems[[#This Row],[product_id]],products[product_id],products[product_name])</f>
        <v>Elegant Boxy Dress</v>
      </c>
      <c r="P1881" t="str">
        <f>_xlfn.XLOOKUP(salesitems[[#This Row],[product_id]],fashion_store_products!A:A,fashion_store_products!C:C)</f>
        <v>Dresses</v>
      </c>
    </row>
    <row r="1882" spans="1:16" x14ac:dyDescent="0.45">
      <c r="A1882">
        <v>2333</v>
      </c>
      <c r="B1882">
        <v>676</v>
      </c>
      <c r="C1882">
        <v>50</v>
      </c>
      <c r="D1882">
        <v>5</v>
      </c>
      <c r="E1882">
        <v>61.95</v>
      </c>
      <c r="F1882">
        <v>61.95</v>
      </c>
      <c r="G1882">
        <v>0</v>
      </c>
      <c r="H1882" s="2">
        <v>0</v>
      </c>
      <c r="I1882">
        <v>0</v>
      </c>
      <c r="J1882">
        <v>309.75</v>
      </c>
      <c r="K1882" s="1">
        <v>45797</v>
      </c>
      <c r="L1882" t="s">
        <v>15</v>
      </c>
      <c r="M1882" t="s">
        <v>15</v>
      </c>
      <c r="N1882">
        <f>salesitems[[#This Row],[quantity]]*salesitems[[#This Row],[unit_price]]</f>
        <v>309.75</v>
      </c>
      <c r="O1882" t="str">
        <f>_xlfn.XLOOKUP(salesitems[[#This Row],[product_id]],products[product_id],products[product_name])</f>
        <v>Modern Wrap Tee</v>
      </c>
      <c r="P1882" t="str">
        <f>_xlfn.XLOOKUP(salesitems[[#This Row],[product_id]],fashion_store_products!A:A,fashion_store_products!C:C)</f>
        <v>T-Shirts</v>
      </c>
    </row>
    <row r="1883" spans="1:16" x14ac:dyDescent="0.45">
      <c r="A1883">
        <v>981</v>
      </c>
      <c r="B1883">
        <v>360</v>
      </c>
      <c r="C1883">
        <v>134</v>
      </c>
      <c r="D1883">
        <v>5</v>
      </c>
      <c r="E1883">
        <v>61.75</v>
      </c>
      <c r="F1883">
        <v>61.75</v>
      </c>
      <c r="G1883">
        <v>0</v>
      </c>
      <c r="H1883" s="2">
        <v>0</v>
      </c>
      <c r="I1883">
        <v>0</v>
      </c>
      <c r="J1883">
        <v>308.75</v>
      </c>
      <c r="K1883" s="1">
        <v>45771</v>
      </c>
      <c r="L1883" t="s">
        <v>15</v>
      </c>
      <c r="M1883" t="s">
        <v>15</v>
      </c>
      <c r="N1883">
        <f>salesitems[[#This Row],[quantity]]*salesitems[[#This Row],[unit_price]]</f>
        <v>308.75</v>
      </c>
      <c r="O1883" t="str">
        <f>_xlfn.XLOOKUP(salesitems[[#This Row],[product_id]],products[product_id],products[product_name])</f>
        <v>Classic Ribbed Trousers</v>
      </c>
      <c r="P1883" t="str">
        <f>_xlfn.XLOOKUP(salesitems[[#This Row],[product_id]],fashion_store_products!A:A,fashion_store_products!C:C)</f>
        <v>Pants</v>
      </c>
    </row>
    <row r="1884" spans="1:16" x14ac:dyDescent="0.45">
      <c r="A1884">
        <v>2119</v>
      </c>
      <c r="B1884">
        <v>248</v>
      </c>
      <c r="C1884">
        <v>134</v>
      </c>
      <c r="D1884">
        <v>5</v>
      </c>
      <c r="E1884">
        <v>61.75</v>
      </c>
      <c r="F1884">
        <v>61.75</v>
      </c>
      <c r="G1884">
        <v>0</v>
      </c>
      <c r="H1884" s="2">
        <v>0</v>
      </c>
      <c r="I1884">
        <v>0</v>
      </c>
      <c r="J1884">
        <v>308.75</v>
      </c>
      <c r="K1884" s="1">
        <v>45770</v>
      </c>
      <c r="L1884" t="s">
        <v>15</v>
      </c>
      <c r="M1884" t="s">
        <v>15</v>
      </c>
      <c r="N1884">
        <f>salesitems[[#This Row],[quantity]]*salesitems[[#This Row],[unit_price]]</f>
        <v>308.75</v>
      </c>
      <c r="O1884" t="str">
        <f>_xlfn.XLOOKUP(salesitems[[#This Row],[product_id]],products[product_id],products[product_name])</f>
        <v>Classic Ribbed Trousers</v>
      </c>
      <c r="P1884" t="str">
        <f>_xlfn.XLOOKUP(salesitems[[#This Row],[product_id]],fashion_store_products!A:A,fashion_store_products!C:C)</f>
        <v>Pants</v>
      </c>
    </row>
    <row r="1885" spans="1:16" x14ac:dyDescent="0.45">
      <c r="A1885">
        <v>130</v>
      </c>
      <c r="B1885">
        <v>141</v>
      </c>
      <c r="C1885">
        <v>123</v>
      </c>
      <c r="D1885">
        <v>5</v>
      </c>
      <c r="E1885">
        <v>61.51</v>
      </c>
      <c r="F1885">
        <v>61.51</v>
      </c>
      <c r="G1885">
        <v>0</v>
      </c>
      <c r="H1885" s="2">
        <v>0</v>
      </c>
      <c r="I1885">
        <v>0</v>
      </c>
      <c r="J1885">
        <v>307.55</v>
      </c>
      <c r="K1885" s="1">
        <v>45823</v>
      </c>
      <c r="L1885" t="s">
        <v>21</v>
      </c>
      <c r="M1885" t="s">
        <v>18</v>
      </c>
      <c r="N1885">
        <f>salesitems[[#This Row],[quantity]]*salesitems[[#This Row],[unit_price]]</f>
        <v>307.55</v>
      </c>
      <c r="O1885" t="str">
        <f>_xlfn.XLOOKUP(salesitems[[#This Row],[product_id]],products[product_id],products[product_name])</f>
        <v>Classic Wrap Set</v>
      </c>
      <c r="P1885" t="str">
        <f>_xlfn.XLOOKUP(salesitems[[#This Row],[product_id]],fashion_store_products!A:A,fashion_store_products!C:C)</f>
        <v>Sleepwear</v>
      </c>
    </row>
    <row r="1886" spans="1:16" x14ac:dyDescent="0.45">
      <c r="A1886">
        <v>520</v>
      </c>
      <c r="B1886">
        <v>330</v>
      </c>
      <c r="C1886">
        <v>125</v>
      </c>
      <c r="D1886">
        <v>5</v>
      </c>
      <c r="E1886">
        <v>61.27</v>
      </c>
      <c r="F1886">
        <v>61.27</v>
      </c>
      <c r="G1886">
        <v>0</v>
      </c>
      <c r="H1886" s="2">
        <v>0</v>
      </c>
      <c r="I1886">
        <v>0</v>
      </c>
      <c r="J1886">
        <v>306.35000000000002</v>
      </c>
      <c r="K1886" s="1">
        <v>45771</v>
      </c>
      <c r="L1886" t="s">
        <v>21</v>
      </c>
      <c r="M1886" t="s">
        <v>18</v>
      </c>
      <c r="N1886">
        <f>salesitems[[#This Row],[quantity]]*salesitems[[#This Row],[unit_price]]</f>
        <v>306.35000000000002</v>
      </c>
      <c r="O1886" t="str">
        <f>_xlfn.XLOOKUP(salesitems[[#This Row],[product_id]],products[product_id],products[product_name])</f>
        <v>Classic Satin Shoes</v>
      </c>
      <c r="P1886" t="str">
        <f>_xlfn.XLOOKUP(salesitems[[#This Row],[product_id]],fashion_store_products!A:A,fashion_store_products!C:C)</f>
        <v>Shoes</v>
      </c>
    </row>
    <row r="1887" spans="1:16" x14ac:dyDescent="0.45">
      <c r="A1887">
        <v>877</v>
      </c>
      <c r="B1887">
        <v>678</v>
      </c>
      <c r="C1887">
        <v>428</v>
      </c>
      <c r="D1887">
        <v>5</v>
      </c>
      <c r="E1887">
        <v>61.22</v>
      </c>
      <c r="F1887">
        <v>61.22</v>
      </c>
      <c r="G1887">
        <v>0</v>
      </c>
      <c r="H1887" s="2">
        <v>0</v>
      </c>
      <c r="I1887">
        <v>0</v>
      </c>
      <c r="J1887">
        <v>306.10000000000002</v>
      </c>
      <c r="K1887" s="1">
        <v>45752</v>
      </c>
      <c r="L1887" t="s">
        <v>21</v>
      </c>
      <c r="M1887" t="s">
        <v>18</v>
      </c>
      <c r="N1887">
        <f>salesitems[[#This Row],[quantity]]*salesitems[[#This Row],[unit_price]]</f>
        <v>306.10000000000002</v>
      </c>
      <c r="O1887" t="str">
        <f>_xlfn.XLOOKUP(salesitems[[#This Row],[product_id]],products[product_id],products[product_name])</f>
        <v>Elegant High-Waist Shoes</v>
      </c>
      <c r="P1887" t="str">
        <f>_xlfn.XLOOKUP(salesitems[[#This Row],[product_id]],fashion_store_products!A:A,fashion_store_products!C:C)</f>
        <v>Shoes</v>
      </c>
    </row>
    <row r="1888" spans="1:16" x14ac:dyDescent="0.45">
      <c r="A1888">
        <v>1279</v>
      </c>
      <c r="B1888">
        <v>729</v>
      </c>
      <c r="C1888">
        <v>428</v>
      </c>
      <c r="D1888">
        <v>5</v>
      </c>
      <c r="E1888">
        <v>61.22</v>
      </c>
      <c r="F1888">
        <v>61.22</v>
      </c>
      <c r="G1888">
        <v>0</v>
      </c>
      <c r="H1888" s="2">
        <v>0</v>
      </c>
      <c r="I1888">
        <v>0</v>
      </c>
      <c r="J1888">
        <v>306.10000000000002</v>
      </c>
      <c r="K1888" s="1">
        <v>45774</v>
      </c>
      <c r="L1888" t="s">
        <v>21</v>
      </c>
      <c r="M1888" t="s">
        <v>18</v>
      </c>
      <c r="N1888">
        <f>salesitems[[#This Row],[quantity]]*salesitems[[#This Row],[unit_price]]</f>
        <v>306.10000000000002</v>
      </c>
      <c r="O1888" t="str">
        <f>_xlfn.XLOOKUP(salesitems[[#This Row],[product_id]],products[product_id],products[product_name])</f>
        <v>Elegant High-Waist Shoes</v>
      </c>
      <c r="P1888" t="str">
        <f>_xlfn.XLOOKUP(salesitems[[#This Row],[product_id]],fashion_store_products!A:A,fashion_store_products!C:C)</f>
        <v>Shoes</v>
      </c>
    </row>
    <row r="1889" spans="1:16" x14ac:dyDescent="0.45">
      <c r="A1889">
        <v>1852</v>
      </c>
      <c r="B1889">
        <v>995</v>
      </c>
      <c r="C1889">
        <v>428</v>
      </c>
      <c r="D1889">
        <v>5</v>
      </c>
      <c r="E1889">
        <v>61.22</v>
      </c>
      <c r="F1889">
        <v>61.22</v>
      </c>
      <c r="G1889">
        <v>0</v>
      </c>
      <c r="H1889" s="2">
        <v>0</v>
      </c>
      <c r="I1889">
        <v>0</v>
      </c>
      <c r="J1889">
        <v>306.10000000000002</v>
      </c>
      <c r="K1889" s="1">
        <v>45796</v>
      </c>
      <c r="L1889" t="s">
        <v>21</v>
      </c>
      <c r="M1889" t="s">
        <v>18</v>
      </c>
      <c r="N1889">
        <f>salesitems[[#This Row],[quantity]]*salesitems[[#This Row],[unit_price]]</f>
        <v>306.10000000000002</v>
      </c>
      <c r="O1889" t="str">
        <f>_xlfn.XLOOKUP(salesitems[[#This Row],[product_id]],products[product_id],products[product_name])</f>
        <v>Elegant High-Waist Shoes</v>
      </c>
      <c r="P1889" t="str">
        <f>_xlfn.XLOOKUP(salesitems[[#This Row],[product_id]],fashion_store_products!A:A,fashion_store_products!C:C)</f>
        <v>Shoes</v>
      </c>
    </row>
    <row r="1890" spans="1:16" x14ac:dyDescent="0.45">
      <c r="A1890">
        <v>1613</v>
      </c>
      <c r="B1890">
        <v>1047</v>
      </c>
      <c r="C1890">
        <v>112</v>
      </c>
      <c r="D1890">
        <v>5</v>
      </c>
      <c r="E1890">
        <v>61.2</v>
      </c>
      <c r="F1890">
        <v>61.2</v>
      </c>
      <c r="G1890">
        <v>0</v>
      </c>
      <c r="H1890" s="2">
        <v>0</v>
      </c>
      <c r="I1890">
        <v>0</v>
      </c>
      <c r="J1890">
        <v>306</v>
      </c>
      <c r="K1890" s="1">
        <v>45764</v>
      </c>
      <c r="L1890" t="s">
        <v>21</v>
      </c>
      <c r="M1890" t="s">
        <v>18</v>
      </c>
      <c r="N1890">
        <f>salesitems[[#This Row],[quantity]]*salesitems[[#This Row],[unit_price]]</f>
        <v>306</v>
      </c>
      <c r="O1890" t="str">
        <f>_xlfn.XLOOKUP(salesitems[[#This Row],[product_id]],products[product_id],products[product_name])</f>
        <v>Modern Sleeveless Set</v>
      </c>
      <c r="P1890" t="str">
        <f>_xlfn.XLOOKUP(salesitems[[#This Row],[product_id]],fashion_store_products!A:A,fashion_store_products!C:C)</f>
        <v>Sleepwear</v>
      </c>
    </row>
    <row r="1891" spans="1:16" x14ac:dyDescent="0.45">
      <c r="A1891">
        <v>702</v>
      </c>
      <c r="B1891">
        <v>1116</v>
      </c>
      <c r="C1891">
        <v>305</v>
      </c>
      <c r="D1891">
        <v>5</v>
      </c>
      <c r="E1891">
        <v>60.79</v>
      </c>
      <c r="F1891">
        <v>60.79</v>
      </c>
      <c r="G1891">
        <v>0</v>
      </c>
      <c r="H1891" s="2">
        <v>0</v>
      </c>
      <c r="I1891">
        <v>0</v>
      </c>
      <c r="J1891">
        <v>303.95</v>
      </c>
      <c r="K1891" s="1">
        <v>45798</v>
      </c>
      <c r="L1891" t="s">
        <v>21</v>
      </c>
      <c r="M1891" t="s">
        <v>18</v>
      </c>
      <c r="N1891">
        <f>salesitems[[#This Row],[quantity]]*salesitems[[#This Row],[unit_price]]</f>
        <v>303.95</v>
      </c>
      <c r="O1891" t="str">
        <f>_xlfn.XLOOKUP(salesitems[[#This Row],[product_id]],products[product_id],products[product_name])</f>
        <v>Relaxed Wrap Trousers</v>
      </c>
      <c r="P1891" t="str">
        <f>_xlfn.XLOOKUP(salesitems[[#This Row],[product_id]],fashion_store_products!A:A,fashion_store_products!C:C)</f>
        <v>Pants</v>
      </c>
    </row>
    <row r="1892" spans="1:16" x14ac:dyDescent="0.45">
      <c r="A1892">
        <v>1515</v>
      </c>
      <c r="B1892">
        <v>127</v>
      </c>
      <c r="C1892">
        <v>305</v>
      </c>
      <c r="D1892">
        <v>5</v>
      </c>
      <c r="E1892">
        <v>60.79</v>
      </c>
      <c r="F1892">
        <v>60.79</v>
      </c>
      <c r="G1892">
        <v>0</v>
      </c>
      <c r="H1892" s="2">
        <v>0</v>
      </c>
      <c r="I1892">
        <v>0</v>
      </c>
      <c r="J1892">
        <v>303.95</v>
      </c>
      <c r="K1892" s="1">
        <v>45760</v>
      </c>
      <c r="L1892" t="s">
        <v>15</v>
      </c>
      <c r="M1892" t="s">
        <v>15</v>
      </c>
      <c r="N1892">
        <f>salesitems[[#This Row],[quantity]]*salesitems[[#This Row],[unit_price]]</f>
        <v>303.95</v>
      </c>
      <c r="O1892" t="str">
        <f>_xlfn.XLOOKUP(salesitems[[#This Row],[product_id]],products[product_id],products[product_name])</f>
        <v>Relaxed Wrap Trousers</v>
      </c>
      <c r="P1892" t="str">
        <f>_xlfn.XLOOKUP(salesitems[[#This Row],[product_id]],fashion_store_products!A:A,fashion_store_products!C:C)</f>
        <v>Pants</v>
      </c>
    </row>
    <row r="1893" spans="1:16" x14ac:dyDescent="0.45">
      <c r="A1893">
        <v>1925</v>
      </c>
      <c r="B1893">
        <v>396</v>
      </c>
      <c r="C1893">
        <v>129</v>
      </c>
      <c r="D1893">
        <v>5</v>
      </c>
      <c r="E1893">
        <v>60.68</v>
      </c>
      <c r="F1893">
        <v>60.68</v>
      </c>
      <c r="G1893">
        <v>0</v>
      </c>
      <c r="H1893" s="2">
        <v>0</v>
      </c>
      <c r="I1893">
        <v>0</v>
      </c>
      <c r="J1893">
        <v>303.39999999999998</v>
      </c>
      <c r="K1893" s="1">
        <v>45805</v>
      </c>
      <c r="L1893" t="s">
        <v>21</v>
      </c>
      <c r="M1893" t="s">
        <v>18</v>
      </c>
      <c r="N1893">
        <f>salesitems[[#This Row],[quantity]]*salesitems[[#This Row],[unit_price]]</f>
        <v>303.39999999999998</v>
      </c>
      <c r="O1893" t="str">
        <f>_xlfn.XLOOKUP(salesitems[[#This Row],[product_id]],products[product_id],products[product_name])</f>
        <v>Classic Linen Trousers</v>
      </c>
      <c r="P1893" t="str">
        <f>_xlfn.XLOOKUP(salesitems[[#This Row],[product_id]],fashion_store_products!A:A,fashion_store_products!C:C)</f>
        <v>Pants</v>
      </c>
    </row>
    <row r="1894" spans="1:16" x14ac:dyDescent="0.45">
      <c r="A1894">
        <v>3024</v>
      </c>
      <c r="B1894">
        <v>1098</v>
      </c>
      <c r="C1894">
        <v>129</v>
      </c>
      <c r="D1894">
        <v>5</v>
      </c>
      <c r="E1894">
        <v>60.68</v>
      </c>
      <c r="F1894">
        <v>60.68</v>
      </c>
      <c r="G1894">
        <v>0</v>
      </c>
      <c r="H1894" s="2">
        <v>0</v>
      </c>
      <c r="I1894">
        <v>0</v>
      </c>
      <c r="J1894">
        <v>303.39999999999998</v>
      </c>
      <c r="K1894" s="1">
        <v>45804</v>
      </c>
      <c r="L1894" t="s">
        <v>15</v>
      </c>
      <c r="M1894" t="s">
        <v>15</v>
      </c>
      <c r="N1894">
        <f>salesitems[[#This Row],[quantity]]*salesitems[[#This Row],[unit_price]]</f>
        <v>303.39999999999998</v>
      </c>
      <c r="O1894" t="str">
        <f>_xlfn.XLOOKUP(salesitems[[#This Row],[product_id]],products[product_id],products[product_name])</f>
        <v>Classic Linen Trousers</v>
      </c>
      <c r="P1894" t="str">
        <f>_xlfn.XLOOKUP(salesitems[[#This Row],[product_id]],fashion_store_products!A:A,fashion_store_products!C:C)</f>
        <v>Pants</v>
      </c>
    </row>
    <row r="1895" spans="1:16" x14ac:dyDescent="0.45">
      <c r="A1895">
        <v>307</v>
      </c>
      <c r="B1895">
        <v>703</v>
      </c>
      <c r="C1895">
        <v>111</v>
      </c>
      <c r="D1895">
        <v>5</v>
      </c>
      <c r="E1895">
        <v>60.36</v>
      </c>
      <c r="F1895">
        <v>60.36</v>
      </c>
      <c r="G1895">
        <v>0</v>
      </c>
      <c r="H1895" s="2">
        <v>0</v>
      </c>
      <c r="I1895">
        <v>0</v>
      </c>
      <c r="J1895">
        <v>301.8</v>
      </c>
      <c r="K1895" s="1">
        <v>45782</v>
      </c>
      <c r="L1895" t="s">
        <v>21</v>
      </c>
      <c r="M1895" t="s">
        <v>18</v>
      </c>
      <c r="N1895">
        <f>salesitems[[#This Row],[quantity]]*salesitems[[#This Row],[unit_price]]</f>
        <v>301.8</v>
      </c>
      <c r="O1895" t="str">
        <f>_xlfn.XLOOKUP(salesitems[[#This Row],[product_id]],products[product_id],products[product_name])</f>
        <v>Modern Sleeveless Trousers</v>
      </c>
      <c r="P1895" t="str">
        <f>_xlfn.XLOOKUP(salesitems[[#This Row],[product_id]],fashion_store_products!A:A,fashion_store_products!C:C)</f>
        <v>Pants</v>
      </c>
    </row>
    <row r="1896" spans="1:16" x14ac:dyDescent="0.45">
      <c r="A1896">
        <v>2609</v>
      </c>
      <c r="B1896">
        <v>1252</v>
      </c>
      <c r="C1896">
        <v>111</v>
      </c>
      <c r="D1896">
        <v>5</v>
      </c>
      <c r="E1896">
        <v>60.36</v>
      </c>
      <c r="F1896">
        <v>60.36</v>
      </c>
      <c r="G1896">
        <v>0</v>
      </c>
      <c r="H1896" s="2">
        <v>0</v>
      </c>
      <c r="I1896">
        <v>0</v>
      </c>
      <c r="J1896">
        <v>301.8</v>
      </c>
      <c r="K1896" s="1">
        <v>45776</v>
      </c>
      <c r="L1896" t="s">
        <v>21</v>
      </c>
      <c r="M1896" t="s">
        <v>18</v>
      </c>
      <c r="N1896">
        <f>salesitems[[#This Row],[quantity]]*salesitems[[#This Row],[unit_price]]</f>
        <v>301.8</v>
      </c>
      <c r="O1896" t="str">
        <f>_xlfn.XLOOKUP(salesitems[[#This Row],[product_id]],products[product_id],products[product_name])</f>
        <v>Modern Sleeveless Trousers</v>
      </c>
      <c r="P1896" t="str">
        <f>_xlfn.XLOOKUP(salesitems[[#This Row],[product_id]],fashion_store_products!A:A,fashion_store_products!C:C)</f>
        <v>Pants</v>
      </c>
    </row>
    <row r="1897" spans="1:16" x14ac:dyDescent="0.45">
      <c r="A1897">
        <v>247</v>
      </c>
      <c r="B1897">
        <v>823</v>
      </c>
      <c r="C1897">
        <v>54</v>
      </c>
      <c r="D1897">
        <v>5</v>
      </c>
      <c r="E1897">
        <v>60.33</v>
      </c>
      <c r="F1897">
        <v>60.33</v>
      </c>
      <c r="G1897">
        <v>0</v>
      </c>
      <c r="H1897" s="2">
        <v>0</v>
      </c>
      <c r="I1897">
        <v>0</v>
      </c>
      <c r="J1897">
        <v>301.64999999999998</v>
      </c>
      <c r="K1897" s="1">
        <v>45771</v>
      </c>
      <c r="L1897" t="s">
        <v>15</v>
      </c>
      <c r="M1897" t="s">
        <v>15</v>
      </c>
      <c r="N1897">
        <f>salesitems[[#This Row],[quantity]]*salesitems[[#This Row],[unit_price]]</f>
        <v>301.64999999999998</v>
      </c>
      <c r="O1897" t="str">
        <f>_xlfn.XLOOKUP(salesitems[[#This Row],[product_id]],products[product_id],products[product_name])</f>
        <v>Modern Silk Dress</v>
      </c>
      <c r="P1897" t="str">
        <f>_xlfn.XLOOKUP(salesitems[[#This Row],[product_id]],fashion_store_products!A:A,fashion_store_products!C:C)</f>
        <v>Dresses</v>
      </c>
    </row>
    <row r="1898" spans="1:16" x14ac:dyDescent="0.45">
      <c r="A1898">
        <v>1146</v>
      </c>
      <c r="B1898">
        <v>925</v>
      </c>
      <c r="C1898">
        <v>412</v>
      </c>
      <c r="D1898">
        <v>5</v>
      </c>
      <c r="E1898">
        <v>60.33</v>
      </c>
      <c r="F1898">
        <v>60.33</v>
      </c>
      <c r="G1898">
        <v>0</v>
      </c>
      <c r="H1898" s="2">
        <v>0</v>
      </c>
      <c r="I1898">
        <v>0</v>
      </c>
      <c r="J1898">
        <v>301.64999999999998</v>
      </c>
      <c r="K1898" s="1">
        <v>45771</v>
      </c>
      <c r="L1898" t="s">
        <v>21</v>
      </c>
      <c r="M1898" t="s">
        <v>18</v>
      </c>
      <c r="N1898">
        <f>salesitems[[#This Row],[quantity]]*salesitems[[#This Row],[unit_price]]</f>
        <v>301.64999999999998</v>
      </c>
      <c r="O1898" t="str">
        <f>_xlfn.XLOOKUP(salesitems[[#This Row],[product_id]],products[product_id],products[product_name])</f>
        <v>Elegant Cotton Shoes</v>
      </c>
      <c r="P1898" t="str">
        <f>_xlfn.XLOOKUP(salesitems[[#This Row],[product_id]],fashion_store_products!A:A,fashion_store_products!C:C)</f>
        <v>Shoes</v>
      </c>
    </row>
    <row r="1899" spans="1:16" x14ac:dyDescent="0.45">
      <c r="A1899">
        <v>1326</v>
      </c>
      <c r="B1899">
        <v>495</v>
      </c>
      <c r="C1899">
        <v>54</v>
      </c>
      <c r="D1899">
        <v>5</v>
      </c>
      <c r="E1899">
        <v>60.33</v>
      </c>
      <c r="F1899">
        <v>60.33</v>
      </c>
      <c r="G1899">
        <v>0</v>
      </c>
      <c r="H1899" s="2">
        <v>0</v>
      </c>
      <c r="I1899">
        <v>0</v>
      </c>
      <c r="J1899">
        <v>301.64999999999998</v>
      </c>
      <c r="K1899" s="1">
        <v>45776</v>
      </c>
      <c r="L1899" t="s">
        <v>21</v>
      </c>
      <c r="M1899" t="s">
        <v>18</v>
      </c>
      <c r="N1899">
        <f>salesitems[[#This Row],[quantity]]*salesitems[[#This Row],[unit_price]]</f>
        <v>301.64999999999998</v>
      </c>
      <c r="O1899" t="str">
        <f>_xlfn.XLOOKUP(salesitems[[#This Row],[product_id]],products[product_id],products[product_name])</f>
        <v>Modern Silk Dress</v>
      </c>
      <c r="P1899" t="str">
        <f>_xlfn.XLOOKUP(salesitems[[#This Row],[product_id]],fashion_store_products!A:A,fashion_store_products!C:C)</f>
        <v>Dresses</v>
      </c>
    </row>
    <row r="1900" spans="1:16" x14ac:dyDescent="0.45">
      <c r="A1900">
        <v>1100</v>
      </c>
      <c r="B1900">
        <v>1068</v>
      </c>
      <c r="C1900">
        <v>433</v>
      </c>
      <c r="D1900">
        <v>5</v>
      </c>
      <c r="E1900">
        <v>60.12</v>
      </c>
      <c r="F1900">
        <v>60.12</v>
      </c>
      <c r="G1900">
        <v>0</v>
      </c>
      <c r="H1900" s="2">
        <v>0</v>
      </c>
      <c r="I1900">
        <v>0</v>
      </c>
      <c r="J1900">
        <v>300.60000000000002</v>
      </c>
      <c r="K1900" s="1">
        <v>45796</v>
      </c>
      <c r="L1900" t="s">
        <v>21</v>
      </c>
      <c r="M1900" t="s">
        <v>18</v>
      </c>
      <c r="N1900">
        <f>salesitems[[#This Row],[quantity]]*salesitems[[#This Row],[unit_price]]</f>
        <v>300.59999999999997</v>
      </c>
      <c r="O1900" t="str">
        <f>_xlfn.XLOOKUP(salesitems[[#This Row],[product_id]],products[product_id],products[product_name])</f>
        <v>Essential Boxy Trousers</v>
      </c>
      <c r="P1900" t="str">
        <f>_xlfn.XLOOKUP(salesitems[[#This Row],[product_id]],fashion_store_products!A:A,fashion_store_products!C:C)</f>
        <v>Pants</v>
      </c>
    </row>
    <row r="1901" spans="1:16" x14ac:dyDescent="0.45">
      <c r="A1901">
        <v>2694</v>
      </c>
      <c r="B1901">
        <v>767</v>
      </c>
      <c r="C1901">
        <v>433</v>
      </c>
      <c r="D1901">
        <v>5</v>
      </c>
      <c r="E1901">
        <v>60.12</v>
      </c>
      <c r="F1901">
        <v>60.12</v>
      </c>
      <c r="G1901">
        <v>0</v>
      </c>
      <c r="H1901" s="2">
        <v>0</v>
      </c>
      <c r="I1901">
        <v>0</v>
      </c>
      <c r="J1901">
        <v>300.60000000000002</v>
      </c>
      <c r="K1901" s="1">
        <v>45766</v>
      </c>
      <c r="L1901" t="s">
        <v>15</v>
      </c>
      <c r="M1901" t="s">
        <v>15</v>
      </c>
      <c r="N1901">
        <f>salesitems[[#This Row],[quantity]]*salesitems[[#This Row],[unit_price]]</f>
        <v>300.59999999999997</v>
      </c>
      <c r="O1901" t="str">
        <f>_xlfn.XLOOKUP(salesitems[[#This Row],[product_id]],products[product_id],products[product_name])</f>
        <v>Essential Boxy Trousers</v>
      </c>
      <c r="P1901" t="str">
        <f>_xlfn.XLOOKUP(salesitems[[#This Row],[product_id]],fashion_store_products!A:A,fashion_store_products!C:C)</f>
        <v>Pants</v>
      </c>
    </row>
    <row r="1902" spans="1:16" x14ac:dyDescent="0.45">
      <c r="A1902">
        <v>3072</v>
      </c>
      <c r="B1902">
        <v>1247</v>
      </c>
      <c r="C1902">
        <v>433</v>
      </c>
      <c r="D1902">
        <v>5</v>
      </c>
      <c r="E1902">
        <v>60.12</v>
      </c>
      <c r="F1902">
        <v>60.12</v>
      </c>
      <c r="G1902">
        <v>0</v>
      </c>
      <c r="H1902" s="2">
        <v>0</v>
      </c>
      <c r="I1902">
        <v>0</v>
      </c>
      <c r="J1902">
        <v>300.60000000000002</v>
      </c>
      <c r="K1902" s="1">
        <v>45768</v>
      </c>
      <c r="L1902" t="s">
        <v>21</v>
      </c>
      <c r="M1902" t="s">
        <v>18</v>
      </c>
      <c r="N1902">
        <f>salesitems[[#This Row],[quantity]]*salesitems[[#This Row],[unit_price]]</f>
        <v>300.59999999999997</v>
      </c>
      <c r="O1902" t="str">
        <f>_xlfn.XLOOKUP(salesitems[[#This Row],[product_id]],products[product_id],products[product_name])</f>
        <v>Essential Boxy Trousers</v>
      </c>
      <c r="P1902" t="str">
        <f>_xlfn.XLOOKUP(salesitems[[#This Row],[product_id]],fashion_store_products!A:A,fashion_store_products!C:C)</f>
        <v>Pants</v>
      </c>
    </row>
    <row r="1903" spans="1:16" x14ac:dyDescent="0.45">
      <c r="A1903">
        <v>524</v>
      </c>
      <c r="B1903">
        <v>82</v>
      </c>
      <c r="C1903">
        <v>4</v>
      </c>
      <c r="D1903">
        <v>5</v>
      </c>
      <c r="E1903">
        <v>60</v>
      </c>
      <c r="F1903">
        <v>60</v>
      </c>
      <c r="G1903">
        <v>0</v>
      </c>
      <c r="H1903" s="2">
        <v>0</v>
      </c>
      <c r="I1903">
        <v>0</v>
      </c>
      <c r="J1903">
        <v>300</v>
      </c>
      <c r="K1903" s="1">
        <v>45761</v>
      </c>
      <c r="L1903" t="s">
        <v>21</v>
      </c>
      <c r="M1903" t="s">
        <v>18</v>
      </c>
      <c r="N1903">
        <f>salesitems[[#This Row],[quantity]]*salesitems[[#This Row],[unit_price]]</f>
        <v>300</v>
      </c>
      <c r="O1903" t="str">
        <f>_xlfn.XLOOKUP(salesitems[[#This Row],[product_id]],products[product_id],products[product_name])</f>
        <v>Soft Ribbed Tee</v>
      </c>
      <c r="P1903" t="str">
        <f>_xlfn.XLOOKUP(salesitems[[#This Row],[product_id]],fashion_store_products!A:A,fashion_store_products!C:C)</f>
        <v>T-Shirts</v>
      </c>
    </row>
    <row r="1904" spans="1:16" x14ac:dyDescent="0.45">
      <c r="A1904">
        <v>2250</v>
      </c>
      <c r="B1904">
        <v>92</v>
      </c>
      <c r="C1904">
        <v>347</v>
      </c>
      <c r="D1904">
        <v>5</v>
      </c>
      <c r="E1904">
        <v>59.92</v>
      </c>
      <c r="F1904">
        <v>59.92</v>
      </c>
      <c r="G1904">
        <v>0</v>
      </c>
      <c r="H1904" s="2">
        <v>0</v>
      </c>
      <c r="I1904">
        <v>0</v>
      </c>
      <c r="J1904">
        <v>299.60000000000002</v>
      </c>
      <c r="K1904" s="1">
        <v>45807</v>
      </c>
      <c r="L1904" t="s">
        <v>15</v>
      </c>
      <c r="M1904" t="s">
        <v>15</v>
      </c>
      <c r="N1904">
        <f>salesitems[[#This Row],[quantity]]*salesitems[[#This Row],[unit_price]]</f>
        <v>299.60000000000002</v>
      </c>
      <c r="O1904" t="str">
        <f>_xlfn.XLOOKUP(salesitems[[#This Row],[product_id]],products[product_id],products[product_name])</f>
        <v>Tailored Sleeveless Tee</v>
      </c>
      <c r="P1904" t="str">
        <f>_xlfn.XLOOKUP(salesitems[[#This Row],[product_id]],fashion_store_products!A:A,fashion_store_products!C:C)</f>
        <v>T-Shirts</v>
      </c>
    </row>
    <row r="1905" spans="1:16" x14ac:dyDescent="0.45">
      <c r="A1905">
        <v>698</v>
      </c>
      <c r="B1905">
        <v>1122</v>
      </c>
      <c r="C1905">
        <v>464</v>
      </c>
      <c r="D1905">
        <v>5</v>
      </c>
      <c r="E1905">
        <v>59.58</v>
      </c>
      <c r="F1905">
        <v>59.58</v>
      </c>
      <c r="G1905">
        <v>0</v>
      </c>
      <c r="H1905" s="2">
        <v>0</v>
      </c>
      <c r="I1905">
        <v>0</v>
      </c>
      <c r="J1905">
        <v>297.89999999999998</v>
      </c>
      <c r="K1905" s="1">
        <v>45824</v>
      </c>
      <c r="L1905" t="s">
        <v>21</v>
      </c>
      <c r="M1905" t="s">
        <v>18</v>
      </c>
      <c r="N1905">
        <f>salesitems[[#This Row],[quantity]]*salesitems[[#This Row],[unit_price]]</f>
        <v>297.89999999999998</v>
      </c>
      <c r="O1905" t="str">
        <f>_xlfn.XLOOKUP(salesitems[[#This Row],[product_id]],products[product_id],products[product_name])</f>
        <v>Bold Ribbed Shoes</v>
      </c>
      <c r="P1905" t="str">
        <f>_xlfn.XLOOKUP(salesitems[[#This Row],[product_id]],fashion_store_products!A:A,fashion_store_products!C:C)</f>
        <v>Shoes</v>
      </c>
    </row>
    <row r="1906" spans="1:16" x14ac:dyDescent="0.45">
      <c r="A1906">
        <v>1751</v>
      </c>
      <c r="B1906">
        <v>1213</v>
      </c>
      <c r="C1906">
        <v>464</v>
      </c>
      <c r="D1906">
        <v>5</v>
      </c>
      <c r="E1906">
        <v>59.58</v>
      </c>
      <c r="F1906">
        <v>59.58</v>
      </c>
      <c r="G1906">
        <v>0</v>
      </c>
      <c r="H1906" s="2">
        <v>0</v>
      </c>
      <c r="I1906">
        <v>0</v>
      </c>
      <c r="J1906">
        <v>297.89999999999998</v>
      </c>
      <c r="K1906" s="1">
        <v>45793</v>
      </c>
      <c r="L1906" t="s">
        <v>21</v>
      </c>
      <c r="M1906" t="s">
        <v>18</v>
      </c>
      <c r="N1906">
        <f>salesitems[[#This Row],[quantity]]*salesitems[[#This Row],[unit_price]]</f>
        <v>297.89999999999998</v>
      </c>
      <c r="O1906" t="str">
        <f>_xlfn.XLOOKUP(salesitems[[#This Row],[product_id]],products[product_id],products[product_name])</f>
        <v>Bold Ribbed Shoes</v>
      </c>
      <c r="P1906" t="str">
        <f>_xlfn.XLOOKUP(salesitems[[#This Row],[product_id]],fashion_store_products!A:A,fashion_store_products!C:C)</f>
        <v>Shoes</v>
      </c>
    </row>
    <row r="1907" spans="1:16" x14ac:dyDescent="0.45">
      <c r="A1907">
        <v>2139</v>
      </c>
      <c r="B1907">
        <v>938</v>
      </c>
      <c r="C1907">
        <v>160</v>
      </c>
      <c r="D1907">
        <v>5</v>
      </c>
      <c r="E1907">
        <v>59.38</v>
      </c>
      <c r="F1907">
        <v>59.38</v>
      </c>
      <c r="G1907">
        <v>0</v>
      </c>
      <c r="H1907" s="2">
        <v>0</v>
      </c>
      <c r="I1907">
        <v>0</v>
      </c>
      <c r="J1907">
        <v>296.89999999999998</v>
      </c>
      <c r="K1907" s="1">
        <v>45796</v>
      </c>
      <c r="L1907" t="s">
        <v>21</v>
      </c>
      <c r="M1907" t="s">
        <v>18</v>
      </c>
      <c r="N1907">
        <f>salesitems[[#This Row],[quantity]]*salesitems[[#This Row],[unit_price]]</f>
        <v>296.90000000000003</v>
      </c>
      <c r="O1907" t="str">
        <f>_xlfn.XLOOKUP(salesitems[[#This Row],[product_id]],products[product_id],products[product_name])</f>
        <v>Classic High-Waist Set</v>
      </c>
      <c r="P1907" t="str">
        <f>_xlfn.XLOOKUP(salesitems[[#This Row],[product_id]],fashion_store_products!A:A,fashion_store_products!C:C)</f>
        <v>Sleepwear</v>
      </c>
    </row>
    <row r="1908" spans="1:16" x14ac:dyDescent="0.45">
      <c r="A1908">
        <v>1269</v>
      </c>
      <c r="B1908">
        <v>75</v>
      </c>
      <c r="C1908">
        <v>186</v>
      </c>
      <c r="D1908">
        <v>5</v>
      </c>
      <c r="E1908">
        <v>59.35</v>
      </c>
      <c r="F1908">
        <v>59.35</v>
      </c>
      <c r="G1908">
        <v>0</v>
      </c>
      <c r="H1908" s="2">
        <v>0</v>
      </c>
      <c r="I1908">
        <v>0</v>
      </c>
      <c r="J1908">
        <v>296.75</v>
      </c>
      <c r="K1908" s="1">
        <v>45799</v>
      </c>
      <c r="L1908" t="s">
        <v>15</v>
      </c>
      <c r="M1908" t="s">
        <v>15</v>
      </c>
      <c r="N1908">
        <f>salesitems[[#This Row],[quantity]]*salesitems[[#This Row],[unit_price]]</f>
        <v>296.75</v>
      </c>
      <c r="O1908" t="str">
        <f>_xlfn.XLOOKUP(salesitems[[#This Row],[product_id]],products[product_id],products[product_name])</f>
        <v>Vintage Boxy Shoes</v>
      </c>
      <c r="P1908" t="str">
        <f>_xlfn.XLOOKUP(salesitems[[#This Row],[product_id]],fashion_store_products!A:A,fashion_store_products!C:C)</f>
        <v>Shoes</v>
      </c>
    </row>
    <row r="1909" spans="1:16" x14ac:dyDescent="0.45">
      <c r="A1909">
        <v>2527</v>
      </c>
      <c r="B1909">
        <v>715</v>
      </c>
      <c r="C1909">
        <v>390</v>
      </c>
      <c r="D1909">
        <v>5</v>
      </c>
      <c r="E1909">
        <v>59.33</v>
      </c>
      <c r="F1909">
        <v>59.33</v>
      </c>
      <c r="G1909">
        <v>0</v>
      </c>
      <c r="H1909" s="2">
        <v>0</v>
      </c>
      <c r="I1909">
        <v>0</v>
      </c>
      <c r="J1909">
        <v>296.64999999999998</v>
      </c>
      <c r="K1909" s="1">
        <v>45823</v>
      </c>
      <c r="L1909" t="s">
        <v>21</v>
      </c>
      <c r="M1909" t="s">
        <v>18</v>
      </c>
      <c r="N1909">
        <f>salesitems[[#This Row],[quantity]]*salesitems[[#This Row],[unit_price]]</f>
        <v>296.64999999999998</v>
      </c>
      <c r="O1909" t="str">
        <f>_xlfn.XLOOKUP(salesitems[[#This Row],[product_id]],products[product_id],products[product_name])</f>
        <v>Tailored Boxy Shoes</v>
      </c>
      <c r="P1909" t="str">
        <f>_xlfn.XLOOKUP(salesitems[[#This Row],[product_id]],fashion_store_products!A:A,fashion_store_products!C:C)</f>
        <v>Shoes</v>
      </c>
    </row>
    <row r="1910" spans="1:16" x14ac:dyDescent="0.45">
      <c r="A1910">
        <v>182</v>
      </c>
      <c r="B1910">
        <v>410</v>
      </c>
      <c r="C1910">
        <v>214</v>
      </c>
      <c r="D1910">
        <v>5</v>
      </c>
      <c r="E1910">
        <v>59.07</v>
      </c>
      <c r="F1910">
        <v>59.07</v>
      </c>
      <c r="G1910">
        <v>0</v>
      </c>
      <c r="H1910" s="2">
        <v>0</v>
      </c>
      <c r="I1910">
        <v>0</v>
      </c>
      <c r="J1910">
        <v>295.35000000000002</v>
      </c>
      <c r="K1910" s="1">
        <v>45800</v>
      </c>
      <c r="L1910" t="s">
        <v>21</v>
      </c>
      <c r="M1910" t="s">
        <v>18</v>
      </c>
      <c r="N1910">
        <f>salesitems[[#This Row],[quantity]]*salesitems[[#This Row],[unit_price]]</f>
        <v>295.35000000000002</v>
      </c>
      <c r="O1910" t="str">
        <f>_xlfn.XLOOKUP(salesitems[[#This Row],[product_id]],products[product_id],products[product_name])</f>
        <v>Vintage Crew Trousers</v>
      </c>
      <c r="P1910" t="str">
        <f>_xlfn.XLOOKUP(salesitems[[#This Row],[product_id]],fashion_store_products!A:A,fashion_store_products!C:C)</f>
        <v>Pants</v>
      </c>
    </row>
    <row r="1911" spans="1:16" x14ac:dyDescent="0.45">
      <c r="A1911">
        <v>1241</v>
      </c>
      <c r="B1911">
        <v>556</v>
      </c>
      <c r="C1911">
        <v>247</v>
      </c>
      <c r="D1911">
        <v>5</v>
      </c>
      <c r="E1911">
        <v>58.86</v>
      </c>
      <c r="F1911">
        <v>58.86</v>
      </c>
      <c r="G1911">
        <v>0</v>
      </c>
      <c r="H1911" s="2">
        <v>0</v>
      </c>
      <c r="I1911">
        <v>0</v>
      </c>
      <c r="J1911">
        <v>294.3</v>
      </c>
      <c r="K1911" s="1">
        <v>45777</v>
      </c>
      <c r="L1911" t="s">
        <v>21</v>
      </c>
      <c r="M1911" t="s">
        <v>18</v>
      </c>
      <c r="N1911">
        <f>salesitems[[#This Row],[quantity]]*salesitems[[#This Row],[unit_price]]</f>
        <v>294.3</v>
      </c>
      <c r="O1911" t="str">
        <f>_xlfn.XLOOKUP(salesitems[[#This Row],[product_id]],products[product_id],products[product_name])</f>
        <v>Polished Cotton Trousers</v>
      </c>
      <c r="P1911" t="str">
        <f>_xlfn.XLOOKUP(salesitems[[#This Row],[product_id]],fashion_store_products!A:A,fashion_store_products!C:C)</f>
        <v>Pants</v>
      </c>
    </row>
    <row r="1912" spans="1:16" x14ac:dyDescent="0.45">
      <c r="A1912">
        <v>1298</v>
      </c>
      <c r="B1912">
        <v>458</v>
      </c>
      <c r="C1912">
        <v>110</v>
      </c>
      <c r="D1912">
        <v>5</v>
      </c>
      <c r="E1912">
        <v>58.7</v>
      </c>
      <c r="F1912">
        <v>58.7</v>
      </c>
      <c r="G1912">
        <v>0</v>
      </c>
      <c r="H1912" s="2">
        <v>0</v>
      </c>
      <c r="I1912">
        <v>0</v>
      </c>
      <c r="J1912">
        <v>293.5</v>
      </c>
      <c r="K1912" s="1">
        <v>45797</v>
      </c>
      <c r="L1912" t="s">
        <v>15</v>
      </c>
      <c r="M1912" t="s">
        <v>15</v>
      </c>
      <c r="N1912">
        <f>salesitems[[#This Row],[quantity]]*salesitems[[#This Row],[unit_price]]</f>
        <v>293.5</v>
      </c>
      <c r="O1912" t="str">
        <f>_xlfn.XLOOKUP(salesitems[[#This Row],[product_id]],products[product_id],products[product_name])</f>
        <v>Classic High-Waist Dress</v>
      </c>
      <c r="P1912" t="str">
        <f>_xlfn.XLOOKUP(salesitems[[#This Row],[product_id]],fashion_store_products!A:A,fashion_store_products!C:C)</f>
        <v>Dresses</v>
      </c>
    </row>
    <row r="1913" spans="1:16" x14ac:dyDescent="0.45">
      <c r="A1913">
        <v>2461</v>
      </c>
      <c r="B1913">
        <v>303</v>
      </c>
      <c r="C1913">
        <v>110</v>
      </c>
      <c r="D1913">
        <v>5</v>
      </c>
      <c r="E1913">
        <v>58.7</v>
      </c>
      <c r="F1913">
        <v>58.7</v>
      </c>
      <c r="G1913">
        <v>0</v>
      </c>
      <c r="H1913" s="2">
        <v>0</v>
      </c>
      <c r="I1913">
        <v>0</v>
      </c>
      <c r="J1913">
        <v>293.5</v>
      </c>
      <c r="K1913" s="1">
        <v>45813</v>
      </c>
      <c r="L1913" t="s">
        <v>15</v>
      </c>
      <c r="M1913" t="s">
        <v>15</v>
      </c>
      <c r="N1913">
        <f>salesitems[[#This Row],[quantity]]*salesitems[[#This Row],[unit_price]]</f>
        <v>293.5</v>
      </c>
      <c r="O1913" t="str">
        <f>_xlfn.XLOOKUP(salesitems[[#This Row],[product_id]],products[product_id],products[product_name])</f>
        <v>Classic High-Waist Dress</v>
      </c>
      <c r="P1913" t="str">
        <f>_xlfn.XLOOKUP(salesitems[[#This Row],[product_id]],fashion_store_products!A:A,fashion_store_products!C:C)</f>
        <v>Dresses</v>
      </c>
    </row>
    <row r="1914" spans="1:16" x14ac:dyDescent="0.45">
      <c r="A1914">
        <v>44</v>
      </c>
      <c r="B1914">
        <v>73</v>
      </c>
      <c r="C1914">
        <v>63</v>
      </c>
      <c r="D1914">
        <v>5</v>
      </c>
      <c r="E1914">
        <v>58.67</v>
      </c>
      <c r="F1914">
        <v>58.67</v>
      </c>
      <c r="G1914">
        <v>0</v>
      </c>
      <c r="H1914" s="2">
        <v>0</v>
      </c>
      <c r="I1914">
        <v>0</v>
      </c>
      <c r="J1914">
        <v>293.35000000000002</v>
      </c>
      <c r="K1914" s="1">
        <v>45796</v>
      </c>
      <c r="L1914" t="s">
        <v>21</v>
      </c>
      <c r="M1914" t="s">
        <v>18</v>
      </c>
      <c r="N1914">
        <f>salesitems[[#This Row],[quantity]]*salesitems[[#This Row],[unit_price]]</f>
        <v>293.35000000000002</v>
      </c>
      <c r="O1914" t="str">
        <f>_xlfn.XLOOKUP(salesitems[[#This Row],[product_id]],products[product_id],products[product_name])</f>
        <v>Soft Crew Set</v>
      </c>
      <c r="P1914" t="str">
        <f>_xlfn.XLOOKUP(salesitems[[#This Row],[product_id]],fashion_store_products!A:A,fashion_store_products!C:C)</f>
        <v>Sleepwear</v>
      </c>
    </row>
    <row r="1915" spans="1:16" x14ac:dyDescent="0.45">
      <c r="A1915">
        <v>618</v>
      </c>
      <c r="B1915">
        <v>96</v>
      </c>
      <c r="C1915">
        <v>366</v>
      </c>
      <c r="D1915">
        <v>5</v>
      </c>
      <c r="E1915">
        <v>58.34</v>
      </c>
      <c r="F1915">
        <v>58.34</v>
      </c>
      <c r="G1915">
        <v>0</v>
      </c>
      <c r="H1915" s="2">
        <v>0</v>
      </c>
      <c r="I1915">
        <v>0</v>
      </c>
      <c r="J1915">
        <v>291.7</v>
      </c>
      <c r="K1915" s="1">
        <v>45767</v>
      </c>
      <c r="L1915" t="s">
        <v>21</v>
      </c>
      <c r="M1915" t="s">
        <v>18</v>
      </c>
      <c r="N1915">
        <f>salesitems[[#This Row],[quantity]]*salesitems[[#This Row],[unit_price]]</f>
        <v>291.70000000000005</v>
      </c>
      <c r="O1915" t="str">
        <f>_xlfn.XLOOKUP(salesitems[[#This Row],[product_id]],products[product_id],products[product_name])</f>
        <v>Essential Wrap Trousers</v>
      </c>
      <c r="P1915" t="str">
        <f>_xlfn.XLOOKUP(salesitems[[#This Row],[product_id]],fashion_store_products!A:A,fashion_store_products!C:C)</f>
        <v>Pants</v>
      </c>
    </row>
    <row r="1916" spans="1:16" x14ac:dyDescent="0.45">
      <c r="A1916">
        <v>2216</v>
      </c>
      <c r="B1916">
        <v>160</v>
      </c>
      <c r="C1916">
        <v>493</v>
      </c>
      <c r="D1916">
        <v>5</v>
      </c>
      <c r="E1916">
        <v>57.37</v>
      </c>
      <c r="F1916">
        <v>57.37</v>
      </c>
      <c r="G1916">
        <v>0</v>
      </c>
      <c r="H1916" s="2">
        <v>0</v>
      </c>
      <c r="I1916">
        <v>0</v>
      </c>
      <c r="J1916">
        <v>286.85000000000002</v>
      </c>
      <c r="K1916" s="1">
        <v>45772</v>
      </c>
      <c r="L1916" t="s">
        <v>15</v>
      </c>
      <c r="M1916" t="s">
        <v>15</v>
      </c>
      <c r="N1916">
        <f>salesitems[[#This Row],[quantity]]*salesitems[[#This Row],[unit_price]]</f>
        <v>286.84999999999997</v>
      </c>
      <c r="O1916" t="str">
        <f>_xlfn.XLOOKUP(salesitems[[#This Row],[product_id]],products[product_id],products[product_name])</f>
        <v>Tailored Sleeveless Trousers</v>
      </c>
      <c r="P1916" t="str">
        <f>_xlfn.XLOOKUP(salesitems[[#This Row],[product_id]],fashion_store_products!A:A,fashion_store_products!C:C)</f>
        <v>Pants</v>
      </c>
    </row>
    <row r="1917" spans="1:16" x14ac:dyDescent="0.45">
      <c r="A1917">
        <v>2635</v>
      </c>
      <c r="B1917">
        <v>535</v>
      </c>
      <c r="C1917">
        <v>493</v>
      </c>
      <c r="D1917">
        <v>5</v>
      </c>
      <c r="E1917">
        <v>57.37</v>
      </c>
      <c r="F1917">
        <v>57.37</v>
      </c>
      <c r="G1917">
        <v>0</v>
      </c>
      <c r="H1917" s="2">
        <v>0</v>
      </c>
      <c r="I1917">
        <v>0</v>
      </c>
      <c r="J1917">
        <v>286.85000000000002</v>
      </c>
      <c r="K1917" s="1">
        <v>45808</v>
      </c>
      <c r="L1917" t="s">
        <v>15</v>
      </c>
      <c r="M1917" t="s">
        <v>15</v>
      </c>
      <c r="N1917">
        <f>salesitems[[#This Row],[quantity]]*salesitems[[#This Row],[unit_price]]</f>
        <v>286.84999999999997</v>
      </c>
      <c r="O1917" t="str">
        <f>_xlfn.XLOOKUP(salesitems[[#This Row],[product_id]],products[product_id],products[product_name])</f>
        <v>Tailored Sleeveless Trousers</v>
      </c>
      <c r="P1917" t="str">
        <f>_xlfn.XLOOKUP(salesitems[[#This Row],[product_id]],fashion_store_products!A:A,fashion_store_products!C:C)</f>
        <v>Pants</v>
      </c>
    </row>
    <row r="1918" spans="1:16" x14ac:dyDescent="0.45">
      <c r="A1918">
        <v>2317</v>
      </c>
      <c r="B1918">
        <v>719</v>
      </c>
      <c r="C1918">
        <v>223</v>
      </c>
      <c r="D1918">
        <v>5</v>
      </c>
      <c r="E1918">
        <v>57.36</v>
      </c>
      <c r="F1918">
        <v>57.36</v>
      </c>
      <c r="G1918">
        <v>0</v>
      </c>
      <c r="H1918" s="2">
        <v>0</v>
      </c>
      <c r="I1918">
        <v>0</v>
      </c>
      <c r="J1918">
        <v>286.8</v>
      </c>
      <c r="K1918" s="1">
        <v>45769</v>
      </c>
      <c r="L1918" t="s">
        <v>21</v>
      </c>
      <c r="M1918" t="s">
        <v>18</v>
      </c>
      <c r="N1918">
        <f>salesitems[[#This Row],[quantity]]*salesitems[[#This Row],[unit_price]]</f>
        <v>286.8</v>
      </c>
      <c r="O1918" t="str">
        <f>_xlfn.XLOOKUP(salesitems[[#This Row],[product_id]],products[product_id],products[product_name])</f>
        <v>Vintage High-Waist Trousers</v>
      </c>
      <c r="P1918" t="str">
        <f>_xlfn.XLOOKUP(salesitems[[#This Row],[product_id]],fashion_store_products!A:A,fashion_store_products!C:C)</f>
        <v>Pants</v>
      </c>
    </row>
    <row r="1919" spans="1:16" x14ac:dyDescent="0.45">
      <c r="A1919">
        <v>497</v>
      </c>
      <c r="B1919">
        <v>410</v>
      </c>
      <c r="C1919">
        <v>27</v>
      </c>
      <c r="D1919">
        <v>5</v>
      </c>
      <c r="E1919">
        <v>57.35</v>
      </c>
      <c r="F1919">
        <v>57.35</v>
      </c>
      <c r="G1919">
        <v>0</v>
      </c>
      <c r="H1919" s="2">
        <v>0</v>
      </c>
      <c r="I1919">
        <v>0</v>
      </c>
      <c r="J1919">
        <v>286.75</v>
      </c>
      <c r="K1919" s="1">
        <v>45800</v>
      </c>
      <c r="L1919" t="s">
        <v>21</v>
      </c>
      <c r="M1919" t="s">
        <v>18</v>
      </c>
      <c r="N1919">
        <f>salesitems[[#This Row],[quantity]]*salesitems[[#This Row],[unit_price]]</f>
        <v>286.75</v>
      </c>
      <c r="O1919" t="str">
        <f>_xlfn.XLOOKUP(salesitems[[#This Row],[product_id]],products[product_id],products[product_name])</f>
        <v>Soft Boxy Dress</v>
      </c>
      <c r="P1919" t="str">
        <f>_xlfn.XLOOKUP(salesitems[[#This Row],[product_id]],fashion_store_products!A:A,fashion_store_products!C:C)</f>
        <v>Dresses</v>
      </c>
    </row>
    <row r="1920" spans="1:16" x14ac:dyDescent="0.45">
      <c r="A1920">
        <v>3095</v>
      </c>
      <c r="B1920">
        <v>413</v>
      </c>
      <c r="C1920">
        <v>210</v>
      </c>
      <c r="D1920">
        <v>5</v>
      </c>
      <c r="E1920">
        <v>57.32</v>
      </c>
      <c r="F1920">
        <v>57.32</v>
      </c>
      <c r="G1920">
        <v>0</v>
      </c>
      <c r="H1920" s="2">
        <v>0</v>
      </c>
      <c r="I1920">
        <v>0</v>
      </c>
      <c r="J1920">
        <v>286.60000000000002</v>
      </c>
      <c r="K1920" s="1">
        <v>45825</v>
      </c>
      <c r="L1920" t="s">
        <v>21</v>
      </c>
      <c r="M1920" t="s">
        <v>18</v>
      </c>
      <c r="N1920">
        <f>salesitems[[#This Row],[quantity]]*salesitems[[#This Row],[unit_price]]</f>
        <v>286.60000000000002</v>
      </c>
      <c r="O1920" t="str">
        <f>_xlfn.XLOOKUP(salesitems[[#This Row],[product_id]],products[product_id],products[product_name])</f>
        <v>Vintage Boxy Set</v>
      </c>
      <c r="P1920" t="str">
        <f>_xlfn.XLOOKUP(salesitems[[#This Row],[product_id]],fashion_store_products!A:A,fashion_store_products!C:C)</f>
        <v>Sleepwear</v>
      </c>
    </row>
    <row r="1921" spans="1:16" x14ac:dyDescent="0.45">
      <c r="A1921">
        <v>51</v>
      </c>
      <c r="B1921">
        <v>232</v>
      </c>
      <c r="C1921">
        <v>213</v>
      </c>
      <c r="D1921">
        <v>5</v>
      </c>
      <c r="E1921">
        <v>57.31</v>
      </c>
      <c r="F1921">
        <v>57.31</v>
      </c>
      <c r="G1921">
        <v>0</v>
      </c>
      <c r="H1921" s="2">
        <v>0</v>
      </c>
      <c r="I1921">
        <v>0</v>
      </c>
      <c r="J1921">
        <v>286.55</v>
      </c>
      <c r="K1921" s="1">
        <v>45807</v>
      </c>
      <c r="L1921" t="s">
        <v>15</v>
      </c>
      <c r="M1921" t="s">
        <v>15</v>
      </c>
      <c r="N1921">
        <f>salesitems[[#This Row],[quantity]]*salesitems[[#This Row],[unit_price]]</f>
        <v>286.55</v>
      </c>
      <c r="O1921" t="str">
        <f>_xlfn.XLOOKUP(salesitems[[#This Row],[product_id]],products[product_id],products[product_name])</f>
        <v>Polished Ribbed Tee</v>
      </c>
      <c r="P1921" t="str">
        <f>_xlfn.XLOOKUP(salesitems[[#This Row],[product_id]],fashion_store_products!A:A,fashion_store_products!C:C)</f>
        <v>T-Shirts</v>
      </c>
    </row>
    <row r="1922" spans="1:16" x14ac:dyDescent="0.45">
      <c r="A1922">
        <v>322</v>
      </c>
      <c r="B1922">
        <v>1083</v>
      </c>
      <c r="C1922">
        <v>213</v>
      </c>
      <c r="D1922">
        <v>5</v>
      </c>
      <c r="E1922">
        <v>57.31</v>
      </c>
      <c r="F1922">
        <v>57.31</v>
      </c>
      <c r="G1922">
        <v>0</v>
      </c>
      <c r="H1922" s="2">
        <v>0</v>
      </c>
      <c r="I1922">
        <v>0</v>
      </c>
      <c r="J1922">
        <v>286.55</v>
      </c>
      <c r="K1922" s="1">
        <v>45792</v>
      </c>
      <c r="L1922" t="s">
        <v>21</v>
      </c>
      <c r="M1922" t="s">
        <v>18</v>
      </c>
      <c r="N1922">
        <f>salesitems[[#This Row],[quantity]]*salesitems[[#This Row],[unit_price]]</f>
        <v>286.55</v>
      </c>
      <c r="O1922" t="str">
        <f>_xlfn.XLOOKUP(salesitems[[#This Row],[product_id]],products[product_id],products[product_name])</f>
        <v>Polished Ribbed Tee</v>
      </c>
      <c r="P1922" t="str">
        <f>_xlfn.XLOOKUP(salesitems[[#This Row],[product_id]],fashion_store_products!A:A,fashion_store_products!C:C)</f>
        <v>T-Shirts</v>
      </c>
    </row>
    <row r="1923" spans="1:16" x14ac:dyDescent="0.45">
      <c r="A1923">
        <v>1059</v>
      </c>
      <c r="B1923">
        <v>994</v>
      </c>
      <c r="C1923">
        <v>60</v>
      </c>
      <c r="D1923">
        <v>5</v>
      </c>
      <c r="E1923">
        <v>81.7</v>
      </c>
      <c r="F1923">
        <v>57.19</v>
      </c>
      <c r="G1923">
        <v>24.51</v>
      </c>
      <c r="H1923" s="2">
        <v>0.3</v>
      </c>
      <c r="I1923">
        <v>1</v>
      </c>
      <c r="J1923">
        <v>285.95</v>
      </c>
      <c r="K1923" s="1">
        <v>45792</v>
      </c>
      <c r="L1923" t="s">
        <v>15</v>
      </c>
      <c r="M1923" t="s">
        <v>15</v>
      </c>
      <c r="N1923">
        <f>salesitems[[#This Row],[quantity]]*salesitems[[#This Row],[unit_price]]</f>
        <v>285.95</v>
      </c>
      <c r="O1923" t="str">
        <f>_xlfn.XLOOKUP(salesitems[[#This Row],[product_id]],products[product_id],products[product_name])</f>
        <v>Modern Cotton Tee</v>
      </c>
      <c r="P1923" t="str">
        <f>_xlfn.XLOOKUP(salesitems[[#This Row],[product_id]],fashion_store_products!A:A,fashion_store_products!C:C)</f>
        <v>T-Shirts</v>
      </c>
    </row>
    <row r="1924" spans="1:16" x14ac:dyDescent="0.45">
      <c r="A1924">
        <v>2814</v>
      </c>
      <c r="B1924">
        <v>1039</v>
      </c>
      <c r="C1924">
        <v>222</v>
      </c>
      <c r="D1924">
        <v>5</v>
      </c>
      <c r="E1924">
        <v>57.19</v>
      </c>
      <c r="F1924">
        <v>57.19</v>
      </c>
      <c r="G1924">
        <v>0</v>
      </c>
      <c r="H1924" s="2">
        <v>0</v>
      </c>
      <c r="I1924">
        <v>0</v>
      </c>
      <c r="J1924">
        <v>285.95</v>
      </c>
      <c r="K1924" s="1">
        <v>45821</v>
      </c>
      <c r="L1924" t="s">
        <v>15</v>
      </c>
      <c r="M1924" t="s">
        <v>15</v>
      </c>
      <c r="N1924">
        <f>salesitems[[#This Row],[quantity]]*salesitems[[#This Row],[unit_price]]</f>
        <v>285.95</v>
      </c>
      <c r="O1924" t="str">
        <f>_xlfn.XLOOKUP(salesitems[[#This Row],[product_id]],products[product_id],products[product_name])</f>
        <v>Relaxed Wrap Dress</v>
      </c>
      <c r="P1924" t="str">
        <f>_xlfn.XLOOKUP(salesitems[[#This Row],[product_id]],fashion_store_products!A:A,fashion_store_products!C:C)</f>
        <v>Dresses</v>
      </c>
    </row>
    <row r="1925" spans="1:16" x14ac:dyDescent="0.45">
      <c r="A1925">
        <v>2012</v>
      </c>
      <c r="B1925">
        <v>171</v>
      </c>
      <c r="C1925">
        <v>53</v>
      </c>
      <c r="D1925">
        <v>5</v>
      </c>
      <c r="E1925">
        <v>57.17</v>
      </c>
      <c r="F1925">
        <v>57.17</v>
      </c>
      <c r="G1925">
        <v>0</v>
      </c>
      <c r="H1925" s="2">
        <v>0</v>
      </c>
      <c r="I1925">
        <v>0</v>
      </c>
      <c r="J1925">
        <v>285.85000000000002</v>
      </c>
      <c r="K1925" s="1">
        <v>45762</v>
      </c>
      <c r="L1925" t="s">
        <v>21</v>
      </c>
      <c r="M1925" t="s">
        <v>18</v>
      </c>
      <c r="N1925">
        <f>salesitems[[#This Row],[quantity]]*salesitems[[#This Row],[unit_price]]</f>
        <v>285.85000000000002</v>
      </c>
      <c r="O1925" t="str">
        <f>_xlfn.XLOOKUP(salesitems[[#This Row],[product_id]],products[product_id],products[product_name])</f>
        <v>Soft Boxy Shoes</v>
      </c>
      <c r="P1925" t="str">
        <f>_xlfn.XLOOKUP(salesitems[[#This Row],[product_id]],fashion_store_products!A:A,fashion_store_products!C:C)</f>
        <v>Shoes</v>
      </c>
    </row>
    <row r="1926" spans="1:16" x14ac:dyDescent="0.45">
      <c r="A1926">
        <v>2891</v>
      </c>
      <c r="B1926">
        <v>950</v>
      </c>
      <c r="C1926">
        <v>53</v>
      </c>
      <c r="D1926">
        <v>5</v>
      </c>
      <c r="E1926">
        <v>57.17</v>
      </c>
      <c r="F1926">
        <v>57.17</v>
      </c>
      <c r="G1926">
        <v>0</v>
      </c>
      <c r="H1926" s="2">
        <v>0</v>
      </c>
      <c r="I1926">
        <v>0</v>
      </c>
      <c r="J1926">
        <v>285.85000000000002</v>
      </c>
      <c r="K1926" s="1">
        <v>45804</v>
      </c>
      <c r="L1926" t="s">
        <v>21</v>
      </c>
      <c r="M1926" t="s">
        <v>18</v>
      </c>
      <c r="N1926">
        <f>salesitems[[#This Row],[quantity]]*salesitems[[#This Row],[unit_price]]</f>
        <v>285.85000000000002</v>
      </c>
      <c r="O1926" t="str">
        <f>_xlfn.XLOOKUP(salesitems[[#This Row],[product_id]],products[product_id],products[product_name])</f>
        <v>Soft Boxy Shoes</v>
      </c>
      <c r="P1926" t="str">
        <f>_xlfn.XLOOKUP(salesitems[[#This Row],[product_id]],fashion_store_products!A:A,fashion_store_products!C:C)</f>
        <v>Shoes</v>
      </c>
    </row>
    <row r="1927" spans="1:16" x14ac:dyDescent="0.45">
      <c r="A1927">
        <v>1722</v>
      </c>
      <c r="B1927">
        <v>272</v>
      </c>
      <c r="C1927">
        <v>288</v>
      </c>
      <c r="D1927">
        <v>5</v>
      </c>
      <c r="E1927">
        <v>57.11</v>
      </c>
      <c r="F1927">
        <v>57.11</v>
      </c>
      <c r="G1927">
        <v>0</v>
      </c>
      <c r="H1927" s="2">
        <v>0</v>
      </c>
      <c r="I1927">
        <v>0</v>
      </c>
      <c r="J1927">
        <v>285.55</v>
      </c>
      <c r="K1927" s="1">
        <v>45782</v>
      </c>
      <c r="L1927" t="s">
        <v>15</v>
      </c>
      <c r="M1927" t="s">
        <v>15</v>
      </c>
      <c r="N1927">
        <f>salesitems[[#This Row],[quantity]]*salesitems[[#This Row],[unit_price]]</f>
        <v>285.55</v>
      </c>
      <c r="O1927" t="str">
        <f>_xlfn.XLOOKUP(salesitems[[#This Row],[product_id]],products[product_id],products[product_name])</f>
        <v>Essential Ribbed Tee</v>
      </c>
      <c r="P1927" t="str">
        <f>_xlfn.XLOOKUP(salesitems[[#This Row],[product_id]],fashion_store_products!A:A,fashion_store_products!C:C)</f>
        <v>T-Shirts</v>
      </c>
    </row>
    <row r="1928" spans="1:16" x14ac:dyDescent="0.45">
      <c r="A1928">
        <v>2536</v>
      </c>
      <c r="B1928">
        <v>288</v>
      </c>
      <c r="C1928">
        <v>357</v>
      </c>
      <c r="D1928">
        <v>5</v>
      </c>
      <c r="E1928">
        <v>56.91</v>
      </c>
      <c r="F1928">
        <v>56.91</v>
      </c>
      <c r="G1928">
        <v>0</v>
      </c>
      <c r="H1928" s="2">
        <v>0</v>
      </c>
      <c r="I1928">
        <v>0</v>
      </c>
      <c r="J1928">
        <v>284.55</v>
      </c>
      <c r="K1928" s="1">
        <v>45781</v>
      </c>
      <c r="L1928" t="s">
        <v>15</v>
      </c>
      <c r="M1928" t="s">
        <v>15</v>
      </c>
      <c r="N1928">
        <f>salesitems[[#This Row],[quantity]]*salesitems[[#This Row],[unit_price]]</f>
        <v>284.54999999999995</v>
      </c>
      <c r="O1928" t="str">
        <f>_xlfn.XLOOKUP(salesitems[[#This Row],[product_id]],products[product_id],products[product_name])</f>
        <v>Essential Boxy Set</v>
      </c>
      <c r="P1928" t="str">
        <f>_xlfn.XLOOKUP(salesitems[[#This Row],[product_id]],fashion_store_products!A:A,fashion_store_products!C:C)</f>
        <v>Sleepwear</v>
      </c>
    </row>
    <row r="1929" spans="1:16" x14ac:dyDescent="0.45">
      <c r="A1929">
        <v>663</v>
      </c>
      <c r="B1929">
        <v>1150</v>
      </c>
      <c r="C1929">
        <v>407</v>
      </c>
      <c r="D1929">
        <v>5</v>
      </c>
      <c r="E1929">
        <v>56.84</v>
      </c>
      <c r="F1929">
        <v>56.84</v>
      </c>
      <c r="G1929">
        <v>0</v>
      </c>
      <c r="H1929" s="2">
        <v>0</v>
      </c>
      <c r="I1929">
        <v>0</v>
      </c>
      <c r="J1929">
        <v>284.2</v>
      </c>
      <c r="K1929" s="1">
        <v>45783</v>
      </c>
      <c r="L1929" t="s">
        <v>15</v>
      </c>
      <c r="M1929" t="s">
        <v>15</v>
      </c>
      <c r="N1929">
        <f>salesitems[[#This Row],[quantity]]*salesitems[[#This Row],[unit_price]]</f>
        <v>284.20000000000005</v>
      </c>
      <c r="O1929" t="str">
        <f>_xlfn.XLOOKUP(salesitems[[#This Row],[product_id]],products[product_id],products[product_name])</f>
        <v>Elegant Sleeveless Tee</v>
      </c>
      <c r="P1929" t="str">
        <f>_xlfn.XLOOKUP(salesitems[[#This Row],[product_id]],fashion_store_products!A:A,fashion_store_products!C:C)</f>
        <v>T-Shirts</v>
      </c>
    </row>
    <row r="1930" spans="1:16" x14ac:dyDescent="0.45">
      <c r="A1930">
        <v>724</v>
      </c>
      <c r="B1930">
        <v>617</v>
      </c>
      <c r="C1930">
        <v>294</v>
      </c>
      <c r="D1930">
        <v>5</v>
      </c>
      <c r="E1930">
        <v>56.69</v>
      </c>
      <c r="F1930">
        <v>56.69</v>
      </c>
      <c r="G1930">
        <v>0</v>
      </c>
      <c r="H1930" s="2">
        <v>0</v>
      </c>
      <c r="I1930">
        <v>0</v>
      </c>
      <c r="J1930">
        <v>283.45</v>
      </c>
      <c r="K1930" s="1">
        <v>45795</v>
      </c>
      <c r="L1930" t="s">
        <v>21</v>
      </c>
      <c r="M1930" t="s">
        <v>18</v>
      </c>
      <c r="N1930">
        <f>salesitems[[#This Row],[quantity]]*salesitems[[#This Row],[unit_price]]</f>
        <v>283.45</v>
      </c>
      <c r="O1930" t="str">
        <f>_xlfn.XLOOKUP(salesitems[[#This Row],[product_id]],products[product_id],products[product_name])</f>
        <v>Essential Sleeveless Shoes</v>
      </c>
      <c r="P1930" t="str">
        <f>_xlfn.XLOOKUP(salesitems[[#This Row],[product_id]],fashion_store_products!A:A,fashion_store_products!C:C)</f>
        <v>Shoes</v>
      </c>
    </row>
    <row r="1931" spans="1:16" x14ac:dyDescent="0.45">
      <c r="A1931">
        <v>1228</v>
      </c>
      <c r="B1931">
        <v>407</v>
      </c>
      <c r="C1931">
        <v>303</v>
      </c>
      <c r="D1931">
        <v>5</v>
      </c>
      <c r="E1931">
        <v>56.58</v>
      </c>
      <c r="F1931">
        <v>56.58</v>
      </c>
      <c r="G1931">
        <v>0</v>
      </c>
      <c r="H1931" s="2">
        <v>0</v>
      </c>
      <c r="I1931">
        <v>0</v>
      </c>
      <c r="J1931">
        <v>282.89999999999998</v>
      </c>
      <c r="K1931" s="1">
        <v>45768</v>
      </c>
      <c r="L1931" t="s">
        <v>15</v>
      </c>
      <c r="M1931" t="s">
        <v>15</v>
      </c>
      <c r="N1931">
        <f>salesitems[[#This Row],[quantity]]*salesitems[[#This Row],[unit_price]]</f>
        <v>282.89999999999998</v>
      </c>
      <c r="O1931" t="str">
        <f>_xlfn.XLOOKUP(salesitems[[#This Row],[product_id]],products[product_id],products[product_name])</f>
        <v>Relaxed Satin Set</v>
      </c>
      <c r="P1931" t="str">
        <f>_xlfn.XLOOKUP(salesitems[[#This Row],[product_id]],fashion_store_products!A:A,fashion_store_products!C:C)</f>
        <v>Sleepwear</v>
      </c>
    </row>
    <row r="1932" spans="1:16" x14ac:dyDescent="0.45">
      <c r="A1932">
        <v>1239</v>
      </c>
      <c r="B1932">
        <v>695</v>
      </c>
      <c r="C1932">
        <v>303</v>
      </c>
      <c r="D1932">
        <v>5</v>
      </c>
      <c r="E1932">
        <v>56.58</v>
      </c>
      <c r="F1932">
        <v>56.58</v>
      </c>
      <c r="G1932">
        <v>0</v>
      </c>
      <c r="H1932" s="2">
        <v>0</v>
      </c>
      <c r="I1932">
        <v>0</v>
      </c>
      <c r="J1932">
        <v>282.89999999999998</v>
      </c>
      <c r="K1932" s="1">
        <v>45771</v>
      </c>
      <c r="L1932" t="s">
        <v>15</v>
      </c>
      <c r="M1932" t="s">
        <v>15</v>
      </c>
      <c r="N1932">
        <f>salesitems[[#This Row],[quantity]]*salesitems[[#This Row],[unit_price]]</f>
        <v>282.89999999999998</v>
      </c>
      <c r="O1932" t="str">
        <f>_xlfn.XLOOKUP(salesitems[[#This Row],[product_id]],products[product_id],products[product_name])</f>
        <v>Relaxed Satin Set</v>
      </c>
      <c r="P1932" t="str">
        <f>_xlfn.XLOOKUP(salesitems[[#This Row],[product_id]],fashion_store_products!A:A,fashion_store_products!C:C)</f>
        <v>Sleepwear</v>
      </c>
    </row>
    <row r="1933" spans="1:16" x14ac:dyDescent="0.45">
      <c r="A1933">
        <v>2202</v>
      </c>
      <c r="B1933">
        <v>138</v>
      </c>
      <c r="C1933">
        <v>314</v>
      </c>
      <c r="D1933">
        <v>5</v>
      </c>
      <c r="E1933">
        <v>56.29</v>
      </c>
      <c r="F1933">
        <v>56.29</v>
      </c>
      <c r="G1933">
        <v>0</v>
      </c>
      <c r="H1933" s="2">
        <v>0</v>
      </c>
      <c r="I1933">
        <v>0</v>
      </c>
      <c r="J1933">
        <v>281.45</v>
      </c>
      <c r="K1933" s="1">
        <v>45822</v>
      </c>
      <c r="L1933" t="s">
        <v>21</v>
      </c>
      <c r="M1933" t="s">
        <v>18</v>
      </c>
      <c r="N1933">
        <f>salesitems[[#This Row],[quantity]]*salesitems[[#This Row],[unit_price]]</f>
        <v>281.45</v>
      </c>
      <c r="O1933" t="str">
        <f>_xlfn.XLOOKUP(salesitems[[#This Row],[product_id]],products[product_id],products[product_name])</f>
        <v>Relaxed Sleeveless Set</v>
      </c>
      <c r="P1933" t="str">
        <f>_xlfn.XLOOKUP(salesitems[[#This Row],[product_id]],fashion_store_products!A:A,fashion_store_products!C:C)</f>
        <v>Sleepwear</v>
      </c>
    </row>
    <row r="1934" spans="1:16" x14ac:dyDescent="0.45">
      <c r="A1934">
        <v>1959</v>
      </c>
      <c r="B1934">
        <v>319</v>
      </c>
      <c r="C1934">
        <v>485</v>
      </c>
      <c r="D1934">
        <v>5</v>
      </c>
      <c r="E1934">
        <v>56.2</v>
      </c>
      <c r="F1934">
        <v>56.2</v>
      </c>
      <c r="G1934">
        <v>0</v>
      </c>
      <c r="H1934" s="2">
        <v>0</v>
      </c>
      <c r="I1934">
        <v>0</v>
      </c>
      <c r="J1934">
        <v>281</v>
      </c>
      <c r="K1934" s="1">
        <v>45808</v>
      </c>
      <c r="L1934" t="s">
        <v>15</v>
      </c>
      <c r="M1934" t="s">
        <v>15</v>
      </c>
      <c r="N1934">
        <f>salesitems[[#This Row],[quantity]]*salesitems[[#This Row],[unit_price]]</f>
        <v>281</v>
      </c>
      <c r="O1934" t="str">
        <f>_xlfn.XLOOKUP(salesitems[[#This Row],[product_id]],products[product_id],products[product_name])</f>
        <v>Bold Sleeveless Shoes</v>
      </c>
      <c r="P1934" t="str">
        <f>_xlfn.XLOOKUP(salesitems[[#This Row],[product_id]],fashion_store_products!A:A,fashion_store_products!C:C)</f>
        <v>Shoes</v>
      </c>
    </row>
    <row r="1935" spans="1:16" x14ac:dyDescent="0.45">
      <c r="A1935">
        <v>228</v>
      </c>
      <c r="B1935">
        <v>384</v>
      </c>
      <c r="C1935">
        <v>422</v>
      </c>
      <c r="D1935">
        <v>5</v>
      </c>
      <c r="E1935">
        <v>55.91</v>
      </c>
      <c r="F1935">
        <v>55.91</v>
      </c>
      <c r="G1935">
        <v>0</v>
      </c>
      <c r="H1935" s="2">
        <v>0</v>
      </c>
      <c r="I1935">
        <v>0</v>
      </c>
      <c r="J1935">
        <v>279.55</v>
      </c>
      <c r="K1935" s="1">
        <v>45774</v>
      </c>
      <c r="L1935" t="s">
        <v>21</v>
      </c>
      <c r="M1935" t="s">
        <v>18</v>
      </c>
      <c r="N1935">
        <f>salesitems[[#This Row],[quantity]]*salesitems[[#This Row],[unit_price]]</f>
        <v>279.54999999999995</v>
      </c>
      <c r="O1935" t="str">
        <f>_xlfn.XLOOKUP(salesitems[[#This Row],[product_id]],products[product_id],products[product_name])</f>
        <v>Elegant High-Waist Set</v>
      </c>
      <c r="P1935" t="str">
        <f>_xlfn.XLOOKUP(salesitems[[#This Row],[product_id]],fashion_store_products!A:A,fashion_store_products!C:C)</f>
        <v>Sleepwear</v>
      </c>
    </row>
    <row r="1936" spans="1:16" x14ac:dyDescent="0.45">
      <c r="A1936">
        <v>2679</v>
      </c>
      <c r="B1936">
        <v>1292</v>
      </c>
      <c r="C1936">
        <v>422</v>
      </c>
      <c r="D1936">
        <v>5</v>
      </c>
      <c r="E1936">
        <v>55.91</v>
      </c>
      <c r="F1936">
        <v>55.91</v>
      </c>
      <c r="G1936">
        <v>0</v>
      </c>
      <c r="H1936" s="2">
        <v>0</v>
      </c>
      <c r="I1936">
        <v>0</v>
      </c>
      <c r="J1936">
        <v>279.55</v>
      </c>
      <c r="K1936" s="1">
        <v>45768</v>
      </c>
      <c r="L1936" t="s">
        <v>21</v>
      </c>
      <c r="M1936" t="s">
        <v>18</v>
      </c>
      <c r="N1936">
        <f>salesitems[[#This Row],[quantity]]*salesitems[[#This Row],[unit_price]]</f>
        <v>279.54999999999995</v>
      </c>
      <c r="O1936" t="str">
        <f>_xlfn.XLOOKUP(salesitems[[#This Row],[product_id]],products[product_id],products[product_name])</f>
        <v>Elegant High-Waist Set</v>
      </c>
      <c r="P1936" t="str">
        <f>_xlfn.XLOOKUP(salesitems[[#This Row],[product_id]],fashion_store_products!A:A,fashion_store_products!C:C)</f>
        <v>Sleepwear</v>
      </c>
    </row>
    <row r="1937" spans="1:16" x14ac:dyDescent="0.45">
      <c r="A1937">
        <v>1565</v>
      </c>
      <c r="B1937">
        <v>108</v>
      </c>
      <c r="C1937">
        <v>97</v>
      </c>
      <c r="D1937">
        <v>5</v>
      </c>
      <c r="E1937">
        <v>55.27</v>
      </c>
      <c r="F1937">
        <v>55.27</v>
      </c>
      <c r="G1937">
        <v>0</v>
      </c>
      <c r="H1937" s="2">
        <v>0</v>
      </c>
      <c r="I1937">
        <v>0</v>
      </c>
      <c r="J1937">
        <v>276.35000000000002</v>
      </c>
      <c r="K1937" s="1">
        <v>45796</v>
      </c>
      <c r="L1937" t="s">
        <v>21</v>
      </c>
      <c r="M1937" t="s">
        <v>18</v>
      </c>
      <c r="N1937">
        <f>salesitems[[#This Row],[quantity]]*salesitems[[#This Row],[unit_price]]</f>
        <v>276.35000000000002</v>
      </c>
      <c r="O1937" t="str">
        <f>_xlfn.XLOOKUP(salesitems[[#This Row],[product_id]],products[product_id],products[product_name])</f>
        <v>Modern High-Waist Shoes</v>
      </c>
      <c r="P1937" t="str">
        <f>_xlfn.XLOOKUP(salesitems[[#This Row],[product_id]],fashion_store_products!A:A,fashion_store_products!C:C)</f>
        <v>Shoes</v>
      </c>
    </row>
    <row r="1938" spans="1:16" x14ac:dyDescent="0.45">
      <c r="A1938">
        <v>1787</v>
      </c>
      <c r="B1938">
        <v>419</v>
      </c>
      <c r="C1938">
        <v>265</v>
      </c>
      <c r="D1938">
        <v>5</v>
      </c>
      <c r="E1938">
        <v>55.25</v>
      </c>
      <c r="F1938">
        <v>55.25</v>
      </c>
      <c r="G1938">
        <v>0</v>
      </c>
      <c r="H1938" s="2">
        <v>0</v>
      </c>
      <c r="I1938">
        <v>0</v>
      </c>
      <c r="J1938">
        <v>276.25</v>
      </c>
      <c r="K1938" s="1">
        <v>45799</v>
      </c>
      <c r="L1938" t="s">
        <v>21</v>
      </c>
      <c r="M1938" t="s">
        <v>18</v>
      </c>
      <c r="N1938">
        <f>salesitems[[#This Row],[quantity]]*salesitems[[#This Row],[unit_price]]</f>
        <v>276.25</v>
      </c>
      <c r="O1938" t="str">
        <f>_xlfn.XLOOKUP(salesitems[[#This Row],[product_id]],products[product_id],products[product_name])</f>
        <v>Relaxed Boxy Shoes</v>
      </c>
      <c r="P1938" t="str">
        <f>_xlfn.XLOOKUP(salesitems[[#This Row],[product_id]],fashion_store_products!A:A,fashion_store_products!C:C)</f>
        <v>Shoes</v>
      </c>
    </row>
    <row r="1939" spans="1:16" x14ac:dyDescent="0.45">
      <c r="A1939">
        <v>1799</v>
      </c>
      <c r="B1939">
        <v>288</v>
      </c>
      <c r="C1939">
        <v>265</v>
      </c>
      <c r="D1939">
        <v>5</v>
      </c>
      <c r="E1939">
        <v>55.25</v>
      </c>
      <c r="F1939">
        <v>55.25</v>
      </c>
      <c r="G1939">
        <v>0</v>
      </c>
      <c r="H1939" s="2">
        <v>0</v>
      </c>
      <c r="I1939">
        <v>0</v>
      </c>
      <c r="J1939">
        <v>276.25</v>
      </c>
      <c r="K1939" s="1">
        <v>45781</v>
      </c>
      <c r="L1939" t="s">
        <v>15</v>
      </c>
      <c r="M1939" t="s">
        <v>15</v>
      </c>
      <c r="N1939">
        <f>salesitems[[#This Row],[quantity]]*salesitems[[#This Row],[unit_price]]</f>
        <v>276.25</v>
      </c>
      <c r="O1939" t="str">
        <f>_xlfn.XLOOKUP(salesitems[[#This Row],[product_id]],products[product_id],products[product_name])</f>
        <v>Relaxed Boxy Shoes</v>
      </c>
      <c r="P1939" t="str">
        <f>_xlfn.XLOOKUP(salesitems[[#This Row],[product_id]],fashion_store_products!A:A,fashion_store_products!C:C)</f>
        <v>Shoes</v>
      </c>
    </row>
    <row r="1940" spans="1:16" x14ac:dyDescent="0.45">
      <c r="A1940">
        <v>1691</v>
      </c>
      <c r="B1940">
        <v>287</v>
      </c>
      <c r="C1940">
        <v>107</v>
      </c>
      <c r="D1940">
        <v>5</v>
      </c>
      <c r="E1940">
        <v>55.06</v>
      </c>
      <c r="F1940">
        <v>55.06</v>
      </c>
      <c r="G1940">
        <v>0</v>
      </c>
      <c r="H1940" s="2">
        <v>0</v>
      </c>
      <c r="I1940">
        <v>0</v>
      </c>
      <c r="J1940">
        <v>275.3</v>
      </c>
      <c r="K1940" s="1">
        <v>45792</v>
      </c>
      <c r="L1940" t="s">
        <v>21</v>
      </c>
      <c r="M1940" t="s">
        <v>18</v>
      </c>
      <c r="N1940">
        <f>salesitems[[#This Row],[quantity]]*salesitems[[#This Row],[unit_price]]</f>
        <v>275.3</v>
      </c>
      <c r="O1940" t="str">
        <f>_xlfn.XLOOKUP(salesitems[[#This Row],[product_id]],products[product_id],products[product_name])</f>
        <v>Classic Linen Shoes</v>
      </c>
      <c r="P1940" t="str">
        <f>_xlfn.XLOOKUP(salesitems[[#This Row],[product_id]],fashion_store_products!A:A,fashion_store_products!C:C)</f>
        <v>Shoes</v>
      </c>
    </row>
    <row r="1941" spans="1:16" x14ac:dyDescent="0.45">
      <c r="A1941">
        <v>1135</v>
      </c>
      <c r="B1941">
        <v>269</v>
      </c>
      <c r="C1941">
        <v>124</v>
      </c>
      <c r="D1941">
        <v>5</v>
      </c>
      <c r="E1941">
        <v>55.04</v>
      </c>
      <c r="F1941">
        <v>55.04</v>
      </c>
      <c r="G1941">
        <v>0</v>
      </c>
      <c r="H1941" s="2">
        <v>0</v>
      </c>
      <c r="I1941">
        <v>0</v>
      </c>
      <c r="J1941">
        <v>275.2</v>
      </c>
      <c r="K1941" s="1">
        <v>45801</v>
      </c>
      <c r="L1941" t="s">
        <v>15</v>
      </c>
      <c r="M1941" t="s">
        <v>15</v>
      </c>
      <c r="N1941">
        <f>salesitems[[#This Row],[quantity]]*salesitems[[#This Row],[unit_price]]</f>
        <v>275.2</v>
      </c>
      <c r="O1941" t="str">
        <f>_xlfn.XLOOKUP(salesitems[[#This Row],[product_id]],products[product_id],products[product_name])</f>
        <v>Classic Linen Set</v>
      </c>
      <c r="P1941" t="str">
        <f>_xlfn.XLOOKUP(salesitems[[#This Row],[product_id]],fashion_store_products!A:A,fashion_store_products!C:C)</f>
        <v>Sleepwear</v>
      </c>
    </row>
    <row r="1942" spans="1:16" x14ac:dyDescent="0.45">
      <c r="A1942">
        <v>3350</v>
      </c>
      <c r="B1942">
        <v>691</v>
      </c>
      <c r="C1942">
        <v>126</v>
      </c>
      <c r="D1942">
        <v>5</v>
      </c>
      <c r="E1942">
        <v>55.03</v>
      </c>
      <c r="F1942">
        <v>55.03</v>
      </c>
      <c r="G1942">
        <v>0</v>
      </c>
      <c r="H1942" s="2">
        <v>0</v>
      </c>
      <c r="I1942">
        <v>0</v>
      </c>
      <c r="J1942">
        <v>275.14999999999998</v>
      </c>
      <c r="K1942" s="1">
        <v>45825</v>
      </c>
      <c r="L1942" t="s">
        <v>15</v>
      </c>
      <c r="M1942" t="s">
        <v>15</v>
      </c>
      <c r="N1942">
        <f>salesitems[[#This Row],[quantity]]*salesitems[[#This Row],[unit_price]]</f>
        <v>275.14999999999998</v>
      </c>
      <c r="O1942" t="str">
        <f>_xlfn.XLOOKUP(salesitems[[#This Row],[product_id]],products[product_id],products[product_name])</f>
        <v>Classic Silk Shoes</v>
      </c>
      <c r="P1942" t="str">
        <f>_xlfn.XLOOKUP(salesitems[[#This Row],[product_id]],fashion_store_products!A:A,fashion_store_products!C:C)</f>
        <v>Shoes</v>
      </c>
    </row>
    <row r="1943" spans="1:16" x14ac:dyDescent="0.45">
      <c r="A1943">
        <v>1789</v>
      </c>
      <c r="B1943">
        <v>451</v>
      </c>
      <c r="C1943">
        <v>264</v>
      </c>
      <c r="D1943">
        <v>5</v>
      </c>
      <c r="E1943">
        <v>55.01</v>
      </c>
      <c r="F1943">
        <v>55.01</v>
      </c>
      <c r="G1943">
        <v>0</v>
      </c>
      <c r="H1943" s="2">
        <v>0</v>
      </c>
      <c r="I1943">
        <v>0</v>
      </c>
      <c r="J1943">
        <v>275.05</v>
      </c>
      <c r="K1943" s="1">
        <v>45762</v>
      </c>
      <c r="L1943" t="s">
        <v>21</v>
      </c>
      <c r="M1943" t="s">
        <v>18</v>
      </c>
      <c r="N1943">
        <f>salesitems[[#This Row],[quantity]]*salesitems[[#This Row],[unit_price]]</f>
        <v>275.05</v>
      </c>
      <c r="O1943" t="str">
        <f>_xlfn.XLOOKUP(salesitems[[#This Row],[product_id]],products[product_id],products[product_name])</f>
        <v>Relaxed Satin Tee</v>
      </c>
      <c r="P1943" t="str">
        <f>_xlfn.XLOOKUP(salesitems[[#This Row],[product_id]],fashion_store_products!A:A,fashion_store_products!C:C)</f>
        <v>T-Shirts</v>
      </c>
    </row>
    <row r="1944" spans="1:16" x14ac:dyDescent="0.45">
      <c r="A1944">
        <v>2077</v>
      </c>
      <c r="B1944">
        <v>126</v>
      </c>
      <c r="C1944">
        <v>188</v>
      </c>
      <c r="D1944">
        <v>5</v>
      </c>
      <c r="E1944">
        <v>55.01</v>
      </c>
      <c r="F1944">
        <v>55.01</v>
      </c>
      <c r="G1944">
        <v>0</v>
      </c>
      <c r="H1944" s="2">
        <v>0</v>
      </c>
      <c r="I1944">
        <v>0</v>
      </c>
      <c r="J1944">
        <v>275.05</v>
      </c>
      <c r="K1944" s="1">
        <v>45792</v>
      </c>
      <c r="L1944" t="s">
        <v>21</v>
      </c>
      <c r="M1944" t="s">
        <v>18</v>
      </c>
      <c r="N1944">
        <f>salesitems[[#This Row],[quantity]]*salesitems[[#This Row],[unit_price]]</f>
        <v>275.05</v>
      </c>
      <c r="O1944" t="str">
        <f>_xlfn.XLOOKUP(salesitems[[#This Row],[product_id]],products[product_id],products[product_name])</f>
        <v>Polished Wrap Shoes</v>
      </c>
      <c r="P1944" t="str">
        <f>_xlfn.XLOOKUP(salesitems[[#This Row],[product_id]],fashion_store_products!A:A,fashion_store_products!C:C)</f>
        <v>Shoes</v>
      </c>
    </row>
    <row r="1945" spans="1:16" x14ac:dyDescent="0.45">
      <c r="A1945">
        <v>3201</v>
      </c>
      <c r="B1945">
        <v>1321</v>
      </c>
      <c r="C1945">
        <v>264</v>
      </c>
      <c r="D1945">
        <v>5</v>
      </c>
      <c r="E1945">
        <v>55.01</v>
      </c>
      <c r="F1945">
        <v>55.01</v>
      </c>
      <c r="G1945">
        <v>0</v>
      </c>
      <c r="H1945" s="2">
        <v>0</v>
      </c>
      <c r="I1945">
        <v>0</v>
      </c>
      <c r="J1945">
        <v>275.05</v>
      </c>
      <c r="K1945" s="1">
        <v>45822</v>
      </c>
      <c r="L1945" t="s">
        <v>21</v>
      </c>
      <c r="M1945" t="s">
        <v>18</v>
      </c>
      <c r="N1945">
        <f>salesitems[[#This Row],[quantity]]*salesitems[[#This Row],[unit_price]]</f>
        <v>275.05</v>
      </c>
      <c r="O1945" t="str">
        <f>_xlfn.XLOOKUP(salesitems[[#This Row],[product_id]],products[product_id],products[product_name])</f>
        <v>Relaxed Satin Tee</v>
      </c>
      <c r="P1945" t="str">
        <f>_xlfn.XLOOKUP(salesitems[[#This Row],[product_id]],fashion_store_products!A:A,fashion_store_products!C:C)</f>
        <v>T-Shirts</v>
      </c>
    </row>
    <row r="1946" spans="1:16" x14ac:dyDescent="0.45">
      <c r="A1946">
        <v>2602</v>
      </c>
      <c r="B1946">
        <v>88</v>
      </c>
      <c r="C1946">
        <v>481</v>
      </c>
      <c r="D1946">
        <v>5</v>
      </c>
      <c r="E1946">
        <v>54.87</v>
      </c>
      <c r="F1946">
        <v>54.87</v>
      </c>
      <c r="G1946">
        <v>0</v>
      </c>
      <c r="H1946" s="2">
        <v>0</v>
      </c>
      <c r="I1946">
        <v>0</v>
      </c>
      <c r="J1946">
        <v>274.35000000000002</v>
      </c>
      <c r="K1946" s="1">
        <v>45760</v>
      </c>
      <c r="L1946" t="s">
        <v>15</v>
      </c>
      <c r="M1946" t="s">
        <v>15</v>
      </c>
      <c r="N1946">
        <f>salesitems[[#This Row],[quantity]]*salesitems[[#This Row],[unit_price]]</f>
        <v>274.34999999999997</v>
      </c>
      <c r="O1946" t="str">
        <f>_xlfn.XLOOKUP(salesitems[[#This Row],[product_id]],products[product_id],products[product_name])</f>
        <v>Bold Crew Shoes</v>
      </c>
      <c r="P1946" t="str">
        <f>_xlfn.XLOOKUP(salesitems[[#This Row],[product_id]],fashion_store_products!A:A,fashion_store_products!C:C)</f>
        <v>Shoes</v>
      </c>
    </row>
    <row r="1947" spans="1:16" x14ac:dyDescent="0.45">
      <c r="A1947">
        <v>2323</v>
      </c>
      <c r="B1947">
        <v>676</v>
      </c>
      <c r="C1947">
        <v>32</v>
      </c>
      <c r="D1947">
        <v>5</v>
      </c>
      <c r="E1947">
        <v>54.83</v>
      </c>
      <c r="F1947">
        <v>54.83</v>
      </c>
      <c r="G1947">
        <v>0</v>
      </c>
      <c r="H1947" s="2">
        <v>0</v>
      </c>
      <c r="I1947">
        <v>0</v>
      </c>
      <c r="J1947">
        <v>274.14999999999998</v>
      </c>
      <c r="K1947" s="1">
        <v>45797</v>
      </c>
      <c r="L1947" t="s">
        <v>15</v>
      </c>
      <c r="M1947" t="s">
        <v>15</v>
      </c>
      <c r="N1947">
        <f>salesitems[[#This Row],[quantity]]*salesitems[[#This Row],[unit_price]]</f>
        <v>274.14999999999998</v>
      </c>
      <c r="O1947" t="str">
        <f>_xlfn.XLOOKUP(salesitems[[#This Row],[product_id]],products[product_id],products[product_name])</f>
        <v>Soft Silk Tee</v>
      </c>
      <c r="P1947" t="str">
        <f>_xlfn.XLOOKUP(salesitems[[#This Row],[product_id]],fashion_store_products!A:A,fashion_store_products!C:C)</f>
        <v>T-Shirts</v>
      </c>
    </row>
    <row r="1948" spans="1:16" x14ac:dyDescent="0.45">
      <c r="A1948">
        <v>1178</v>
      </c>
      <c r="B1948">
        <v>653</v>
      </c>
      <c r="C1948">
        <v>496</v>
      </c>
      <c r="D1948">
        <v>5</v>
      </c>
      <c r="E1948">
        <v>54.61</v>
      </c>
      <c r="F1948">
        <v>54.61</v>
      </c>
      <c r="G1948">
        <v>0</v>
      </c>
      <c r="H1948" s="2">
        <v>0</v>
      </c>
      <c r="I1948">
        <v>0</v>
      </c>
      <c r="J1948">
        <v>273.05</v>
      </c>
      <c r="K1948" s="1">
        <v>45798</v>
      </c>
      <c r="L1948" t="s">
        <v>21</v>
      </c>
      <c r="M1948" t="s">
        <v>18</v>
      </c>
      <c r="N1948">
        <f>salesitems[[#This Row],[quantity]]*salesitems[[#This Row],[unit_price]]</f>
        <v>273.05</v>
      </c>
      <c r="O1948" t="str">
        <f>_xlfn.XLOOKUP(salesitems[[#This Row],[product_id]],products[product_id],products[product_name])</f>
        <v>Tailored High-Waist Trousers</v>
      </c>
      <c r="P1948" t="str">
        <f>_xlfn.XLOOKUP(salesitems[[#This Row],[product_id]],fashion_store_products!A:A,fashion_store_products!C:C)</f>
        <v>Pants</v>
      </c>
    </row>
    <row r="1949" spans="1:16" x14ac:dyDescent="0.45">
      <c r="A1949">
        <v>1208</v>
      </c>
      <c r="B1949">
        <v>521</v>
      </c>
      <c r="C1949">
        <v>48</v>
      </c>
      <c r="D1949">
        <v>5</v>
      </c>
      <c r="E1949">
        <v>54.38</v>
      </c>
      <c r="F1949">
        <v>54.38</v>
      </c>
      <c r="G1949">
        <v>0</v>
      </c>
      <c r="H1949" s="2">
        <v>0</v>
      </c>
      <c r="I1949">
        <v>0</v>
      </c>
      <c r="J1949">
        <v>271.89999999999998</v>
      </c>
      <c r="K1949" s="1">
        <v>45752</v>
      </c>
      <c r="L1949" t="s">
        <v>15</v>
      </c>
      <c r="M1949" t="s">
        <v>15</v>
      </c>
      <c r="N1949">
        <f>salesitems[[#This Row],[quantity]]*salesitems[[#This Row],[unit_price]]</f>
        <v>271.90000000000003</v>
      </c>
      <c r="O1949" t="str">
        <f>_xlfn.XLOOKUP(salesitems[[#This Row],[product_id]],products[product_id],products[product_name])</f>
        <v>Soft High-Waist Shoes</v>
      </c>
      <c r="P1949" t="str">
        <f>_xlfn.XLOOKUP(salesitems[[#This Row],[product_id]],fashion_store_products!A:A,fashion_store_products!C:C)</f>
        <v>Shoes</v>
      </c>
    </row>
    <row r="1950" spans="1:16" x14ac:dyDescent="0.45">
      <c r="A1950">
        <v>2056</v>
      </c>
      <c r="B1950">
        <v>195</v>
      </c>
      <c r="C1950">
        <v>42</v>
      </c>
      <c r="D1950">
        <v>5</v>
      </c>
      <c r="E1950">
        <v>54.2</v>
      </c>
      <c r="F1950">
        <v>54.2</v>
      </c>
      <c r="G1950">
        <v>0</v>
      </c>
      <c r="H1950" s="2">
        <v>0</v>
      </c>
      <c r="I1950">
        <v>0</v>
      </c>
      <c r="J1950">
        <v>271</v>
      </c>
      <c r="K1950" s="1">
        <v>45797</v>
      </c>
      <c r="L1950" t="s">
        <v>15</v>
      </c>
      <c r="M1950" t="s">
        <v>15</v>
      </c>
      <c r="N1950">
        <f>salesitems[[#This Row],[quantity]]*salesitems[[#This Row],[unit_price]]</f>
        <v>271</v>
      </c>
      <c r="O1950" t="str">
        <f>_xlfn.XLOOKUP(salesitems[[#This Row],[product_id]],products[product_id],products[product_name])</f>
        <v>Soft Ribbed Set</v>
      </c>
      <c r="P1950" t="str">
        <f>_xlfn.XLOOKUP(salesitems[[#This Row],[product_id]],fashion_store_products!A:A,fashion_store_products!C:C)</f>
        <v>Sleepwear</v>
      </c>
    </row>
    <row r="1951" spans="1:16" x14ac:dyDescent="0.45">
      <c r="A1951">
        <v>1973</v>
      </c>
      <c r="B1951">
        <v>565</v>
      </c>
      <c r="C1951">
        <v>267</v>
      </c>
      <c r="D1951">
        <v>5</v>
      </c>
      <c r="E1951">
        <v>53.91</v>
      </c>
      <c r="F1951">
        <v>53.91</v>
      </c>
      <c r="G1951">
        <v>0</v>
      </c>
      <c r="H1951" s="2">
        <v>0</v>
      </c>
      <c r="I1951">
        <v>0</v>
      </c>
      <c r="J1951">
        <v>269.55</v>
      </c>
      <c r="K1951" s="1">
        <v>45752</v>
      </c>
      <c r="L1951" t="s">
        <v>21</v>
      </c>
      <c r="M1951" t="s">
        <v>18</v>
      </c>
      <c r="N1951">
        <f>salesitems[[#This Row],[quantity]]*salesitems[[#This Row],[unit_price]]</f>
        <v>269.54999999999995</v>
      </c>
      <c r="O1951" t="str">
        <f>_xlfn.XLOOKUP(salesitems[[#This Row],[product_id]],products[product_id],products[product_name])</f>
        <v>Polished High-Waist Set</v>
      </c>
      <c r="P1951" t="str">
        <f>_xlfn.XLOOKUP(salesitems[[#This Row],[product_id]],fashion_store_products!A:A,fashion_store_products!C:C)</f>
        <v>Sleepwear</v>
      </c>
    </row>
    <row r="1952" spans="1:16" x14ac:dyDescent="0.45">
      <c r="A1952">
        <v>2857</v>
      </c>
      <c r="B1952">
        <v>444</v>
      </c>
      <c r="C1952">
        <v>267</v>
      </c>
      <c r="D1952">
        <v>5</v>
      </c>
      <c r="E1952">
        <v>53.91</v>
      </c>
      <c r="F1952">
        <v>53.91</v>
      </c>
      <c r="G1952">
        <v>0</v>
      </c>
      <c r="H1952" s="2">
        <v>0</v>
      </c>
      <c r="I1952">
        <v>0</v>
      </c>
      <c r="J1952">
        <v>269.55</v>
      </c>
      <c r="K1952" s="1">
        <v>45796</v>
      </c>
      <c r="L1952" t="s">
        <v>21</v>
      </c>
      <c r="M1952" t="s">
        <v>18</v>
      </c>
      <c r="N1952">
        <f>salesitems[[#This Row],[quantity]]*salesitems[[#This Row],[unit_price]]</f>
        <v>269.54999999999995</v>
      </c>
      <c r="O1952" t="str">
        <f>_xlfn.XLOOKUP(salesitems[[#This Row],[product_id]],products[product_id],products[product_name])</f>
        <v>Polished High-Waist Set</v>
      </c>
      <c r="P1952" t="str">
        <f>_xlfn.XLOOKUP(salesitems[[#This Row],[product_id]],fashion_store_products!A:A,fashion_store_products!C:C)</f>
        <v>Sleepwear</v>
      </c>
    </row>
    <row r="1953" spans="1:16" x14ac:dyDescent="0.45">
      <c r="A1953">
        <v>832</v>
      </c>
      <c r="B1953">
        <v>765</v>
      </c>
      <c r="C1953">
        <v>154</v>
      </c>
      <c r="D1953">
        <v>5</v>
      </c>
      <c r="E1953">
        <v>53.74</v>
      </c>
      <c r="F1953">
        <v>53.74</v>
      </c>
      <c r="G1953">
        <v>0</v>
      </c>
      <c r="H1953" s="2">
        <v>0</v>
      </c>
      <c r="I1953">
        <v>0</v>
      </c>
      <c r="J1953">
        <v>268.7</v>
      </c>
      <c r="K1953" s="1">
        <v>45767</v>
      </c>
      <c r="L1953" t="s">
        <v>21</v>
      </c>
      <c r="M1953" t="s">
        <v>18</v>
      </c>
      <c r="N1953">
        <f>salesitems[[#This Row],[quantity]]*salesitems[[#This Row],[unit_price]]</f>
        <v>268.7</v>
      </c>
      <c r="O1953" t="str">
        <f>_xlfn.XLOOKUP(salesitems[[#This Row],[product_id]],products[product_id],products[product_name])</f>
        <v>Classic Crew Set</v>
      </c>
      <c r="P1953" t="str">
        <f>_xlfn.XLOOKUP(salesitems[[#This Row],[product_id]],fashion_store_products!A:A,fashion_store_products!C:C)</f>
        <v>Sleepwear</v>
      </c>
    </row>
    <row r="1954" spans="1:16" x14ac:dyDescent="0.45">
      <c r="A1954">
        <v>3097</v>
      </c>
      <c r="B1954">
        <v>427</v>
      </c>
      <c r="C1954">
        <v>406</v>
      </c>
      <c r="D1954">
        <v>5</v>
      </c>
      <c r="E1954">
        <v>53.74</v>
      </c>
      <c r="F1954">
        <v>53.74</v>
      </c>
      <c r="G1954">
        <v>0</v>
      </c>
      <c r="H1954" s="2">
        <v>0</v>
      </c>
      <c r="I1954">
        <v>0</v>
      </c>
      <c r="J1954">
        <v>268.7</v>
      </c>
      <c r="K1954" s="1">
        <v>45825</v>
      </c>
      <c r="L1954" t="s">
        <v>15</v>
      </c>
      <c r="M1954" t="s">
        <v>15</v>
      </c>
      <c r="N1954">
        <f>salesitems[[#This Row],[quantity]]*salesitems[[#This Row],[unit_price]]</f>
        <v>268.7</v>
      </c>
      <c r="O1954" t="str">
        <f>_xlfn.XLOOKUP(salesitems[[#This Row],[product_id]],products[product_id],products[product_name])</f>
        <v>Essential Crew Trousers</v>
      </c>
      <c r="P1954" t="str">
        <f>_xlfn.XLOOKUP(salesitems[[#This Row],[product_id]],fashion_store_products!A:A,fashion_store_products!C:C)</f>
        <v>Pants</v>
      </c>
    </row>
    <row r="1955" spans="1:16" x14ac:dyDescent="0.45">
      <c r="A1955">
        <v>1777</v>
      </c>
      <c r="B1955">
        <v>884</v>
      </c>
      <c r="C1955">
        <v>494</v>
      </c>
      <c r="D1955">
        <v>5</v>
      </c>
      <c r="E1955">
        <v>53.52</v>
      </c>
      <c r="F1955">
        <v>53.52</v>
      </c>
      <c r="G1955">
        <v>0</v>
      </c>
      <c r="H1955" s="2">
        <v>0</v>
      </c>
      <c r="I1955">
        <v>0</v>
      </c>
      <c r="J1955">
        <v>267.60000000000002</v>
      </c>
      <c r="K1955" s="1">
        <v>45753</v>
      </c>
      <c r="L1955" t="s">
        <v>15</v>
      </c>
      <c r="M1955" t="s">
        <v>15</v>
      </c>
      <c r="N1955">
        <f>salesitems[[#This Row],[quantity]]*salesitems[[#This Row],[unit_price]]</f>
        <v>267.60000000000002</v>
      </c>
      <c r="O1955" t="str">
        <f>_xlfn.XLOOKUP(salesitems[[#This Row],[product_id]],products[product_id],products[product_name])</f>
        <v>T-Shirts Drop 7</v>
      </c>
      <c r="P1955" t="str">
        <f>_xlfn.XLOOKUP(salesitems[[#This Row],[product_id]],fashion_store_products!A:A,fashion_store_products!C:C)</f>
        <v>T-Shirts</v>
      </c>
    </row>
    <row r="1956" spans="1:16" x14ac:dyDescent="0.45">
      <c r="A1956">
        <v>2907</v>
      </c>
      <c r="B1956">
        <v>514</v>
      </c>
      <c r="C1956">
        <v>494</v>
      </c>
      <c r="D1956">
        <v>5</v>
      </c>
      <c r="E1956">
        <v>53.52</v>
      </c>
      <c r="F1956">
        <v>53.52</v>
      </c>
      <c r="G1956">
        <v>0</v>
      </c>
      <c r="H1956" s="2">
        <v>0</v>
      </c>
      <c r="I1956">
        <v>0</v>
      </c>
      <c r="J1956">
        <v>267.60000000000002</v>
      </c>
      <c r="K1956" s="1">
        <v>45825</v>
      </c>
      <c r="L1956" t="s">
        <v>15</v>
      </c>
      <c r="M1956" t="s">
        <v>15</v>
      </c>
      <c r="N1956">
        <f>salesitems[[#This Row],[quantity]]*salesitems[[#This Row],[unit_price]]</f>
        <v>267.60000000000002</v>
      </c>
      <c r="O1956" t="str">
        <f>_xlfn.XLOOKUP(salesitems[[#This Row],[product_id]],products[product_id],products[product_name])</f>
        <v>T-Shirts Drop 7</v>
      </c>
      <c r="P1956" t="str">
        <f>_xlfn.XLOOKUP(salesitems[[#This Row],[product_id]],fashion_store_products!A:A,fashion_store_products!C:C)</f>
        <v>T-Shirts</v>
      </c>
    </row>
    <row r="1957" spans="1:16" x14ac:dyDescent="0.45">
      <c r="A1957">
        <v>3035</v>
      </c>
      <c r="B1957">
        <v>118</v>
      </c>
      <c r="C1957">
        <v>416</v>
      </c>
      <c r="D1957">
        <v>5</v>
      </c>
      <c r="E1957">
        <v>53.46</v>
      </c>
      <c r="F1957">
        <v>53.46</v>
      </c>
      <c r="G1957">
        <v>0</v>
      </c>
      <c r="H1957" s="2">
        <v>0</v>
      </c>
      <c r="I1957">
        <v>0</v>
      </c>
      <c r="J1957">
        <v>267.3</v>
      </c>
      <c r="K1957" s="1">
        <v>45795</v>
      </c>
      <c r="L1957" t="s">
        <v>21</v>
      </c>
      <c r="M1957" t="s">
        <v>18</v>
      </c>
      <c r="N1957">
        <f>salesitems[[#This Row],[quantity]]*salesitems[[#This Row],[unit_price]]</f>
        <v>267.3</v>
      </c>
      <c r="O1957" t="str">
        <f>_xlfn.XLOOKUP(salesitems[[#This Row],[product_id]],products[product_id],products[product_name])</f>
        <v>Essential High-Waist Trousers</v>
      </c>
      <c r="P1957" t="str">
        <f>_xlfn.XLOOKUP(salesitems[[#This Row],[product_id]],fashion_store_products!A:A,fashion_store_products!C:C)</f>
        <v>Pants</v>
      </c>
    </row>
    <row r="1958" spans="1:16" x14ac:dyDescent="0.45">
      <c r="A1958">
        <v>1416</v>
      </c>
      <c r="B1958">
        <v>740</v>
      </c>
      <c r="C1958">
        <v>458</v>
      </c>
      <c r="D1958">
        <v>5</v>
      </c>
      <c r="E1958">
        <v>53.35</v>
      </c>
      <c r="F1958">
        <v>53.35</v>
      </c>
      <c r="G1958">
        <v>0</v>
      </c>
      <c r="H1958" s="2">
        <v>0</v>
      </c>
      <c r="I1958">
        <v>0</v>
      </c>
      <c r="J1958">
        <v>266.75</v>
      </c>
      <c r="K1958" s="1">
        <v>45776</v>
      </c>
      <c r="L1958" t="s">
        <v>21</v>
      </c>
      <c r="M1958" t="s">
        <v>18</v>
      </c>
      <c r="N1958">
        <f>salesitems[[#This Row],[quantity]]*salesitems[[#This Row],[unit_price]]</f>
        <v>266.75</v>
      </c>
      <c r="O1958" t="str">
        <f>_xlfn.XLOOKUP(salesitems[[#This Row],[product_id]],products[product_id],products[product_name])</f>
        <v>Bold Sleeveless Set</v>
      </c>
      <c r="P1958" t="str">
        <f>_xlfn.XLOOKUP(salesitems[[#This Row],[product_id]],fashion_store_products!A:A,fashion_store_products!C:C)</f>
        <v>Sleepwear</v>
      </c>
    </row>
    <row r="1959" spans="1:16" x14ac:dyDescent="0.45">
      <c r="A1959">
        <v>1453</v>
      </c>
      <c r="B1959">
        <v>613</v>
      </c>
      <c r="C1959">
        <v>331</v>
      </c>
      <c r="D1959">
        <v>5</v>
      </c>
      <c r="E1959">
        <v>53.34</v>
      </c>
      <c r="F1959">
        <v>53.34</v>
      </c>
      <c r="G1959">
        <v>0</v>
      </c>
      <c r="H1959" s="2">
        <v>0</v>
      </c>
      <c r="I1959">
        <v>0</v>
      </c>
      <c r="J1959">
        <v>266.7</v>
      </c>
      <c r="K1959" s="1">
        <v>45823</v>
      </c>
      <c r="L1959" t="s">
        <v>21</v>
      </c>
      <c r="M1959" t="s">
        <v>18</v>
      </c>
      <c r="N1959">
        <f>salesitems[[#This Row],[quantity]]*salesitems[[#This Row],[unit_price]]</f>
        <v>266.70000000000005</v>
      </c>
      <c r="O1959" t="str">
        <f>_xlfn.XLOOKUP(salesitems[[#This Row],[product_id]],products[product_id],products[product_name])</f>
        <v>Relaxed Satin Trousers</v>
      </c>
      <c r="P1959" t="str">
        <f>_xlfn.XLOOKUP(salesitems[[#This Row],[product_id]],fashion_store_products!A:A,fashion_store_products!C:C)</f>
        <v>Pants</v>
      </c>
    </row>
    <row r="1960" spans="1:16" x14ac:dyDescent="0.45">
      <c r="A1960">
        <v>899</v>
      </c>
      <c r="B1960">
        <v>242</v>
      </c>
      <c r="C1960">
        <v>442</v>
      </c>
      <c r="D1960">
        <v>5</v>
      </c>
      <c r="E1960">
        <v>53.27</v>
      </c>
      <c r="F1960">
        <v>53.27</v>
      </c>
      <c r="G1960">
        <v>0</v>
      </c>
      <c r="H1960" s="2">
        <v>0</v>
      </c>
      <c r="I1960">
        <v>0</v>
      </c>
      <c r="J1960">
        <v>266.35000000000002</v>
      </c>
      <c r="K1960" s="1">
        <v>45800</v>
      </c>
      <c r="L1960" t="s">
        <v>15</v>
      </c>
      <c r="M1960" t="s">
        <v>15</v>
      </c>
      <c r="N1960">
        <f>salesitems[[#This Row],[quantity]]*salesitems[[#This Row],[unit_price]]</f>
        <v>266.35000000000002</v>
      </c>
      <c r="O1960" t="str">
        <f>_xlfn.XLOOKUP(salesitems[[#This Row],[product_id]],products[product_id],products[product_name])</f>
        <v>Bold Ribbed Dress</v>
      </c>
      <c r="P1960" t="str">
        <f>_xlfn.XLOOKUP(salesitems[[#This Row],[product_id]],fashion_store_products!A:A,fashion_store_products!C:C)</f>
        <v>Dresses</v>
      </c>
    </row>
    <row r="1961" spans="1:16" x14ac:dyDescent="0.45">
      <c r="A1961">
        <v>1513</v>
      </c>
      <c r="B1961">
        <v>466</v>
      </c>
      <c r="C1961">
        <v>442</v>
      </c>
      <c r="D1961">
        <v>5</v>
      </c>
      <c r="E1961">
        <v>53.27</v>
      </c>
      <c r="F1961">
        <v>53.27</v>
      </c>
      <c r="G1961">
        <v>0</v>
      </c>
      <c r="H1961" s="2">
        <v>0</v>
      </c>
      <c r="I1961">
        <v>0</v>
      </c>
      <c r="J1961">
        <v>266.35000000000002</v>
      </c>
      <c r="K1961" s="1">
        <v>45764</v>
      </c>
      <c r="L1961" t="s">
        <v>21</v>
      </c>
      <c r="M1961" t="s">
        <v>18</v>
      </c>
      <c r="N1961">
        <f>salesitems[[#This Row],[quantity]]*salesitems[[#This Row],[unit_price]]</f>
        <v>266.35000000000002</v>
      </c>
      <c r="O1961" t="str">
        <f>_xlfn.XLOOKUP(salesitems[[#This Row],[product_id]],products[product_id],products[product_name])</f>
        <v>Bold Ribbed Dress</v>
      </c>
      <c r="P1961" t="str">
        <f>_xlfn.XLOOKUP(salesitems[[#This Row],[product_id]],fashion_store_products!A:A,fashion_store_products!C:C)</f>
        <v>Dresses</v>
      </c>
    </row>
    <row r="1962" spans="1:16" x14ac:dyDescent="0.45">
      <c r="A1962">
        <v>1152</v>
      </c>
      <c r="B1962">
        <v>1189</v>
      </c>
      <c r="C1962">
        <v>73</v>
      </c>
      <c r="D1962">
        <v>5</v>
      </c>
      <c r="E1962">
        <v>53.25</v>
      </c>
      <c r="F1962">
        <v>53.25</v>
      </c>
      <c r="G1962">
        <v>0</v>
      </c>
      <c r="H1962" s="2">
        <v>0</v>
      </c>
      <c r="I1962">
        <v>0</v>
      </c>
      <c r="J1962">
        <v>266.25</v>
      </c>
      <c r="K1962" s="1">
        <v>45771</v>
      </c>
      <c r="L1962" t="s">
        <v>21</v>
      </c>
      <c r="M1962" t="s">
        <v>18</v>
      </c>
      <c r="N1962">
        <f>salesitems[[#This Row],[quantity]]*salesitems[[#This Row],[unit_price]]</f>
        <v>266.25</v>
      </c>
      <c r="O1962" t="str">
        <f>_xlfn.XLOOKUP(salesitems[[#This Row],[product_id]],products[product_id],products[product_name])</f>
        <v>Soft Boxy Set</v>
      </c>
      <c r="P1962" t="str">
        <f>_xlfn.XLOOKUP(salesitems[[#This Row],[product_id]],fashion_store_products!A:A,fashion_store_products!C:C)</f>
        <v>Sleepwear</v>
      </c>
    </row>
    <row r="1963" spans="1:16" x14ac:dyDescent="0.45">
      <c r="A1963">
        <v>1431</v>
      </c>
      <c r="B1963">
        <v>914</v>
      </c>
      <c r="C1963">
        <v>40</v>
      </c>
      <c r="D1963">
        <v>5</v>
      </c>
      <c r="E1963">
        <v>53.19</v>
      </c>
      <c r="F1963">
        <v>53.19</v>
      </c>
      <c r="G1963">
        <v>0</v>
      </c>
      <c r="H1963" s="2">
        <v>0</v>
      </c>
      <c r="I1963">
        <v>0</v>
      </c>
      <c r="J1963">
        <v>265.95</v>
      </c>
      <c r="K1963" s="1">
        <v>45802</v>
      </c>
      <c r="L1963" t="s">
        <v>15</v>
      </c>
      <c r="M1963" t="s">
        <v>15</v>
      </c>
      <c r="N1963">
        <f>salesitems[[#This Row],[quantity]]*salesitems[[#This Row],[unit_price]]</f>
        <v>265.95</v>
      </c>
      <c r="O1963" t="str">
        <f>_xlfn.XLOOKUP(salesitems[[#This Row],[product_id]],products[product_id],products[product_name])</f>
        <v>Soft High-Waist Trousers</v>
      </c>
      <c r="P1963" t="str">
        <f>_xlfn.XLOOKUP(salesitems[[#This Row],[product_id]],fashion_store_products!A:A,fashion_store_products!C:C)</f>
        <v>Pants</v>
      </c>
    </row>
    <row r="1964" spans="1:16" x14ac:dyDescent="0.45">
      <c r="A1964">
        <v>1460</v>
      </c>
      <c r="B1964">
        <v>1137</v>
      </c>
      <c r="C1964">
        <v>40</v>
      </c>
      <c r="D1964">
        <v>5</v>
      </c>
      <c r="E1964">
        <v>53.19</v>
      </c>
      <c r="F1964">
        <v>53.19</v>
      </c>
      <c r="G1964">
        <v>0</v>
      </c>
      <c r="H1964" s="2">
        <v>0</v>
      </c>
      <c r="I1964">
        <v>0</v>
      </c>
      <c r="J1964">
        <v>265.95</v>
      </c>
      <c r="K1964" s="1">
        <v>45794</v>
      </c>
      <c r="L1964" t="s">
        <v>21</v>
      </c>
      <c r="M1964" t="s">
        <v>18</v>
      </c>
      <c r="N1964">
        <f>salesitems[[#This Row],[quantity]]*salesitems[[#This Row],[unit_price]]</f>
        <v>265.95</v>
      </c>
      <c r="O1964" t="str">
        <f>_xlfn.XLOOKUP(salesitems[[#This Row],[product_id]],products[product_id],products[product_name])</f>
        <v>Soft High-Waist Trousers</v>
      </c>
      <c r="P1964" t="str">
        <f>_xlfn.XLOOKUP(salesitems[[#This Row],[product_id]],fashion_store_products!A:A,fashion_store_products!C:C)</f>
        <v>Pants</v>
      </c>
    </row>
    <row r="1965" spans="1:16" x14ac:dyDescent="0.45">
      <c r="A1965">
        <v>2422</v>
      </c>
      <c r="B1965">
        <v>37</v>
      </c>
      <c r="C1965">
        <v>262</v>
      </c>
      <c r="D1965">
        <v>5</v>
      </c>
      <c r="E1965">
        <v>52.94</v>
      </c>
      <c r="F1965">
        <v>52.94</v>
      </c>
      <c r="G1965">
        <v>0</v>
      </c>
      <c r="H1965" s="2">
        <v>0</v>
      </c>
      <c r="I1965">
        <v>0</v>
      </c>
      <c r="J1965">
        <v>264.7</v>
      </c>
      <c r="K1965" s="1">
        <v>45769</v>
      </c>
      <c r="L1965" t="s">
        <v>15</v>
      </c>
      <c r="M1965" t="s">
        <v>15</v>
      </c>
      <c r="N1965">
        <f>salesitems[[#This Row],[quantity]]*salesitems[[#This Row],[unit_price]]</f>
        <v>264.7</v>
      </c>
      <c r="O1965" t="str">
        <f>_xlfn.XLOOKUP(salesitems[[#This Row],[product_id]],products[product_id],products[product_name])</f>
        <v>Polished Sleeveless Set</v>
      </c>
      <c r="P1965" t="str">
        <f>_xlfn.XLOOKUP(salesitems[[#This Row],[product_id]],fashion_store_products!A:A,fashion_store_products!C:C)</f>
        <v>Sleepwear</v>
      </c>
    </row>
    <row r="1966" spans="1:16" x14ac:dyDescent="0.45">
      <c r="A1966">
        <v>139</v>
      </c>
      <c r="B1966">
        <v>500</v>
      </c>
      <c r="C1966">
        <v>147</v>
      </c>
      <c r="D1966">
        <v>5</v>
      </c>
      <c r="E1966">
        <v>52.91</v>
      </c>
      <c r="F1966">
        <v>52.91</v>
      </c>
      <c r="G1966">
        <v>0</v>
      </c>
      <c r="H1966" s="2">
        <v>0</v>
      </c>
      <c r="I1966">
        <v>0</v>
      </c>
      <c r="J1966">
        <v>264.55</v>
      </c>
      <c r="K1966" s="1">
        <v>45773</v>
      </c>
      <c r="L1966" t="s">
        <v>21</v>
      </c>
      <c r="M1966" t="s">
        <v>18</v>
      </c>
      <c r="N1966">
        <f>salesitems[[#This Row],[quantity]]*salesitems[[#This Row],[unit_price]]</f>
        <v>264.54999999999995</v>
      </c>
      <c r="O1966" t="str">
        <f>_xlfn.XLOOKUP(salesitems[[#This Row],[product_id]],products[product_id],products[product_name])</f>
        <v>Vintage Linen Shoes</v>
      </c>
      <c r="P1966" t="str">
        <f>_xlfn.XLOOKUP(salesitems[[#This Row],[product_id]],fashion_store_products!A:A,fashion_store_products!C:C)</f>
        <v>Shoes</v>
      </c>
    </row>
    <row r="1967" spans="1:16" x14ac:dyDescent="0.45">
      <c r="A1967">
        <v>1077</v>
      </c>
      <c r="B1967">
        <v>498</v>
      </c>
      <c r="C1967">
        <v>147</v>
      </c>
      <c r="D1967">
        <v>5</v>
      </c>
      <c r="E1967">
        <v>52.91</v>
      </c>
      <c r="F1967">
        <v>52.91</v>
      </c>
      <c r="G1967">
        <v>0</v>
      </c>
      <c r="H1967" s="2">
        <v>0</v>
      </c>
      <c r="I1967">
        <v>0</v>
      </c>
      <c r="J1967">
        <v>264.55</v>
      </c>
      <c r="K1967" s="1">
        <v>45802</v>
      </c>
      <c r="L1967" t="s">
        <v>21</v>
      </c>
      <c r="M1967" t="s">
        <v>18</v>
      </c>
      <c r="N1967">
        <f>salesitems[[#This Row],[quantity]]*salesitems[[#This Row],[unit_price]]</f>
        <v>264.54999999999995</v>
      </c>
      <c r="O1967" t="str">
        <f>_xlfn.XLOOKUP(salesitems[[#This Row],[product_id]],products[product_id],products[product_name])</f>
        <v>Vintage Linen Shoes</v>
      </c>
      <c r="P1967" t="str">
        <f>_xlfn.XLOOKUP(salesitems[[#This Row],[product_id]],fashion_store_products!A:A,fashion_store_products!C:C)</f>
        <v>Shoes</v>
      </c>
    </row>
    <row r="1968" spans="1:16" x14ac:dyDescent="0.45">
      <c r="A1968">
        <v>2294</v>
      </c>
      <c r="B1968">
        <v>845</v>
      </c>
      <c r="C1968">
        <v>147</v>
      </c>
      <c r="D1968">
        <v>5</v>
      </c>
      <c r="E1968">
        <v>52.91</v>
      </c>
      <c r="F1968">
        <v>52.91</v>
      </c>
      <c r="G1968">
        <v>0</v>
      </c>
      <c r="H1968" s="2">
        <v>0</v>
      </c>
      <c r="I1968">
        <v>0</v>
      </c>
      <c r="J1968">
        <v>264.55</v>
      </c>
      <c r="K1968" s="1">
        <v>45803</v>
      </c>
      <c r="L1968" t="s">
        <v>21</v>
      </c>
      <c r="M1968" t="s">
        <v>18</v>
      </c>
      <c r="N1968">
        <f>salesitems[[#This Row],[quantity]]*salesitems[[#This Row],[unit_price]]</f>
        <v>264.54999999999995</v>
      </c>
      <c r="O1968" t="str">
        <f>_xlfn.XLOOKUP(salesitems[[#This Row],[product_id]],products[product_id],products[product_name])</f>
        <v>Vintage Linen Shoes</v>
      </c>
      <c r="P1968" t="str">
        <f>_xlfn.XLOOKUP(salesitems[[#This Row],[product_id]],fashion_store_products!A:A,fashion_store_products!C:C)</f>
        <v>Shoes</v>
      </c>
    </row>
    <row r="1969" spans="1:16" x14ac:dyDescent="0.45">
      <c r="A1969">
        <v>298</v>
      </c>
      <c r="B1969">
        <v>572</v>
      </c>
      <c r="C1969">
        <v>75</v>
      </c>
      <c r="D1969">
        <v>5</v>
      </c>
      <c r="E1969">
        <v>52.83</v>
      </c>
      <c r="F1969">
        <v>52.83</v>
      </c>
      <c r="G1969">
        <v>0</v>
      </c>
      <c r="H1969" s="2">
        <v>0</v>
      </c>
      <c r="I1969">
        <v>0</v>
      </c>
      <c r="J1969">
        <v>264.14999999999998</v>
      </c>
      <c r="K1969" s="1">
        <v>45769</v>
      </c>
      <c r="L1969" t="s">
        <v>15</v>
      </c>
      <c r="M1969" t="s">
        <v>15</v>
      </c>
      <c r="N1969">
        <f>salesitems[[#This Row],[quantity]]*salesitems[[#This Row],[unit_price]]</f>
        <v>264.14999999999998</v>
      </c>
      <c r="O1969" t="str">
        <f>_xlfn.XLOOKUP(salesitems[[#This Row],[product_id]],products[product_id],products[product_name])</f>
        <v>Modern Linen Set</v>
      </c>
      <c r="P1969" t="str">
        <f>_xlfn.XLOOKUP(salesitems[[#This Row],[product_id]],fashion_store_products!A:A,fashion_store_products!C:C)</f>
        <v>Sleepwear</v>
      </c>
    </row>
    <row r="1970" spans="1:16" x14ac:dyDescent="0.45">
      <c r="A1970">
        <v>2515</v>
      </c>
      <c r="B1970">
        <v>1007</v>
      </c>
      <c r="C1970">
        <v>299</v>
      </c>
      <c r="D1970">
        <v>5</v>
      </c>
      <c r="E1970">
        <v>52.65</v>
      </c>
      <c r="F1970">
        <v>52.65</v>
      </c>
      <c r="G1970">
        <v>0</v>
      </c>
      <c r="H1970" s="2">
        <v>0</v>
      </c>
      <c r="I1970">
        <v>0</v>
      </c>
      <c r="J1970">
        <v>263.25</v>
      </c>
      <c r="K1970" s="1">
        <v>45763</v>
      </c>
      <c r="L1970" t="s">
        <v>15</v>
      </c>
      <c r="M1970" t="s">
        <v>15</v>
      </c>
      <c r="N1970">
        <f>salesitems[[#This Row],[quantity]]*salesitems[[#This Row],[unit_price]]</f>
        <v>263.25</v>
      </c>
      <c r="O1970" t="str">
        <f>_xlfn.XLOOKUP(salesitems[[#This Row],[product_id]],products[product_id],products[product_name])</f>
        <v>Essential Wrap Dress</v>
      </c>
      <c r="P1970" t="str">
        <f>_xlfn.XLOOKUP(salesitems[[#This Row],[product_id]],fashion_store_products!A:A,fashion_store_products!C:C)</f>
        <v>Dresses</v>
      </c>
    </row>
    <row r="1971" spans="1:16" x14ac:dyDescent="0.45">
      <c r="A1971">
        <v>710</v>
      </c>
      <c r="B1971">
        <v>1193</v>
      </c>
      <c r="C1971">
        <v>394</v>
      </c>
      <c r="D1971">
        <v>5</v>
      </c>
      <c r="E1971">
        <v>52.58</v>
      </c>
      <c r="F1971">
        <v>52.58</v>
      </c>
      <c r="G1971">
        <v>0</v>
      </c>
      <c r="H1971" s="2">
        <v>0</v>
      </c>
      <c r="I1971">
        <v>0</v>
      </c>
      <c r="J1971">
        <v>262.89999999999998</v>
      </c>
      <c r="K1971" s="1">
        <v>45762</v>
      </c>
      <c r="L1971" t="s">
        <v>21</v>
      </c>
      <c r="M1971" t="s">
        <v>18</v>
      </c>
      <c r="N1971">
        <f>salesitems[[#This Row],[quantity]]*salesitems[[#This Row],[unit_price]]</f>
        <v>262.89999999999998</v>
      </c>
      <c r="O1971" t="str">
        <f>_xlfn.XLOOKUP(salesitems[[#This Row],[product_id]],products[product_id],products[product_name])</f>
        <v>Elegant Silk Tee</v>
      </c>
      <c r="P1971" t="str">
        <f>_xlfn.XLOOKUP(salesitems[[#This Row],[product_id]],fashion_store_products!A:A,fashion_store_products!C:C)</f>
        <v>T-Shirts</v>
      </c>
    </row>
    <row r="1972" spans="1:16" x14ac:dyDescent="0.45">
      <c r="A1972">
        <v>1353</v>
      </c>
      <c r="B1972">
        <v>846</v>
      </c>
      <c r="C1972">
        <v>394</v>
      </c>
      <c r="D1972">
        <v>5</v>
      </c>
      <c r="E1972">
        <v>52.58</v>
      </c>
      <c r="F1972">
        <v>52.58</v>
      </c>
      <c r="G1972">
        <v>0</v>
      </c>
      <c r="H1972" s="2">
        <v>0</v>
      </c>
      <c r="I1972">
        <v>0</v>
      </c>
      <c r="J1972">
        <v>262.89999999999998</v>
      </c>
      <c r="K1972" s="1">
        <v>45764</v>
      </c>
      <c r="L1972" t="s">
        <v>15</v>
      </c>
      <c r="M1972" t="s">
        <v>15</v>
      </c>
      <c r="N1972">
        <f>salesitems[[#This Row],[quantity]]*salesitems[[#This Row],[unit_price]]</f>
        <v>262.89999999999998</v>
      </c>
      <c r="O1972" t="str">
        <f>_xlfn.XLOOKUP(salesitems[[#This Row],[product_id]],products[product_id],products[product_name])</f>
        <v>Elegant Silk Tee</v>
      </c>
      <c r="P1972" t="str">
        <f>_xlfn.XLOOKUP(salesitems[[#This Row],[product_id]],fashion_store_products!A:A,fashion_store_products!C:C)</f>
        <v>T-Shirts</v>
      </c>
    </row>
    <row r="1973" spans="1:16" x14ac:dyDescent="0.45">
      <c r="A1973">
        <v>427</v>
      </c>
      <c r="B1973">
        <v>141</v>
      </c>
      <c r="C1973">
        <v>354</v>
      </c>
      <c r="D1973">
        <v>5</v>
      </c>
      <c r="E1973">
        <v>52.42</v>
      </c>
      <c r="F1973">
        <v>52.42</v>
      </c>
      <c r="G1973">
        <v>0</v>
      </c>
      <c r="H1973" s="2">
        <v>0</v>
      </c>
      <c r="I1973">
        <v>0</v>
      </c>
      <c r="J1973">
        <v>262.10000000000002</v>
      </c>
      <c r="K1973" s="1">
        <v>45823</v>
      </c>
      <c r="L1973" t="s">
        <v>21</v>
      </c>
      <c r="M1973" t="s">
        <v>18</v>
      </c>
      <c r="N1973">
        <f>salesitems[[#This Row],[quantity]]*salesitems[[#This Row],[unit_price]]</f>
        <v>262.10000000000002</v>
      </c>
      <c r="O1973" t="str">
        <f>_xlfn.XLOOKUP(salesitems[[#This Row],[product_id]],products[product_id],products[product_name])</f>
        <v>Tailored High-Waist Tee</v>
      </c>
      <c r="P1973" t="str">
        <f>_xlfn.XLOOKUP(salesitems[[#This Row],[product_id]],fashion_store_products!A:A,fashion_store_products!C:C)</f>
        <v>T-Shirts</v>
      </c>
    </row>
    <row r="1974" spans="1:16" x14ac:dyDescent="0.45">
      <c r="A1974">
        <v>100</v>
      </c>
      <c r="B1974">
        <v>210</v>
      </c>
      <c r="C1974">
        <v>432</v>
      </c>
      <c r="D1974">
        <v>5</v>
      </c>
      <c r="E1974">
        <v>52.39</v>
      </c>
      <c r="F1974">
        <v>52.39</v>
      </c>
      <c r="G1974">
        <v>0</v>
      </c>
      <c r="H1974" s="2">
        <v>0</v>
      </c>
      <c r="I1974">
        <v>0</v>
      </c>
      <c r="J1974">
        <v>261.95</v>
      </c>
      <c r="K1974" s="1">
        <v>45799</v>
      </c>
      <c r="L1974" t="s">
        <v>21</v>
      </c>
      <c r="M1974" t="s">
        <v>18</v>
      </c>
      <c r="N1974">
        <f>salesitems[[#This Row],[quantity]]*salesitems[[#This Row],[unit_price]]</f>
        <v>261.95</v>
      </c>
      <c r="O1974" t="str">
        <f>_xlfn.XLOOKUP(salesitems[[#This Row],[product_id]],products[product_id],products[product_name])</f>
        <v>Bold Linen Tee</v>
      </c>
      <c r="P1974" t="str">
        <f>_xlfn.XLOOKUP(salesitems[[#This Row],[product_id]],fashion_store_products!A:A,fashion_store_products!C:C)</f>
        <v>T-Shirts</v>
      </c>
    </row>
    <row r="1975" spans="1:16" x14ac:dyDescent="0.45">
      <c r="A1975">
        <v>475</v>
      </c>
      <c r="B1975">
        <v>716</v>
      </c>
      <c r="C1975">
        <v>445</v>
      </c>
      <c r="D1975">
        <v>5</v>
      </c>
      <c r="E1975">
        <v>52.28</v>
      </c>
      <c r="F1975">
        <v>52.28</v>
      </c>
      <c r="G1975">
        <v>0</v>
      </c>
      <c r="H1975" s="2">
        <v>0</v>
      </c>
      <c r="I1975">
        <v>0</v>
      </c>
      <c r="J1975">
        <v>261.39999999999998</v>
      </c>
      <c r="K1975" s="1">
        <v>45766</v>
      </c>
      <c r="L1975" t="s">
        <v>21</v>
      </c>
      <c r="M1975" t="s">
        <v>18</v>
      </c>
      <c r="N1975">
        <f>salesitems[[#This Row],[quantity]]*salesitems[[#This Row],[unit_price]]</f>
        <v>261.39999999999998</v>
      </c>
      <c r="O1975" t="str">
        <f>_xlfn.XLOOKUP(salesitems[[#This Row],[product_id]],products[product_id],products[product_name])</f>
        <v>Bold Cotton Set</v>
      </c>
      <c r="P1975" t="str">
        <f>_xlfn.XLOOKUP(salesitems[[#This Row],[product_id]],fashion_store_products!A:A,fashion_store_products!C:C)</f>
        <v>Sleepwear</v>
      </c>
    </row>
    <row r="1976" spans="1:16" x14ac:dyDescent="0.45">
      <c r="A1976">
        <v>830</v>
      </c>
      <c r="B1976">
        <v>154</v>
      </c>
      <c r="C1976">
        <v>445</v>
      </c>
      <c r="D1976">
        <v>5</v>
      </c>
      <c r="E1976">
        <v>52.28</v>
      </c>
      <c r="F1976">
        <v>52.28</v>
      </c>
      <c r="G1976">
        <v>0</v>
      </c>
      <c r="H1976" s="2">
        <v>0</v>
      </c>
      <c r="I1976">
        <v>0</v>
      </c>
      <c r="J1976">
        <v>261.39999999999998</v>
      </c>
      <c r="K1976" s="1">
        <v>45769</v>
      </c>
      <c r="L1976" t="s">
        <v>21</v>
      </c>
      <c r="M1976" t="s">
        <v>18</v>
      </c>
      <c r="N1976">
        <f>salesitems[[#This Row],[quantity]]*salesitems[[#This Row],[unit_price]]</f>
        <v>261.39999999999998</v>
      </c>
      <c r="O1976" t="str">
        <f>_xlfn.XLOOKUP(salesitems[[#This Row],[product_id]],products[product_id],products[product_name])</f>
        <v>Bold Cotton Set</v>
      </c>
      <c r="P1976" t="str">
        <f>_xlfn.XLOOKUP(salesitems[[#This Row],[product_id]],fashion_store_products!A:A,fashion_store_products!C:C)</f>
        <v>Sleepwear</v>
      </c>
    </row>
    <row r="1977" spans="1:16" x14ac:dyDescent="0.45">
      <c r="A1977">
        <v>1126</v>
      </c>
      <c r="B1977">
        <v>100</v>
      </c>
      <c r="C1977">
        <v>445</v>
      </c>
      <c r="D1977">
        <v>5</v>
      </c>
      <c r="E1977">
        <v>52.28</v>
      </c>
      <c r="F1977">
        <v>52.28</v>
      </c>
      <c r="G1977">
        <v>0</v>
      </c>
      <c r="H1977" s="2">
        <v>0</v>
      </c>
      <c r="I1977">
        <v>0</v>
      </c>
      <c r="J1977">
        <v>261.39999999999998</v>
      </c>
      <c r="K1977" s="1">
        <v>45768</v>
      </c>
      <c r="L1977" t="s">
        <v>15</v>
      </c>
      <c r="M1977" t="s">
        <v>15</v>
      </c>
      <c r="N1977">
        <f>salesitems[[#This Row],[quantity]]*salesitems[[#This Row],[unit_price]]</f>
        <v>261.39999999999998</v>
      </c>
      <c r="O1977" t="str">
        <f>_xlfn.XLOOKUP(salesitems[[#This Row],[product_id]],products[product_id],products[product_name])</f>
        <v>Bold Cotton Set</v>
      </c>
      <c r="P1977" t="str">
        <f>_xlfn.XLOOKUP(salesitems[[#This Row],[product_id]],fashion_store_products!A:A,fashion_store_products!C:C)</f>
        <v>Sleepwear</v>
      </c>
    </row>
    <row r="1978" spans="1:16" x14ac:dyDescent="0.45">
      <c r="A1978">
        <v>2010</v>
      </c>
      <c r="B1978">
        <v>262</v>
      </c>
      <c r="C1978">
        <v>181</v>
      </c>
      <c r="D1978">
        <v>5</v>
      </c>
      <c r="E1978">
        <v>52.18</v>
      </c>
      <c r="F1978">
        <v>52.18</v>
      </c>
      <c r="G1978">
        <v>0</v>
      </c>
      <c r="H1978" s="2">
        <v>0</v>
      </c>
      <c r="I1978">
        <v>0</v>
      </c>
      <c r="J1978">
        <v>260.89999999999998</v>
      </c>
      <c r="K1978" s="1">
        <v>45776</v>
      </c>
      <c r="L1978" t="s">
        <v>15</v>
      </c>
      <c r="M1978" t="s">
        <v>15</v>
      </c>
      <c r="N1978">
        <f>salesitems[[#This Row],[quantity]]*salesitems[[#This Row],[unit_price]]</f>
        <v>260.89999999999998</v>
      </c>
      <c r="O1978" t="str">
        <f>_xlfn.XLOOKUP(salesitems[[#This Row],[product_id]],products[product_id],products[product_name])</f>
        <v>Vintage High-Waist Shoes</v>
      </c>
      <c r="P1978" t="str">
        <f>_xlfn.XLOOKUP(salesitems[[#This Row],[product_id]],fashion_store_products!A:A,fashion_store_products!C:C)</f>
        <v>Shoes</v>
      </c>
    </row>
    <row r="1979" spans="1:16" x14ac:dyDescent="0.45">
      <c r="A1979">
        <v>2192</v>
      </c>
      <c r="B1979">
        <v>777</v>
      </c>
      <c r="C1979">
        <v>181</v>
      </c>
      <c r="D1979">
        <v>5</v>
      </c>
      <c r="E1979">
        <v>52.18</v>
      </c>
      <c r="F1979">
        <v>52.18</v>
      </c>
      <c r="G1979">
        <v>0</v>
      </c>
      <c r="H1979" s="2">
        <v>0</v>
      </c>
      <c r="I1979">
        <v>0</v>
      </c>
      <c r="J1979">
        <v>260.89999999999998</v>
      </c>
      <c r="K1979" s="1">
        <v>45805</v>
      </c>
      <c r="L1979" t="s">
        <v>21</v>
      </c>
      <c r="M1979" t="s">
        <v>18</v>
      </c>
      <c r="N1979">
        <f>salesitems[[#This Row],[quantity]]*salesitems[[#This Row],[unit_price]]</f>
        <v>260.89999999999998</v>
      </c>
      <c r="O1979" t="str">
        <f>_xlfn.XLOOKUP(salesitems[[#This Row],[product_id]],products[product_id],products[product_name])</f>
        <v>Vintage High-Waist Shoes</v>
      </c>
      <c r="P1979" t="str">
        <f>_xlfn.XLOOKUP(salesitems[[#This Row],[product_id]],fashion_store_products!A:A,fashion_store_products!C:C)</f>
        <v>Shoes</v>
      </c>
    </row>
    <row r="1980" spans="1:16" x14ac:dyDescent="0.45">
      <c r="A1980">
        <v>2383</v>
      </c>
      <c r="B1980">
        <v>495</v>
      </c>
      <c r="C1980">
        <v>181</v>
      </c>
      <c r="D1980">
        <v>5</v>
      </c>
      <c r="E1980">
        <v>52.18</v>
      </c>
      <c r="F1980">
        <v>52.18</v>
      </c>
      <c r="G1980">
        <v>0</v>
      </c>
      <c r="H1980" s="2">
        <v>0</v>
      </c>
      <c r="I1980">
        <v>0</v>
      </c>
      <c r="J1980">
        <v>260.89999999999998</v>
      </c>
      <c r="K1980" s="1">
        <v>45776</v>
      </c>
      <c r="L1980" t="s">
        <v>21</v>
      </c>
      <c r="M1980" t="s">
        <v>18</v>
      </c>
      <c r="N1980">
        <f>salesitems[[#This Row],[quantity]]*salesitems[[#This Row],[unit_price]]</f>
        <v>260.89999999999998</v>
      </c>
      <c r="O1980" t="str">
        <f>_xlfn.XLOOKUP(salesitems[[#This Row],[product_id]],products[product_id],products[product_name])</f>
        <v>Vintage High-Waist Shoes</v>
      </c>
      <c r="P1980" t="str">
        <f>_xlfn.XLOOKUP(salesitems[[#This Row],[product_id]],fashion_store_products!A:A,fashion_store_products!C:C)</f>
        <v>Shoes</v>
      </c>
    </row>
    <row r="1981" spans="1:16" x14ac:dyDescent="0.45">
      <c r="A1981">
        <v>334</v>
      </c>
      <c r="B1981">
        <v>736</v>
      </c>
      <c r="C1981">
        <v>217</v>
      </c>
      <c r="D1981">
        <v>5</v>
      </c>
      <c r="E1981">
        <v>52.12</v>
      </c>
      <c r="F1981">
        <v>52.12</v>
      </c>
      <c r="G1981">
        <v>0</v>
      </c>
      <c r="H1981" s="2">
        <v>0</v>
      </c>
      <c r="I1981">
        <v>0</v>
      </c>
      <c r="J1981">
        <v>260.60000000000002</v>
      </c>
      <c r="K1981" s="1">
        <v>45761</v>
      </c>
      <c r="L1981" t="s">
        <v>21</v>
      </c>
      <c r="M1981" t="s">
        <v>18</v>
      </c>
      <c r="N1981">
        <f>salesitems[[#This Row],[quantity]]*salesitems[[#This Row],[unit_price]]</f>
        <v>260.59999999999997</v>
      </c>
      <c r="O1981" t="str">
        <f>_xlfn.XLOOKUP(salesitems[[#This Row],[product_id]],products[product_id],products[product_name])</f>
        <v>Polished Cotton Tee</v>
      </c>
      <c r="P1981" t="str">
        <f>_xlfn.XLOOKUP(salesitems[[#This Row],[product_id]],fashion_store_products!A:A,fashion_store_products!C:C)</f>
        <v>T-Shirts</v>
      </c>
    </row>
    <row r="1982" spans="1:16" x14ac:dyDescent="0.45">
      <c r="A1982">
        <v>2226</v>
      </c>
      <c r="B1982">
        <v>118</v>
      </c>
      <c r="C1982">
        <v>217</v>
      </c>
      <c r="D1982">
        <v>5</v>
      </c>
      <c r="E1982">
        <v>52.12</v>
      </c>
      <c r="F1982">
        <v>52.12</v>
      </c>
      <c r="G1982">
        <v>0</v>
      </c>
      <c r="H1982" s="2">
        <v>0</v>
      </c>
      <c r="I1982">
        <v>0</v>
      </c>
      <c r="J1982">
        <v>260.60000000000002</v>
      </c>
      <c r="K1982" s="1">
        <v>45795</v>
      </c>
      <c r="L1982" t="s">
        <v>21</v>
      </c>
      <c r="M1982" t="s">
        <v>18</v>
      </c>
      <c r="N1982">
        <f>salesitems[[#This Row],[quantity]]*salesitems[[#This Row],[unit_price]]</f>
        <v>260.59999999999997</v>
      </c>
      <c r="O1982" t="str">
        <f>_xlfn.XLOOKUP(salesitems[[#This Row],[product_id]],products[product_id],products[product_name])</f>
        <v>Polished Cotton Tee</v>
      </c>
      <c r="P1982" t="str">
        <f>_xlfn.XLOOKUP(salesitems[[#This Row],[product_id]],fashion_store_products!A:A,fashion_store_products!C:C)</f>
        <v>T-Shirts</v>
      </c>
    </row>
    <row r="1983" spans="1:16" x14ac:dyDescent="0.45">
      <c r="A1983">
        <v>1503</v>
      </c>
      <c r="B1983">
        <v>293</v>
      </c>
      <c r="C1983">
        <v>275</v>
      </c>
      <c r="D1983">
        <v>5</v>
      </c>
      <c r="E1983">
        <v>52.11</v>
      </c>
      <c r="F1983">
        <v>52.11</v>
      </c>
      <c r="G1983">
        <v>0</v>
      </c>
      <c r="H1983" s="2">
        <v>0</v>
      </c>
      <c r="I1983">
        <v>0</v>
      </c>
      <c r="J1983">
        <v>260.55</v>
      </c>
      <c r="K1983" s="1">
        <v>45781</v>
      </c>
      <c r="L1983" t="s">
        <v>21</v>
      </c>
      <c r="M1983" t="s">
        <v>18</v>
      </c>
      <c r="N1983">
        <f>salesitems[[#This Row],[quantity]]*salesitems[[#This Row],[unit_price]]</f>
        <v>260.55</v>
      </c>
      <c r="O1983" t="str">
        <f>_xlfn.XLOOKUP(salesitems[[#This Row],[product_id]],products[product_id],products[product_name])</f>
        <v>Relaxed Sleeveless Tee</v>
      </c>
      <c r="P1983" t="str">
        <f>_xlfn.XLOOKUP(salesitems[[#This Row],[product_id]],fashion_store_products!A:A,fashion_store_products!C:C)</f>
        <v>T-Shirts</v>
      </c>
    </row>
    <row r="1984" spans="1:16" x14ac:dyDescent="0.45">
      <c r="A1984">
        <v>2447</v>
      </c>
      <c r="B1984">
        <v>614</v>
      </c>
      <c r="C1984">
        <v>275</v>
      </c>
      <c r="D1984">
        <v>5</v>
      </c>
      <c r="E1984">
        <v>52.11</v>
      </c>
      <c r="F1984">
        <v>52.11</v>
      </c>
      <c r="G1984">
        <v>0</v>
      </c>
      <c r="H1984" s="2">
        <v>0</v>
      </c>
      <c r="I1984">
        <v>0</v>
      </c>
      <c r="J1984">
        <v>260.55</v>
      </c>
      <c r="K1984" s="1">
        <v>45806</v>
      </c>
      <c r="L1984" t="s">
        <v>15</v>
      </c>
      <c r="M1984" t="s">
        <v>15</v>
      </c>
      <c r="N1984">
        <f>salesitems[[#This Row],[quantity]]*salesitems[[#This Row],[unit_price]]</f>
        <v>260.55</v>
      </c>
      <c r="O1984" t="str">
        <f>_xlfn.XLOOKUP(salesitems[[#This Row],[product_id]],products[product_id],products[product_name])</f>
        <v>Relaxed Sleeveless Tee</v>
      </c>
      <c r="P1984" t="str">
        <f>_xlfn.XLOOKUP(salesitems[[#This Row],[product_id]],fashion_store_products!A:A,fashion_store_products!C:C)</f>
        <v>T-Shirts</v>
      </c>
    </row>
    <row r="1985" spans="1:16" x14ac:dyDescent="0.45">
      <c r="A1985">
        <v>50</v>
      </c>
      <c r="B1985">
        <v>391</v>
      </c>
      <c r="C1985">
        <v>440</v>
      </c>
      <c r="D1985">
        <v>5</v>
      </c>
      <c r="E1985">
        <v>52.08</v>
      </c>
      <c r="F1985">
        <v>52.08</v>
      </c>
      <c r="G1985">
        <v>0</v>
      </c>
      <c r="H1985" s="2">
        <v>0</v>
      </c>
      <c r="I1985">
        <v>0</v>
      </c>
      <c r="J1985">
        <v>260.39999999999998</v>
      </c>
      <c r="K1985" s="1">
        <v>45777</v>
      </c>
      <c r="L1985" t="s">
        <v>21</v>
      </c>
      <c r="M1985" t="s">
        <v>18</v>
      </c>
      <c r="N1985">
        <f>salesitems[[#This Row],[quantity]]*salesitems[[#This Row],[unit_price]]</f>
        <v>260.39999999999998</v>
      </c>
      <c r="O1985" t="str">
        <f>_xlfn.XLOOKUP(salesitems[[#This Row],[product_id]],products[product_id],products[product_name])</f>
        <v>Bold Linen Shoes</v>
      </c>
      <c r="P1985" t="str">
        <f>_xlfn.XLOOKUP(salesitems[[#This Row],[product_id]],fashion_store_products!A:A,fashion_store_products!C:C)</f>
        <v>Shoes</v>
      </c>
    </row>
    <row r="1986" spans="1:16" x14ac:dyDescent="0.45">
      <c r="A1986">
        <v>1903</v>
      </c>
      <c r="B1986">
        <v>432</v>
      </c>
      <c r="C1986">
        <v>426</v>
      </c>
      <c r="D1986">
        <v>5</v>
      </c>
      <c r="E1986">
        <v>51.97</v>
      </c>
      <c r="F1986">
        <v>51.97</v>
      </c>
      <c r="G1986">
        <v>0</v>
      </c>
      <c r="H1986" s="2">
        <v>0</v>
      </c>
      <c r="I1986">
        <v>0</v>
      </c>
      <c r="J1986">
        <v>259.85000000000002</v>
      </c>
      <c r="K1986" s="1">
        <v>45767</v>
      </c>
      <c r="L1986" t="s">
        <v>21</v>
      </c>
      <c r="M1986" t="s">
        <v>18</v>
      </c>
      <c r="N1986">
        <f>salesitems[[#This Row],[quantity]]*salesitems[[#This Row],[unit_price]]</f>
        <v>259.85000000000002</v>
      </c>
      <c r="O1986" t="str">
        <f>_xlfn.XLOOKUP(salesitems[[#This Row],[product_id]],products[product_id],products[product_name])</f>
        <v>Elegant High-Waist Dress</v>
      </c>
      <c r="P1986" t="str">
        <f>_xlfn.XLOOKUP(salesitems[[#This Row],[product_id]],fashion_store_products!A:A,fashion_store_products!C:C)</f>
        <v>Dresses</v>
      </c>
    </row>
    <row r="1987" spans="1:16" x14ac:dyDescent="0.45">
      <c r="A1987">
        <v>1154</v>
      </c>
      <c r="B1987">
        <v>769</v>
      </c>
      <c r="C1987">
        <v>468</v>
      </c>
      <c r="D1987">
        <v>5</v>
      </c>
      <c r="E1987">
        <v>51.8</v>
      </c>
      <c r="F1987">
        <v>51.8</v>
      </c>
      <c r="G1987">
        <v>0</v>
      </c>
      <c r="H1987" s="2">
        <v>0</v>
      </c>
      <c r="I1987">
        <v>0</v>
      </c>
      <c r="J1987">
        <v>259</v>
      </c>
      <c r="K1987" s="1">
        <v>45782</v>
      </c>
      <c r="L1987" t="s">
        <v>21</v>
      </c>
      <c r="M1987" t="s">
        <v>18</v>
      </c>
      <c r="N1987">
        <f>salesitems[[#This Row],[quantity]]*salesitems[[#This Row],[unit_price]]</f>
        <v>259</v>
      </c>
      <c r="O1987" t="str">
        <f>_xlfn.XLOOKUP(salesitems[[#This Row],[product_id]],products[product_id],products[product_name])</f>
        <v>Sleepwear Drop 1</v>
      </c>
      <c r="P1987" t="str">
        <f>_xlfn.XLOOKUP(salesitems[[#This Row],[product_id]],fashion_store_products!A:A,fashion_store_products!C:C)</f>
        <v>Sleepwear</v>
      </c>
    </row>
    <row r="1988" spans="1:16" x14ac:dyDescent="0.45">
      <c r="A1988">
        <v>1377</v>
      </c>
      <c r="B1988">
        <v>82</v>
      </c>
      <c r="C1988">
        <v>468</v>
      </c>
      <c r="D1988">
        <v>5</v>
      </c>
      <c r="E1988">
        <v>51.8</v>
      </c>
      <c r="F1988">
        <v>51.8</v>
      </c>
      <c r="G1988">
        <v>0</v>
      </c>
      <c r="H1988" s="2">
        <v>0</v>
      </c>
      <c r="I1988">
        <v>0</v>
      </c>
      <c r="J1988">
        <v>259</v>
      </c>
      <c r="K1988" s="1">
        <v>45761</v>
      </c>
      <c r="L1988" t="s">
        <v>21</v>
      </c>
      <c r="M1988" t="s">
        <v>18</v>
      </c>
      <c r="N1988">
        <f>salesitems[[#This Row],[quantity]]*salesitems[[#This Row],[unit_price]]</f>
        <v>259</v>
      </c>
      <c r="O1988" t="str">
        <f>_xlfn.XLOOKUP(salesitems[[#This Row],[product_id]],products[product_id],products[product_name])</f>
        <v>Sleepwear Drop 1</v>
      </c>
      <c r="P1988" t="str">
        <f>_xlfn.XLOOKUP(salesitems[[#This Row],[product_id]],fashion_store_products!A:A,fashion_store_products!C:C)</f>
        <v>Sleepwear</v>
      </c>
    </row>
    <row r="1989" spans="1:16" x14ac:dyDescent="0.45">
      <c r="A1989">
        <v>1045</v>
      </c>
      <c r="B1989">
        <v>1192</v>
      </c>
      <c r="C1989">
        <v>361</v>
      </c>
      <c r="D1989">
        <v>5</v>
      </c>
      <c r="E1989">
        <v>51.76</v>
      </c>
      <c r="F1989">
        <v>51.76</v>
      </c>
      <c r="G1989">
        <v>0</v>
      </c>
      <c r="H1989" s="2">
        <v>0</v>
      </c>
      <c r="I1989">
        <v>0</v>
      </c>
      <c r="J1989">
        <v>258.8</v>
      </c>
      <c r="K1989" s="1">
        <v>45799</v>
      </c>
      <c r="L1989" t="s">
        <v>15</v>
      </c>
      <c r="M1989" t="s">
        <v>15</v>
      </c>
      <c r="N1989">
        <f>salesitems[[#This Row],[quantity]]*salesitems[[#This Row],[unit_price]]</f>
        <v>258.8</v>
      </c>
      <c r="O1989" t="str">
        <f>_xlfn.XLOOKUP(salesitems[[#This Row],[product_id]],products[product_id],products[product_name])</f>
        <v>Tailored Linen Set</v>
      </c>
      <c r="P1989" t="str">
        <f>_xlfn.XLOOKUP(salesitems[[#This Row],[product_id]],fashion_store_products!A:A,fashion_store_products!C:C)</f>
        <v>Sleepwear</v>
      </c>
    </row>
    <row r="1990" spans="1:16" x14ac:dyDescent="0.45">
      <c r="A1990">
        <v>3131</v>
      </c>
      <c r="B1990">
        <v>276</v>
      </c>
      <c r="C1990">
        <v>361</v>
      </c>
      <c r="D1990">
        <v>5</v>
      </c>
      <c r="E1990">
        <v>51.76</v>
      </c>
      <c r="F1990">
        <v>51.76</v>
      </c>
      <c r="G1990">
        <v>0</v>
      </c>
      <c r="H1990" s="2">
        <v>0</v>
      </c>
      <c r="I1990">
        <v>0</v>
      </c>
      <c r="J1990">
        <v>258.8</v>
      </c>
      <c r="K1990" s="1">
        <v>45753</v>
      </c>
      <c r="L1990" t="s">
        <v>15</v>
      </c>
      <c r="M1990" t="s">
        <v>15</v>
      </c>
      <c r="N1990">
        <f>salesitems[[#This Row],[quantity]]*salesitems[[#This Row],[unit_price]]</f>
        <v>258.8</v>
      </c>
      <c r="O1990" t="str">
        <f>_xlfn.XLOOKUP(salesitems[[#This Row],[product_id]],products[product_id],products[product_name])</f>
        <v>Tailored Linen Set</v>
      </c>
      <c r="P1990" t="str">
        <f>_xlfn.XLOOKUP(salesitems[[#This Row],[product_id]],fashion_store_products!A:A,fashion_store_products!C:C)</f>
        <v>Sleepwear</v>
      </c>
    </row>
    <row r="1991" spans="1:16" x14ac:dyDescent="0.45">
      <c r="A1991">
        <v>2218</v>
      </c>
      <c r="B1991">
        <v>924</v>
      </c>
      <c r="C1991">
        <v>76</v>
      </c>
      <c r="D1991">
        <v>5</v>
      </c>
      <c r="E1991">
        <v>51.7</v>
      </c>
      <c r="F1991">
        <v>51.7</v>
      </c>
      <c r="G1991">
        <v>0</v>
      </c>
      <c r="H1991" s="2">
        <v>0</v>
      </c>
      <c r="I1991">
        <v>0</v>
      </c>
      <c r="J1991">
        <v>258.5</v>
      </c>
      <c r="K1991" s="1">
        <v>45752</v>
      </c>
      <c r="L1991" t="s">
        <v>21</v>
      </c>
      <c r="M1991" t="s">
        <v>18</v>
      </c>
      <c r="N1991">
        <f>salesitems[[#This Row],[quantity]]*salesitems[[#This Row],[unit_price]]</f>
        <v>258.5</v>
      </c>
      <c r="O1991" t="str">
        <f>_xlfn.XLOOKUP(salesitems[[#This Row],[product_id]],products[product_id],products[product_name])</f>
        <v>Modern Cotton Trousers</v>
      </c>
      <c r="P1991" t="str">
        <f>_xlfn.XLOOKUP(salesitems[[#This Row],[product_id]],fashion_store_products!A:A,fashion_store_products!C:C)</f>
        <v>Pants</v>
      </c>
    </row>
    <row r="1992" spans="1:16" x14ac:dyDescent="0.45">
      <c r="A1992">
        <v>1215</v>
      </c>
      <c r="B1992">
        <v>689</v>
      </c>
      <c r="C1992">
        <v>367</v>
      </c>
      <c r="D1992">
        <v>5</v>
      </c>
      <c r="E1992">
        <v>51.38</v>
      </c>
      <c r="F1992">
        <v>51.38</v>
      </c>
      <c r="G1992">
        <v>0</v>
      </c>
      <c r="H1992" s="2">
        <v>0</v>
      </c>
      <c r="I1992">
        <v>0</v>
      </c>
      <c r="J1992">
        <v>256.89999999999998</v>
      </c>
      <c r="K1992" s="1">
        <v>45762</v>
      </c>
      <c r="L1992" t="s">
        <v>15</v>
      </c>
      <c r="M1992" t="s">
        <v>15</v>
      </c>
      <c r="N1992">
        <f>salesitems[[#This Row],[quantity]]*salesitems[[#This Row],[unit_price]]</f>
        <v>256.90000000000003</v>
      </c>
      <c r="O1992" t="str">
        <f>_xlfn.XLOOKUP(salesitems[[#This Row],[product_id]],products[product_id],products[product_name])</f>
        <v>Tailored Silk Dress</v>
      </c>
      <c r="P1992" t="str">
        <f>_xlfn.XLOOKUP(salesitems[[#This Row],[product_id]],fashion_store_products!A:A,fashion_store_products!C:C)</f>
        <v>Dresses</v>
      </c>
    </row>
    <row r="1993" spans="1:16" x14ac:dyDescent="0.45">
      <c r="A1993">
        <v>1619</v>
      </c>
      <c r="B1993">
        <v>1236</v>
      </c>
      <c r="C1993">
        <v>367</v>
      </c>
      <c r="D1993">
        <v>5</v>
      </c>
      <c r="E1993">
        <v>51.38</v>
      </c>
      <c r="F1993">
        <v>51.38</v>
      </c>
      <c r="G1993">
        <v>0</v>
      </c>
      <c r="H1993" s="2">
        <v>0</v>
      </c>
      <c r="I1993">
        <v>0</v>
      </c>
      <c r="J1993">
        <v>256.89999999999998</v>
      </c>
      <c r="K1993" s="1">
        <v>45783</v>
      </c>
      <c r="L1993" t="s">
        <v>21</v>
      </c>
      <c r="M1993" t="s">
        <v>18</v>
      </c>
      <c r="N1993">
        <f>salesitems[[#This Row],[quantity]]*salesitems[[#This Row],[unit_price]]</f>
        <v>256.90000000000003</v>
      </c>
      <c r="O1993" t="str">
        <f>_xlfn.XLOOKUP(salesitems[[#This Row],[product_id]],products[product_id],products[product_name])</f>
        <v>Tailored Silk Dress</v>
      </c>
      <c r="P1993" t="str">
        <f>_xlfn.XLOOKUP(salesitems[[#This Row],[product_id]],fashion_store_products!A:A,fashion_store_products!C:C)</f>
        <v>Dresses</v>
      </c>
    </row>
    <row r="1994" spans="1:16" x14ac:dyDescent="0.45">
      <c r="A1994">
        <v>212</v>
      </c>
      <c r="B1994">
        <v>955</v>
      </c>
      <c r="C1994">
        <v>242</v>
      </c>
      <c r="D1994">
        <v>5</v>
      </c>
      <c r="E1994">
        <v>51.25</v>
      </c>
      <c r="F1994">
        <v>51.25</v>
      </c>
      <c r="G1994">
        <v>0</v>
      </c>
      <c r="H1994" s="2">
        <v>0</v>
      </c>
      <c r="I1994">
        <v>0</v>
      </c>
      <c r="J1994">
        <v>256.25</v>
      </c>
      <c r="K1994" s="1">
        <v>45802</v>
      </c>
      <c r="L1994" t="s">
        <v>15</v>
      </c>
      <c r="M1994" t="s">
        <v>15</v>
      </c>
      <c r="N1994">
        <f>salesitems[[#This Row],[quantity]]*salesitems[[#This Row],[unit_price]]</f>
        <v>256.25</v>
      </c>
      <c r="O1994" t="str">
        <f>_xlfn.XLOOKUP(salesitems[[#This Row],[product_id]],products[product_id],products[product_name])</f>
        <v>Relaxed Ribbed Shoes</v>
      </c>
      <c r="P1994" t="str">
        <f>_xlfn.XLOOKUP(salesitems[[#This Row],[product_id]],fashion_store_products!A:A,fashion_store_products!C:C)</f>
        <v>Shoes</v>
      </c>
    </row>
    <row r="1995" spans="1:16" x14ac:dyDescent="0.45">
      <c r="A1995">
        <v>1648</v>
      </c>
      <c r="B1995">
        <v>426</v>
      </c>
      <c r="C1995">
        <v>242</v>
      </c>
      <c r="D1995">
        <v>5</v>
      </c>
      <c r="E1995">
        <v>51.25</v>
      </c>
      <c r="F1995">
        <v>51.25</v>
      </c>
      <c r="G1995">
        <v>0</v>
      </c>
      <c r="H1995" s="2">
        <v>0</v>
      </c>
      <c r="I1995">
        <v>0</v>
      </c>
      <c r="J1995">
        <v>256.25</v>
      </c>
      <c r="K1995" s="1">
        <v>45823</v>
      </c>
      <c r="L1995" t="s">
        <v>21</v>
      </c>
      <c r="M1995" t="s">
        <v>18</v>
      </c>
      <c r="N1995">
        <f>salesitems[[#This Row],[quantity]]*salesitems[[#This Row],[unit_price]]</f>
        <v>256.25</v>
      </c>
      <c r="O1995" t="str">
        <f>_xlfn.XLOOKUP(salesitems[[#This Row],[product_id]],products[product_id],products[product_name])</f>
        <v>Relaxed Ribbed Shoes</v>
      </c>
      <c r="P1995" t="str">
        <f>_xlfn.XLOOKUP(salesitems[[#This Row],[product_id]],fashion_store_products!A:A,fashion_store_products!C:C)</f>
        <v>Shoes</v>
      </c>
    </row>
    <row r="1996" spans="1:16" x14ac:dyDescent="0.45">
      <c r="A1996">
        <v>2500</v>
      </c>
      <c r="B1996">
        <v>291</v>
      </c>
      <c r="C1996">
        <v>242</v>
      </c>
      <c r="D1996">
        <v>5</v>
      </c>
      <c r="E1996">
        <v>51.25</v>
      </c>
      <c r="F1996">
        <v>51.25</v>
      </c>
      <c r="G1996">
        <v>0</v>
      </c>
      <c r="H1996" s="2">
        <v>0</v>
      </c>
      <c r="I1996">
        <v>0</v>
      </c>
      <c r="J1996">
        <v>256.25</v>
      </c>
      <c r="K1996" s="1">
        <v>45777</v>
      </c>
      <c r="L1996" t="s">
        <v>21</v>
      </c>
      <c r="M1996" t="s">
        <v>18</v>
      </c>
      <c r="N1996">
        <f>salesitems[[#This Row],[quantity]]*salesitems[[#This Row],[unit_price]]</f>
        <v>256.25</v>
      </c>
      <c r="O1996" t="str">
        <f>_xlfn.XLOOKUP(salesitems[[#This Row],[product_id]],products[product_id],products[product_name])</f>
        <v>Relaxed Ribbed Shoes</v>
      </c>
      <c r="P1996" t="str">
        <f>_xlfn.XLOOKUP(salesitems[[#This Row],[product_id]],fashion_store_products!A:A,fashion_store_products!C:C)</f>
        <v>Shoes</v>
      </c>
    </row>
    <row r="1997" spans="1:16" x14ac:dyDescent="0.45">
      <c r="A1997">
        <v>463</v>
      </c>
      <c r="B1997">
        <v>571</v>
      </c>
      <c r="C1997">
        <v>28</v>
      </c>
      <c r="D1997">
        <v>5</v>
      </c>
      <c r="E1997">
        <v>51.18</v>
      </c>
      <c r="F1997">
        <v>51.18</v>
      </c>
      <c r="G1997">
        <v>0</v>
      </c>
      <c r="H1997" s="2">
        <v>0</v>
      </c>
      <c r="I1997">
        <v>0</v>
      </c>
      <c r="J1997">
        <v>255.9</v>
      </c>
      <c r="K1997" s="1">
        <v>45800</v>
      </c>
      <c r="L1997" t="s">
        <v>15</v>
      </c>
      <c r="M1997" t="s">
        <v>15</v>
      </c>
      <c r="N1997">
        <f>salesitems[[#This Row],[quantity]]*salesitems[[#This Row],[unit_price]]</f>
        <v>255.9</v>
      </c>
      <c r="O1997" t="str">
        <f>_xlfn.XLOOKUP(salesitems[[#This Row],[product_id]],products[product_id],products[product_name])</f>
        <v>Soft Sleeveless Shoes</v>
      </c>
      <c r="P1997" t="str">
        <f>_xlfn.XLOOKUP(salesitems[[#This Row],[product_id]],fashion_store_products!A:A,fashion_store_products!C:C)</f>
        <v>Shoes</v>
      </c>
    </row>
    <row r="1998" spans="1:16" x14ac:dyDescent="0.45">
      <c r="A1998">
        <v>2292</v>
      </c>
      <c r="B1998">
        <v>1343</v>
      </c>
      <c r="C1998">
        <v>28</v>
      </c>
      <c r="D1998">
        <v>5</v>
      </c>
      <c r="E1998">
        <v>51.18</v>
      </c>
      <c r="F1998">
        <v>51.18</v>
      </c>
      <c r="G1998">
        <v>0</v>
      </c>
      <c r="H1998" s="2">
        <v>0</v>
      </c>
      <c r="I1998">
        <v>0</v>
      </c>
      <c r="J1998">
        <v>255.9</v>
      </c>
      <c r="K1998" s="1">
        <v>45805</v>
      </c>
      <c r="L1998" t="s">
        <v>21</v>
      </c>
      <c r="M1998" t="s">
        <v>18</v>
      </c>
      <c r="N1998">
        <f>salesitems[[#This Row],[quantity]]*salesitems[[#This Row],[unit_price]]</f>
        <v>255.9</v>
      </c>
      <c r="O1998" t="str">
        <f>_xlfn.XLOOKUP(salesitems[[#This Row],[product_id]],products[product_id],products[product_name])</f>
        <v>Soft Sleeveless Shoes</v>
      </c>
      <c r="P1998" t="str">
        <f>_xlfn.XLOOKUP(salesitems[[#This Row],[product_id]],fashion_store_products!A:A,fashion_store_products!C:C)</f>
        <v>Shoes</v>
      </c>
    </row>
    <row r="1999" spans="1:16" x14ac:dyDescent="0.45">
      <c r="A1999">
        <v>1175</v>
      </c>
      <c r="B1999">
        <v>195</v>
      </c>
      <c r="C1999">
        <v>421</v>
      </c>
      <c r="D1999">
        <v>5</v>
      </c>
      <c r="E1999">
        <v>50.89</v>
      </c>
      <c r="F1999">
        <v>50.89</v>
      </c>
      <c r="G1999">
        <v>0</v>
      </c>
      <c r="H1999" s="2">
        <v>0</v>
      </c>
      <c r="I1999">
        <v>0</v>
      </c>
      <c r="J1999">
        <v>254.45</v>
      </c>
      <c r="K1999" s="1">
        <v>45797</v>
      </c>
      <c r="L1999" t="s">
        <v>15</v>
      </c>
      <c r="M1999" t="s">
        <v>15</v>
      </c>
      <c r="N1999">
        <f>salesitems[[#This Row],[quantity]]*salesitems[[#This Row],[unit_price]]</f>
        <v>254.45</v>
      </c>
      <c r="O1999" t="str">
        <f>_xlfn.XLOOKUP(salesitems[[#This Row],[product_id]],products[product_id],products[product_name])</f>
        <v>Elegant Sleeveless Set</v>
      </c>
      <c r="P1999" t="str">
        <f>_xlfn.XLOOKUP(salesitems[[#This Row],[product_id]],fashion_store_products!A:A,fashion_store_products!C:C)</f>
        <v>Sleepwear</v>
      </c>
    </row>
    <row r="2000" spans="1:16" x14ac:dyDescent="0.45">
      <c r="A2000">
        <v>3331</v>
      </c>
      <c r="B2000">
        <v>1199</v>
      </c>
      <c r="C2000">
        <v>421</v>
      </c>
      <c r="D2000">
        <v>5</v>
      </c>
      <c r="E2000">
        <v>50.89</v>
      </c>
      <c r="F2000">
        <v>50.89</v>
      </c>
      <c r="G2000">
        <v>0</v>
      </c>
      <c r="H2000" s="2">
        <v>0</v>
      </c>
      <c r="I2000">
        <v>0</v>
      </c>
      <c r="J2000">
        <v>254.45</v>
      </c>
      <c r="K2000" s="1">
        <v>45822</v>
      </c>
      <c r="L2000" t="s">
        <v>21</v>
      </c>
      <c r="M2000" t="s">
        <v>18</v>
      </c>
      <c r="N2000">
        <f>salesitems[[#This Row],[quantity]]*salesitems[[#This Row],[unit_price]]</f>
        <v>254.45</v>
      </c>
      <c r="O2000" t="str">
        <f>_xlfn.XLOOKUP(salesitems[[#This Row],[product_id]],products[product_id],products[product_name])</f>
        <v>Elegant Sleeveless Set</v>
      </c>
      <c r="P2000" t="str">
        <f>_xlfn.XLOOKUP(salesitems[[#This Row],[product_id]],fashion_store_products!A:A,fashion_store_products!C:C)</f>
        <v>Sleepwear</v>
      </c>
    </row>
    <row r="2001" spans="1:16" x14ac:dyDescent="0.45">
      <c r="A2001">
        <v>994</v>
      </c>
      <c r="B2001">
        <v>465</v>
      </c>
      <c r="C2001">
        <v>290</v>
      </c>
      <c r="D2001">
        <v>5</v>
      </c>
      <c r="E2001">
        <v>50.86</v>
      </c>
      <c r="F2001">
        <v>50.86</v>
      </c>
      <c r="G2001">
        <v>0</v>
      </c>
      <c r="H2001" s="2">
        <v>0</v>
      </c>
      <c r="I2001">
        <v>0</v>
      </c>
      <c r="J2001">
        <v>254.3</v>
      </c>
      <c r="K2001" s="1">
        <v>45822</v>
      </c>
      <c r="L2001" t="s">
        <v>21</v>
      </c>
      <c r="M2001" t="s">
        <v>18</v>
      </c>
      <c r="N2001">
        <f>salesitems[[#This Row],[quantity]]*salesitems[[#This Row],[unit_price]]</f>
        <v>254.3</v>
      </c>
      <c r="O2001" t="str">
        <f>_xlfn.XLOOKUP(salesitems[[#This Row],[product_id]],products[product_id],products[product_name])</f>
        <v>Relaxed Cotton Set</v>
      </c>
      <c r="P2001" t="str">
        <f>_xlfn.XLOOKUP(salesitems[[#This Row],[product_id]],fashion_store_products!A:A,fashion_store_products!C:C)</f>
        <v>Sleepwear</v>
      </c>
    </row>
    <row r="2002" spans="1:16" x14ac:dyDescent="0.45">
      <c r="A2002">
        <v>3304</v>
      </c>
      <c r="B2002">
        <v>429</v>
      </c>
      <c r="C2002">
        <v>290</v>
      </c>
      <c r="D2002">
        <v>5</v>
      </c>
      <c r="E2002">
        <v>50.86</v>
      </c>
      <c r="F2002">
        <v>50.86</v>
      </c>
      <c r="G2002">
        <v>0</v>
      </c>
      <c r="H2002" s="2">
        <v>0</v>
      </c>
      <c r="I2002">
        <v>0</v>
      </c>
      <c r="J2002">
        <v>254.3</v>
      </c>
      <c r="K2002" s="1">
        <v>45822</v>
      </c>
      <c r="L2002" t="s">
        <v>15</v>
      </c>
      <c r="M2002" t="s">
        <v>15</v>
      </c>
      <c r="N2002">
        <f>salesitems[[#This Row],[quantity]]*salesitems[[#This Row],[unit_price]]</f>
        <v>254.3</v>
      </c>
      <c r="O2002" t="str">
        <f>_xlfn.XLOOKUP(salesitems[[#This Row],[product_id]],products[product_id],products[product_name])</f>
        <v>Relaxed Cotton Set</v>
      </c>
      <c r="P2002" t="str">
        <f>_xlfn.XLOOKUP(salesitems[[#This Row],[product_id]],fashion_store_products!A:A,fashion_store_products!C:C)</f>
        <v>Sleepwear</v>
      </c>
    </row>
    <row r="2003" spans="1:16" x14ac:dyDescent="0.45">
      <c r="A2003">
        <v>2374</v>
      </c>
      <c r="B2003">
        <v>161</v>
      </c>
      <c r="C2003">
        <v>253</v>
      </c>
      <c r="D2003">
        <v>5</v>
      </c>
      <c r="E2003">
        <v>50.55</v>
      </c>
      <c r="F2003">
        <v>50.55</v>
      </c>
      <c r="G2003">
        <v>0</v>
      </c>
      <c r="H2003" s="2">
        <v>0</v>
      </c>
      <c r="I2003">
        <v>0</v>
      </c>
      <c r="J2003">
        <v>252.75</v>
      </c>
      <c r="K2003" s="1">
        <v>45773</v>
      </c>
      <c r="L2003" t="s">
        <v>15</v>
      </c>
      <c r="M2003" t="s">
        <v>15</v>
      </c>
      <c r="N2003">
        <f>salesitems[[#This Row],[quantity]]*salesitems[[#This Row],[unit_price]]</f>
        <v>252.75</v>
      </c>
      <c r="O2003" t="str">
        <f>_xlfn.XLOOKUP(salesitems[[#This Row],[product_id]],products[product_id],products[product_name])</f>
        <v>Relaxed Ribbed Tee</v>
      </c>
      <c r="P2003" t="str">
        <f>_xlfn.XLOOKUP(salesitems[[#This Row],[product_id]],fashion_store_products!A:A,fashion_store_products!C:C)</f>
        <v>T-Shirts</v>
      </c>
    </row>
    <row r="2004" spans="1:16" x14ac:dyDescent="0.45">
      <c r="A2004">
        <v>1567</v>
      </c>
      <c r="B2004">
        <v>536</v>
      </c>
      <c r="C2004">
        <v>193</v>
      </c>
      <c r="D2004">
        <v>5</v>
      </c>
      <c r="E2004">
        <v>50.52</v>
      </c>
      <c r="F2004">
        <v>50.52</v>
      </c>
      <c r="G2004">
        <v>0</v>
      </c>
      <c r="H2004" s="2">
        <v>0</v>
      </c>
      <c r="I2004">
        <v>0</v>
      </c>
      <c r="J2004">
        <v>252.6</v>
      </c>
      <c r="K2004" s="1">
        <v>45783</v>
      </c>
      <c r="L2004" t="s">
        <v>15</v>
      </c>
      <c r="M2004" t="s">
        <v>15</v>
      </c>
      <c r="N2004">
        <f>salesitems[[#This Row],[quantity]]*salesitems[[#This Row],[unit_price]]</f>
        <v>252.60000000000002</v>
      </c>
      <c r="O2004" t="str">
        <f>_xlfn.XLOOKUP(salesitems[[#This Row],[product_id]],products[product_id],products[product_name])</f>
        <v>Vintage Silk Tee</v>
      </c>
      <c r="P2004" t="str">
        <f>_xlfn.XLOOKUP(salesitems[[#This Row],[product_id]],fashion_store_products!A:A,fashion_store_products!C:C)</f>
        <v>T-Shirts</v>
      </c>
    </row>
    <row r="2005" spans="1:16" x14ac:dyDescent="0.45">
      <c r="A2005">
        <v>1346</v>
      </c>
      <c r="B2005">
        <v>299</v>
      </c>
      <c r="C2005">
        <v>310</v>
      </c>
      <c r="D2005">
        <v>5</v>
      </c>
      <c r="E2005">
        <v>72.099999999999994</v>
      </c>
      <c r="F2005">
        <v>50.47</v>
      </c>
      <c r="G2005">
        <v>21.63</v>
      </c>
      <c r="H2005" s="2">
        <v>0.3</v>
      </c>
      <c r="I2005">
        <v>1</v>
      </c>
      <c r="J2005">
        <v>252.35</v>
      </c>
      <c r="K2005" s="1">
        <v>45790</v>
      </c>
      <c r="L2005" t="s">
        <v>15</v>
      </c>
      <c r="M2005" t="s">
        <v>15</v>
      </c>
      <c r="N2005">
        <f>salesitems[[#This Row],[quantity]]*salesitems[[#This Row],[unit_price]]</f>
        <v>252.35</v>
      </c>
      <c r="O2005" t="str">
        <f>_xlfn.XLOOKUP(salesitems[[#This Row],[product_id]],products[product_id],products[product_name])</f>
        <v>Relaxed Ribbed Trousers</v>
      </c>
      <c r="P2005" t="str">
        <f>_xlfn.XLOOKUP(salesitems[[#This Row],[product_id]],fashion_store_products!A:A,fashion_store_products!C:C)</f>
        <v>Pants</v>
      </c>
    </row>
    <row r="2006" spans="1:16" x14ac:dyDescent="0.45">
      <c r="A2006">
        <v>1769</v>
      </c>
      <c r="B2006">
        <v>341</v>
      </c>
      <c r="C2006">
        <v>310</v>
      </c>
      <c r="D2006">
        <v>5</v>
      </c>
      <c r="E2006">
        <v>72.099999999999994</v>
      </c>
      <c r="F2006">
        <v>50.47</v>
      </c>
      <c r="G2006">
        <v>21.63</v>
      </c>
      <c r="H2006" s="2">
        <v>0.3</v>
      </c>
      <c r="I2006">
        <v>1</v>
      </c>
      <c r="J2006">
        <v>252.35</v>
      </c>
      <c r="K2006" s="1">
        <v>45790</v>
      </c>
      <c r="L2006" t="s">
        <v>15</v>
      </c>
      <c r="M2006" t="s">
        <v>15</v>
      </c>
      <c r="N2006">
        <f>salesitems[[#This Row],[quantity]]*salesitems[[#This Row],[unit_price]]</f>
        <v>252.35</v>
      </c>
      <c r="O2006" t="str">
        <f>_xlfn.XLOOKUP(salesitems[[#This Row],[product_id]],products[product_id],products[product_name])</f>
        <v>Relaxed Ribbed Trousers</v>
      </c>
      <c r="P2006" t="str">
        <f>_xlfn.XLOOKUP(salesitems[[#This Row],[product_id]],fashion_store_products!A:A,fashion_store_products!C:C)</f>
        <v>Pants</v>
      </c>
    </row>
    <row r="2007" spans="1:16" x14ac:dyDescent="0.45">
      <c r="A2007">
        <v>366</v>
      </c>
      <c r="B2007">
        <v>100</v>
      </c>
      <c r="C2007">
        <v>419</v>
      </c>
      <c r="D2007">
        <v>5</v>
      </c>
      <c r="E2007">
        <v>50.34</v>
      </c>
      <c r="F2007">
        <v>50.34</v>
      </c>
      <c r="G2007">
        <v>0</v>
      </c>
      <c r="H2007" s="2">
        <v>0</v>
      </c>
      <c r="I2007">
        <v>0</v>
      </c>
      <c r="J2007">
        <v>251.7</v>
      </c>
      <c r="K2007" s="1">
        <v>45768</v>
      </c>
      <c r="L2007" t="s">
        <v>15</v>
      </c>
      <c r="M2007" t="s">
        <v>15</v>
      </c>
      <c r="N2007">
        <f>salesitems[[#This Row],[quantity]]*salesitems[[#This Row],[unit_price]]</f>
        <v>251.70000000000002</v>
      </c>
      <c r="O2007" t="str">
        <f>_xlfn.XLOOKUP(salesitems[[#This Row],[product_id]],products[product_id],products[product_name])</f>
        <v>Elegant Crew Dress</v>
      </c>
      <c r="P2007" t="str">
        <f>_xlfn.XLOOKUP(salesitems[[#This Row],[product_id]],fashion_store_products!A:A,fashion_store_products!C:C)</f>
        <v>Dresses</v>
      </c>
    </row>
    <row r="2008" spans="1:16" x14ac:dyDescent="0.45">
      <c r="A2008">
        <v>1166</v>
      </c>
      <c r="B2008">
        <v>41</v>
      </c>
      <c r="C2008">
        <v>370</v>
      </c>
      <c r="D2008">
        <v>5</v>
      </c>
      <c r="E2008">
        <v>50.34</v>
      </c>
      <c r="F2008">
        <v>50.34</v>
      </c>
      <c r="G2008">
        <v>0</v>
      </c>
      <c r="H2008" s="2">
        <v>0</v>
      </c>
      <c r="I2008">
        <v>0</v>
      </c>
      <c r="J2008">
        <v>251.7</v>
      </c>
      <c r="K2008" s="1">
        <v>45761</v>
      </c>
      <c r="L2008" t="s">
        <v>21</v>
      </c>
      <c r="M2008" t="s">
        <v>18</v>
      </c>
      <c r="N2008">
        <f>salesitems[[#This Row],[quantity]]*salesitems[[#This Row],[unit_price]]</f>
        <v>251.70000000000002</v>
      </c>
      <c r="O2008" t="str">
        <f>_xlfn.XLOOKUP(salesitems[[#This Row],[product_id]],products[product_id],products[product_name])</f>
        <v>Elegant Ribbed Tee</v>
      </c>
      <c r="P2008" t="str">
        <f>_xlfn.XLOOKUP(salesitems[[#This Row],[product_id]],fashion_store_products!A:A,fashion_store_products!C:C)</f>
        <v>T-Shirts</v>
      </c>
    </row>
    <row r="2009" spans="1:16" x14ac:dyDescent="0.45">
      <c r="A2009">
        <v>3302</v>
      </c>
      <c r="B2009">
        <v>239</v>
      </c>
      <c r="C2009">
        <v>419</v>
      </c>
      <c r="D2009">
        <v>5</v>
      </c>
      <c r="E2009">
        <v>50.34</v>
      </c>
      <c r="F2009">
        <v>50.34</v>
      </c>
      <c r="G2009">
        <v>0</v>
      </c>
      <c r="H2009" s="2">
        <v>0</v>
      </c>
      <c r="I2009">
        <v>0</v>
      </c>
      <c r="J2009">
        <v>251.7</v>
      </c>
      <c r="K2009" s="1">
        <v>45767</v>
      </c>
      <c r="L2009" t="s">
        <v>21</v>
      </c>
      <c r="M2009" t="s">
        <v>18</v>
      </c>
      <c r="N2009">
        <f>salesitems[[#This Row],[quantity]]*salesitems[[#This Row],[unit_price]]</f>
        <v>251.70000000000002</v>
      </c>
      <c r="O2009" t="str">
        <f>_xlfn.XLOOKUP(salesitems[[#This Row],[product_id]],products[product_id],products[product_name])</f>
        <v>Elegant Crew Dress</v>
      </c>
      <c r="P2009" t="str">
        <f>_xlfn.XLOOKUP(salesitems[[#This Row],[product_id]],fashion_store_products!A:A,fashion_store_products!C:C)</f>
        <v>Dresses</v>
      </c>
    </row>
    <row r="2010" spans="1:16" x14ac:dyDescent="0.45">
      <c r="A2010">
        <v>3075</v>
      </c>
      <c r="B2010">
        <v>980</v>
      </c>
      <c r="C2010">
        <v>69</v>
      </c>
      <c r="D2010">
        <v>5</v>
      </c>
      <c r="E2010">
        <v>49.98</v>
      </c>
      <c r="F2010">
        <v>49.98</v>
      </c>
      <c r="G2010">
        <v>0</v>
      </c>
      <c r="H2010" s="2">
        <v>0</v>
      </c>
      <c r="I2010">
        <v>0</v>
      </c>
      <c r="J2010">
        <v>249.9</v>
      </c>
      <c r="K2010" s="1">
        <v>45804</v>
      </c>
      <c r="L2010" t="s">
        <v>15</v>
      </c>
      <c r="M2010" t="s">
        <v>15</v>
      </c>
      <c r="N2010">
        <f>salesitems[[#This Row],[quantity]]*salesitems[[#This Row],[unit_price]]</f>
        <v>249.89999999999998</v>
      </c>
      <c r="O2010" t="str">
        <f>_xlfn.XLOOKUP(salesitems[[#This Row],[product_id]],products[product_id],products[product_name])</f>
        <v>Modern Linen Shoes</v>
      </c>
      <c r="P2010" t="str">
        <f>_xlfn.XLOOKUP(salesitems[[#This Row],[product_id]],fashion_store_products!A:A,fashion_store_products!C:C)</f>
        <v>Shoes</v>
      </c>
    </row>
    <row r="2011" spans="1:16" x14ac:dyDescent="0.45">
      <c r="A2011">
        <v>1388</v>
      </c>
      <c r="B2011">
        <v>429</v>
      </c>
      <c r="C2011">
        <v>436</v>
      </c>
      <c r="D2011">
        <v>5</v>
      </c>
      <c r="E2011">
        <v>49.81</v>
      </c>
      <c r="F2011">
        <v>49.81</v>
      </c>
      <c r="G2011">
        <v>0</v>
      </c>
      <c r="H2011" s="2">
        <v>0</v>
      </c>
      <c r="I2011">
        <v>0</v>
      </c>
      <c r="J2011">
        <v>249.05</v>
      </c>
      <c r="K2011" s="1">
        <v>45822</v>
      </c>
      <c r="L2011" t="s">
        <v>15</v>
      </c>
      <c r="M2011" t="s">
        <v>15</v>
      </c>
      <c r="N2011">
        <f>salesitems[[#This Row],[quantity]]*salesitems[[#This Row],[unit_price]]</f>
        <v>249.05</v>
      </c>
      <c r="O2011" t="str">
        <f>_xlfn.XLOOKUP(salesitems[[#This Row],[product_id]],products[product_id],products[product_name])</f>
        <v>Bold Wrap Shoes</v>
      </c>
      <c r="P2011" t="str">
        <f>_xlfn.XLOOKUP(salesitems[[#This Row],[product_id]],fashion_store_products!A:A,fashion_store_products!C:C)</f>
        <v>Shoes</v>
      </c>
    </row>
    <row r="2012" spans="1:16" x14ac:dyDescent="0.45">
      <c r="A2012">
        <v>2962</v>
      </c>
      <c r="B2012">
        <v>13</v>
      </c>
      <c r="C2012">
        <v>219</v>
      </c>
      <c r="D2012">
        <v>5</v>
      </c>
      <c r="E2012">
        <v>49.76</v>
      </c>
      <c r="F2012">
        <v>49.76</v>
      </c>
      <c r="G2012">
        <v>0</v>
      </c>
      <c r="H2012" s="2">
        <v>0</v>
      </c>
      <c r="I2012">
        <v>0</v>
      </c>
      <c r="J2012">
        <v>248.8</v>
      </c>
      <c r="K2012" s="1">
        <v>45763</v>
      </c>
      <c r="L2012" t="s">
        <v>15</v>
      </c>
      <c r="M2012" t="s">
        <v>15</v>
      </c>
      <c r="N2012">
        <f>salesitems[[#This Row],[quantity]]*salesitems[[#This Row],[unit_price]]</f>
        <v>248.79999999999998</v>
      </c>
      <c r="O2012" t="str">
        <f>_xlfn.XLOOKUP(salesitems[[#This Row],[product_id]],products[product_id],products[product_name])</f>
        <v>Polished Silk Shoes</v>
      </c>
      <c r="P2012" t="str">
        <f>_xlfn.XLOOKUP(salesitems[[#This Row],[product_id]],fashion_store_products!A:A,fashion_store_products!C:C)</f>
        <v>Shoes</v>
      </c>
    </row>
    <row r="2013" spans="1:16" x14ac:dyDescent="0.45">
      <c r="A2013">
        <v>736</v>
      </c>
      <c r="B2013">
        <v>589</v>
      </c>
      <c r="C2013">
        <v>173</v>
      </c>
      <c r="D2013">
        <v>5</v>
      </c>
      <c r="E2013">
        <v>49.74</v>
      </c>
      <c r="F2013">
        <v>49.74</v>
      </c>
      <c r="G2013">
        <v>0</v>
      </c>
      <c r="H2013" s="2">
        <v>0</v>
      </c>
      <c r="I2013">
        <v>0</v>
      </c>
      <c r="J2013">
        <v>248.7</v>
      </c>
      <c r="K2013" s="1">
        <v>45825</v>
      </c>
      <c r="L2013" t="s">
        <v>15</v>
      </c>
      <c r="M2013" t="s">
        <v>15</v>
      </c>
      <c r="N2013">
        <f>salesitems[[#This Row],[quantity]]*salesitems[[#This Row],[unit_price]]</f>
        <v>248.70000000000002</v>
      </c>
      <c r="O2013" t="str">
        <f>_xlfn.XLOOKUP(salesitems[[#This Row],[product_id]],products[product_id],products[product_name])</f>
        <v>Polished Linen Dress</v>
      </c>
      <c r="P2013" t="str">
        <f>_xlfn.XLOOKUP(salesitems[[#This Row],[product_id]],fashion_store_products!A:A,fashion_store_products!C:C)</f>
        <v>Dresses</v>
      </c>
    </row>
    <row r="2014" spans="1:16" x14ac:dyDescent="0.45">
      <c r="A2014">
        <v>253</v>
      </c>
      <c r="B2014">
        <v>103</v>
      </c>
      <c r="C2014">
        <v>268</v>
      </c>
      <c r="D2014">
        <v>5</v>
      </c>
      <c r="E2014">
        <v>49.59</v>
      </c>
      <c r="F2014">
        <v>49.59</v>
      </c>
      <c r="G2014">
        <v>0</v>
      </c>
      <c r="H2014" s="2">
        <v>0</v>
      </c>
      <c r="I2014">
        <v>0</v>
      </c>
      <c r="J2014">
        <v>247.95</v>
      </c>
      <c r="K2014" s="1">
        <v>45821</v>
      </c>
      <c r="L2014" t="s">
        <v>21</v>
      </c>
      <c r="M2014" t="s">
        <v>18</v>
      </c>
      <c r="N2014">
        <f>salesitems[[#This Row],[quantity]]*salesitems[[#This Row],[unit_price]]</f>
        <v>247.95000000000002</v>
      </c>
      <c r="O2014" t="str">
        <f>_xlfn.XLOOKUP(salesitems[[#This Row],[product_id]],products[product_id],products[product_name])</f>
        <v>Polished Boxy Set</v>
      </c>
      <c r="P2014" t="str">
        <f>_xlfn.XLOOKUP(salesitems[[#This Row],[product_id]],fashion_store_products!A:A,fashion_store_products!C:C)</f>
        <v>Sleepwear</v>
      </c>
    </row>
    <row r="2015" spans="1:16" x14ac:dyDescent="0.45">
      <c r="A2015">
        <v>722</v>
      </c>
      <c r="B2015">
        <v>739</v>
      </c>
      <c r="C2015">
        <v>190</v>
      </c>
      <c r="D2015">
        <v>5</v>
      </c>
      <c r="E2015">
        <v>49.41</v>
      </c>
      <c r="F2015">
        <v>49.41</v>
      </c>
      <c r="G2015">
        <v>0</v>
      </c>
      <c r="H2015" s="2">
        <v>0</v>
      </c>
      <c r="I2015">
        <v>0</v>
      </c>
      <c r="J2015">
        <v>247.05</v>
      </c>
      <c r="K2015" s="1">
        <v>45782</v>
      </c>
      <c r="L2015" t="s">
        <v>15</v>
      </c>
      <c r="M2015" t="s">
        <v>15</v>
      </c>
      <c r="N2015">
        <f>salesitems[[#This Row],[quantity]]*salesitems[[#This Row],[unit_price]]</f>
        <v>247.04999999999998</v>
      </c>
      <c r="O2015" t="str">
        <f>_xlfn.XLOOKUP(salesitems[[#This Row],[product_id]],products[product_id],products[product_name])</f>
        <v>Polished Cotton Dress</v>
      </c>
      <c r="P2015" t="str">
        <f>_xlfn.XLOOKUP(salesitems[[#This Row],[product_id]],fashion_store_products!A:A,fashion_store_products!C:C)</f>
        <v>Dresses</v>
      </c>
    </row>
    <row r="2016" spans="1:16" x14ac:dyDescent="0.45">
      <c r="A2016">
        <v>2711</v>
      </c>
      <c r="B2016">
        <v>226</v>
      </c>
      <c r="C2016">
        <v>190</v>
      </c>
      <c r="D2016">
        <v>5</v>
      </c>
      <c r="E2016">
        <v>49.41</v>
      </c>
      <c r="F2016">
        <v>49.41</v>
      </c>
      <c r="G2016">
        <v>0</v>
      </c>
      <c r="H2016" s="2">
        <v>0</v>
      </c>
      <c r="I2016">
        <v>0</v>
      </c>
      <c r="J2016">
        <v>247.05</v>
      </c>
      <c r="K2016" s="1">
        <v>45770</v>
      </c>
      <c r="L2016" t="s">
        <v>15</v>
      </c>
      <c r="M2016" t="s">
        <v>15</v>
      </c>
      <c r="N2016">
        <f>salesitems[[#This Row],[quantity]]*salesitems[[#This Row],[unit_price]]</f>
        <v>247.04999999999998</v>
      </c>
      <c r="O2016" t="str">
        <f>_xlfn.XLOOKUP(salesitems[[#This Row],[product_id]],products[product_id],products[product_name])</f>
        <v>Polished Cotton Dress</v>
      </c>
      <c r="P2016" t="str">
        <f>_xlfn.XLOOKUP(salesitems[[#This Row],[product_id]],fashion_store_products!A:A,fashion_store_products!C:C)</f>
        <v>Dresses</v>
      </c>
    </row>
    <row r="2017" spans="1:16" x14ac:dyDescent="0.45">
      <c r="A2017">
        <v>552</v>
      </c>
      <c r="B2017">
        <v>211</v>
      </c>
      <c r="C2017">
        <v>389</v>
      </c>
      <c r="D2017">
        <v>5</v>
      </c>
      <c r="E2017">
        <v>54.76</v>
      </c>
      <c r="F2017">
        <v>49.28</v>
      </c>
      <c r="G2017">
        <v>5.48</v>
      </c>
      <c r="H2017" s="2">
        <v>0.1</v>
      </c>
      <c r="I2017">
        <v>1</v>
      </c>
      <c r="J2017">
        <v>246.42</v>
      </c>
      <c r="K2017" s="1">
        <v>45813</v>
      </c>
      <c r="L2017" t="s">
        <v>21</v>
      </c>
      <c r="M2017" t="s">
        <v>18</v>
      </c>
      <c r="N2017">
        <f>salesitems[[#This Row],[quantity]]*salesitems[[#This Row],[unit_price]]</f>
        <v>246.4</v>
      </c>
      <c r="O2017" t="str">
        <f>_xlfn.XLOOKUP(salesitems[[#This Row],[product_id]],products[product_id],products[product_name])</f>
        <v>Tailored Boxy Set</v>
      </c>
      <c r="P2017" t="str">
        <f>_xlfn.XLOOKUP(salesitems[[#This Row],[product_id]],fashion_store_products!A:A,fashion_store_products!C:C)</f>
        <v>Sleepwear</v>
      </c>
    </row>
    <row r="2018" spans="1:16" x14ac:dyDescent="0.45">
      <c r="A2018">
        <v>1606</v>
      </c>
      <c r="B2018">
        <v>181</v>
      </c>
      <c r="C2018">
        <v>301</v>
      </c>
      <c r="D2018">
        <v>5</v>
      </c>
      <c r="E2018">
        <v>48.72</v>
      </c>
      <c r="F2018">
        <v>48.72</v>
      </c>
      <c r="G2018">
        <v>0</v>
      </c>
      <c r="H2018" s="2">
        <v>0</v>
      </c>
      <c r="I2018">
        <v>0</v>
      </c>
      <c r="J2018">
        <v>243.6</v>
      </c>
      <c r="K2018" s="1">
        <v>45813</v>
      </c>
      <c r="L2018" t="s">
        <v>15</v>
      </c>
      <c r="M2018" t="s">
        <v>15</v>
      </c>
      <c r="N2018">
        <f>salesitems[[#This Row],[quantity]]*salesitems[[#This Row],[unit_price]]</f>
        <v>243.6</v>
      </c>
      <c r="O2018" t="str">
        <f>_xlfn.XLOOKUP(salesitems[[#This Row],[product_id]],products[product_id],products[product_name])</f>
        <v>Essential Linen Dress</v>
      </c>
      <c r="P2018" t="str">
        <f>_xlfn.XLOOKUP(salesitems[[#This Row],[product_id]],fashion_store_products!A:A,fashion_store_products!C:C)</f>
        <v>Dresses</v>
      </c>
    </row>
    <row r="2019" spans="1:16" x14ac:dyDescent="0.45">
      <c r="A2019">
        <v>727</v>
      </c>
      <c r="B2019">
        <v>902</v>
      </c>
      <c r="C2019">
        <v>460</v>
      </c>
      <c r="D2019">
        <v>5</v>
      </c>
      <c r="E2019">
        <v>48.64</v>
      </c>
      <c r="F2019">
        <v>48.64</v>
      </c>
      <c r="G2019">
        <v>0</v>
      </c>
      <c r="H2019" s="2">
        <v>0</v>
      </c>
      <c r="I2019">
        <v>0</v>
      </c>
      <c r="J2019">
        <v>243.2</v>
      </c>
      <c r="K2019" s="1">
        <v>45806</v>
      </c>
      <c r="L2019" t="s">
        <v>15</v>
      </c>
      <c r="M2019" t="s">
        <v>15</v>
      </c>
      <c r="N2019">
        <f>salesitems[[#This Row],[quantity]]*salesitems[[#This Row],[unit_price]]</f>
        <v>243.2</v>
      </c>
      <c r="O2019" t="str">
        <f>_xlfn.XLOOKUP(salesitems[[#This Row],[product_id]],products[product_id],products[product_name])</f>
        <v>Bold Sleeveless Tee</v>
      </c>
      <c r="P2019" t="str">
        <f>_xlfn.XLOOKUP(salesitems[[#This Row],[product_id]],fashion_store_products!A:A,fashion_store_products!C:C)</f>
        <v>T-Shirts</v>
      </c>
    </row>
    <row r="2020" spans="1:16" x14ac:dyDescent="0.45">
      <c r="A2020">
        <v>175</v>
      </c>
      <c r="B2020">
        <v>179</v>
      </c>
      <c r="C2020">
        <v>274</v>
      </c>
      <c r="D2020">
        <v>5</v>
      </c>
      <c r="E2020">
        <v>48.38</v>
      </c>
      <c r="F2020">
        <v>48.38</v>
      </c>
      <c r="G2020">
        <v>0</v>
      </c>
      <c r="H2020" s="2">
        <v>0</v>
      </c>
      <c r="I2020">
        <v>0</v>
      </c>
      <c r="J2020">
        <v>241.9</v>
      </c>
      <c r="K2020" s="1">
        <v>45806</v>
      </c>
      <c r="L2020" t="s">
        <v>15</v>
      </c>
      <c r="M2020" t="s">
        <v>15</v>
      </c>
      <c r="N2020">
        <f>salesitems[[#This Row],[quantity]]*salesitems[[#This Row],[unit_price]]</f>
        <v>241.9</v>
      </c>
      <c r="O2020" t="str">
        <f>_xlfn.XLOOKUP(salesitems[[#This Row],[product_id]],products[product_id],products[product_name])</f>
        <v>Relaxed Wrap Set</v>
      </c>
      <c r="P2020" t="str">
        <f>_xlfn.XLOOKUP(salesitems[[#This Row],[product_id]],fashion_store_products!A:A,fashion_store_products!C:C)</f>
        <v>Sleepwear</v>
      </c>
    </row>
    <row r="2021" spans="1:16" x14ac:dyDescent="0.45">
      <c r="A2021">
        <v>152</v>
      </c>
      <c r="B2021">
        <v>541</v>
      </c>
      <c r="C2021">
        <v>34</v>
      </c>
      <c r="D2021">
        <v>5</v>
      </c>
      <c r="E2021">
        <v>48.34</v>
      </c>
      <c r="F2021">
        <v>48.34</v>
      </c>
      <c r="G2021">
        <v>0</v>
      </c>
      <c r="H2021" s="2">
        <v>0</v>
      </c>
      <c r="I2021">
        <v>0</v>
      </c>
      <c r="J2021">
        <v>241.7</v>
      </c>
      <c r="K2021" s="1">
        <v>45774</v>
      </c>
      <c r="L2021" t="s">
        <v>15</v>
      </c>
      <c r="M2021" t="s">
        <v>15</v>
      </c>
      <c r="N2021">
        <f>salesitems[[#This Row],[quantity]]*salesitems[[#This Row],[unit_price]]</f>
        <v>241.70000000000002</v>
      </c>
      <c r="O2021" t="str">
        <f>_xlfn.XLOOKUP(salesitems[[#This Row],[product_id]],products[product_id],products[product_name])</f>
        <v>Modern Linen Dress</v>
      </c>
      <c r="P2021" t="str">
        <f>_xlfn.XLOOKUP(salesitems[[#This Row],[product_id]],fashion_store_products!A:A,fashion_store_products!C:C)</f>
        <v>Dresses</v>
      </c>
    </row>
    <row r="2022" spans="1:16" x14ac:dyDescent="0.45">
      <c r="A2022">
        <v>2860</v>
      </c>
      <c r="B2022">
        <v>627</v>
      </c>
      <c r="C2022">
        <v>34</v>
      </c>
      <c r="D2022">
        <v>5</v>
      </c>
      <c r="E2022">
        <v>48.34</v>
      </c>
      <c r="F2022">
        <v>48.34</v>
      </c>
      <c r="G2022">
        <v>0</v>
      </c>
      <c r="H2022" s="2">
        <v>0</v>
      </c>
      <c r="I2022">
        <v>0</v>
      </c>
      <c r="J2022">
        <v>241.7</v>
      </c>
      <c r="K2022" s="1">
        <v>45800</v>
      </c>
      <c r="L2022" t="s">
        <v>15</v>
      </c>
      <c r="M2022" t="s">
        <v>15</v>
      </c>
      <c r="N2022">
        <f>salesitems[[#This Row],[quantity]]*salesitems[[#This Row],[unit_price]]</f>
        <v>241.70000000000002</v>
      </c>
      <c r="O2022" t="str">
        <f>_xlfn.XLOOKUP(salesitems[[#This Row],[product_id]],products[product_id],products[product_name])</f>
        <v>Modern Linen Dress</v>
      </c>
      <c r="P2022" t="str">
        <f>_xlfn.XLOOKUP(salesitems[[#This Row],[product_id]],fashion_store_products!A:A,fashion_store_products!C:C)</f>
        <v>Dresses</v>
      </c>
    </row>
    <row r="2023" spans="1:16" x14ac:dyDescent="0.45">
      <c r="A2023">
        <v>990</v>
      </c>
      <c r="B2023">
        <v>467</v>
      </c>
      <c r="C2023">
        <v>230</v>
      </c>
      <c r="D2023">
        <v>5</v>
      </c>
      <c r="E2023">
        <v>48.3</v>
      </c>
      <c r="F2023">
        <v>48.3</v>
      </c>
      <c r="G2023">
        <v>0</v>
      </c>
      <c r="H2023" s="2">
        <v>0</v>
      </c>
      <c r="I2023">
        <v>0</v>
      </c>
      <c r="J2023">
        <v>241.5</v>
      </c>
      <c r="K2023" s="1">
        <v>45767</v>
      </c>
      <c r="L2023" t="s">
        <v>15</v>
      </c>
      <c r="M2023" t="s">
        <v>15</v>
      </c>
      <c r="N2023">
        <f>salesitems[[#This Row],[quantity]]*salesitems[[#This Row],[unit_price]]</f>
        <v>241.5</v>
      </c>
      <c r="O2023" t="str">
        <f>_xlfn.XLOOKUP(salesitems[[#This Row],[product_id]],products[product_id],products[product_name])</f>
        <v>Polished Ribbed Set</v>
      </c>
      <c r="P2023" t="str">
        <f>_xlfn.XLOOKUP(salesitems[[#This Row],[product_id]],fashion_store_products!A:A,fashion_store_products!C:C)</f>
        <v>Sleepwear</v>
      </c>
    </row>
    <row r="2024" spans="1:16" x14ac:dyDescent="0.45">
      <c r="A2024">
        <v>3317</v>
      </c>
      <c r="B2024">
        <v>333</v>
      </c>
      <c r="C2024">
        <v>230</v>
      </c>
      <c r="D2024">
        <v>5</v>
      </c>
      <c r="E2024">
        <v>48.3</v>
      </c>
      <c r="F2024">
        <v>48.3</v>
      </c>
      <c r="G2024">
        <v>0</v>
      </c>
      <c r="H2024" s="2">
        <v>0</v>
      </c>
      <c r="I2024">
        <v>0</v>
      </c>
      <c r="J2024">
        <v>241.5</v>
      </c>
      <c r="K2024" s="1">
        <v>45799</v>
      </c>
      <c r="L2024" t="s">
        <v>21</v>
      </c>
      <c r="M2024" t="s">
        <v>18</v>
      </c>
      <c r="N2024">
        <f>salesitems[[#This Row],[quantity]]*salesitems[[#This Row],[unit_price]]</f>
        <v>241.5</v>
      </c>
      <c r="O2024" t="str">
        <f>_xlfn.XLOOKUP(salesitems[[#This Row],[product_id]],products[product_id],products[product_name])</f>
        <v>Polished Ribbed Set</v>
      </c>
      <c r="P2024" t="str">
        <f>_xlfn.XLOOKUP(salesitems[[#This Row],[product_id]],fashion_store_products!A:A,fashion_store_products!C:C)</f>
        <v>Sleepwear</v>
      </c>
    </row>
    <row r="2025" spans="1:16" x14ac:dyDescent="0.45">
      <c r="A2025">
        <v>3313</v>
      </c>
      <c r="B2025">
        <v>240</v>
      </c>
      <c r="C2025">
        <v>189</v>
      </c>
      <c r="D2025">
        <v>5</v>
      </c>
      <c r="E2025">
        <v>48.12</v>
      </c>
      <c r="F2025">
        <v>48.12</v>
      </c>
      <c r="G2025">
        <v>0</v>
      </c>
      <c r="H2025" s="2">
        <v>0</v>
      </c>
      <c r="I2025">
        <v>0</v>
      </c>
      <c r="J2025">
        <v>240.6</v>
      </c>
      <c r="K2025" s="1">
        <v>45808</v>
      </c>
      <c r="L2025" t="s">
        <v>15</v>
      </c>
      <c r="M2025" t="s">
        <v>15</v>
      </c>
      <c r="N2025">
        <f>salesitems[[#This Row],[quantity]]*salesitems[[#This Row],[unit_price]]</f>
        <v>240.6</v>
      </c>
      <c r="O2025" t="str">
        <f>_xlfn.XLOOKUP(salesitems[[#This Row],[product_id]],products[product_id],products[product_name])</f>
        <v>Vintage Crew Set</v>
      </c>
      <c r="P2025" t="str">
        <f>_xlfn.XLOOKUP(salesitems[[#This Row],[product_id]],fashion_store_products!A:A,fashion_store_products!C:C)</f>
        <v>Sleepwear</v>
      </c>
    </row>
    <row r="2026" spans="1:16" x14ac:dyDescent="0.45">
      <c r="A2026">
        <v>803</v>
      </c>
      <c r="B2026">
        <v>164</v>
      </c>
      <c r="C2026">
        <v>455</v>
      </c>
      <c r="D2026">
        <v>5</v>
      </c>
      <c r="E2026">
        <v>48.03</v>
      </c>
      <c r="F2026">
        <v>48.03</v>
      </c>
      <c r="G2026">
        <v>0</v>
      </c>
      <c r="H2026" s="2">
        <v>0</v>
      </c>
      <c r="I2026">
        <v>0</v>
      </c>
      <c r="J2026">
        <v>240.15</v>
      </c>
      <c r="K2026" s="1">
        <v>45764</v>
      </c>
      <c r="L2026" t="s">
        <v>15</v>
      </c>
      <c r="M2026" t="s">
        <v>15</v>
      </c>
      <c r="N2026">
        <f>salesitems[[#This Row],[quantity]]*salesitems[[#This Row],[unit_price]]</f>
        <v>240.15</v>
      </c>
      <c r="O2026" t="str">
        <f>_xlfn.XLOOKUP(salesitems[[#This Row],[product_id]],products[product_id],products[product_name])</f>
        <v>Tailored Ribbed Trousers</v>
      </c>
      <c r="P2026" t="str">
        <f>_xlfn.XLOOKUP(salesitems[[#This Row],[product_id]],fashion_store_products!A:A,fashion_store_products!C:C)</f>
        <v>Pants</v>
      </c>
    </row>
    <row r="2027" spans="1:16" x14ac:dyDescent="0.45">
      <c r="A2027">
        <v>2903</v>
      </c>
      <c r="B2027">
        <v>1247</v>
      </c>
      <c r="C2027">
        <v>121</v>
      </c>
      <c r="D2027">
        <v>5</v>
      </c>
      <c r="E2027">
        <v>47.91</v>
      </c>
      <c r="F2027">
        <v>47.91</v>
      </c>
      <c r="G2027">
        <v>0</v>
      </c>
      <c r="H2027" s="2">
        <v>0</v>
      </c>
      <c r="I2027">
        <v>0</v>
      </c>
      <c r="J2027">
        <v>239.55</v>
      </c>
      <c r="K2027" s="1">
        <v>45768</v>
      </c>
      <c r="L2027" t="s">
        <v>21</v>
      </c>
      <c r="M2027" t="s">
        <v>18</v>
      </c>
      <c r="N2027">
        <f>salesitems[[#This Row],[quantity]]*salesitems[[#This Row],[unit_price]]</f>
        <v>239.54999999999998</v>
      </c>
      <c r="O2027" t="str">
        <f>_xlfn.XLOOKUP(salesitems[[#This Row],[product_id]],products[product_id],products[product_name])</f>
        <v>Classic Cotton Shoes</v>
      </c>
      <c r="P2027" t="str">
        <f>_xlfn.XLOOKUP(salesitems[[#This Row],[product_id]],fashion_store_products!A:A,fashion_store_products!C:C)</f>
        <v>Shoes</v>
      </c>
    </row>
    <row r="2028" spans="1:16" x14ac:dyDescent="0.45">
      <c r="A2028">
        <v>769</v>
      </c>
      <c r="B2028">
        <v>273</v>
      </c>
      <c r="C2028">
        <v>409</v>
      </c>
      <c r="D2028">
        <v>5</v>
      </c>
      <c r="E2028">
        <v>47.84</v>
      </c>
      <c r="F2028">
        <v>47.84</v>
      </c>
      <c r="G2028">
        <v>0</v>
      </c>
      <c r="H2028" s="2">
        <v>0</v>
      </c>
      <c r="I2028">
        <v>0</v>
      </c>
      <c r="J2028">
        <v>239.2</v>
      </c>
      <c r="K2028" s="1">
        <v>45824</v>
      </c>
      <c r="L2028" t="s">
        <v>15</v>
      </c>
      <c r="M2028" t="s">
        <v>15</v>
      </c>
      <c r="N2028">
        <f>salesitems[[#This Row],[quantity]]*salesitems[[#This Row],[unit_price]]</f>
        <v>239.20000000000002</v>
      </c>
      <c r="O2028" t="str">
        <f>_xlfn.XLOOKUP(salesitems[[#This Row],[product_id]],products[product_id],products[product_name])</f>
        <v>Elegant Ribbed Shoes</v>
      </c>
      <c r="P2028" t="str">
        <f>_xlfn.XLOOKUP(salesitems[[#This Row],[product_id]],fashion_store_products!A:A,fashion_store_products!C:C)</f>
        <v>Shoes</v>
      </c>
    </row>
    <row r="2029" spans="1:16" x14ac:dyDescent="0.45">
      <c r="A2029">
        <v>1117</v>
      </c>
      <c r="B2029">
        <v>594</v>
      </c>
      <c r="C2029">
        <v>409</v>
      </c>
      <c r="D2029">
        <v>5</v>
      </c>
      <c r="E2029">
        <v>47.84</v>
      </c>
      <c r="F2029">
        <v>47.84</v>
      </c>
      <c r="G2029">
        <v>0</v>
      </c>
      <c r="H2029" s="2">
        <v>0</v>
      </c>
      <c r="I2029">
        <v>0</v>
      </c>
      <c r="J2029">
        <v>239.2</v>
      </c>
      <c r="K2029" s="1">
        <v>45807</v>
      </c>
      <c r="L2029" t="s">
        <v>15</v>
      </c>
      <c r="M2029" t="s">
        <v>15</v>
      </c>
      <c r="N2029">
        <f>salesitems[[#This Row],[quantity]]*salesitems[[#This Row],[unit_price]]</f>
        <v>239.20000000000002</v>
      </c>
      <c r="O2029" t="str">
        <f>_xlfn.XLOOKUP(salesitems[[#This Row],[product_id]],products[product_id],products[product_name])</f>
        <v>Elegant Ribbed Shoes</v>
      </c>
      <c r="P2029" t="str">
        <f>_xlfn.XLOOKUP(salesitems[[#This Row],[product_id]],fashion_store_products!A:A,fashion_store_products!C:C)</f>
        <v>Shoes</v>
      </c>
    </row>
    <row r="2030" spans="1:16" x14ac:dyDescent="0.45">
      <c r="A2030">
        <v>2179</v>
      </c>
      <c r="B2030">
        <v>234</v>
      </c>
      <c r="C2030">
        <v>409</v>
      </c>
      <c r="D2030">
        <v>5</v>
      </c>
      <c r="E2030">
        <v>47.84</v>
      </c>
      <c r="F2030">
        <v>47.84</v>
      </c>
      <c r="G2030">
        <v>0</v>
      </c>
      <c r="H2030" s="2">
        <v>0</v>
      </c>
      <c r="I2030">
        <v>0</v>
      </c>
      <c r="J2030">
        <v>239.2</v>
      </c>
      <c r="K2030" s="1">
        <v>45797</v>
      </c>
      <c r="L2030" t="s">
        <v>15</v>
      </c>
      <c r="M2030" t="s">
        <v>15</v>
      </c>
      <c r="N2030">
        <f>salesitems[[#This Row],[quantity]]*salesitems[[#This Row],[unit_price]]</f>
        <v>239.20000000000002</v>
      </c>
      <c r="O2030" t="str">
        <f>_xlfn.XLOOKUP(salesitems[[#This Row],[product_id]],products[product_id],products[product_name])</f>
        <v>Elegant Ribbed Shoes</v>
      </c>
      <c r="P2030" t="str">
        <f>_xlfn.XLOOKUP(salesitems[[#This Row],[product_id]],fashion_store_products!A:A,fashion_store_products!C:C)</f>
        <v>Shoes</v>
      </c>
    </row>
    <row r="2031" spans="1:16" x14ac:dyDescent="0.45">
      <c r="A2031">
        <v>2988</v>
      </c>
      <c r="B2031">
        <v>130</v>
      </c>
      <c r="C2031">
        <v>185</v>
      </c>
      <c r="D2031">
        <v>5</v>
      </c>
      <c r="E2031">
        <v>47.73</v>
      </c>
      <c r="F2031">
        <v>47.73</v>
      </c>
      <c r="G2031">
        <v>0</v>
      </c>
      <c r="H2031" s="2">
        <v>0</v>
      </c>
      <c r="I2031">
        <v>0</v>
      </c>
      <c r="J2031">
        <v>238.65</v>
      </c>
      <c r="K2031" s="1">
        <v>45781</v>
      </c>
      <c r="L2031" t="s">
        <v>15</v>
      </c>
      <c r="M2031" t="s">
        <v>15</v>
      </c>
      <c r="N2031">
        <f>salesitems[[#This Row],[quantity]]*salesitems[[#This Row],[unit_price]]</f>
        <v>238.64999999999998</v>
      </c>
      <c r="O2031" t="str">
        <f>_xlfn.XLOOKUP(salesitems[[#This Row],[product_id]],products[product_id],products[product_name])</f>
        <v>Vintage Linen Trousers</v>
      </c>
      <c r="P2031" t="str">
        <f>_xlfn.XLOOKUP(salesitems[[#This Row],[product_id]],fashion_store_products!A:A,fashion_store_products!C:C)</f>
        <v>Pants</v>
      </c>
    </row>
    <row r="2032" spans="1:16" x14ac:dyDescent="0.45">
      <c r="A2032">
        <v>948</v>
      </c>
      <c r="B2032">
        <v>305</v>
      </c>
      <c r="C2032">
        <v>447</v>
      </c>
      <c r="D2032">
        <v>5</v>
      </c>
      <c r="E2032">
        <v>47.66</v>
      </c>
      <c r="F2032">
        <v>47.66</v>
      </c>
      <c r="G2032">
        <v>0</v>
      </c>
      <c r="H2032" s="2">
        <v>0</v>
      </c>
      <c r="I2032">
        <v>0</v>
      </c>
      <c r="J2032">
        <v>238.3</v>
      </c>
      <c r="K2032" s="1">
        <v>45775</v>
      </c>
      <c r="L2032" t="s">
        <v>21</v>
      </c>
      <c r="M2032" t="s">
        <v>18</v>
      </c>
      <c r="N2032">
        <f>salesitems[[#This Row],[quantity]]*salesitems[[#This Row],[unit_price]]</f>
        <v>238.29999999999998</v>
      </c>
      <c r="O2032" t="str">
        <f>_xlfn.XLOOKUP(salesitems[[#This Row],[product_id]],products[product_id],products[product_name])</f>
        <v>Bold Satin Dress</v>
      </c>
      <c r="P2032" t="str">
        <f>_xlfn.XLOOKUP(salesitems[[#This Row],[product_id]],fashion_store_products!A:A,fashion_store_products!C:C)</f>
        <v>Dresses</v>
      </c>
    </row>
    <row r="2033" spans="1:16" x14ac:dyDescent="0.45">
      <c r="A2033">
        <v>2603</v>
      </c>
      <c r="B2033">
        <v>1330</v>
      </c>
      <c r="C2033">
        <v>447</v>
      </c>
      <c r="D2033">
        <v>5</v>
      </c>
      <c r="E2033">
        <v>47.66</v>
      </c>
      <c r="F2033">
        <v>47.66</v>
      </c>
      <c r="G2033">
        <v>0</v>
      </c>
      <c r="H2033" s="2">
        <v>0</v>
      </c>
      <c r="I2033">
        <v>0</v>
      </c>
      <c r="J2033">
        <v>238.3</v>
      </c>
      <c r="K2033" s="1">
        <v>45751</v>
      </c>
      <c r="L2033" t="s">
        <v>15</v>
      </c>
      <c r="M2033" t="s">
        <v>15</v>
      </c>
      <c r="N2033">
        <f>salesitems[[#This Row],[quantity]]*salesitems[[#This Row],[unit_price]]</f>
        <v>238.29999999999998</v>
      </c>
      <c r="O2033" t="str">
        <f>_xlfn.XLOOKUP(salesitems[[#This Row],[product_id]],products[product_id],products[product_name])</f>
        <v>Bold Satin Dress</v>
      </c>
      <c r="P2033" t="str">
        <f>_xlfn.XLOOKUP(salesitems[[#This Row],[product_id]],fashion_store_products!A:A,fashion_store_products!C:C)</f>
        <v>Dresses</v>
      </c>
    </row>
    <row r="2034" spans="1:16" x14ac:dyDescent="0.45">
      <c r="A2034">
        <v>297</v>
      </c>
      <c r="B2034">
        <v>518</v>
      </c>
      <c r="C2034">
        <v>482</v>
      </c>
      <c r="D2034">
        <v>5</v>
      </c>
      <c r="E2034">
        <v>47.59</v>
      </c>
      <c r="F2034">
        <v>47.59</v>
      </c>
      <c r="G2034">
        <v>0</v>
      </c>
      <c r="H2034" s="2">
        <v>0</v>
      </c>
      <c r="I2034">
        <v>0</v>
      </c>
      <c r="J2034">
        <v>237.95</v>
      </c>
      <c r="K2034" s="1">
        <v>45752</v>
      </c>
      <c r="L2034" t="s">
        <v>21</v>
      </c>
      <c r="M2034" t="s">
        <v>18</v>
      </c>
      <c r="N2034">
        <f>salesitems[[#This Row],[quantity]]*salesitems[[#This Row],[unit_price]]</f>
        <v>237.95000000000002</v>
      </c>
      <c r="O2034" t="str">
        <f>_xlfn.XLOOKUP(salesitems[[#This Row],[product_id]],products[product_id],products[product_name])</f>
        <v>Dresses Drop 6</v>
      </c>
      <c r="P2034" t="str">
        <f>_xlfn.XLOOKUP(salesitems[[#This Row],[product_id]],fashion_store_products!A:A,fashion_store_products!C:C)</f>
        <v>Dresses</v>
      </c>
    </row>
    <row r="2035" spans="1:16" x14ac:dyDescent="0.45">
      <c r="A2035">
        <v>3021</v>
      </c>
      <c r="B2035">
        <v>903</v>
      </c>
      <c r="C2035">
        <v>482</v>
      </c>
      <c r="D2035">
        <v>5</v>
      </c>
      <c r="E2035">
        <v>47.59</v>
      </c>
      <c r="F2035">
        <v>47.59</v>
      </c>
      <c r="G2035">
        <v>0</v>
      </c>
      <c r="H2035" s="2">
        <v>0</v>
      </c>
      <c r="I2035">
        <v>0</v>
      </c>
      <c r="J2035">
        <v>237.95</v>
      </c>
      <c r="K2035" s="1">
        <v>45766</v>
      </c>
      <c r="L2035" t="s">
        <v>15</v>
      </c>
      <c r="M2035" t="s">
        <v>15</v>
      </c>
      <c r="N2035">
        <f>salesitems[[#This Row],[quantity]]*salesitems[[#This Row],[unit_price]]</f>
        <v>237.95000000000002</v>
      </c>
      <c r="O2035" t="str">
        <f>_xlfn.XLOOKUP(salesitems[[#This Row],[product_id]],products[product_id],products[product_name])</f>
        <v>Dresses Drop 6</v>
      </c>
      <c r="P2035" t="str">
        <f>_xlfn.XLOOKUP(salesitems[[#This Row],[product_id]],fashion_store_products!A:A,fashion_store_products!C:C)</f>
        <v>Dresses</v>
      </c>
    </row>
    <row r="2036" spans="1:16" x14ac:dyDescent="0.45">
      <c r="A2036">
        <v>773</v>
      </c>
      <c r="B2036">
        <v>527</v>
      </c>
      <c r="C2036">
        <v>410</v>
      </c>
      <c r="D2036">
        <v>5</v>
      </c>
      <c r="E2036">
        <v>47.47</v>
      </c>
      <c r="F2036">
        <v>47.47</v>
      </c>
      <c r="G2036">
        <v>0</v>
      </c>
      <c r="H2036" s="2">
        <v>0</v>
      </c>
      <c r="I2036">
        <v>0</v>
      </c>
      <c r="J2036">
        <v>237.35</v>
      </c>
      <c r="K2036" s="1">
        <v>45805</v>
      </c>
      <c r="L2036" t="s">
        <v>21</v>
      </c>
      <c r="M2036" t="s">
        <v>18</v>
      </c>
      <c r="N2036">
        <f>salesitems[[#This Row],[quantity]]*salesitems[[#This Row],[unit_price]]</f>
        <v>237.35</v>
      </c>
      <c r="O2036" t="str">
        <f>_xlfn.XLOOKUP(salesitems[[#This Row],[product_id]],products[product_id],products[product_name])</f>
        <v>Elegant Satin Set</v>
      </c>
      <c r="P2036" t="str">
        <f>_xlfn.XLOOKUP(salesitems[[#This Row],[product_id]],fashion_store_products!A:A,fashion_store_products!C:C)</f>
        <v>Sleepwear</v>
      </c>
    </row>
    <row r="2037" spans="1:16" x14ac:dyDescent="0.45">
      <c r="A2037">
        <v>1469</v>
      </c>
      <c r="B2037">
        <v>1045</v>
      </c>
      <c r="C2037">
        <v>410</v>
      </c>
      <c r="D2037">
        <v>5</v>
      </c>
      <c r="E2037">
        <v>47.47</v>
      </c>
      <c r="F2037">
        <v>47.47</v>
      </c>
      <c r="G2037">
        <v>0</v>
      </c>
      <c r="H2037" s="2">
        <v>0</v>
      </c>
      <c r="I2037">
        <v>0</v>
      </c>
      <c r="J2037">
        <v>237.35</v>
      </c>
      <c r="K2037" s="1">
        <v>45791</v>
      </c>
      <c r="L2037" t="s">
        <v>21</v>
      </c>
      <c r="M2037" t="s">
        <v>18</v>
      </c>
      <c r="N2037">
        <f>salesitems[[#This Row],[quantity]]*salesitems[[#This Row],[unit_price]]</f>
        <v>237.35</v>
      </c>
      <c r="O2037" t="str">
        <f>_xlfn.XLOOKUP(salesitems[[#This Row],[product_id]],products[product_id],products[product_name])</f>
        <v>Elegant Satin Set</v>
      </c>
      <c r="P2037" t="str">
        <f>_xlfn.XLOOKUP(salesitems[[#This Row],[product_id]],fashion_store_products!A:A,fashion_store_products!C:C)</f>
        <v>Sleepwear</v>
      </c>
    </row>
    <row r="2038" spans="1:16" x14ac:dyDescent="0.45">
      <c r="A2038">
        <v>2072</v>
      </c>
      <c r="B2038">
        <v>515</v>
      </c>
      <c r="C2038">
        <v>410</v>
      </c>
      <c r="D2038">
        <v>5</v>
      </c>
      <c r="E2038">
        <v>47.47</v>
      </c>
      <c r="F2038">
        <v>47.47</v>
      </c>
      <c r="G2038">
        <v>0</v>
      </c>
      <c r="H2038" s="2">
        <v>0</v>
      </c>
      <c r="I2038">
        <v>0</v>
      </c>
      <c r="J2038">
        <v>237.35</v>
      </c>
      <c r="K2038" s="1">
        <v>45797</v>
      </c>
      <c r="L2038" t="s">
        <v>21</v>
      </c>
      <c r="M2038" t="s">
        <v>18</v>
      </c>
      <c r="N2038">
        <f>salesitems[[#This Row],[quantity]]*salesitems[[#This Row],[unit_price]]</f>
        <v>237.35</v>
      </c>
      <c r="O2038" t="str">
        <f>_xlfn.XLOOKUP(salesitems[[#This Row],[product_id]],products[product_id],products[product_name])</f>
        <v>Elegant Satin Set</v>
      </c>
      <c r="P2038" t="str">
        <f>_xlfn.XLOOKUP(salesitems[[#This Row],[product_id]],fashion_store_products!A:A,fashion_store_products!C:C)</f>
        <v>Sleepwear</v>
      </c>
    </row>
    <row r="2039" spans="1:16" x14ac:dyDescent="0.45">
      <c r="A2039">
        <v>1811</v>
      </c>
      <c r="B2039">
        <v>1148</v>
      </c>
      <c r="C2039">
        <v>365</v>
      </c>
      <c r="D2039">
        <v>5</v>
      </c>
      <c r="E2039">
        <v>67.760000000000005</v>
      </c>
      <c r="F2039">
        <v>47.43</v>
      </c>
      <c r="G2039">
        <v>20.329999999999998</v>
      </c>
      <c r="H2039" s="2">
        <v>0.3</v>
      </c>
      <c r="I2039">
        <v>1</v>
      </c>
      <c r="J2039">
        <v>237.16</v>
      </c>
      <c r="K2039" s="1">
        <v>45790</v>
      </c>
      <c r="L2039" t="s">
        <v>15</v>
      </c>
      <c r="M2039" t="s">
        <v>15</v>
      </c>
      <c r="N2039">
        <f>salesitems[[#This Row],[quantity]]*salesitems[[#This Row],[unit_price]]</f>
        <v>237.15</v>
      </c>
      <c r="O2039" t="str">
        <f>_xlfn.XLOOKUP(salesitems[[#This Row],[product_id]],products[product_id],products[product_name])</f>
        <v>Elegant Wrap Tee</v>
      </c>
      <c r="P2039" t="str">
        <f>_xlfn.XLOOKUP(salesitems[[#This Row],[product_id]],fashion_store_products!A:A,fashion_store_products!C:C)</f>
        <v>T-Shirts</v>
      </c>
    </row>
    <row r="2040" spans="1:16" x14ac:dyDescent="0.45">
      <c r="A2040">
        <v>1168</v>
      </c>
      <c r="B2040">
        <v>651</v>
      </c>
      <c r="C2040">
        <v>479</v>
      </c>
      <c r="D2040">
        <v>5</v>
      </c>
      <c r="E2040">
        <v>47.42</v>
      </c>
      <c r="F2040">
        <v>47.42</v>
      </c>
      <c r="G2040">
        <v>0</v>
      </c>
      <c r="H2040" s="2">
        <v>0</v>
      </c>
      <c r="I2040">
        <v>0</v>
      </c>
      <c r="J2040">
        <v>237.1</v>
      </c>
      <c r="K2040" s="1">
        <v>45763</v>
      </c>
      <c r="L2040" t="s">
        <v>21</v>
      </c>
      <c r="M2040" t="s">
        <v>18</v>
      </c>
      <c r="N2040">
        <f>salesitems[[#This Row],[quantity]]*salesitems[[#This Row],[unit_price]]</f>
        <v>237.10000000000002</v>
      </c>
      <c r="O2040" t="str">
        <f>_xlfn.XLOOKUP(salesitems[[#This Row],[product_id]],products[product_id],products[product_name])</f>
        <v>Dresses Drop 4</v>
      </c>
      <c r="P2040" t="str">
        <f>_xlfn.XLOOKUP(salesitems[[#This Row],[product_id]],fashion_store_products!A:A,fashion_store_products!C:C)</f>
        <v>Dresses</v>
      </c>
    </row>
    <row r="2041" spans="1:16" x14ac:dyDescent="0.45">
      <c r="A2041">
        <v>834</v>
      </c>
      <c r="B2041">
        <v>704</v>
      </c>
      <c r="C2041">
        <v>68</v>
      </c>
      <c r="D2041">
        <v>5</v>
      </c>
      <c r="E2041">
        <v>47.27</v>
      </c>
      <c r="F2041">
        <v>47.27</v>
      </c>
      <c r="G2041">
        <v>0</v>
      </c>
      <c r="H2041" s="2">
        <v>0</v>
      </c>
      <c r="I2041">
        <v>0</v>
      </c>
      <c r="J2041">
        <v>236.35</v>
      </c>
      <c r="K2041" s="1">
        <v>45795</v>
      </c>
      <c r="L2041" t="s">
        <v>21</v>
      </c>
      <c r="M2041" t="s">
        <v>18</v>
      </c>
      <c r="N2041">
        <f>salesitems[[#This Row],[quantity]]*salesitems[[#This Row],[unit_price]]</f>
        <v>236.35000000000002</v>
      </c>
      <c r="O2041" t="str">
        <f>_xlfn.XLOOKUP(salesitems[[#This Row],[product_id]],products[product_id],products[product_name])</f>
        <v>Soft High-Waist Set</v>
      </c>
      <c r="P2041" t="str">
        <f>_xlfn.XLOOKUP(salesitems[[#This Row],[product_id]],fashion_store_products!A:A,fashion_store_products!C:C)</f>
        <v>Sleepwear</v>
      </c>
    </row>
    <row r="2042" spans="1:16" x14ac:dyDescent="0.45">
      <c r="A2042">
        <v>701</v>
      </c>
      <c r="B2042">
        <v>890</v>
      </c>
      <c r="C2042">
        <v>118</v>
      </c>
      <c r="D2042">
        <v>5</v>
      </c>
      <c r="E2042">
        <v>46.99</v>
      </c>
      <c r="F2042">
        <v>46.99</v>
      </c>
      <c r="G2042">
        <v>0</v>
      </c>
      <c r="H2042" s="2">
        <v>0</v>
      </c>
      <c r="I2042">
        <v>0</v>
      </c>
      <c r="J2042">
        <v>234.95</v>
      </c>
      <c r="K2042" s="1">
        <v>45765</v>
      </c>
      <c r="L2042" t="s">
        <v>21</v>
      </c>
      <c r="M2042" t="s">
        <v>18</v>
      </c>
      <c r="N2042">
        <f>salesitems[[#This Row],[quantity]]*salesitems[[#This Row],[unit_price]]</f>
        <v>234.95000000000002</v>
      </c>
      <c r="O2042" t="str">
        <f>_xlfn.XLOOKUP(salesitems[[#This Row],[product_id]],products[product_id],products[product_name])</f>
        <v>Classic Silk Tee</v>
      </c>
      <c r="P2042" t="str">
        <f>_xlfn.XLOOKUP(salesitems[[#This Row],[product_id]],fashion_store_products!A:A,fashion_store_products!C:C)</f>
        <v>T-Shirts</v>
      </c>
    </row>
    <row r="2043" spans="1:16" x14ac:dyDescent="0.45">
      <c r="A2043">
        <v>2165</v>
      </c>
      <c r="B2043">
        <v>313</v>
      </c>
      <c r="C2043">
        <v>132</v>
      </c>
      <c r="D2043">
        <v>5</v>
      </c>
      <c r="E2043">
        <v>46.9</v>
      </c>
      <c r="F2043">
        <v>46.9</v>
      </c>
      <c r="G2043">
        <v>0</v>
      </c>
      <c r="H2043" s="2">
        <v>0</v>
      </c>
      <c r="I2043">
        <v>0</v>
      </c>
      <c r="J2043">
        <v>234.5</v>
      </c>
      <c r="K2043" s="1">
        <v>45814</v>
      </c>
      <c r="L2043" t="s">
        <v>15</v>
      </c>
      <c r="M2043" t="s">
        <v>15</v>
      </c>
      <c r="N2043">
        <f>salesitems[[#This Row],[quantity]]*salesitems[[#This Row],[unit_price]]</f>
        <v>234.5</v>
      </c>
      <c r="O2043" t="str">
        <f>_xlfn.XLOOKUP(salesitems[[#This Row],[product_id]],products[product_id],products[product_name])</f>
        <v>Classic Crew Shoes</v>
      </c>
      <c r="P2043" t="str">
        <f>_xlfn.XLOOKUP(salesitems[[#This Row],[product_id]],fashion_store_products!A:A,fashion_store_products!C:C)</f>
        <v>Shoes</v>
      </c>
    </row>
    <row r="2044" spans="1:16" x14ac:dyDescent="0.45">
      <c r="A2044">
        <v>3138</v>
      </c>
      <c r="B2044">
        <v>410</v>
      </c>
      <c r="C2044">
        <v>132</v>
      </c>
      <c r="D2044">
        <v>5</v>
      </c>
      <c r="E2044">
        <v>46.9</v>
      </c>
      <c r="F2044">
        <v>46.9</v>
      </c>
      <c r="G2044">
        <v>0</v>
      </c>
      <c r="H2044" s="2">
        <v>0</v>
      </c>
      <c r="I2044">
        <v>0</v>
      </c>
      <c r="J2044">
        <v>234.5</v>
      </c>
      <c r="K2044" s="1">
        <v>45800</v>
      </c>
      <c r="L2044" t="s">
        <v>21</v>
      </c>
      <c r="M2044" t="s">
        <v>18</v>
      </c>
      <c r="N2044">
        <f>salesitems[[#This Row],[quantity]]*salesitems[[#This Row],[unit_price]]</f>
        <v>234.5</v>
      </c>
      <c r="O2044" t="str">
        <f>_xlfn.XLOOKUP(salesitems[[#This Row],[product_id]],products[product_id],products[product_name])</f>
        <v>Classic Crew Shoes</v>
      </c>
      <c r="P2044" t="str">
        <f>_xlfn.XLOOKUP(salesitems[[#This Row],[product_id]],fashion_store_products!A:A,fashion_store_products!C:C)</f>
        <v>Shoes</v>
      </c>
    </row>
    <row r="2045" spans="1:16" x14ac:dyDescent="0.45">
      <c r="A2045">
        <v>3214</v>
      </c>
      <c r="B2045">
        <v>639</v>
      </c>
      <c r="C2045">
        <v>132</v>
      </c>
      <c r="D2045">
        <v>5</v>
      </c>
      <c r="E2045">
        <v>46.9</v>
      </c>
      <c r="F2045">
        <v>46.9</v>
      </c>
      <c r="G2045">
        <v>0</v>
      </c>
      <c r="H2045" s="2">
        <v>0</v>
      </c>
      <c r="I2045">
        <v>0</v>
      </c>
      <c r="J2045">
        <v>234.5</v>
      </c>
      <c r="K2045" s="1">
        <v>45769</v>
      </c>
      <c r="L2045" t="s">
        <v>21</v>
      </c>
      <c r="M2045" t="s">
        <v>18</v>
      </c>
      <c r="N2045">
        <f>salesitems[[#This Row],[quantity]]*salesitems[[#This Row],[unit_price]]</f>
        <v>234.5</v>
      </c>
      <c r="O2045" t="str">
        <f>_xlfn.XLOOKUP(salesitems[[#This Row],[product_id]],products[product_id],products[product_name])</f>
        <v>Classic Crew Shoes</v>
      </c>
      <c r="P2045" t="str">
        <f>_xlfn.XLOOKUP(salesitems[[#This Row],[product_id]],fashion_store_products!A:A,fashion_store_products!C:C)</f>
        <v>Shoes</v>
      </c>
    </row>
    <row r="2046" spans="1:16" x14ac:dyDescent="0.45">
      <c r="A2046">
        <v>1966</v>
      </c>
      <c r="B2046">
        <v>955</v>
      </c>
      <c r="C2046">
        <v>228</v>
      </c>
      <c r="D2046">
        <v>5</v>
      </c>
      <c r="E2046">
        <v>46.89</v>
      </c>
      <c r="F2046">
        <v>46.89</v>
      </c>
      <c r="G2046">
        <v>0</v>
      </c>
      <c r="H2046" s="2">
        <v>0</v>
      </c>
      <c r="I2046">
        <v>0</v>
      </c>
      <c r="J2046">
        <v>234.45</v>
      </c>
      <c r="K2046" s="1">
        <v>45802</v>
      </c>
      <c r="L2046" t="s">
        <v>15</v>
      </c>
      <c r="M2046" t="s">
        <v>15</v>
      </c>
      <c r="N2046">
        <f>salesitems[[#This Row],[quantity]]*salesitems[[#This Row],[unit_price]]</f>
        <v>234.45</v>
      </c>
      <c r="O2046" t="str">
        <f>_xlfn.XLOOKUP(salesitems[[#This Row],[product_id]],products[product_id],products[product_name])</f>
        <v>Vintage Boxy Trousers</v>
      </c>
      <c r="P2046" t="str">
        <f>_xlfn.XLOOKUP(salesitems[[#This Row],[product_id]],fashion_store_products!A:A,fashion_store_products!C:C)</f>
        <v>Pants</v>
      </c>
    </row>
    <row r="2047" spans="1:16" x14ac:dyDescent="0.45">
      <c r="A2047">
        <v>2487</v>
      </c>
      <c r="B2047">
        <v>539</v>
      </c>
      <c r="C2047">
        <v>228</v>
      </c>
      <c r="D2047">
        <v>5</v>
      </c>
      <c r="E2047">
        <v>46.89</v>
      </c>
      <c r="F2047">
        <v>46.89</v>
      </c>
      <c r="G2047">
        <v>0</v>
      </c>
      <c r="H2047" s="2">
        <v>0</v>
      </c>
      <c r="I2047">
        <v>0</v>
      </c>
      <c r="J2047">
        <v>234.45</v>
      </c>
      <c r="K2047" s="1">
        <v>45773</v>
      </c>
      <c r="L2047" t="s">
        <v>21</v>
      </c>
      <c r="M2047" t="s">
        <v>18</v>
      </c>
      <c r="N2047">
        <f>salesitems[[#This Row],[quantity]]*salesitems[[#This Row],[unit_price]]</f>
        <v>234.45</v>
      </c>
      <c r="O2047" t="str">
        <f>_xlfn.XLOOKUP(salesitems[[#This Row],[product_id]],products[product_id],products[product_name])</f>
        <v>Vintage Boxy Trousers</v>
      </c>
      <c r="P2047" t="str">
        <f>_xlfn.XLOOKUP(salesitems[[#This Row],[product_id]],fashion_store_products!A:A,fashion_store_products!C:C)</f>
        <v>Pants</v>
      </c>
    </row>
    <row r="2048" spans="1:16" x14ac:dyDescent="0.45">
      <c r="A2048">
        <v>2512</v>
      </c>
      <c r="B2048">
        <v>351</v>
      </c>
      <c r="C2048">
        <v>228</v>
      </c>
      <c r="D2048">
        <v>5</v>
      </c>
      <c r="E2048">
        <v>46.89</v>
      </c>
      <c r="F2048">
        <v>46.89</v>
      </c>
      <c r="G2048">
        <v>0</v>
      </c>
      <c r="H2048" s="2">
        <v>0</v>
      </c>
      <c r="I2048">
        <v>0</v>
      </c>
      <c r="J2048">
        <v>234.45</v>
      </c>
      <c r="K2048" s="1">
        <v>45804</v>
      </c>
      <c r="L2048" t="s">
        <v>21</v>
      </c>
      <c r="M2048" t="s">
        <v>18</v>
      </c>
      <c r="N2048">
        <f>salesitems[[#This Row],[quantity]]*salesitems[[#This Row],[unit_price]]</f>
        <v>234.45</v>
      </c>
      <c r="O2048" t="str">
        <f>_xlfn.XLOOKUP(salesitems[[#This Row],[product_id]],products[product_id],products[product_name])</f>
        <v>Vintage Boxy Trousers</v>
      </c>
      <c r="P2048" t="str">
        <f>_xlfn.XLOOKUP(salesitems[[#This Row],[product_id]],fashion_store_products!A:A,fashion_store_products!C:C)</f>
        <v>Pants</v>
      </c>
    </row>
    <row r="2049" spans="1:16" x14ac:dyDescent="0.45">
      <c r="A2049">
        <v>1350</v>
      </c>
      <c r="B2049">
        <v>538</v>
      </c>
      <c r="C2049">
        <v>349</v>
      </c>
      <c r="D2049">
        <v>5</v>
      </c>
      <c r="E2049">
        <v>46.72</v>
      </c>
      <c r="F2049">
        <v>46.72</v>
      </c>
      <c r="G2049">
        <v>0</v>
      </c>
      <c r="H2049" s="2">
        <v>0</v>
      </c>
      <c r="I2049">
        <v>0</v>
      </c>
      <c r="J2049">
        <v>233.6</v>
      </c>
      <c r="K2049" s="1">
        <v>45783</v>
      </c>
      <c r="L2049" t="s">
        <v>15</v>
      </c>
      <c r="M2049" t="s">
        <v>15</v>
      </c>
      <c r="N2049">
        <f>salesitems[[#This Row],[quantity]]*salesitems[[#This Row],[unit_price]]</f>
        <v>233.6</v>
      </c>
      <c r="O2049" t="str">
        <f>_xlfn.XLOOKUP(salesitems[[#This Row],[product_id]],products[product_id],products[product_name])</f>
        <v>Tailored Satin Shoes</v>
      </c>
      <c r="P2049" t="str">
        <f>_xlfn.XLOOKUP(salesitems[[#This Row],[product_id]],fashion_store_products!A:A,fashion_store_products!C:C)</f>
        <v>Shoes</v>
      </c>
    </row>
    <row r="2050" spans="1:16" x14ac:dyDescent="0.45">
      <c r="A2050">
        <v>2967</v>
      </c>
      <c r="B2050">
        <v>515</v>
      </c>
      <c r="C2050">
        <v>137</v>
      </c>
      <c r="D2050">
        <v>5</v>
      </c>
      <c r="E2050">
        <v>46.52</v>
      </c>
      <c r="F2050">
        <v>46.52</v>
      </c>
      <c r="G2050">
        <v>0</v>
      </c>
      <c r="H2050" s="2">
        <v>0</v>
      </c>
      <c r="I2050">
        <v>0</v>
      </c>
      <c r="J2050">
        <v>232.6</v>
      </c>
      <c r="K2050" s="1">
        <v>45797</v>
      </c>
      <c r="L2050" t="s">
        <v>21</v>
      </c>
      <c r="M2050" t="s">
        <v>18</v>
      </c>
      <c r="N2050">
        <f>salesitems[[#This Row],[quantity]]*salesitems[[#This Row],[unit_price]]</f>
        <v>232.60000000000002</v>
      </c>
      <c r="O2050" t="str">
        <f>_xlfn.XLOOKUP(salesitems[[#This Row],[product_id]],products[product_id],products[product_name])</f>
        <v>Classic Satin Trousers</v>
      </c>
      <c r="P2050" t="str">
        <f>_xlfn.XLOOKUP(salesitems[[#This Row],[product_id]],fashion_store_products!A:A,fashion_store_products!C:C)</f>
        <v>Pants</v>
      </c>
    </row>
    <row r="2051" spans="1:16" x14ac:dyDescent="0.45">
      <c r="A2051">
        <v>919</v>
      </c>
      <c r="B2051">
        <v>239</v>
      </c>
      <c r="C2051">
        <v>200</v>
      </c>
      <c r="D2051">
        <v>5</v>
      </c>
      <c r="E2051">
        <v>46.41</v>
      </c>
      <c r="F2051">
        <v>46.41</v>
      </c>
      <c r="G2051">
        <v>0</v>
      </c>
      <c r="H2051" s="2">
        <v>0</v>
      </c>
      <c r="I2051">
        <v>0</v>
      </c>
      <c r="J2051">
        <v>232.05</v>
      </c>
      <c r="K2051" s="1">
        <v>45767</v>
      </c>
      <c r="L2051" t="s">
        <v>21</v>
      </c>
      <c r="M2051" t="s">
        <v>18</v>
      </c>
      <c r="N2051">
        <f>salesitems[[#This Row],[quantity]]*salesitems[[#This Row],[unit_price]]</f>
        <v>232.04999999999998</v>
      </c>
      <c r="O2051" t="str">
        <f>_xlfn.XLOOKUP(salesitems[[#This Row],[product_id]],products[product_id],products[product_name])</f>
        <v>Vintage High-Waist Set</v>
      </c>
      <c r="P2051" t="str">
        <f>_xlfn.XLOOKUP(salesitems[[#This Row],[product_id]],fashion_store_products!A:A,fashion_store_products!C:C)</f>
        <v>Sleepwear</v>
      </c>
    </row>
    <row r="2052" spans="1:16" x14ac:dyDescent="0.45">
      <c r="A2052">
        <v>1642</v>
      </c>
      <c r="B2052">
        <v>883</v>
      </c>
      <c r="C2052">
        <v>261</v>
      </c>
      <c r="D2052">
        <v>5</v>
      </c>
      <c r="E2052">
        <v>46.1</v>
      </c>
      <c r="F2052">
        <v>46.1</v>
      </c>
      <c r="G2052">
        <v>0</v>
      </c>
      <c r="H2052" s="2">
        <v>0</v>
      </c>
      <c r="I2052">
        <v>0</v>
      </c>
      <c r="J2052">
        <v>230.5</v>
      </c>
      <c r="K2052" s="1">
        <v>45798</v>
      </c>
      <c r="L2052" t="s">
        <v>15</v>
      </c>
      <c r="M2052" t="s">
        <v>15</v>
      </c>
      <c r="N2052">
        <f>salesitems[[#This Row],[quantity]]*salesitems[[#This Row],[unit_price]]</f>
        <v>230.5</v>
      </c>
      <c r="O2052" t="str">
        <f>_xlfn.XLOOKUP(salesitems[[#This Row],[product_id]],products[product_id],products[product_name])</f>
        <v>Relaxed Cotton Tee</v>
      </c>
      <c r="P2052" t="str">
        <f>_xlfn.XLOOKUP(salesitems[[#This Row],[product_id]],fashion_store_products!A:A,fashion_store_products!C:C)</f>
        <v>T-Shirts</v>
      </c>
    </row>
    <row r="2053" spans="1:16" x14ac:dyDescent="0.45">
      <c r="A2053">
        <v>1674</v>
      </c>
      <c r="B2053">
        <v>665</v>
      </c>
      <c r="C2053">
        <v>62</v>
      </c>
      <c r="D2053">
        <v>5</v>
      </c>
      <c r="E2053">
        <v>46.09</v>
      </c>
      <c r="F2053">
        <v>46.09</v>
      </c>
      <c r="G2053">
        <v>0</v>
      </c>
      <c r="H2053" s="2">
        <v>0</v>
      </c>
      <c r="I2053">
        <v>0</v>
      </c>
      <c r="J2053">
        <v>230.45</v>
      </c>
      <c r="K2053" s="1">
        <v>45760</v>
      </c>
      <c r="L2053" t="s">
        <v>21</v>
      </c>
      <c r="M2053" t="s">
        <v>18</v>
      </c>
      <c r="N2053">
        <f>salesitems[[#This Row],[quantity]]*salesitems[[#This Row],[unit_price]]</f>
        <v>230.45000000000002</v>
      </c>
      <c r="O2053" t="str">
        <f>_xlfn.XLOOKUP(salesitems[[#This Row],[product_id]],products[product_id],products[product_name])</f>
        <v>Modern Linen Trousers</v>
      </c>
      <c r="P2053" t="str">
        <f>_xlfn.XLOOKUP(salesitems[[#This Row],[product_id]],fashion_store_products!A:A,fashion_store_products!C:C)</f>
        <v>Pants</v>
      </c>
    </row>
    <row r="2054" spans="1:16" x14ac:dyDescent="0.45">
      <c r="A2054">
        <v>159</v>
      </c>
      <c r="B2054">
        <v>1220</v>
      </c>
      <c r="C2054">
        <v>155</v>
      </c>
      <c r="D2054">
        <v>5</v>
      </c>
      <c r="E2054">
        <v>46.07</v>
      </c>
      <c r="F2054">
        <v>46.07</v>
      </c>
      <c r="G2054">
        <v>0</v>
      </c>
      <c r="H2054" s="2">
        <v>0</v>
      </c>
      <c r="I2054">
        <v>0</v>
      </c>
      <c r="J2054">
        <v>230.35</v>
      </c>
      <c r="K2054" s="1">
        <v>45798</v>
      </c>
      <c r="L2054" t="s">
        <v>21</v>
      </c>
      <c r="M2054" t="s">
        <v>18</v>
      </c>
      <c r="N2054">
        <f>salesitems[[#This Row],[quantity]]*salesitems[[#This Row],[unit_price]]</f>
        <v>230.35</v>
      </c>
      <c r="O2054" t="str">
        <f>_xlfn.XLOOKUP(salesitems[[#This Row],[product_id]],products[product_id],products[product_name])</f>
        <v>Vintage Silk Dress</v>
      </c>
      <c r="P2054" t="str">
        <f>_xlfn.XLOOKUP(salesitems[[#This Row],[product_id]],fashion_store_products!A:A,fashion_store_products!C:C)</f>
        <v>Dresses</v>
      </c>
    </row>
    <row r="2055" spans="1:16" x14ac:dyDescent="0.45">
      <c r="A2055">
        <v>796</v>
      </c>
      <c r="B2055">
        <v>419</v>
      </c>
      <c r="C2055">
        <v>201</v>
      </c>
      <c r="D2055">
        <v>5</v>
      </c>
      <c r="E2055">
        <v>45.62</v>
      </c>
      <c r="F2055">
        <v>45.62</v>
      </c>
      <c r="G2055">
        <v>0</v>
      </c>
      <c r="H2055" s="2">
        <v>0</v>
      </c>
      <c r="I2055">
        <v>0</v>
      </c>
      <c r="J2055">
        <v>228.1</v>
      </c>
      <c r="K2055" s="1">
        <v>45799</v>
      </c>
      <c r="L2055" t="s">
        <v>21</v>
      </c>
      <c r="M2055" t="s">
        <v>18</v>
      </c>
      <c r="N2055">
        <f>salesitems[[#This Row],[quantity]]*salesitems[[#This Row],[unit_price]]</f>
        <v>228.1</v>
      </c>
      <c r="O2055" t="str">
        <f>_xlfn.XLOOKUP(salesitems[[#This Row],[product_id]],products[product_id],products[product_name])</f>
        <v>Vintage Sleeveless Tee</v>
      </c>
      <c r="P2055" t="str">
        <f>_xlfn.XLOOKUP(salesitems[[#This Row],[product_id]],fashion_store_products!A:A,fashion_store_products!C:C)</f>
        <v>T-Shirts</v>
      </c>
    </row>
    <row r="2056" spans="1:16" x14ac:dyDescent="0.45">
      <c r="A2056">
        <v>394</v>
      </c>
      <c r="B2056">
        <v>727</v>
      </c>
      <c r="C2056">
        <v>109</v>
      </c>
      <c r="D2056">
        <v>5</v>
      </c>
      <c r="E2056">
        <v>45.27</v>
      </c>
      <c r="F2056">
        <v>45.27</v>
      </c>
      <c r="G2056">
        <v>0</v>
      </c>
      <c r="H2056" s="2">
        <v>0</v>
      </c>
      <c r="I2056">
        <v>0</v>
      </c>
      <c r="J2056">
        <v>226.35</v>
      </c>
      <c r="K2056" s="1">
        <v>45769</v>
      </c>
      <c r="L2056" t="s">
        <v>21</v>
      </c>
      <c r="M2056" t="s">
        <v>18</v>
      </c>
      <c r="N2056">
        <f>salesitems[[#This Row],[quantity]]*salesitems[[#This Row],[unit_price]]</f>
        <v>226.35000000000002</v>
      </c>
      <c r="O2056" t="str">
        <f>_xlfn.XLOOKUP(salesitems[[#This Row],[product_id]],products[product_id],products[product_name])</f>
        <v>Classic Sleeveless Dress</v>
      </c>
      <c r="P2056" t="str">
        <f>_xlfn.XLOOKUP(salesitems[[#This Row],[product_id]],fashion_store_products!A:A,fashion_store_products!C:C)</f>
        <v>Dresses</v>
      </c>
    </row>
    <row r="2057" spans="1:16" x14ac:dyDescent="0.45">
      <c r="A2057">
        <v>187</v>
      </c>
      <c r="B2057">
        <v>561</v>
      </c>
      <c r="C2057">
        <v>487</v>
      </c>
      <c r="D2057">
        <v>5</v>
      </c>
      <c r="E2057">
        <v>49.84</v>
      </c>
      <c r="F2057">
        <v>44.86</v>
      </c>
      <c r="G2057">
        <v>4.9800000000000004</v>
      </c>
      <c r="H2057" s="2">
        <v>0.1</v>
      </c>
      <c r="I2057">
        <v>1</v>
      </c>
      <c r="J2057">
        <v>224.28</v>
      </c>
      <c r="K2057" s="1">
        <v>45814</v>
      </c>
      <c r="L2057" t="s">
        <v>21</v>
      </c>
      <c r="M2057" t="s">
        <v>18</v>
      </c>
      <c r="N2057">
        <f>salesitems[[#This Row],[quantity]]*salesitems[[#This Row],[unit_price]]</f>
        <v>224.3</v>
      </c>
      <c r="O2057" t="str">
        <f>_xlfn.XLOOKUP(salesitems[[#This Row],[product_id]],products[product_id],products[product_name])</f>
        <v>Bold High-Waist Shoes</v>
      </c>
      <c r="P2057" t="str">
        <f>_xlfn.XLOOKUP(salesitems[[#This Row],[product_id]],fashion_store_products!A:A,fashion_store_products!C:C)</f>
        <v>Shoes</v>
      </c>
    </row>
    <row r="2058" spans="1:16" x14ac:dyDescent="0.45">
      <c r="A2058">
        <v>851</v>
      </c>
      <c r="B2058">
        <v>1166</v>
      </c>
      <c r="C2058">
        <v>12</v>
      </c>
      <c r="D2058">
        <v>5</v>
      </c>
      <c r="E2058">
        <v>44.77</v>
      </c>
      <c r="F2058">
        <v>44.77</v>
      </c>
      <c r="G2058">
        <v>0</v>
      </c>
      <c r="H2058" s="2">
        <v>0</v>
      </c>
      <c r="I2058">
        <v>0</v>
      </c>
      <c r="J2058">
        <v>223.85</v>
      </c>
      <c r="K2058" s="1">
        <v>45794</v>
      </c>
      <c r="L2058" t="s">
        <v>21</v>
      </c>
      <c r="M2058" t="s">
        <v>18</v>
      </c>
      <c r="N2058">
        <f>salesitems[[#This Row],[quantity]]*salesitems[[#This Row],[unit_price]]</f>
        <v>223.85000000000002</v>
      </c>
      <c r="O2058" t="str">
        <f>_xlfn.XLOOKUP(salesitems[[#This Row],[product_id]],products[product_id],products[product_name])</f>
        <v>Soft Ribbed Dress</v>
      </c>
      <c r="P2058" t="str">
        <f>_xlfn.XLOOKUP(salesitems[[#This Row],[product_id]],fashion_store_products!A:A,fashion_store_products!C:C)</f>
        <v>Dresses</v>
      </c>
    </row>
    <row r="2059" spans="1:16" x14ac:dyDescent="0.45">
      <c r="A2059">
        <v>2553</v>
      </c>
      <c r="B2059">
        <v>298</v>
      </c>
      <c r="C2059">
        <v>12</v>
      </c>
      <c r="D2059">
        <v>5</v>
      </c>
      <c r="E2059">
        <v>44.77</v>
      </c>
      <c r="F2059">
        <v>44.77</v>
      </c>
      <c r="G2059">
        <v>0</v>
      </c>
      <c r="H2059" s="2">
        <v>0</v>
      </c>
      <c r="I2059">
        <v>0</v>
      </c>
      <c r="J2059">
        <v>223.85</v>
      </c>
      <c r="K2059" s="1">
        <v>45795</v>
      </c>
      <c r="L2059" t="s">
        <v>21</v>
      </c>
      <c r="M2059" t="s">
        <v>18</v>
      </c>
      <c r="N2059">
        <f>salesitems[[#This Row],[quantity]]*salesitems[[#This Row],[unit_price]]</f>
        <v>223.85000000000002</v>
      </c>
      <c r="O2059" t="str">
        <f>_xlfn.XLOOKUP(salesitems[[#This Row],[product_id]],products[product_id],products[product_name])</f>
        <v>Soft Ribbed Dress</v>
      </c>
      <c r="P2059" t="str">
        <f>_xlfn.XLOOKUP(salesitems[[#This Row],[product_id]],fashion_store_products!A:A,fashion_store_products!C:C)</f>
        <v>Dresses</v>
      </c>
    </row>
    <row r="2060" spans="1:16" x14ac:dyDescent="0.45">
      <c r="A2060">
        <v>3122</v>
      </c>
      <c r="B2060">
        <v>716</v>
      </c>
      <c r="C2060">
        <v>322</v>
      </c>
      <c r="D2060">
        <v>5</v>
      </c>
      <c r="E2060">
        <v>44.45</v>
      </c>
      <c r="F2060">
        <v>44.45</v>
      </c>
      <c r="G2060">
        <v>0</v>
      </c>
      <c r="H2060" s="2">
        <v>0</v>
      </c>
      <c r="I2060">
        <v>0</v>
      </c>
      <c r="J2060">
        <v>222.25</v>
      </c>
      <c r="K2060" s="1">
        <v>45766</v>
      </c>
      <c r="L2060" t="s">
        <v>21</v>
      </c>
      <c r="M2060" t="s">
        <v>18</v>
      </c>
      <c r="N2060">
        <f>salesitems[[#This Row],[quantity]]*salesitems[[#This Row],[unit_price]]</f>
        <v>222.25</v>
      </c>
      <c r="O2060" t="str">
        <f>_xlfn.XLOOKUP(salesitems[[#This Row],[product_id]],products[product_id],products[product_name])</f>
        <v>Essential Sleeveless Dress</v>
      </c>
      <c r="P2060" t="str">
        <f>_xlfn.XLOOKUP(salesitems[[#This Row],[product_id]],fashion_store_products!A:A,fashion_store_products!C:C)</f>
        <v>Dresses</v>
      </c>
    </row>
    <row r="2061" spans="1:16" x14ac:dyDescent="0.45">
      <c r="A2061">
        <v>84</v>
      </c>
      <c r="B2061">
        <v>108</v>
      </c>
      <c r="C2061">
        <v>55</v>
      </c>
      <c r="D2061">
        <v>5</v>
      </c>
      <c r="E2061">
        <v>44.32</v>
      </c>
      <c r="F2061">
        <v>44.32</v>
      </c>
      <c r="G2061">
        <v>0</v>
      </c>
      <c r="H2061" s="2">
        <v>0</v>
      </c>
      <c r="I2061">
        <v>0</v>
      </c>
      <c r="J2061">
        <v>221.6</v>
      </c>
      <c r="K2061" s="1">
        <v>45796</v>
      </c>
      <c r="L2061" t="s">
        <v>21</v>
      </c>
      <c r="M2061" t="s">
        <v>18</v>
      </c>
      <c r="N2061">
        <f>salesitems[[#This Row],[quantity]]*salesitems[[#This Row],[unit_price]]</f>
        <v>221.6</v>
      </c>
      <c r="O2061" t="str">
        <f>_xlfn.XLOOKUP(salesitems[[#This Row],[product_id]],products[product_id],products[product_name])</f>
        <v>Modern Ribbed Tee</v>
      </c>
      <c r="P2061" t="str">
        <f>_xlfn.XLOOKUP(salesitems[[#This Row],[product_id]],fashion_store_products!A:A,fashion_store_products!C:C)</f>
        <v>T-Shirts</v>
      </c>
    </row>
    <row r="2062" spans="1:16" x14ac:dyDescent="0.45">
      <c r="A2062">
        <v>1000</v>
      </c>
      <c r="B2062">
        <v>531</v>
      </c>
      <c r="C2062">
        <v>29</v>
      </c>
      <c r="D2062">
        <v>5</v>
      </c>
      <c r="E2062">
        <v>44.27</v>
      </c>
      <c r="F2062">
        <v>44.27</v>
      </c>
      <c r="G2062">
        <v>0</v>
      </c>
      <c r="H2062" s="2">
        <v>0</v>
      </c>
      <c r="I2062">
        <v>0</v>
      </c>
      <c r="J2062">
        <v>221.35</v>
      </c>
      <c r="K2062" s="1">
        <v>45807</v>
      </c>
      <c r="L2062" t="s">
        <v>15</v>
      </c>
      <c r="M2062" t="s">
        <v>15</v>
      </c>
      <c r="N2062">
        <f>salesitems[[#This Row],[quantity]]*salesitems[[#This Row],[unit_price]]</f>
        <v>221.35000000000002</v>
      </c>
      <c r="O2062" t="str">
        <f>_xlfn.XLOOKUP(salesitems[[#This Row],[product_id]],products[product_id],products[product_name])</f>
        <v>Soft Linen Set</v>
      </c>
      <c r="P2062" t="str">
        <f>_xlfn.XLOOKUP(salesitems[[#This Row],[product_id]],fashion_store_products!A:A,fashion_store_products!C:C)</f>
        <v>Sleepwear</v>
      </c>
    </row>
    <row r="2063" spans="1:16" x14ac:dyDescent="0.45">
      <c r="A2063">
        <v>2180</v>
      </c>
      <c r="B2063">
        <v>564</v>
      </c>
      <c r="C2063">
        <v>489</v>
      </c>
      <c r="D2063">
        <v>5</v>
      </c>
      <c r="E2063">
        <v>44.21</v>
      </c>
      <c r="F2063">
        <v>44.21</v>
      </c>
      <c r="G2063">
        <v>0</v>
      </c>
      <c r="H2063" s="2">
        <v>0</v>
      </c>
      <c r="I2063">
        <v>0</v>
      </c>
      <c r="J2063">
        <v>221.05</v>
      </c>
      <c r="K2063" s="1">
        <v>45805</v>
      </c>
      <c r="L2063" t="s">
        <v>21</v>
      </c>
      <c r="M2063" t="s">
        <v>18</v>
      </c>
      <c r="N2063">
        <f>salesitems[[#This Row],[quantity]]*salesitems[[#This Row],[unit_price]]</f>
        <v>221.05</v>
      </c>
      <c r="O2063" t="str">
        <f>_xlfn.XLOOKUP(salesitems[[#This Row],[product_id]],products[product_id],products[product_name])</f>
        <v>T-Shirts Drop 5</v>
      </c>
      <c r="P2063" t="str">
        <f>_xlfn.XLOOKUP(salesitems[[#This Row],[product_id]],fashion_store_products!A:A,fashion_store_products!C:C)</f>
        <v>T-Shirts</v>
      </c>
    </row>
    <row r="2064" spans="1:16" x14ac:dyDescent="0.45">
      <c r="A2064">
        <v>3151</v>
      </c>
      <c r="B2064">
        <v>932</v>
      </c>
      <c r="C2064">
        <v>489</v>
      </c>
      <c r="D2064">
        <v>5</v>
      </c>
      <c r="E2064">
        <v>44.21</v>
      </c>
      <c r="F2064">
        <v>44.21</v>
      </c>
      <c r="G2064">
        <v>0</v>
      </c>
      <c r="H2064" s="2">
        <v>0</v>
      </c>
      <c r="I2064">
        <v>0</v>
      </c>
      <c r="J2064">
        <v>221.05</v>
      </c>
      <c r="K2064" s="1">
        <v>45822</v>
      </c>
      <c r="L2064" t="s">
        <v>15</v>
      </c>
      <c r="M2064" t="s">
        <v>15</v>
      </c>
      <c r="N2064">
        <f>salesitems[[#This Row],[quantity]]*salesitems[[#This Row],[unit_price]]</f>
        <v>221.05</v>
      </c>
      <c r="O2064" t="str">
        <f>_xlfn.XLOOKUP(salesitems[[#This Row],[product_id]],products[product_id],products[product_name])</f>
        <v>T-Shirts Drop 5</v>
      </c>
      <c r="P2064" t="str">
        <f>_xlfn.XLOOKUP(salesitems[[#This Row],[product_id]],fashion_store_products!A:A,fashion_store_products!C:C)</f>
        <v>T-Shirts</v>
      </c>
    </row>
    <row r="2065" spans="1:16" x14ac:dyDescent="0.45">
      <c r="A2065">
        <v>918</v>
      </c>
      <c r="B2065">
        <v>1082</v>
      </c>
      <c r="C2065">
        <v>280</v>
      </c>
      <c r="D2065">
        <v>5</v>
      </c>
      <c r="E2065">
        <v>44.14</v>
      </c>
      <c r="F2065">
        <v>44.14</v>
      </c>
      <c r="G2065">
        <v>0</v>
      </c>
      <c r="H2065" s="2">
        <v>0</v>
      </c>
      <c r="I2065">
        <v>0</v>
      </c>
      <c r="J2065">
        <v>220.7</v>
      </c>
      <c r="K2065" s="1">
        <v>45753</v>
      </c>
      <c r="L2065" t="s">
        <v>15</v>
      </c>
      <c r="M2065" t="s">
        <v>15</v>
      </c>
      <c r="N2065">
        <f>salesitems[[#This Row],[quantity]]*salesitems[[#This Row],[unit_price]]</f>
        <v>220.7</v>
      </c>
      <c r="O2065" t="str">
        <f>_xlfn.XLOOKUP(salesitems[[#This Row],[product_id]],products[product_id],products[product_name])</f>
        <v>Essential Linen Tee</v>
      </c>
      <c r="P2065" t="str">
        <f>_xlfn.XLOOKUP(salesitems[[#This Row],[product_id]],fashion_store_products!A:A,fashion_store_products!C:C)</f>
        <v>T-Shirts</v>
      </c>
    </row>
    <row r="2066" spans="1:16" x14ac:dyDescent="0.45">
      <c r="A2066">
        <v>3074</v>
      </c>
      <c r="B2066">
        <v>1207</v>
      </c>
      <c r="C2066">
        <v>280</v>
      </c>
      <c r="D2066">
        <v>5</v>
      </c>
      <c r="E2066">
        <v>44.14</v>
      </c>
      <c r="F2066">
        <v>44.14</v>
      </c>
      <c r="G2066">
        <v>0</v>
      </c>
      <c r="H2066" s="2">
        <v>0</v>
      </c>
      <c r="I2066">
        <v>0</v>
      </c>
      <c r="J2066">
        <v>220.7</v>
      </c>
      <c r="K2066" s="1">
        <v>45781</v>
      </c>
      <c r="L2066" t="s">
        <v>15</v>
      </c>
      <c r="M2066" t="s">
        <v>15</v>
      </c>
      <c r="N2066">
        <f>salesitems[[#This Row],[quantity]]*salesitems[[#This Row],[unit_price]]</f>
        <v>220.7</v>
      </c>
      <c r="O2066" t="str">
        <f>_xlfn.XLOOKUP(salesitems[[#This Row],[product_id]],products[product_id],products[product_name])</f>
        <v>Essential Linen Tee</v>
      </c>
      <c r="P2066" t="str">
        <f>_xlfn.XLOOKUP(salesitems[[#This Row],[product_id]],fashion_store_products!A:A,fashion_store_products!C:C)</f>
        <v>T-Shirts</v>
      </c>
    </row>
    <row r="2067" spans="1:16" x14ac:dyDescent="0.45">
      <c r="A2067">
        <v>660</v>
      </c>
      <c r="B2067">
        <v>873</v>
      </c>
      <c r="C2067">
        <v>184</v>
      </c>
      <c r="D2067">
        <v>5</v>
      </c>
      <c r="E2067">
        <v>44.08</v>
      </c>
      <c r="F2067">
        <v>44.08</v>
      </c>
      <c r="G2067">
        <v>0</v>
      </c>
      <c r="H2067" s="2">
        <v>0</v>
      </c>
      <c r="I2067">
        <v>0</v>
      </c>
      <c r="J2067">
        <v>220.4</v>
      </c>
      <c r="K2067" s="1">
        <v>45799</v>
      </c>
      <c r="L2067" t="s">
        <v>21</v>
      </c>
      <c r="M2067" t="s">
        <v>18</v>
      </c>
      <c r="N2067">
        <f>salesitems[[#This Row],[quantity]]*salesitems[[#This Row],[unit_price]]</f>
        <v>220.39999999999998</v>
      </c>
      <c r="O2067" t="str">
        <f>_xlfn.XLOOKUP(salesitems[[#This Row],[product_id]],products[product_id],products[product_name])</f>
        <v>Vintage Wrap Trousers</v>
      </c>
      <c r="P2067" t="str">
        <f>_xlfn.XLOOKUP(salesitems[[#This Row],[product_id]],fashion_store_products!A:A,fashion_store_products!C:C)</f>
        <v>Pants</v>
      </c>
    </row>
    <row r="2068" spans="1:16" x14ac:dyDescent="0.45">
      <c r="A2068">
        <v>2051</v>
      </c>
      <c r="B2068">
        <v>757</v>
      </c>
      <c r="C2068">
        <v>184</v>
      </c>
      <c r="D2068">
        <v>5</v>
      </c>
      <c r="E2068">
        <v>44.08</v>
      </c>
      <c r="F2068">
        <v>44.08</v>
      </c>
      <c r="G2068">
        <v>0</v>
      </c>
      <c r="H2068" s="2">
        <v>0</v>
      </c>
      <c r="I2068">
        <v>0</v>
      </c>
      <c r="J2068">
        <v>220.4</v>
      </c>
      <c r="K2068" s="1">
        <v>45773</v>
      </c>
      <c r="L2068" t="s">
        <v>21</v>
      </c>
      <c r="M2068" t="s">
        <v>18</v>
      </c>
      <c r="N2068">
        <f>salesitems[[#This Row],[quantity]]*salesitems[[#This Row],[unit_price]]</f>
        <v>220.39999999999998</v>
      </c>
      <c r="O2068" t="str">
        <f>_xlfn.XLOOKUP(salesitems[[#This Row],[product_id]],products[product_id],products[product_name])</f>
        <v>Vintage Wrap Trousers</v>
      </c>
      <c r="P2068" t="str">
        <f>_xlfn.XLOOKUP(salesitems[[#This Row],[product_id]],fashion_store_products!A:A,fashion_store_products!C:C)</f>
        <v>Pants</v>
      </c>
    </row>
    <row r="2069" spans="1:16" x14ac:dyDescent="0.45">
      <c r="A2069">
        <v>1866</v>
      </c>
      <c r="B2069">
        <v>737</v>
      </c>
      <c r="C2069">
        <v>231</v>
      </c>
      <c r="D2069">
        <v>5</v>
      </c>
      <c r="E2069">
        <v>44.06</v>
      </c>
      <c r="F2069">
        <v>44.06</v>
      </c>
      <c r="G2069">
        <v>0</v>
      </c>
      <c r="H2069" s="2">
        <v>0</v>
      </c>
      <c r="I2069">
        <v>0</v>
      </c>
      <c r="J2069">
        <v>220.3</v>
      </c>
      <c r="K2069" s="1">
        <v>45769</v>
      </c>
      <c r="L2069" t="s">
        <v>21</v>
      </c>
      <c r="M2069" t="s">
        <v>18</v>
      </c>
      <c r="N2069">
        <f>salesitems[[#This Row],[quantity]]*salesitems[[#This Row],[unit_price]]</f>
        <v>220.3</v>
      </c>
      <c r="O2069" t="str">
        <f>_xlfn.XLOOKUP(salesitems[[#This Row],[product_id]],products[product_id],products[product_name])</f>
        <v>Polished High-Waist Shoes</v>
      </c>
      <c r="P2069" t="str">
        <f>_xlfn.XLOOKUP(salesitems[[#This Row],[product_id]],fashion_store_products!A:A,fashion_store_products!C:C)</f>
        <v>Shoes</v>
      </c>
    </row>
    <row r="2070" spans="1:16" x14ac:dyDescent="0.45">
      <c r="A2070">
        <v>72</v>
      </c>
      <c r="B2070">
        <v>953</v>
      </c>
      <c r="C2070">
        <v>411</v>
      </c>
      <c r="D2070">
        <v>5</v>
      </c>
      <c r="E2070">
        <v>43.94</v>
      </c>
      <c r="F2070">
        <v>43.94</v>
      </c>
      <c r="G2070">
        <v>0</v>
      </c>
      <c r="H2070" s="2">
        <v>0</v>
      </c>
      <c r="I2070">
        <v>0</v>
      </c>
      <c r="J2070">
        <v>219.7</v>
      </c>
      <c r="K2070" s="1">
        <v>45763</v>
      </c>
      <c r="L2070" t="s">
        <v>15</v>
      </c>
      <c r="M2070" t="s">
        <v>15</v>
      </c>
      <c r="N2070">
        <f>salesitems[[#This Row],[quantity]]*salesitems[[#This Row],[unit_price]]</f>
        <v>219.7</v>
      </c>
      <c r="O2070" t="str">
        <f>_xlfn.XLOOKUP(salesitems[[#This Row],[product_id]],products[product_id],products[product_name])</f>
        <v>Elegant Silk Set</v>
      </c>
      <c r="P2070" t="str">
        <f>_xlfn.XLOOKUP(salesitems[[#This Row],[product_id]],fashion_store_products!A:A,fashion_store_products!C:C)</f>
        <v>Sleepwear</v>
      </c>
    </row>
    <row r="2071" spans="1:16" x14ac:dyDescent="0.45">
      <c r="A2071">
        <v>2101</v>
      </c>
      <c r="B2071">
        <v>1275</v>
      </c>
      <c r="C2071">
        <v>277</v>
      </c>
      <c r="D2071">
        <v>5</v>
      </c>
      <c r="E2071">
        <v>43.92</v>
      </c>
      <c r="F2071">
        <v>43.92</v>
      </c>
      <c r="G2071">
        <v>0</v>
      </c>
      <c r="H2071" s="2">
        <v>0</v>
      </c>
      <c r="I2071">
        <v>0</v>
      </c>
      <c r="J2071">
        <v>219.6</v>
      </c>
      <c r="K2071" s="1">
        <v>45751</v>
      </c>
      <c r="L2071" t="s">
        <v>15</v>
      </c>
      <c r="M2071" t="s">
        <v>15</v>
      </c>
      <c r="N2071">
        <f>salesitems[[#This Row],[quantity]]*salesitems[[#This Row],[unit_price]]</f>
        <v>219.60000000000002</v>
      </c>
      <c r="O2071" t="str">
        <f>_xlfn.XLOOKUP(salesitems[[#This Row],[product_id]],products[product_id],products[product_name])</f>
        <v>Relaxed Boxy Tee</v>
      </c>
      <c r="P2071" t="str">
        <f>_xlfn.XLOOKUP(salesitems[[#This Row],[product_id]],fashion_store_products!A:A,fashion_store_products!C:C)</f>
        <v>T-Shirts</v>
      </c>
    </row>
    <row r="2072" spans="1:16" x14ac:dyDescent="0.45">
      <c r="A2072">
        <v>1830</v>
      </c>
      <c r="B2072">
        <v>1162</v>
      </c>
      <c r="C2072">
        <v>312</v>
      </c>
      <c r="D2072">
        <v>5</v>
      </c>
      <c r="E2072">
        <v>43.84</v>
      </c>
      <c r="F2072">
        <v>43.84</v>
      </c>
      <c r="G2072">
        <v>0</v>
      </c>
      <c r="H2072" s="2">
        <v>0</v>
      </c>
      <c r="I2072">
        <v>0</v>
      </c>
      <c r="J2072">
        <v>219.2</v>
      </c>
      <c r="K2072" s="1">
        <v>45752</v>
      </c>
      <c r="L2072" t="s">
        <v>15</v>
      </c>
      <c r="M2072" t="s">
        <v>15</v>
      </c>
      <c r="N2072">
        <f>salesitems[[#This Row],[quantity]]*salesitems[[#This Row],[unit_price]]</f>
        <v>219.20000000000002</v>
      </c>
      <c r="O2072" t="str">
        <f>_xlfn.XLOOKUP(salesitems[[#This Row],[product_id]],products[product_id],products[product_name])</f>
        <v>Essential Satin Dress</v>
      </c>
      <c r="P2072" t="str">
        <f>_xlfn.XLOOKUP(salesitems[[#This Row],[product_id]],fashion_store_products!A:A,fashion_store_products!C:C)</f>
        <v>Dresses</v>
      </c>
    </row>
    <row r="2073" spans="1:16" x14ac:dyDescent="0.45">
      <c r="A2073">
        <v>1879</v>
      </c>
      <c r="B2073">
        <v>1178</v>
      </c>
      <c r="C2073">
        <v>312</v>
      </c>
      <c r="D2073">
        <v>5</v>
      </c>
      <c r="E2073">
        <v>43.84</v>
      </c>
      <c r="F2073">
        <v>43.84</v>
      </c>
      <c r="G2073">
        <v>0</v>
      </c>
      <c r="H2073" s="2">
        <v>0</v>
      </c>
      <c r="I2073">
        <v>0</v>
      </c>
      <c r="J2073">
        <v>219.2</v>
      </c>
      <c r="K2073" s="1">
        <v>45762</v>
      </c>
      <c r="L2073" t="s">
        <v>15</v>
      </c>
      <c r="M2073" t="s">
        <v>15</v>
      </c>
      <c r="N2073">
        <f>salesitems[[#This Row],[quantity]]*salesitems[[#This Row],[unit_price]]</f>
        <v>219.20000000000002</v>
      </c>
      <c r="O2073" t="str">
        <f>_xlfn.XLOOKUP(salesitems[[#This Row],[product_id]],products[product_id],products[product_name])</f>
        <v>Essential Satin Dress</v>
      </c>
      <c r="P2073" t="str">
        <f>_xlfn.XLOOKUP(salesitems[[#This Row],[product_id]],fashion_store_products!A:A,fashion_store_products!C:C)</f>
        <v>Dresses</v>
      </c>
    </row>
    <row r="2074" spans="1:16" x14ac:dyDescent="0.45">
      <c r="A2074">
        <v>1345</v>
      </c>
      <c r="B2074">
        <v>343</v>
      </c>
      <c r="C2074">
        <v>363</v>
      </c>
      <c r="D2074">
        <v>5</v>
      </c>
      <c r="E2074">
        <v>43.64</v>
      </c>
      <c r="F2074">
        <v>43.64</v>
      </c>
      <c r="G2074">
        <v>0</v>
      </c>
      <c r="H2074" s="2">
        <v>0</v>
      </c>
      <c r="I2074">
        <v>0</v>
      </c>
      <c r="J2074">
        <v>218.2</v>
      </c>
      <c r="K2074" s="1">
        <v>45825</v>
      </c>
      <c r="L2074" t="s">
        <v>15</v>
      </c>
      <c r="M2074" t="s">
        <v>15</v>
      </c>
      <c r="N2074">
        <f>salesitems[[#This Row],[quantity]]*salesitems[[#This Row],[unit_price]]</f>
        <v>218.2</v>
      </c>
      <c r="O2074" t="str">
        <f>_xlfn.XLOOKUP(salesitems[[#This Row],[product_id]],products[product_id],products[product_name])</f>
        <v>Tailored Cotton Dress</v>
      </c>
      <c r="P2074" t="str">
        <f>_xlfn.XLOOKUP(salesitems[[#This Row],[product_id]],fashion_store_products!A:A,fashion_store_products!C:C)</f>
        <v>Dresses</v>
      </c>
    </row>
    <row r="2075" spans="1:16" x14ac:dyDescent="0.45">
      <c r="A2075">
        <v>1357</v>
      </c>
      <c r="B2075">
        <v>332</v>
      </c>
      <c r="C2075">
        <v>363</v>
      </c>
      <c r="D2075">
        <v>5</v>
      </c>
      <c r="E2075">
        <v>43.64</v>
      </c>
      <c r="F2075">
        <v>43.64</v>
      </c>
      <c r="G2075">
        <v>0</v>
      </c>
      <c r="H2075" s="2">
        <v>0</v>
      </c>
      <c r="I2075">
        <v>0</v>
      </c>
      <c r="J2075">
        <v>218.2</v>
      </c>
      <c r="K2075" s="1">
        <v>45801</v>
      </c>
      <c r="L2075" t="s">
        <v>15</v>
      </c>
      <c r="M2075" t="s">
        <v>15</v>
      </c>
      <c r="N2075">
        <f>salesitems[[#This Row],[quantity]]*salesitems[[#This Row],[unit_price]]</f>
        <v>218.2</v>
      </c>
      <c r="O2075" t="str">
        <f>_xlfn.XLOOKUP(salesitems[[#This Row],[product_id]],products[product_id],products[product_name])</f>
        <v>Tailored Cotton Dress</v>
      </c>
      <c r="P2075" t="str">
        <f>_xlfn.XLOOKUP(salesitems[[#This Row],[product_id]],fashion_store_products!A:A,fashion_store_products!C:C)</f>
        <v>Dresses</v>
      </c>
    </row>
    <row r="2076" spans="1:16" x14ac:dyDescent="0.45">
      <c r="A2076">
        <v>10</v>
      </c>
      <c r="B2076">
        <v>358</v>
      </c>
      <c r="C2076">
        <v>374</v>
      </c>
      <c r="D2076">
        <v>5</v>
      </c>
      <c r="E2076">
        <v>43.43</v>
      </c>
      <c r="F2076">
        <v>43.43</v>
      </c>
      <c r="G2076">
        <v>0</v>
      </c>
      <c r="H2076" s="2">
        <v>0</v>
      </c>
      <c r="I2076">
        <v>0</v>
      </c>
      <c r="J2076">
        <v>217.15</v>
      </c>
      <c r="K2076" s="1">
        <v>45812</v>
      </c>
      <c r="L2076" t="s">
        <v>15</v>
      </c>
      <c r="M2076" t="s">
        <v>15</v>
      </c>
      <c r="N2076">
        <f>salesitems[[#This Row],[quantity]]*salesitems[[#This Row],[unit_price]]</f>
        <v>217.15</v>
      </c>
      <c r="O2076" t="str">
        <f>_xlfn.XLOOKUP(salesitems[[#This Row],[product_id]],products[product_id],products[product_name])</f>
        <v>Tailored Cotton Set</v>
      </c>
      <c r="P2076" t="str">
        <f>_xlfn.XLOOKUP(salesitems[[#This Row],[product_id]],fashion_store_products!A:A,fashion_store_products!C:C)</f>
        <v>Sleepwear</v>
      </c>
    </row>
    <row r="2077" spans="1:16" x14ac:dyDescent="0.45">
      <c r="A2077">
        <v>385</v>
      </c>
      <c r="B2077">
        <v>770</v>
      </c>
      <c r="C2077">
        <v>302</v>
      </c>
      <c r="D2077">
        <v>5</v>
      </c>
      <c r="E2077">
        <v>43.4</v>
      </c>
      <c r="F2077">
        <v>43.4</v>
      </c>
      <c r="G2077">
        <v>0</v>
      </c>
      <c r="H2077" s="2">
        <v>0</v>
      </c>
      <c r="I2077">
        <v>0</v>
      </c>
      <c r="J2077">
        <v>217</v>
      </c>
      <c r="K2077" s="1">
        <v>45775</v>
      </c>
      <c r="L2077" t="s">
        <v>21</v>
      </c>
      <c r="M2077" t="s">
        <v>18</v>
      </c>
      <c r="N2077">
        <f>salesitems[[#This Row],[quantity]]*salesitems[[#This Row],[unit_price]]</f>
        <v>217</v>
      </c>
      <c r="O2077" t="str">
        <f>_xlfn.XLOOKUP(salesitems[[#This Row],[product_id]],products[product_id],products[product_name])</f>
        <v>Essential Satin Tee</v>
      </c>
      <c r="P2077" t="str">
        <f>_xlfn.XLOOKUP(salesitems[[#This Row],[product_id]],fashion_store_products!A:A,fashion_store_products!C:C)</f>
        <v>T-Shirts</v>
      </c>
    </row>
    <row r="2078" spans="1:16" x14ac:dyDescent="0.45">
      <c r="A2078">
        <v>1888</v>
      </c>
      <c r="B2078">
        <v>39</v>
      </c>
      <c r="C2078">
        <v>429</v>
      </c>
      <c r="D2078">
        <v>5</v>
      </c>
      <c r="E2078">
        <v>43.34</v>
      </c>
      <c r="F2078">
        <v>43.34</v>
      </c>
      <c r="G2078">
        <v>0</v>
      </c>
      <c r="H2078" s="2">
        <v>0</v>
      </c>
      <c r="I2078">
        <v>0</v>
      </c>
      <c r="J2078">
        <v>216.7</v>
      </c>
      <c r="K2078" s="1">
        <v>45791</v>
      </c>
      <c r="L2078" t="s">
        <v>21</v>
      </c>
      <c r="M2078" t="s">
        <v>18</v>
      </c>
      <c r="N2078">
        <f>salesitems[[#This Row],[quantity]]*salesitems[[#This Row],[unit_price]]</f>
        <v>216.70000000000002</v>
      </c>
      <c r="O2078" t="str">
        <f>_xlfn.XLOOKUP(salesitems[[#This Row],[product_id]],products[product_id],products[product_name])</f>
        <v>Bold Wrap Tee</v>
      </c>
      <c r="P2078" t="str">
        <f>_xlfn.XLOOKUP(salesitems[[#This Row],[product_id]],fashion_store_products!A:A,fashion_store_products!C:C)</f>
        <v>T-Shirts</v>
      </c>
    </row>
    <row r="2079" spans="1:16" x14ac:dyDescent="0.45">
      <c r="A2079">
        <v>622</v>
      </c>
      <c r="B2079">
        <v>1231</v>
      </c>
      <c r="C2079">
        <v>21</v>
      </c>
      <c r="D2079">
        <v>5</v>
      </c>
      <c r="E2079">
        <v>43.3</v>
      </c>
      <c r="F2079">
        <v>43.3</v>
      </c>
      <c r="G2079">
        <v>0</v>
      </c>
      <c r="H2079" s="2">
        <v>0</v>
      </c>
      <c r="I2079">
        <v>0</v>
      </c>
      <c r="J2079">
        <v>216.5</v>
      </c>
      <c r="K2079" s="1">
        <v>45752</v>
      </c>
      <c r="L2079" t="s">
        <v>15</v>
      </c>
      <c r="M2079" t="s">
        <v>15</v>
      </c>
      <c r="N2079">
        <f>salesitems[[#This Row],[quantity]]*salesitems[[#This Row],[unit_price]]</f>
        <v>216.5</v>
      </c>
      <c r="O2079" t="str">
        <f>_xlfn.XLOOKUP(salesitems[[#This Row],[product_id]],products[product_id],products[product_name])</f>
        <v>Soft Silk Shoes</v>
      </c>
      <c r="P2079" t="str">
        <f>_xlfn.XLOOKUP(salesitems[[#This Row],[product_id]],fashion_store_products!A:A,fashion_store_products!C:C)</f>
        <v>Shoes</v>
      </c>
    </row>
    <row r="2080" spans="1:16" x14ac:dyDescent="0.45">
      <c r="A2080">
        <v>3081</v>
      </c>
      <c r="B2080">
        <v>539</v>
      </c>
      <c r="C2080">
        <v>329</v>
      </c>
      <c r="D2080">
        <v>5</v>
      </c>
      <c r="E2080">
        <v>43.09</v>
      </c>
      <c r="F2080">
        <v>43.09</v>
      </c>
      <c r="G2080">
        <v>0</v>
      </c>
      <c r="H2080" s="2">
        <v>0</v>
      </c>
      <c r="I2080">
        <v>0</v>
      </c>
      <c r="J2080">
        <v>215.45</v>
      </c>
      <c r="K2080" s="1">
        <v>45773</v>
      </c>
      <c r="L2080" t="s">
        <v>21</v>
      </c>
      <c r="M2080" t="s">
        <v>18</v>
      </c>
      <c r="N2080">
        <f>salesitems[[#This Row],[quantity]]*salesitems[[#This Row],[unit_price]]</f>
        <v>215.45000000000002</v>
      </c>
      <c r="O2080" t="str">
        <f>_xlfn.XLOOKUP(salesitems[[#This Row],[product_id]],products[product_id],products[product_name])</f>
        <v>Relaxed Boxy Set</v>
      </c>
      <c r="P2080" t="str">
        <f>_xlfn.XLOOKUP(salesitems[[#This Row],[product_id]],fashion_store_products!A:A,fashion_store_products!C:C)</f>
        <v>Sleepwear</v>
      </c>
    </row>
    <row r="2081" spans="1:16" x14ac:dyDescent="0.45">
      <c r="A2081">
        <v>600</v>
      </c>
      <c r="B2081">
        <v>461</v>
      </c>
      <c r="C2081">
        <v>102</v>
      </c>
      <c r="D2081">
        <v>5</v>
      </c>
      <c r="E2081">
        <v>43.06</v>
      </c>
      <c r="F2081">
        <v>43.06</v>
      </c>
      <c r="G2081">
        <v>0</v>
      </c>
      <c r="H2081" s="2">
        <v>0</v>
      </c>
      <c r="I2081">
        <v>0</v>
      </c>
      <c r="J2081">
        <v>215.3</v>
      </c>
      <c r="K2081" s="1">
        <v>45804</v>
      </c>
      <c r="L2081" t="s">
        <v>21</v>
      </c>
      <c r="M2081" t="s">
        <v>18</v>
      </c>
      <c r="N2081">
        <f>salesitems[[#This Row],[quantity]]*salesitems[[#This Row],[unit_price]]</f>
        <v>215.3</v>
      </c>
      <c r="O2081" t="str">
        <f>_xlfn.XLOOKUP(salesitems[[#This Row],[product_id]],products[product_id],products[product_name])</f>
        <v>Classic Linen Tee</v>
      </c>
      <c r="P2081" t="str">
        <f>_xlfn.XLOOKUP(salesitems[[#This Row],[product_id]],fashion_store_products!A:A,fashion_store_products!C:C)</f>
        <v>T-Shirts</v>
      </c>
    </row>
    <row r="2082" spans="1:16" x14ac:dyDescent="0.45">
      <c r="A2082">
        <v>801</v>
      </c>
      <c r="B2082">
        <v>866</v>
      </c>
      <c r="C2082">
        <v>102</v>
      </c>
      <c r="D2082">
        <v>5</v>
      </c>
      <c r="E2082">
        <v>43.06</v>
      </c>
      <c r="F2082">
        <v>43.06</v>
      </c>
      <c r="G2082">
        <v>0</v>
      </c>
      <c r="H2082" s="2">
        <v>0</v>
      </c>
      <c r="I2082">
        <v>0</v>
      </c>
      <c r="J2082">
        <v>215.3</v>
      </c>
      <c r="K2082" s="1">
        <v>45770</v>
      </c>
      <c r="L2082" t="s">
        <v>15</v>
      </c>
      <c r="M2082" t="s">
        <v>15</v>
      </c>
      <c r="N2082">
        <f>salesitems[[#This Row],[quantity]]*salesitems[[#This Row],[unit_price]]</f>
        <v>215.3</v>
      </c>
      <c r="O2082" t="str">
        <f>_xlfn.XLOOKUP(salesitems[[#This Row],[product_id]],products[product_id],products[product_name])</f>
        <v>Classic Linen Tee</v>
      </c>
      <c r="P2082" t="str">
        <f>_xlfn.XLOOKUP(salesitems[[#This Row],[product_id]],fashion_store_products!A:A,fashion_store_products!C:C)</f>
        <v>T-Shirts</v>
      </c>
    </row>
    <row r="2083" spans="1:16" x14ac:dyDescent="0.45">
      <c r="A2083">
        <v>937</v>
      </c>
      <c r="B2083">
        <v>278</v>
      </c>
      <c r="C2083">
        <v>102</v>
      </c>
      <c r="D2083">
        <v>5</v>
      </c>
      <c r="E2083">
        <v>43.06</v>
      </c>
      <c r="F2083">
        <v>43.06</v>
      </c>
      <c r="G2083">
        <v>0</v>
      </c>
      <c r="H2083" s="2">
        <v>0</v>
      </c>
      <c r="I2083">
        <v>0</v>
      </c>
      <c r="J2083">
        <v>215.3</v>
      </c>
      <c r="K2083" s="1">
        <v>45821</v>
      </c>
      <c r="L2083" t="s">
        <v>15</v>
      </c>
      <c r="M2083" t="s">
        <v>15</v>
      </c>
      <c r="N2083">
        <f>salesitems[[#This Row],[quantity]]*salesitems[[#This Row],[unit_price]]</f>
        <v>215.3</v>
      </c>
      <c r="O2083" t="str">
        <f>_xlfn.XLOOKUP(salesitems[[#This Row],[product_id]],products[product_id],products[product_name])</f>
        <v>Classic Linen Tee</v>
      </c>
      <c r="P2083" t="str">
        <f>_xlfn.XLOOKUP(salesitems[[#This Row],[product_id]],fashion_store_products!A:A,fashion_store_products!C:C)</f>
        <v>T-Shirts</v>
      </c>
    </row>
    <row r="2084" spans="1:16" x14ac:dyDescent="0.45">
      <c r="A2084">
        <v>1578</v>
      </c>
      <c r="B2084">
        <v>394</v>
      </c>
      <c r="C2084">
        <v>369</v>
      </c>
      <c r="D2084">
        <v>5</v>
      </c>
      <c r="E2084">
        <v>43.04</v>
      </c>
      <c r="F2084">
        <v>43.04</v>
      </c>
      <c r="G2084">
        <v>0</v>
      </c>
      <c r="H2084" s="2">
        <v>0</v>
      </c>
      <c r="I2084">
        <v>0</v>
      </c>
      <c r="J2084">
        <v>215.2</v>
      </c>
      <c r="K2084" s="1">
        <v>45823</v>
      </c>
      <c r="L2084" t="s">
        <v>21</v>
      </c>
      <c r="M2084" t="s">
        <v>18</v>
      </c>
      <c r="N2084">
        <f>salesitems[[#This Row],[quantity]]*salesitems[[#This Row],[unit_price]]</f>
        <v>215.2</v>
      </c>
      <c r="O2084" t="str">
        <f>_xlfn.XLOOKUP(salesitems[[#This Row],[product_id]],products[product_id],products[product_name])</f>
        <v>Tailored Crew Dress</v>
      </c>
      <c r="P2084" t="str">
        <f>_xlfn.XLOOKUP(salesitems[[#This Row],[product_id]],fashion_store_products!A:A,fashion_store_products!C:C)</f>
        <v>Dresses</v>
      </c>
    </row>
    <row r="2085" spans="1:16" x14ac:dyDescent="0.45">
      <c r="A2085">
        <v>1160</v>
      </c>
      <c r="B2085">
        <v>1059</v>
      </c>
      <c r="C2085">
        <v>428</v>
      </c>
      <c r="D2085">
        <v>5</v>
      </c>
      <c r="E2085">
        <v>61.22</v>
      </c>
      <c r="F2085">
        <v>42.85</v>
      </c>
      <c r="G2085">
        <v>18.37</v>
      </c>
      <c r="H2085" s="2">
        <v>0.3</v>
      </c>
      <c r="I2085">
        <v>1</v>
      </c>
      <c r="J2085">
        <v>214.27</v>
      </c>
      <c r="K2085" s="1">
        <v>45795</v>
      </c>
      <c r="L2085" t="s">
        <v>15</v>
      </c>
      <c r="M2085" t="s">
        <v>15</v>
      </c>
      <c r="N2085">
        <f>salesitems[[#This Row],[quantity]]*salesitems[[#This Row],[unit_price]]</f>
        <v>214.25</v>
      </c>
      <c r="O2085" t="str">
        <f>_xlfn.XLOOKUP(salesitems[[#This Row],[product_id]],products[product_id],products[product_name])</f>
        <v>Elegant High-Waist Shoes</v>
      </c>
      <c r="P2085" t="str">
        <f>_xlfn.XLOOKUP(salesitems[[#This Row],[product_id]],fashion_store_products!A:A,fashion_store_products!C:C)</f>
        <v>Shoes</v>
      </c>
    </row>
    <row r="2086" spans="1:16" x14ac:dyDescent="0.45">
      <c r="A2086">
        <v>2942</v>
      </c>
      <c r="B2086">
        <v>286</v>
      </c>
      <c r="C2086">
        <v>352</v>
      </c>
      <c r="D2086">
        <v>5</v>
      </c>
      <c r="E2086">
        <v>61.12</v>
      </c>
      <c r="F2086">
        <v>42.78</v>
      </c>
      <c r="G2086">
        <v>18.34</v>
      </c>
      <c r="H2086" s="2">
        <v>0.3</v>
      </c>
      <c r="I2086">
        <v>1</v>
      </c>
      <c r="J2086">
        <v>213.92</v>
      </c>
      <c r="K2086" s="1">
        <v>45795</v>
      </c>
      <c r="L2086" t="s">
        <v>15</v>
      </c>
      <c r="M2086" t="s">
        <v>15</v>
      </c>
      <c r="N2086">
        <f>salesitems[[#This Row],[quantity]]*salesitems[[#This Row],[unit_price]]</f>
        <v>213.9</v>
      </c>
      <c r="O2086" t="str">
        <f>_xlfn.XLOOKUP(salesitems[[#This Row],[product_id]],products[product_id],products[product_name])</f>
        <v>Essential Sleeveless Set</v>
      </c>
      <c r="P2086" t="str">
        <f>_xlfn.XLOOKUP(salesitems[[#This Row],[product_id]],fashion_store_products!A:A,fashion_store_products!C:C)</f>
        <v>Sleepwear</v>
      </c>
    </row>
    <row r="2087" spans="1:16" x14ac:dyDescent="0.45">
      <c r="A2087">
        <v>1334</v>
      </c>
      <c r="B2087">
        <v>475</v>
      </c>
      <c r="C2087">
        <v>24</v>
      </c>
      <c r="D2087">
        <v>5</v>
      </c>
      <c r="E2087">
        <v>42.76</v>
      </c>
      <c r="F2087">
        <v>42.76</v>
      </c>
      <c r="G2087">
        <v>0</v>
      </c>
      <c r="H2087" s="2">
        <v>0</v>
      </c>
      <c r="I2087">
        <v>0</v>
      </c>
      <c r="J2087">
        <v>213.8</v>
      </c>
      <c r="K2087" s="1">
        <v>45775</v>
      </c>
      <c r="L2087" t="s">
        <v>15</v>
      </c>
      <c r="M2087" t="s">
        <v>15</v>
      </c>
      <c r="N2087">
        <f>salesitems[[#This Row],[quantity]]*salesitems[[#This Row],[unit_price]]</f>
        <v>213.79999999999998</v>
      </c>
      <c r="O2087" t="str">
        <f>_xlfn.XLOOKUP(salesitems[[#This Row],[product_id]],products[product_id],products[product_name])</f>
        <v>Soft High-Waist Dress</v>
      </c>
      <c r="P2087" t="str">
        <f>_xlfn.XLOOKUP(salesitems[[#This Row],[product_id]],fashion_store_products!A:A,fashion_store_products!C:C)</f>
        <v>Dresses</v>
      </c>
    </row>
    <row r="2088" spans="1:16" x14ac:dyDescent="0.45">
      <c r="A2088">
        <v>2167</v>
      </c>
      <c r="B2088">
        <v>361</v>
      </c>
      <c r="C2088">
        <v>476</v>
      </c>
      <c r="D2088">
        <v>5</v>
      </c>
      <c r="E2088">
        <v>42.72</v>
      </c>
      <c r="F2088">
        <v>42.72</v>
      </c>
      <c r="G2088">
        <v>0</v>
      </c>
      <c r="H2088" s="2">
        <v>0</v>
      </c>
      <c r="I2088">
        <v>0</v>
      </c>
      <c r="J2088">
        <v>213.6</v>
      </c>
      <c r="K2088" s="1">
        <v>45782</v>
      </c>
      <c r="L2088" t="s">
        <v>21</v>
      </c>
      <c r="M2088" t="s">
        <v>18</v>
      </c>
      <c r="N2088">
        <f>salesitems[[#This Row],[quantity]]*salesitems[[#This Row],[unit_price]]</f>
        <v>213.6</v>
      </c>
      <c r="O2088" t="str">
        <f>_xlfn.XLOOKUP(salesitems[[#This Row],[product_id]],products[product_id],products[product_name])</f>
        <v>Bold Satin Shoes</v>
      </c>
      <c r="P2088" t="str">
        <f>_xlfn.XLOOKUP(salesitems[[#This Row],[product_id]],fashion_store_products!A:A,fashion_store_products!C:C)</f>
        <v>Shoes</v>
      </c>
    </row>
    <row r="2089" spans="1:16" x14ac:dyDescent="0.45">
      <c r="A2089">
        <v>3351</v>
      </c>
      <c r="B2089">
        <v>770</v>
      </c>
      <c r="C2089">
        <v>476</v>
      </c>
      <c r="D2089">
        <v>5</v>
      </c>
      <c r="E2089">
        <v>42.72</v>
      </c>
      <c r="F2089">
        <v>42.72</v>
      </c>
      <c r="G2089">
        <v>0</v>
      </c>
      <c r="H2089" s="2">
        <v>0</v>
      </c>
      <c r="I2089">
        <v>0</v>
      </c>
      <c r="J2089">
        <v>213.6</v>
      </c>
      <c r="K2089" s="1">
        <v>45775</v>
      </c>
      <c r="L2089" t="s">
        <v>21</v>
      </c>
      <c r="M2089" t="s">
        <v>18</v>
      </c>
      <c r="N2089">
        <f>salesitems[[#This Row],[quantity]]*salesitems[[#This Row],[unit_price]]</f>
        <v>213.6</v>
      </c>
      <c r="O2089" t="str">
        <f>_xlfn.XLOOKUP(salesitems[[#This Row],[product_id]],products[product_id],products[product_name])</f>
        <v>Bold Satin Shoes</v>
      </c>
      <c r="P2089" t="str">
        <f>_xlfn.XLOOKUP(salesitems[[#This Row],[product_id]],fashion_store_products!A:A,fashion_store_products!C:C)</f>
        <v>Shoes</v>
      </c>
    </row>
    <row r="2090" spans="1:16" x14ac:dyDescent="0.45">
      <c r="A2090">
        <v>2</v>
      </c>
      <c r="B2090">
        <v>1152</v>
      </c>
      <c r="C2090">
        <v>375</v>
      </c>
      <c r="D2090">
        <v>5</v>
      </c>
      <c r="E2090">
        <v>42.67</v>
      </c>
      <c r="F2090">
        <v>42.67</v>
      </c>
      <c r="G2090">
        <v>0</v>
      </c>
      <c r="H2090" s="2">
        <v>0</v>
      </c>
      <c r="I2090">
        <v>0</v>
      </c>
      <c r="J2090">
        <v>213.35</v>
      </c>
      <c r="K2090" s="1">
        <v>45769</v>
      </c>
      <c r="L2090" t="s">
        <v>21</v>
      </c>
      <c r="M2090" t="s">
        <v>18</v>
      </c>
      <c r="N2090">
        <f>salesitems[[#This Row],[quantity]]*salesitems[[#This Row],[unit_price]]</f>
        <v>213.35000000000002</v>
      </c>
      <c r="O2090" t="str">
        <f>_xlfn.XLOOKUP(salesitems[[#This Row],[product_id]],products[product_id],products[product_name])</f>
        <v>Tailored Sleeveless Shoes</v>
      </c>
      <c r="P2090" t="str">
        <f>_xlfn.XLOOKUP(salesitems[[#This Row],[product_id]],fashion_store_products!A:A,fashion_store_products!C:C)</f>
        <v>Shoes</v>
      </c>
    </row>
    <row r="2091" spans="1:16" x14ac:dyDescent="0.45">
      <c r="A2091">
        <v>510</v>
      </c>
      <c r="B2091">
        <v>550</v>
      </c>
      <c r="C2091">
        <v>375</v>
      </c>
      <c r="D2091">
        <v>5</v>
      </c>
      <c r="E2091">
        <v>42.67</v>
      </c>
      <c r="F2091">
        <v>42.67</v>
      </c>
      <c r="G2091">
        <v>0</v>
      </c>
      <c r="H2091" s="2">
        <v>0</v>
      </c>
      <c r="I2091">
        <v>0</v>
      </c>
      <c r="J2091">
        <v>213.35</v>
      </c>
      <c r="K2091" s="1">
        <v>45793</v>
      </c>
      <c r="L2091" t="s">
        <v>21</v>
      </c>
      <c r="M2091" t="s">
        <v>18</v>
      </c>
      <c r="N2091">
        <f>salesitems[[#This Row],[quantity]]*salesitems[[#This Row],[unit_price]]</f>
        <v>213.35000000000002</v>
      </c>
      <c r="O2091" t="str">
        <f>_xlfn.XLOOKUP(salesitems[[#This Row],[product_id]],products[product_id],products[product_name])</f>
        <v>Tailored Sleeveless Shoes</v>
      </c>
      <c r="P2091" t="str">
        <f>_xlfn.XLOOKUP(salesitems[[#This Row],[product_id]],fashion_store_products!A:A,fashion_store_products!C:C)</f>
        <v>Shoes</v>
      </c>
    </row>
    <row r="2092" spans="1:16" x14ac:dyDescent="0.45">
      <c r="A2092">
        <v>617</v>
      </c>
      <c r="B2092">
        <v>651</v>
      </c>
      <c r="C2092">
        <v>177</v>
      </c>
      <c r="D2092">
        <v>5</v>
      </c>
      <c r="E2092">
        <v>42.66</v>
      </c>
      <c r="F2092">
        <v>42.66</v>
      </c>
      <c r="G2092">
        <v>0</v>
      </c>
      <c r="H2092" s="2">
        <v>0</v>
      </c>
      <c r="I2092">
        <v>0</v>
      </c>
      <c r="J2092">
        <v>213.3</v>
      </c>
      <c r="K2092" s="1">
        <v>45763</v>
      </c>
      <c r="L2092" t="s">
        <v>21</v>
      </c>
      <c r="M2092" t="s">
        <v>18</v>
      </c>
      <c r="N2092">
        <f>salesitems[[#This Row],[quantity]]*salesitems[[#This Row],[unit_price]]</f>
        <v>213.29999999999998</v>
      </c>
      <c r="O2092" t="str">
        <f>_xlfn.XLOOKUP(salesitems[[#This Row],[product_id]],products[product_id],products[product_name])</f>
        <v>Vintage Cotton Set</v>
      </c>
      <c r="P2092" t="str">
        <f>_xlfn.XLOOKUP(salesitems[[#This Row],[product_id]],fashion_store_products!A:A,fashion_store_products!C:C)</f>
        <v>Sleepwear</v>
      </c>
    </row>
    <row r="2093" spans="1:16" x14ac:dyDescent="0.45">
      <c r="A2093">
        <v>2503</v>
      </c>
      <c r="B2093">
        <v>1160</v>
      </c>
      <c r="C2093">
        <v>135</v>
      </c>
      <c r="D2093">
        <v>5</v>
      </c>
      <c r="E2093">
        <v>42.47</v>
      </c>
      <c r="F2093">
        <v>42.47</v>
      </c>
      <c r="G2093">
        <v>0</v>
      </c>
      <c r="H2093" s="2">
        <v>0</v>
      </c>
      <c r="I2093">
        <v>0</v>
      </c>
      <c r="J2093">
        <v>212.35</v>
      </c>
      <c r="K2093" s="1">
        <v>45766</v>
      </c>
      <c r="L2093" t="s">
        <v>21</v>
      </c>
      <c r="M2093" t="s">
        <v>18</v>
      </c>
      <c r="N2093">
        <f>salesitems[[#This Row],[quantity]]*salesitems[[#This Row],[unit_price]]</f>
        <v>212.35</v>
      </c>
      <c r="O2093" t="str">
        <f>_xlfn.XLOOKUP(salesitems[[#This Row],[product_id]],products[product_id],products[product_name])</f>
        <v>Classic Sleeveless Shoes</v>
      </c>
      <c r="P2093" t="str">
        <f>_xlfn.XLOOKUP(salesitems[[#This Row],[product_id]],fashion_store_products!A:A,fashion_store_products!C:C)</f>
        <v>Shoes</v>
      </c>
    </row>
    <row r="2094" spans="1:16" x14ac:dyDescent="0.45">
      <c r="A2094">
        <v>153</v>
      </c>
      <c r="B2094">
        <v>1148</v>
      </c>
      <c r="C2094">
        <v>191</v>
      </c>
      <c r="D2094">
        <v>5</v>
      </c>
      <c r="E2094">
        <v>60.52</v>
      </c>
      <c r="F2094">
        <v>42.36</v>
      </c>
      <c r="G2094">
        <v>18.16</v>
      </c>
      <c r="H2094" s="2">
        <v>0.3</v>
      </c>
      <c r="I2094">
        <v>1</v>
      </c>
      <c r="J2094">
        <v>211.82</v>
      </c>
      <c r="K2094" s="1">
        <v>45790</v>
      </c>
      <c r="L2094" t="s">
        <v>15</v>
      </c>
      <c r="M2094" t="s">
        <v>15</v>
      </c>
      <c r="N2094">
        <f>salesitems[[#This Row],[quantity]]*salesitems[[#This Row],[unit_price]]</f>
        <v>211.8</v>
      </c>
      <c r="O2094" t="str">
        <f>_xlfn.XLOOKUP(salesitems[[#This Row],[product_id]],products[product_id],products[product_name])</f>
        <v>Polished Satin Dress</v>
      </c>
      <c r="P2094" t="str">
        <f>_xlfn.XLOOKUP(salesitems[[#This Row],[product_id]],fashion_store_products!A:A,fashion_store_products!C:C)</f>
        <v>Dresses</v>
      </c>
    </row>
    <row r="2095" spans="1:16" x14ac:dyDescent="0.45">
      <c r="A2095">
        <v>1099</v>
      </c>
      <c r="B2095">
        <v>728</v>
      </c>
      <c r="C2095">
        <v>287</v>
      </c>
      <c r="D2095">
        <v>5</v>
      </c>
      <c r="E2095">
        <v>60.34</v>
      </c>
      <c r="F2095">
        <v>42.24</v>
      </c>
      <c r="G2095">
        <v>18.100000000000001</v>
      </c>
      <c r="H2095" s="2">
        <v>0.3</v>
      </c>
      <c r="I2095">
        <v>1</v>
      </c>
      <c r="J2095">
        <v>211.19</v>
      </c>
      <c r="K2095" s="1">
        <v>45795</v>
      </c>
      <c r="L2095" t="s">
        <v>15</v>
      </c>
      <c r="M2095" t="s">
        <v>15</v>
      </c>
      <c r="N2095">
        <f>salesitems[[#This Row],[quantity]]*salesitems[[#This Row],[unit_price]]</f>
        <v>211.20000000000002</v>
      </c>
      <c r="O2095" t="str">
        <f>_xlfn.XLOOKUP(salesitems[[#This Row],[product_id]],products[product_id],products[product_name])</f>
        <v>Relaxed Ribbed Set</v>
      </c>
      <c r="P2095" t="str">
        <f>_xlfn.XLOOKUP(salesitems[[#This Row],[product_id]],fashion_store_products!A:A,fashion_store_products!C:C)</f>
        <v>Sleepwear</v>
      </c>
    </row>
    <row r="2096" spans="1:16" x14ac:dyDescent="0.45">
      <c r="A2096">
        <v>2870</v>
      </c>
      <c r="B2096">
        <v>660</v>
      </c>
      <c r="C2096">
        <v>309</v>
      </c>
      <c r="D2096">
        <v>5</v>
      </c>
      <c r="E2096">
        <v>42.14</v>
      </c>
      <c r="F2096">
        <v>42.14</v>
      </c>
      <c r="G2096">
        <v>0</v>
      </c>
      <c r="H2096" s="2">
        <v>0</v>
      </c>
      <c r="I2096">
        <v>0</v>
      </c>
      <c r="J2096">
        <v>210.7</v>
      </c>
      <c r="K2096" s="1">
        <v>45822</v>
      </c>
      <c r="L2096" t="s">
        <v>15</v>
      </c>
      <c r="M2096" t="s">
        <v>15</v>
      </c>
      <c r="N2096">
        <f>salesitems[[#This Row],[quantity]]*salesitems[[#This Row],[unit_price]]</f>
        <v>210.7</v>
      </c>
      <c r="O2096" t="str">
        <f>_xlfn.XLOOKUP(salesitems[[#This Row],[product_id]],products[product_id],products[product_name])</f>
        <v>Essential Ribbed Dress</v>
      </c>
      <c r="P2096" t="str">
        <f>_xlfn.XLOOKUP(salesitems[[#This Row],[product_id]],fashion_store_products!A:A,fashion_store_products!C:C)</f>
        <v>Dresses</v>
      </c>
    </row>
    <row r="2097" spans="1:16" x14ac:dyDescent="0.45">
      <c r="A2097">
        <v>337</v>
      </c>
      <c r="B2097">
        <v>864</v>
      </c>
      <c r="C2097">
        <v>136</v>
      </c>
      <c r="D2097">
        <v>5</v>
      </c>
      <c r="E2097">
        <v>46.8</v>
      </c>
      <c r="F2097">
        <v>42.12</v>
      </c>
      <c r="G2097">
        <v>4.68</v>
      </c>
      <c r="H2097" s="2">
        <v>0.1</v>
      </c>
      <c r="I2097">
        <v>1</v>
      </c>
      <c r="J2097">
        <v>210.6</v>
      </c>
      <c r="K2097" s="1">
        <v>45812</v>
      </c>
      <c r="L2097" t="s">
        <v>21</v>
      </c>
      <c r="M2097" t="s">
        <v>18</v>
      </c>
      <c r="N2097">
        <f>salesitems[[#This Row],[quantity]]*salesitems[[#This Row],[unit_price]]</f>
        <v>210.6</v>
      </c>
      <c r="O2097" t="str">
        <f>_xlfn.XLOOKUP(salesitems[[#This Row],[product_id]],products[product_id],products[product_name])</f>
        <v>Classic Cotton Trousers</v>
      </c>
      <c r="P2097" t="str">
        <f>_xlfn.XLOOKUP(salesitems[[#This Row],[product_id]],fashion_store_products!A:A,fashion_store_products!C:C)</f>
        <v>Pants</v>
      </c>
    </row>
    <row r="2098" spans="1:16" x14ac:dyDescent="0.45">
      <c r="A2098">
        <v>755</v>
      </c>
      <c r="B2098">
        <v>1268</v>
      </c>
      <c r="C2098">
        <v>344</v>
      </c>
      <c r="D2098">
        <v>5</v>
      </c>
      <c r="E2098">
        <v>42.1</v>
      </c>
      <c r="F2098">
        <v>42.1</v>
      </c>
      <c r="G2098">
        <v>0</v>
      </c>
      <c r="H2098" s="2">
        <v>0</v>
      </c>
      <c r="I2098">
        <v>0</v>
      </c>
      <c r="J2098">
        <v>210.5</v>
      </c>
      <c r="K2098" s="1">
        <v>45795</v>
      </c>
      <c r="L2098" t="s">
        <v>21</v>
      </c>
      <c r="M2098" t="s">
        <v>18</v>
      </c>
      <c r="N2098">
        <f>salesitems[[#This Row],[quantity]]*salesitems[[#This Row],[unit_price]]</f>
        <v>210.5</v>
      </c>
      <c r="O2098" t="str">
        <f>_xlfn.XLOOKUP(salesitems[[#This Row],[product_id]],products[product_id],products[product_name])</f>
        <v>Tailored Silk Tee</v>
      </c>
      <c r="P2098" t="str">
        <f>_xlfn.XLOOKUP(salesitems[[#This Row],[product_id]],fashion_store_products!A:A,fashion_store_products!C:C)</f>
        <v>T-Shirts</v>
      </c>
    </row>
    <row r="2099" spans="1:16" x14ac:dyDescent="0.45">
      <c r="A2099">
        <v>761</v>
      </c>
      <c r="B2099">
        <v>1312</v>
      </c>
      <c r="C2099">
        <v>202</v>
      </c>
      <c r="D2099">
        <v>5</v>
      </c>
      <c r="E2099">
        <v>41.88</v>
      </c>
      <c r="F2099">
        <v>41.88</v>
      </c>
      <c r="G2099">
        <v>0</v>
      </c>
      <c r="H2099" s="2">
        <v>0</v>
      </c>
      <c r="I2099">
        <v>0</v>
      </c>
      <c r="J2099">
        <v>209.4</v>
      </c>
      <c r="K2099" s="1">
        <v>45775</v>
      </c>
      <c r="L2099" t="s">
        <v>15</v>
      </c>
      <c r="M2099" t="s">
        <v>15</v>
      </c>
      <c r="N2099">
        <f>salesitems[[#This Row],[quantity]]*salesitems[[#This Row],[unit_price]]</f>
        <v>209.4</v>
      </c>
      <c r="O2099" t="str">
        <f>_xlfn.XLOOKUP(salesitems[[#This Row],[product_id]],products[product_id],products[product_name])</f>
        <v>Vintage High-Waist Tee</v>
      </c>
      <c r="P2099" t="str">
        <f>_xlfn.XLOOKUP(salesitems[[#This Row],[product_id]],fashion_store_products!A:A,fashion_store_products!C:C)</f>
        <v>T-Shirts</v>
      </c>
    </row>
    <row r="2100" spans="1:16" x14ac:dyDescent="0.45">
      <c r="A2100">
        <v>1397</v>
      </c>
      <c r="B2100">
        <v>1237</v>
      </c>
      <c r="C2100">
        <v>202</v>
      </c>
      <c r="D2100">
        <v>5</v>
      </c>
      <c r="E2100">
        <v>41.88</v>
      </c>
      <c r="F2100">
        <v>41.88</v>
      </c>
      <c r="G2100">
        <v>0</v>
      </c>
      <c r="H2100" s="2">
        <v>0</v>
      </c>
      <c r="I2100">
        <v>0</v>
      </c>
      <c r="J2100">
        <v>209.4</v>
      </c>
      <c r="K2100" s="1">
        <v>45775</v>
      </c>
      <c r="L2100" t="s">
        <v>21</v>
      </c>
      <c r="M2100" t="s">
        <v>18</v>
      </c>
      <c r="N2100">
        <f>salesitems[[#This Row],[quantity]]*salesitems[[#This Row],[unit_price]]</f>
        <v>209.4</v>
      </c>
      <c r="O2100" t="str">
        <f>_xlfn.XLOOKUP(salesitems[[#This Row],[product_id]],products[product_id],products[product_name])</f>
        <v>Vintage High-Waist Tee</v>
      </c>
      <c r="P2100" t="str">
        <f>_xlfn.XLOOKUP(salesitems[[#This Row],[product_id]],fashion_store_products!A:A,fashion_store_products!C:C)</f>
        <v>T-Shirts</v>
      </c>
    </row>
    <row r="2101" spans="1:16" x14ac:dyDescent="0.45">
      <c r="A2101">
        <v>677</v>
      </c>
      <c r="B2101">
        <v>548</v>
      </c>
      <c r="C2101">
        <v>144</v>
      </c>
      <c r="D2101">
        <v>5</v>
      </c>
      <c r="E2101">
        <v>41.84</v>
      </c>
      <c r="F2101">
        <v>41.84</v>
      </c>
      <c r="G2101">
        <v>0</v>
      </c>
      <c r="H2101" s="2">
        <v>0</v>
      </c>
      <c r="I2101">
        <v>0</v>
      </c>
      <c r="J2101">
        <v>209.2</v>
      </c>
      <c r="K2101" s="1">
        <v>45772</v>
      </c>
      <c r="L2101" t="s">
        <v>15</v>
      </c>
      <c r="M2101" t="s">
        <v>15</v>
      </c>
      <c r="N2101">
        <f>salesitems[[#This Row],[quantity]]*salesitems[[#This Row],[unit_price]]</f>
        <v>209.20000000000002</v>
      </c>
      <c r="O2101" t="str">
        <f>_xlfn.XLOOKUP(salesitems[[#This Row],[product_id]],products[product_id],products[product_name])</f>
        <v>Classic Silk Trousers</v>
      </c>
      <c r="P2101" t="str">
        <f>_xlfn.XLOOKUP(salesitems[[#This Row],[product_id]],fashion_store_products!A:A,fashion_store_products!C:C)</f>
        <v>Pants</v>
      </c>
    </row>
    <row r="2102" spans="1:16" x14ac:dyDescent="0.45">
      <c r="A2102">
        <v>2835</v>
      </c>
      <c r="B2102">
        <v>35</v>
      </c>
      <c r="C2102">
        <v>172</v>
      </c>
      <c r="D2102">
        <v>5</v>
      </c>
      <c r="E2102">
        <v>41.7</v>
      </c>
      <c r="F2102">
        <v>41.7</v>
      </c>
      <c r="G2102">
        <v>0</v>
      </c>
      <c r="H2102" s="2">
        <v>0</v>
      </c>
      <c r="I2102">
        <v>0</v>
      </c>
      <c r="J2102">
        <v>208.5</v>
      </c>
      <c r="K2102" s="1">
        <v>45774</v>
      </c>
      <c r="L2102" t="s">
        <v>21</v>
      </c>
      <c r="M2102" t="s">
        <v>18</v>
      </c>
      <c r="N2102">
        <f>salesitems[[#This Row],[quantity]]*salesitems[[#This Row],[unit_price]]</f>
        <v>208.5</v>
      </c>
      <c r="O2102" t="str">
        <f>_xlfn.XLOOKUP(salesitems[[#This Row],[product_id]],products[product_id],products[product_name])</f>
        <v>Vintage Crew Shoes</v>
      </c>
      <c r="P2102" t="str">
        <f>_xlfn.XLOOKUP(salesitems[[#This Row],[product_id]],fashion_store_products!A:A,fashion_store_products!C:C)</f>
        <v>Shoes</v>
      </c>
    </row>
    <row r="2103" spans="1:16" x14ac:dyDescent="0.45">
      <c r="A2103">
        <v>1771</v>
      </c>
      <c r="B2103">
        <v>821</v>
      </c>
      <c r="C2103">
        <v>291</v>
      </c>
      <c r="D2103">
        <v>5</v>
      </c>
      <c r="E2103">
        <v>59.56</v>
      </c>
      <c r="F2103">
        <v>41.69</v>
      </c>
      <c r="G2103">
        <v>17.87</v>
      </c>
      <c r="H2103" s="2">
        <v>0.3</v>
      </c>
      <c r="I2103">
        <v>1</v>
      </c>
      <c r="J2103">
        <v>208.46</v>
      </c>
      <c r="K2103" s="1">
        <v>45791</v>
      </c>
      <c r="L2103" t="s">
        <v>15</v>
      </c>
      <c r="M2103" t="s">
        <v>15</v>
      </c>
      <c r="N2103">
        <f>salesitems[[#This Row],[quantity]]*salesitems[[#This Row],[unit_price]]</f>
        <v>208.45</v>
      </c>
      <c r="O2103" t="str">
        <f>_xlfn.XLOOKUP(salesitems[[#This Row],[product_id]],products[product_id],products[product_name])</f>
        <v>Essential Silk Shoes</v>
      </c>
      <c r="P2103" t="str">
        <f>_xlfn.XLOOKUP(salesitems[[#This Row],[product_id]],fashion_store_products!A:A,fashion_store_products!C:C)</f>
        <v>Shoes</v>
      </c>
    </row>
    <row r="2104" spans="1:16" x14ac:dyDescent="0.45">
      <c r="A2104">
        <v>300</v>
      </c>
      <c r="B2104">
        <v>202</v>
      </c>
      <c r="C2104">
        <v>423</v>
      </c>
      <c r="D2104">
        <v>5</v>
      </c>
      <c r="E2104">
        <v>41.64</v>
      </c>
      <c r="F2104">
        <v>41.64</v>
      </c>
      <c r="G2104">
        <v>0</v>
      </c>
      <c r="H2104" s="2">
        <v>0</v>
      </c>
      <c r="I2104">
        <v>0</v>
      </c>
      <c r="J2104">
        <v>208.2</v>
      </c>
      <c r="K2104" s="1">
        <v>45805</v>
      </c>
      <c r="L2104" t="s">
        <v>15</v>
      </c>
      <c r="M2104" t="s">
        <v>15</v>
      </c>
      <c r="N2104">
        <f>salesitems[[#This Row],[quantity]]*salesitems[[#This Row],[unit_price]]</f>
        <v>208.2</v>
      </c>
      <c r="O2104" t="str">
        <f>_xlfn.XLOOKUP(salesitems[[#This Row],[product_id]],products[product_id],products[product_name])</f>
        <v>Elegant Boxy Tee</v>
      </c>
      <c r="P2104" t="str">
        <f>_xlfn.XLOOKUP(salesitems[[#This Row],[product_id]],fashion_store_products!A:A,fashion_store_products!C:C)</f>
        <v>T-Shirts</v>
      </c>
    </row>
    <row r="2105" spans="1:16" x14ac:dyDescent="0.45">
      <c r="A2105">
        <v>2832</v>
      </c>
      <c r="B2105">
        <v>993</v>
      </c>
      <c r="C2105">
        <v>423</v>
      </c>
      <c r="D2105">
        <v>5</v>
      </c>
      <c r="E2105">
        <v>41.64</v>
      </c>
      <c r="F2105">
        <v>41.64</v>
      </c>
      <c r="G2105">
        <v>0</v>
      </c>
      <c r="H2105" s="2">
        <v>0</v>
      </c>
      <c r="I2105">
        <v>0</v>
      </c>
      <c r="J2105">
        <v>208.2</v>
      </c>
      <c r="K2105" s="1">
        <v>45768</v>
      </c>
      <c r="L2105" t="s">
        <v>21</v>
      </c>
      <c r="M2105" t="s">
        <v>18</v>
      </c>
      <c r="N2105">
        <f>salesitems[[#This Row],[quantity]]*salesitems[[#This Row],[unit_price]]</f>
        <v>208.2</v>
      </c>
      <c r="O2105" t="str">
        <f>_xlfn.XLOOKUP(salesitems[[#This Row],[product_id]],products[product_id],products[product_name])</f>
        <v>Elegant Boxy Tee</v>
      </c>
      <c r="P2105" t="str">
        <f>_xlfn.XLOOKUP(salesitems[[#This Row],[product_id]],fashion_store_products!A:A,fashion_store_products!C:C)</f>
        <v>T-Shirts</v>
      </c>
    </row>
    <row r="2106" spans="1:16" x14ac:dyDescent="0.45">
      <c r="A2106">
        <v>1986</v>
      </c>
      <c r="B2106">
        <v>1214</v>
      </c>
      <c r="C2106">
        <v>351</v>
      </c>
      <c r="D2106">
        <v>5</v>
      </c>
      <c r="E2106">
        <v>46.11</v>
      </c>
      <c r="F2106">
        <v>41.5</v>
      </c>
      <c r="G2106">
        <v>4.6100000000000003</v>
      </c>
      <c r="H2106" s="2">
        <v>0.1</v>
      </c>
      <c r="I2106">
        <v>1</v>
      </c>
      <c r="J2106">
        <v>207.5</v>
      </c>
      <c r="K2106" s="1">
        <v>45814</v>
      </c>
      <c r="L2106" t="s">
        <v>21</v>
      </c>
      <c r="M2106" t="s">
        <v>18</v>
      </c>
      <c r="N2106">
        <f>salesitems[[#This Row],[quantity]]*salesitems[[#This Row],[unit_price]]</f>
        <v>207.5</v>
      </c>
      <c r="O2106" t="str">
        <f>_xlfn.XLOOKUP(salesitems[[#This Row],[product_id]],products[product_id],products[product_name])</f>
        <v>Relaxed Sleeveless Trousers</v>
      </c>
      <c r="P2106" t="str">
        <f>_xlfn.XLOOKUP(salesitems[[#This Row],[product_id]],fashion_store_products!A:A,fashion_store_products!C:C)</f>
        <v>Pants</v>
      </c>
    </row>
    <row r="2107" spans="1:16" x14ac:dyDescent="0.45">
      <c r="A2107">
        <v>2556</v>
      </c>
      <c r="B2107">
        <v>825</v>
      </c>
      <c r="C2107">
        <v>78</v>
      </c>
      <c r="D2107">
        <v>5</v>
      </c>
      <c r="E2107">
        <v>59.21</v>
      </c>
      <c r="F2107">
        <v>41.45</v>
      </c>
      <c r="G2107">
        <v>17.760000000000002</v>
      </c>
      <c r="H2107" s="2">
        <v>0.3</v>
      </c>
      <c r="I2107">
        <v>1</v>
      </c>
      <c r="J2107">
        <v>207.24</v>
      </c>
      <c r="K2107" s="1">
        <v>45790</v>
      </c>
      <c r="L2107" t="s">
        <v>15</v>
      </c>
      <c r="M2107" t="s">
        <v>15</v>
      </c>
      <c r="N2107">
        <f>salesitems[[#This Row],[quantity]]*salesitems[[#This Row],[unit_price]]</f>
        <v>207.25</v>
      </c>
      <c r="O2107" t="str">
        <f>_xlfn.XLOOKUP(salesitems[[#This Row],[product_id]],products[product_id],products[product_name])</f>
        <v>Modern Ribbed Shoes</v>
      </c>
      <c r="P2107" t="str">
        <f>_xlfn.XLOOKUP(salesitems[[#This Row],[product_id]],fashion_store_products!A:A,fashion_store_products!C:C)</f>
        <v>Shoes</v>
      </c>
    </row>
    <row r="2108" spans="1:16" x14ac:dyDescent="0.45">
      <c r="A2108">
        <v>1552</v>
      </c>
      <c r="B2108">
        <v>362</v>
      </c>
      <c r="C2108">
        <v>86</v>
      </c>
      <c r="D2108">
        <v>5</v>
      </c>
      <c r="E2108">
        <v>41.26</v>
      </c>
      <c r="F2108">
        <v>41.26</v>
      </c>
      <c r="G2108">
        <v>0</v>
      </c>
      <c r="H2108" s="2">
        <v>0</v>
      </c>
      <c r="I2108">
        <v>0</v>
      </c>
      <c r="J2108">
        <v>206.3</v>
      </c>
      <c r="K2108" s="1">
        <v>45802</v>
      </c>
      <c r="L2108" t="s">
        <v>15</v>
      </c>
      <c r="M2108" t="s">
        <v>15</v>
      </c>
      <c r="N2108">
        <f>salesitems[[#This Row],[quantity]]*salesitems[[#This Row],[unit_price]]</f>
        <v>206.29999999999998</v>
      </c>
      <c r="O2108" t="str">
        <f>_xlfn.XLOOKUP(salesitems[[#This Row],[product_id]],products[product_id],products[product_name])</f>
        <v>Modern Cotton Set</v>
      </c>
      <c r="P2108" t="str">
        <f>_xlfn.XLOOKUP(salesitems[[#This Row],[product_id]],fashion_store_products!A:A,fashion_store_products!C:C)</f>
        <v>Sleepwear</v>
      </c>
    </row>
    <row r="2109" spans="1:16" x14ac:dyDescent="0.45">
      <c r="A2109">
        <v>1369</v>
      </c>
      <c r="B2109">
        <v>655</v>
      </c>
      <c r="C2109">
        <v>18</v>
      </c>
      <c r="D2109">
        <v>5</v>
      </c>
      <c r="E2109">
        <v>40.99</v>
      </c>
      <c r="F2109">
        <v>40.99</v>
      </c>
      <c r="G2109">
        <v>0</v>
      </c>
      <c r="H2109" s="2">
        <v>0</v>
      </c>
      <c r="I2109">
        <v>0</v>
      </c>
      <c r="J2109">
        <v>204.95</v>
      </c>
      <c r="K2109" s="1">
        <v>45771</v>
      </c>
      <c r="L2109" t="s">
        <v>21</v>
      </c>
      <c r="M2109" t="s">
        <v>18</v>
      </c>
      <c r="N2109">
        <f>salesitems[[#This Row],[quantity]]*salesitems[[#This Row],[unit_price]]</f>
        <v>204.95000000000002</v>
      </c>
      <c r="O2109" t="str">
        <f>_xlfn.XLOOKUP(salesitems[[#This Row],[product_id]],products[product_id],products[product_name])</f>
        <v>Soft Satin Shoes</v>
      </c>
      <c r="P2109" t="str">
        <f>_xlfn.XLOOKUP(salesitems[[#This Row],[product_id]],fashion_store_products!A:A,fashion_store_products!C:C)</f>
        <v>Shoes</v>
      </c>
    </row>
    <row r="2110" spans="1:16" x14ac:dyDescent="0.45">
      <c r="A2110">
        <v>2268</v>
      </c>
      <c r="B2110">
        <v>1331</v>
      </c>
      <c r="C2110">
        <v>18</v>
      </c>
      <c r="D2110">
        <v>5</v>
      </c>
      <c r="E2110">
        <v>40.99</v>
      </c>
      <c r="F2110">
        <v>40.99</v>
      </c>
      <c r="G2110">
        <v>0</v>
      </c>
      <c r="H2110" s="2">
        <v>0</v>
      </c>
      <c r="I2110">
        <v>0</v>
      </c>
      <c r="J2110">
        <v>204.95</v>
      </c>
      <c r="K2110" s="1">
        <v>45773</v>
      </c>
      <c r="L2110" t="s">
        <v>15</v>
      </c>
      <c r="M2110" t="s">
        <v>15</v>
      </c>
      <c r="N2110">
        <f>salesitems[[#This Row],[quantity]]*salesitems[[#This Row],[unit_price]]</f>
        <v>204.95000000000002</v>
      </c>
      <c r="O2110" t="str">
        <f>_xlfn.XLOOKUP(salesitems[[#This Row],[product_id]],products[product_id],products[product_name])</f>
        <v>Soft Satin Shoes</v>
      </c>
      <c r="P2110" t="str">
        <f>_xlfn.XLOOKUP(salesitems[[#This Row],[product_id]],fashion_store_products!A:A,fashion_store_products!C:C)</f>
        <v>Shoes</v>
      </c>
    </row>
    <row r="2111" spans="1:16" x14ac:dyDescent="0.45">
      <c r="A2111">
        <v>2624</v>
      </c>
      <c r="B2111">
        <v>68</v>
      </c>
      <c r="C2111">
        <v>74</v>
      </c>
      <c r="D2111">
        <v>5</v>
      </c>
      <c r="E2111">
        <v>40.94</v>
      </c>
      <c r="F2111">
        <v>40.94</v>
      </c>
      <c r="G2111">
        <v>0</v>
      </c>
      <c r="H2111" s="2">
        <v>0</v>
      </c>
      <c r="I2111">
        <v>0</v>
      </c>
      <c r="J2111">
        <v>204.7</v>
      </c>
      <c r="K2111" s="1">
        <v>45800</v>
      </c>
      <c r="L2111" t="s">
        <v>21</v>
      </c>
      <c r="M2111" t="s">
        <v>18</v>
      </c>
      <c r="N2111">
        <f>salesitems[[#This Row],[quantity]]*salesitems[[#This Row],[unit_price]]</f>
        <v>204.7</v>
      </c>
      <c r="O2111" t="str">
        <f>_xlfn.XLOOKUP(salesitems[[#This Row],[product_id]],products[product_id],products[product_name])</f>
        <v>Modern Wrap Set</v>
      </c>
      <c r="P2111" t="str">
        <f>_xlfn.XLOOKUP(salesitems[[#This Row],[product_id]],fashion_store_products!A:A,fashion_store_products!C:C)</f>
        <v>Sleepwear</v>
      </c>
    </row>
    <row r="2112" spans="1:16" x14ac:dyDescent="0.45">
      <c r="A2112">
        <v>2581</v>
      </c>
      <c r="B2112">
        <v>458</v>
      </c>
      <c r="C2112">
        <v>293</v>
      </c>
      <c r="D2112">
        <v>5</v>
      </c>
      <c r="E2112">
        <v>40.770000000000003</v>
      </c>
      <c r="F2112">
        <v>40.770000000000003</v>
      </c>
      <c r="G2112">
        <v>0</v>
      </c>
      <c r="H2112" s="2">
        <v>0</v>
      </c>
      <c r="I2112">
        <v>0</v>
      </c>
      <c r="J2112">
        <v>203.85</v>
      </c>
      <c r="K2112" s="1">
        <v>45797</v>
      </c>
      <c r="L2112" t="s">
        <v>15</v>
      </c>
      <c r="M2112" t="s">
        <v>15</v>
      </c>
      <c r="N2112">
        <f>salesitems[[#This Row],[quantity]]*salesitems[[#This Row],[unit_price]]</f>
        <v>203.85000000000002</v>
      </c>
      <c r="O2112" t="str">
        <f>_xlfn.XLOOKUP(salesitems[[#This Row],[product_id]],products[product_id],products[product_name])</f>
        <v>Essential Crew Shoes</v>
      </c>
      <c r="P2112" t="str">
        <f>_xlfn.XLOOKUP(salesitems[[#This Row],[product_id]],fashion_store_products!A:A,fashion_store_products!C:C)</f>
        <v>Shoes</v>
      </c>
    </row>
    <row r="2113" spans="1:16" x14ac:dyDescent="0.45">
      <c r="A2113">
        <v>2595</v>
      </c>
      <c r="B2113">
        <v>81</v>
      </c>
      <c r="C2113">
        <v>321</v>
      </c>
      <c r="D2113">
        <v>5</v>
      </c>
      <c r="E2113">
        <v>58.09</v>
      </c>
      <c r="F2113">
        <v>40.659999999999997</v>
      </c>
      <c r="G2113">
        <v>17.43</v>
      </c>
      <c r="H2113" s="2">
        <v>0.3</v>
      </c>
      <c r="I2113">
        <v>1</v>
      </c>
      <c r="J2113">
        <v>203.32</v>
      </c>
      <c r="K2113" s="1">
        <v>45795</v>
      </c>
      <c r="L2113" t="s">
        <v>15</v>
      </c>
      <c r="M2113" t="s">
        <v>15</v>
      </c>
      <c r="N2113">
        <f>salesitems[[#This Row],[quantity]]*salesitems[[#This Row],[unit_price]]</f>
        <v>203.29999999999998</v>
      </c>
      <c r="O2113" t="str">
        <f>_xlfn.XLOOKUP(salesitems[[#This Row],[product_id]],products[product_id],products[product_name])</f>
        <v>Relaxed Cotton Trousers</v>
      </c>
      <c r="P2113" t="str">
        <f>_xlfn.XLOOKUP(salesitems[[#This Row],[product_id]],fashion_store_products!A:A,fashion_store_products!C:C)</f>
        <v>Pants</v>
      </c>
    </row>
    <row r="2114" spans="1:16" x14ac:dyDescent="0.45">
      <c r="A2114">
        <v>3193</v>
      </c>
      <c r="B2114">
        <v>557</v>
      </c>
      <c r="C2114">
        <v>9</v>
      </c>
      <c r="D2114">
        <v>5</v>
      </c>
      <c r="E2114">
        <v>40.5</v>
      </c>
      <c r="F2114">
        <v>40.5</v>
      </c>
      <c r="G2114">
        <v>0</v>
      </c>
      <c r="H2114" s="2">
        <v>0</v>
      </c>
      <c r="I2114">
        <v>0</v>
      </c>
      <c r="J2114">
        <v>202.5</v>
      </c>
      <c r="K2114" s="1">
        <v>45772</v>
      </c>
      <c r="L2114" t="s">
        <v>15</v>
      </c>
      <c r="M2114" t="s">
        <v>15</v>
      </c>
      <c r="N2114">
        <f>salesitems[[#This Row],[quantity]]*salesitems[[#This Row],[unit_price]]</f>
        <v>202.5</v>
      </c>
      <c r="O2114" t="str">
        <f>_xlfn.XLOOKUP(salesitems[[#This Row],[product_id]],products[product_id],products[product_name])</f>
        <v>Soft Linen Shoes</v>
      </c>
      <c r="P2114" t="str">
        <f>_xlfn.XLOOKUP(salesitems[[#This Row],[product_id]],fashion_store_products!A:A,fashion_store_products!C:C)</f>
        <v>Shoes</v>
      </c>
    </row>
    <row r="2115" spans="1:16" x14ac:dyDescent="0.45">
      <c r="A2115">
        <v>2172</v>
      </c>
      <c r="B2115">
        <v>1049</v>
      </c>
      <c r="C2115">
        <v>1</v>
      </c>
      <c r="D2115">
        <v>5</v>
      </c>
      <c r="E2115">
        <v>40.409999999999997</v>
      </c>
      <c r="F2115">
        <v>40.409999999999997</v>
      </c>
      <c r="G2115">
        <v>0</v>
      </c>
      <c r="H2115" s="2">
        <v>0</v>
      </c>
      <c r="I2115">
        <v>0</v>
      </c>
      <c r="J2115">
        <v>202.05</v>
      </c>
      <c r="K2115" s="1">
        <v>45766</v>
      </c>
      <c r="L2115" t="s">
        <v>15</v>
      </c>
      <c r="M2115" t="s">
        <v>15</v>
      </c>
      <c r="N2115">
        <f>salesitems[[#This Row],[quantity]]*salesitems[[#This Row],[unit_price]]</f>
        <v>202.04999999999998</v>
      </c>
      <c r="O2115" t="str">
        <f>_xlfn.XLOOKUP(salesitems[[#This Row],[product_id]],products[product_id],products[product_name])</f>
        <v>Soft Wrap Dress</v>
      </c>
      <c r="P2115" t="str">
        <f>_xlfn.XLOOKUP(salesitems[[#This Row],[product_id]],fashion_store_products!A:A,fashion_store_products!C:C)</f>
        <v>Dresses</v>
      </c>
    </row>
    <row r="2116" spans="1:16" x14ac:dyDescent="0.45">
      <c r="A2116">
        <v>505</v>
      </c>
      <c r="B2116">
        <v>72</v>
      </c>
      <c r="C2116">
        <v>16</v>
      </c>
      <c r="D2116">
        <v>5</v>
      </c>
      <c r="E2116">
        <v>40.36</v>
      </c>
      <c r="F2116">
        <v>40.36</v>
      </c>
      <c r="G2116">
        <v>0</v>
      </c>
      <c r="H2116" s="2">
        <v>0</v>
      </c>
      <c r="I2116">
        <v>0</v>
      </c>
      <c r="J2116">
        <v>201.8</v>
      </c>
      <c r="K2116" s="1">
        <v>45796</v>
      </c>
      <c r="L2116" t="s">
        <v>21</v>
      </c>
      <c r="M2116" t="s">
        <v>18</v>
      </c>
      <c r="N2116">
        <f>salesitems[[#This Row],[quantity]]*salesitems[[#This Row],[unit_price]]</f>
        <v>201.8</v>
      </c>
      <c r="O2116" t="str">
        <f>_xlfn.XLOOKUP(salesitems[[#This Row],[product_id]],products[product_id],products[product_name])</f>
        <v>Soft Cotton Trousers</v>
      </c>
      <c r="P2116" t="str">
        <f>_xlfn.XLOOKUP(salesitems[[#This Row],[product_id]],fashion_store_products!A:A,fashion_store_products!C:C)</f>
        <v>Pants</v>
      </c>
    </row>
    <row r="2117" spans="1:16" x14ac:dyDescent="0.45">
      <c r="A2117">
        <v>1231</v>
      </c>
      <c r="B2117">
        <v>214</v>
      </c>
      <c r="C2117">
        <v>92</v>
      </c>
      <c r="D2117">
        <v>5</v>
      </c>
      <c r="E2117">
        <v>40.25</v>
      </c>
      <c r="F2117">
        <v>40.25</v>
      </c>
      <c r="G2117">
        <v>0</v>
      </c>
      <c r="H2117" s="2">
        <v>0</v>
      </c>
      <c r="I2117">
        <v>0</v>
      </c>
      <c r="J2117">
        <v>201.25</v>
      </c>
      <c r="K2117" s="1">
        <v>45775</v>
      </c>
      <c r="L2117" t="s">
        <v>15</v>
      </c>
      <c r="M2117" t="s">
        <v>15</v>
      </c>
      <c r="N2117">
        <f>salesitems[[#This Row],[quantity]]*salesitems[[#This Row],[unit_price]]</f>
        <v>201.25</v>
      </c>
      <c r="O2117" t="str">
        <f>_xlfn.XLOOKUP(salesitems[[#This Row],[product_id]],products[product_id],products[product_name])</f>
        <v>Modern Crew Shoes</v>
      </c>
      <c r="P2117" t="str">
        <f>_xlfn.XLOOKUP(salesitems[[#This Row],[product_id]],fashion_store_products!A:A,fashion_store_products!C:C)</f>
        <v>Shoes</v>
      </c>
    </row>
    <row r="2118" spans="1:16" x14ac:dyDescent="0.45">
      <c r="A2118">
        <v>88</v>
      </c>
      <c r="B2118">
        <v>1300</v>
      </c>
      <c r="C2118">
        <v>226</v>
      </c>
      <c r="D2118">
        <v>5</v>
      </c>
      <c r="E2118">
        <v>39.78</v>
      </c>
      <c r="F2118">
        <v>39.78</v>
      </c>
      <c r="G2118">
        <v>0</v>
      </c>
      <c r="H2118" s="2">
        <v>0</v>
      </c>
      <c r="I2118">
        <v>0</v>
      </c>
      <c r="J2118">
        <v>198.9</v>
      </c>
      <c r="K2118" s="1">
        <v>45762</v>
      </c>
      <c r="L2118" t="s">
        <v>21</v>
      </c>
      <c r="M2118" t="s">
        <v>18</v>
      </c>
      <c r="N2118">
        <f>salesitems[[#This Row],[quantity]]*salesitems[[#This Row],[unit_price]]</f>
        <v>198.9</v>
      </c>
      <c r="O2118" t="str">
        <f>_xlfn.XLOOKUP(salesitems[[#This Row],[product_id]],products[product_id],products[product_name])</f>
        <v>Polished Linen Set</v>
      </c>
      <c r="P2118" t="str">
        <f>_xlfn.XLOOKUP(salesitems[[#This Row],[product_id]],fashion_store_products!A:A,fashion_store_products!C:C)</f>
        <v>Sleepwear</v>
      </c>
    </row>
    <row r="2119" spans="1:16" x14ac:dyDescent="0.45">
      <c r="A2119">
        <v>158</v>
      </c>
      <c r="B2119">
        <v>812</v>
      </c>
      <c r="C2119">
        <v>325</v>
      </c>
      <c r="D2119">
        <v>5</v>
      </c>
      <c r="E2119">
        <v>39.78</v>
      </c>
      <c r="F2119">
        <v>39.78</v>
      </c>
      <c r="G2119">
        <v>0</v>
      </c>
      <c r="H2119" s="2">
        <v>0</v>
      </c>
      <c r="I2119">
        <v>0</v>
      </c>
      <c r="J2119">
        <v>198.9</v>
      </c>
      <c r="K2119" s="1">
        <v>45768</v>
      </c>
      <c r="L2119" t="s">
        <v>21</v>
      </c>
      <c r="M2119" t="s">
        <v>18</v>
      </c>
      <c r="N2119">
        <f>salesitems[[#This Row],[quantity]]*salesitems[[#This Row],[unit_price]]</f>
        <v>198.9</v>
      </c>
      <c r="O2119" t="str">
        <f>_xlfn.XLOOKUP(salesitems[[#This Row],[product_id]],products[product_id],products[product_name])</f>
        <v>Tailored Linen Shoes</v>
      </c>
      <c r="P2119" t="str">
        <f>_xlfn.XLOOKUP(salesitems[[#This Row],[product_id]],fashion_store_products!A:A,fashion_store_products!C:C)</f>
        <v>Shoes</v>
      </c>
    </row>
    <row r="2120" spans="1:16" x14ac:dyDescent="0.45">
      <c r="A2120">
        <v>1426</v>
      </c>
      <c r="B2120">
        <v>1245</v>
      </c>
      <c r="C2120">
        <v>143</v>
      </c>
      <c r="D2120">
        <v>5</v>
      </c>
      <c r="E2120">
        <v>39.75</v>
      </c>
      <c r="F2120">
        <v>39.75</v>
      </c>
      <c r="G2120">
        <v>0</v>
      </c>
      <c r="H2120" s="2">
        <v>0</v>
      </c>
      <c r="I2120">
        <v>0</v>
      </c>
      <c r="J2120">
        <v>198.75</v>
      </c>
      <c r="K2120" s="1">
        <v>45794</v>
      </c>
      <c r="L2120" t="s">
        <v>21</v>
      </c>
      <c r="M2120" t="s">
        <v>18</v>
      </c>
      <c r="N2120">
        <f>salesitems[[#This Row],[quantity]]*salesitems[[#This Row],[unit_price]]</f>
        <v>198.75</v>
      </c>
      <c r="O2120" t="str">
        <f>_xlfn.XLOOKUP(salesitems[[#This Row],[product_id]],products[product_id],products[product_name])</f>
        <v>Classic Satin Set</v>
      </c>
      <c r="P2120" t="str">
        <f>_xlfn.XLOOKUP(salesitems[[#This Row],[product_id]],fashion_store_products!A:A,fashion_store_products!C:C)</f>
        <v>Sleepwear</v>
      </c>
    </row>
    <row r="2121" spans="1:16" x14ac:dyDescent="0.45">
      <c r="A2121">
        <v>2016</v>
      </c>
      <c r="B2121">
        <v>386</v>
      </c>
      <c r="C2121">
        <v>143</v>
      </c>
      <c r="D2121">
        <v>5</v>
      </c>
      <c r="E2121">
        <v>39.75</v>
      </c>
      <c r="F2121">
        <v>39.75</v>
      </c>
      <c r="G2121">
        <v>0</v>
      </c>
      <c r="H2121" s="2">
        <v>0</v>
      </c>
      <c r="I2121">
        <v>0</v>
      </c>
      <c r="J2121">
        <v>198.75</v>
      </c>
      <c r="K2121" s="1">
        <v>45768</v>
      </c>
      <c r="L2121" t="s">
        <v>15</v>
      </c>
      <c r="M2121" t="s">
        <v>15</v>
      </c>
      <c r="N2121">
        <f>salesitems[[#This Row],[quantity]]*salesitems[[#This Row],[unit_price]]</f>
        <v>198.75</v>
      </c>
      <c r="O2121" t="str">
        <f>_xlfn.XLOOKUP(salesitems[[#This Row],[product_id]],products[product_id],products[product_name])</f>
        <v>Classic Satin Set</v>
      </c>
      <c r="P2121" t="str">
        <f>_xlfn.XLOOKUP(salesitems[[#This Row],[product_id]],fashion_store_products!A:A,fashion_store_products!C:C)</f>
        <v>Sleepwear</v>
      </c>
    </row>
    <row r="2122" spans="1:16" x14ac:dyDescent="0.45">
      <c r="A2122">
        <v>3128</v>
      </c>
      <c r="B2122">
        <v>352</v>
      </c>
      <c r="C2122">
        <v>143</v>
      </c>
      <c r="D2122">
        <v>5</v>
      </c>
      <c r="E2122">
        <v>39.75</v>
      </c>
      <c r="F2122">
        <v>39.75</v>
      </c>
      <c r="G2122">
        <v>0</v>
      </c>
      <c r="H2122" s="2">
        <v>0</v>
      </c>
      <c r="I2122">
        <v>0</v>
      </c>
      <c r="J2122">
        <v>198.75</v>
      </c>
      <c r="K2122" s="1">
        <v>45752</v>
      </c>
      <c r="L2122" t="s">
        <v>21</v>
      </c>
      <c r="M2122" t="s">
        <v>18</v>
      </c>
      <c r="N2122">
        <f>salesitems[[#This Row],[quantity]]*salesitems[[#This Row],[unit_price]]</f>
        <v>198.75</v>
      </c>
      <c r="O2122" t="str">
        <f>_xlfn.XLOOKUP(salesitems[[#This Row],[product_id]],products[product_id],products[product_name])</f>
        <v>Classic Satin Set</v>
      </c>
      <c r="P2122" t="str">
        <f>_xlfn.XLOOKUP(salesitems[[#This Row],[product_id]],fashion_store_products!A:A,fashion_store_products!C:C)</f>
        <v>Sleepwear</v>
      </c>
    </row>
    <row r="2123" spans="1:16" x14ac:dyDescent="0.45">
      <c r="A2123">
        <v>148</v>
      </c>
      <c r="B2123">
        <v>832</v>
      </c>
      <c r="C2123">
        <v>490</v>
      </c>
      <c r="D2123">
        <v>5</v>
      </c>
      <c r="E2123">
        <v>39.42</v>
      </c>
      <c r="F2123">
        <v>39.42</v>
      </c>
      <c r="G2123">
        <v>0</v>
      </c>
      <c r="H2123" s="2">
        <v>0</v>
      </c>
      <c r="I2123">
        <v>0</v>
      </c>
      <c r="J2123">
        <v>197.1</v>
      </c>
      <c r="K2123" s="1">
        <v>45770</v>
      </c>
      <c r="L2123" t="s">
        <v>21</v>
      </c>
      <c r="M2123" t="s">
        <v>18</v>
      </c>
      <c r="N2123">
        <f>salesitems[[#This Row],[quantity]]*salesitems[[#This Row],[unit_price]]</f>
        <v>197.10000000000002</v>
      </c>
      <c r="O2123" t="str">
        <f>_xlfn.XLOOKUP(salesitems[[#This Row],[product_id]],products[product_id],products[product_name])</f>
        <v>Bold Boxy Shoes</v>
      </c>
      <c r="P2123" t="str">
        <f>_xlfn.XLOOKUP(salesitems[[#This Row],[product_id]],fashion_store_products!A:A,fashion_store_products!C:C)</f>
        <v>Shoes</v>
      </c>
    </row>
    <row r="2124" spans="1:16" x14ac:dyDescent="0.45">
      <c r="A2124">
        <v>2373</v>
      </c>
      <c r="B2124">
        <v>200</v>
      </c>
      <c r="C2124">
        <v>178</v>
      </c>
      <c r="D2124">
        <v>5</v>
      </c>
      <c r="E2124">
        <v>39.340000000000003</v>
      </c>
      <c r="F2124">
        <v>39.340000000000003</v>
      </c>
      <c r="G2124">
        <v>0</v>
      </c>
      <c r="H2124" s="2">
        <v>0</v>
      </c>
      <c r="I2124">
        <v>0</v>
      </c>
      <c r="J2124">
        <v>196.7</v>
      </c>
      <c r="K2124" s="1">
        <v>45781</v>
      </c>
      <c r="L2124" t="s">
        <v>15</v>
      </c>
      <c r="M2124" t="s">
        <v>15</v>
      </c>
      <c r="N2124">
        <f>salesitems[[#This Row],[quantity]]*salesitems[[#This Row],[unit_price]]</f>
        <v>196.70000000000002</v>
      </c>
      <c r="O2124" t="str">
        <f>_xlfn.XLOOKUP(salesitems[[#This Row],[product_id]],products[product_id],products[product_name])</f>
        <v>Classic Boxy Trousers</v>
      </c>
      <c r="P2124" t="str">
        <f>_xlfn.XLOOKUP(salesitems[[#This Row],[product_id]],fashion_store_products!A:A,fashion_store_products!C:C)</f>
        <v>Pants</v>
      </c>
    </row>
    <row r="2125" spans="1:16" x14ac:dyDescent="0.45">
      <c r="A2125">
        <v>1337</v>
      </c>
      <c r="B2125">
        <v>360</v>
      </c>
      <c r="C2125">
        <v>467</v>
      </c>
      <c r="D2125">
        <v>5</v>
      </c>
      <c r="E2125">
        <v>39.22</v>
      </c>
      <c r="F2125">
        <v>39.22</v>
      </c>
      <c r="G2125">
        <v>0</v>
      </c>
      <c r="H2125" s="2">
        <v>0</v>
      </c>
      <c r="I2125">
        <v>0</v>
      </c>
      <c r="J2125">
        <v>196.1</v>
      </c>
      <c r="K2125" s="1">
        <v>45771</v>
      </c>
      <c r="L2125" t="s">
        <v>15</v>
      </c>
      <c r="M2125" t="s">
        <v>15</v>
      </c>
      <c r="N2125">
        <f>salesitems[[#This Row],[quantity]]*salesitems[[#This Row],[unit_price]]</f>
        <v>196.1</v>
      </c>
      <c r="O2125" t="str">
        <f>_xlfn.XLOOKUP(salesitems[[#This Row],[product_id]],products[product_id],products[product_name])</f>
        <v>Tailored Cotton Trousers</v>
      </c>
      <c r="P2125" t="str">
        <f>_xlfn.XLOOKUP(salesitems[[#This Row],[product_id]],fashion_store_products!A:A,fashion_store_products!C:C)</f>
        <v>Pants</v>
      </c>
    </row>
    <row r="2126" spans="1:16" x14ac:dyDescent="0.45">
      <c r="A2126">
        <v>488</v>
      </c>
      <c r="B2126">
        <v>914</v>
      </c>
      <c r="C2126">
        <v>204</v>
      </c>
      <c r="D2126">
        <v>5</v>
      </c>
      <c r="E2126">
        <v>39.200000000000003</v>
      </c>
      <c r="F2126">
        <v>39.200000000000003</v>
      </c>
      <c r="G2126">
        <v>0</v>
      </c>
      <c r="H2126" s="2">
        <v>0</v>
      </c>
      <c r="I2126">
        <v>0</v>
      </c>
      <c r="J2126">
        <v>196</v>
      </c>
      <c r="K2126" s="1">
        <v>45802</v>
      </c>
      <c r="L2126" t="s">
        <v>15</v>
      </c>
      <c r="M2126" t="s">
        <v>15</v>
      </c>
      <c r="N2126">
        <f>salesitems[[#This Row],[quantity]]*salesitems[[#This Row],[unit_price]]</f>
        <v>196</v>
      </c>
      <c r="O2126" t="str">
        <f>_xlfn.XLOOKUP(salesitems[[#This Row],[product_id]],products[product_id],products[product_name])</f>
        <v>Polished Boxy Dress</v>
      </c>
      <c r="P2126" t="str">
        <f>_xlfn.XLOOKUP(salesitems[[#This Row],[product_id]],fashion_store_products!A:A,fashion_store_products!C:C)</f>
        <v>Dresses</v>
      </c>
    </row>
    <row r="2127" spans="1:16" x14ac:dyDescent="0.45">
      <c r="A2127">
        <v>2189</v>
      </c>
      <c r="B2127">
        <v>866</v>
      </c>
      <c r="C2127">
        <v>204</v>
      </c>
      <c r="D2127">
        <v>5</v>
      </c>
      <c r="E2127">
        <v>39.200000000000003</v>
      </c>
      <c r="F2127">
        <v>39.200000000000003</v>
      </c>
      <c r="G2127">
        <v>0</v>
      </c>
      <c r="H2127" s="2">
        <v>0</v>
      </c>
      <c r="I2127">
        <v>0</v>
      </c>
      <c r="J2127">
        <v>196</v>
      </c>
      <c r="K2127" s="1">
        <v>45770</v>
      </c>
      <c r="L2127" t="s">
        <v>15</v>
      </c>
      <c r="M2127" t="s">
        <v>15</v>
      </c>
      <c r="N2127">
        <f>salesitems[[#This Row],[quantity]]*salesitems[[#This Row],[unit_price]]</f>
        <v>196</v>
      </c>
      <c r="O2127" t="str">
        <f>_xlfn.XLOOKUP(salesitems[[#This Row],[product_id]],products[product_id],products[product_name])</f>
        <v>Polished Boxy Dress</v>
      </c>
      <c r="P2127" t="str">
        <f>_xlfn.XLOOKUP(salesitems[[#This Row],[product_id]],fashion_store_products!A:A,fashion_store_products!C:C)</f>
        <v>Dresses</v>
      </c>
    </row>
    <row r="2128" spans="1:16" x14ac:dyDescent="0.45">
      <c r="A2128">
        <v>3165</v>
      </c>
      <c r="B2128">
        <v>594</v>
      </c>
      <c r="C2128">
        <v>204</v>
      </c>
      <c r="D2128">
        <v>5</v>
      </c>
      <c r="E2128">
        <v>39.200000000000003</v>
      </c>
      <c r="F2128">
        <v>39.200000000000003</v>
      </c>
      <c r="G2128">
        <v>0</v>
      </c>
      <c r="H2128" s="2">
        <v>0</v>
      </c>
      <c r="I2128">
        <v>0</v>
      </c>
      <c r="J2128">
        <v>196</v>
      </c>
      <c r="K2128" s="1">
        <v>45807</v>
      </c>
      <c r="L2128" t="s">
        <v>15</v>
      </c>
      <c r="M2128" t="s">
        <v>15</v>
      </c>
      <c r="N2128">
        <f>salesitems[[#This Row],[quantity]]*salesitems[[#This Row],[unit_price]]</f>
        <v>196</v>
      </c>
      <c r="O2128" t="str">
        <f>_xlfn.XLOOKUP(salesitems[[#This Row],[product_id]],products[product_id],products[product_name])</f>
        <v>Polished Boxy Dress</v>
      </c>
      <c r="P2128" t="str">
        <f>_xlfn.XLOOKUP(salesitems[[#This Row],[product_id]],fashion_store_products!A:A,fashion_store_products!C:C)</f>
        <v>Dresses</v>
      </c>
    </row>
    <row r="2129" spans="1:16" x14ac:dyDescent="0.45">
      <c r="A2129">
        <v>3341</v>
      </c>
      <c r="B2129">
        <v>562</v>
      </c>
      <c r="C2129">
        <v>204</v>
      </c>
      <c r="D2129">
        <v>5</v>
      </c>
      <c r="E2129">
        <v>39.200000000000003</v>
      </c>
      <c r="F2129">
        <v>39.200000000000003</v>
      </c>
      <c r="G2129">
        <v>0</v>
      </c>
      <c r="H2129" s="2">
        <v>0</v>
      </c>
      <c r="I2129">
        <v>0</v>
      </c>
      <c r="J2129">
        <v>196</v>
      </c>
      <c r="K2129" s="1">
        <v>45765</v>
      </c>
      <c r="L2129" t="s">
        <v>15</v>
      </c>
      <c r="M2129" t="s">
        <v>15</v>
      </c>
      <c r="N2129">
        <f>salesitems[[#This Row],[quantity]]*salesitems[[#This Row],[unit_price]]</f>
        <v>196</v>
      </c>
      <c r="O2129" t="str">
        <f>_xlfn.XLOOKUP(salesitems[[#This Row],[product_id]],products[product_id],products[product_name])</f>
        <v>Polished Boxy Dress</v>
      </c>
      <c r="P2129" t="str">
        <f>_xlfn.XLOOKUP(salesitems[[#This Row],[product_id]],fashion_store_products!A:A,fashion_store_products!C:C)</f>
        <v>Dresses</v>
      </c>
    </row>
    <row r="2130" spans="1:16" x14ac:dyDescent="0.45">
      <c r="A2130">
        <v>904</v>
      </c>
      <c r="B2130">
        <v>555</v>
      </c>
      <c r="C2130">
        <v>113</v>
      </c>
      <c r="D2130">
        <v>5</v>
      </c>
      <c r="E2130">
        <v>39.18</v>
      </c>
      <c r="F2130">
        <v>39.18</v>
      </c>
      <c r="G2130">
        <v>0</v>
      </c>
      <c r="H2130" s="2">
        <v>0</v>
      </c>
      <c r="I2130">
        <v>0</v>
      </c>
      <c r="J2130">
        <v>195.9</v>
      </c>
      <c r="K2130" s="1">
        <v>45802</v>
      </c>
      <c r="L2130" t="s">
        <v>15</v>
      </c>
      <c r="M2130" t="s">
        <v>15</v>
      </c>
      <c r="N2130">
        <f>salesitems[[#This Row],[quantity]]*salesitems[[#This Row],[unit_price]]</f>
        <v>195.9</v>
      </c>
      <c r="O2130" t="str">
        <f>_xlfn.XLOOKUP(salesitems[[#This Row],[product_id]],products[product_id],products[product_name])</f>
        <v>Classic Boxy Dress</v>
      </c>
      <c r="P2130" t="str">
        <f>_xlfn.XLOOKUP(salesitems[[#This Row],[product_id]],fashion_store_products!A:A,fashion_store_products!C:C)</f>
        <v>Dresses</v>
      </c>
    </row>
    <row r="2131" spans="1:16" x14ac:dyDescent="0.45">
      <c r="A2131">
        <v>2047</v>
      </c>
      <c r="B2131">
        <v>973</v>
      </c>
      <c r="C2131">
        <v>141</v>
      </c>
      <c r="D2131">
        <v>5</v>
      </c>
      <c r="E2131">
        <v>39.159999999999997</v>
      </c>
      <c r="F2131">
        <v>39.159999999999997</v>
      </c>
      <c r="G2131">
        <v>0</v>
      </c>
      <c r="H2131" s="2">
        <v>0</v>
      </c>
      <c r="I2131">
        <v>0</v>
      </c>
      <c r="J2131">
        <v>195.8</v>
      </c>
      <c r="K2131" s="1">
        <v>45825</v>
      </c>
      <c r="L2131" t="s">
        <v>15</v>
      </c>
      <c r="M2131" t="s">
        <v>15</v>
      </c>
      <c r="N2131">
        <f>salesitems[[#This Row],[quantity]]*salesitems[[#This Row],[unit_price]]</f>
        <v>195.79999999999998</v>
      </c>
      <c r="O2131" t="str">
        <f>_xlfn.XLOOKUP(salesitems[[#This Row],[product_id]],products[product_id],products[product_name])</f>
        <v>Vintage Cotton Dress</v>
      </c>
      <c r="P2131" t="str">
        <f>_xlfn.XLOOKUP(salesitems[[#This Row],[product_id]],fashion_store_products!A:A,fashion_store_products!C:C)</f>
        <v>Dresses</v>
      </c>
    </row>
    <row r="2132" spans="1:16" x14ac:dyDescent="0.45">
      <c r="A2132">
        <v>8</v>
      </c>
      <c r="B2132">
        <v>1084</v>
      </c>
      <c r="C2132">
        <v>96</v>
      </c>
      <c r="D2132">
        <v>5</v>
      </c>
      <c r="E2132">
        <v>39.03</v>
      </c>
      <c r="F2132">
        <v>39.03</v>
      </c>
      <c r="G2132">
        <v>0</v>
      </c>
      <c r="H2132" s="2">
        <v>0</v>
      </c>
      <c r="I2132">
        <v>0</v>
      </c>
      <c r="J2132">
        <v>195.15</v>
      </c>
      <c r="K2132" s="1">
        <v>45775</v>
      </c>
      <c r="L2132" t="s">
        <v>21</v>
      </c>
      <c r="M2132" t="s">
        <v>18</v>
      </c>
      <c r="N2132">
        <f>salesitems[[#This Row],[quantity]]*salesitems[[#This Row],[unit_price]]</f>
        <v>195.15</v>
      </c>
      <c r="O2132" t="str">
        <f>_xlfn.XLOOKUP(salesitems[[#This Row],[product_id]],products[product_id],products[product_name])</f>
        <v>Modern High-Waist Tee</v>
      </c>
      <c r="P2132" t="str">
        <f>_xlfn.XLOOKUP(salesitems[[#This Row],[product_id]],fashion_store_products!A:A,fashion_store_products!C:C)</f>
        <v>T-Shirts</v>
      </c>
    </row>
    <row r="2133" spans="1:16" x14ac:dyDescent="0.45">
      <c r="A2133">
        <v>2579</v>
      </c>
      <c r="B2133">
        <v>922</v>
      </c>
      <c r="C2133">
        <v>180</v>
      </c>
      <c r="D2133">
        <v>5</v>
      </c>
      <c r="E2133">
        <v>38.81</v>
      </c>
      <c r="F2133">
        <v>38.81</v>
      </c>
      <c r="G2133">
        <v>0</v>
      </c>
      <c r="H2133" s="2">
        <v>0</v>
      </c>
      <c r="I2133">
        <v>0</v>
      </c>
      <c r="J2133">
        <v>194.05</v>
      </c>
      <c r="K2133" s="1">
        <v>45800</v>
      </c>
      <c r="L2133" t="s">
        <v>21</v>
      </c>
      <c r="M2133" t="s">
        <v>18</v>
      </c>
      <c r="N2133">
        <f>salesitems[[#This Row],[quantity]]*salesitems[[#This Row],[unit_price]]</f>
        <v>194.05</v>
      </c>
      <c r="O2133" t="str">
        <f>_xlfn.XLOOKUP(salesitems[[#This Row],[product_id]],products[product_id],products[product_name])</f>
        <v>Vintage Sleeveless Shoes</v>
      </c>
      <c r="P2133" t="str">
        <f>_xlfn.XLOOKUP(salesitems[[#This Row],[product_id]],fashion_store_products!A:A,fashion_store_products!C:C)</f>
        <v>Shoes</v>
      </c>
    </row>
    <row r="2134" spans="1:16" x14ac:dyDescent="0.45">
      <c r="A2134">
        <v>2728</v>
      </c>
      <c r="B2134">
        <v>52</v>
      </c>
      <c r="C2134">
        <v>438</v>
      </c>
      <c r="D2134">
        <v>5</v>
      </c>
      <c r="E2134">
        <v>38.74</v>
      </c>
      <c r="F2134">
        <v>38.74</v>
      </c>
      <c r="G2134">
        <v>0</v>
      </c>
      <c r="H2134" s="2">
        <v>0</v>
      </c>
      <c r="I2134">
        <v>0</v>
      </c>
      <c r="J2134">
        <v>193.7</v>
      </c>
      <c r="K2134" s="1">
        <v>45798</v>
      </c>
      <c r="L2134" t="s">
        <v>21</v>
      </c>
      <c r="M2134" t="s">
        <v>18</v>
      </c>
      <c r="N2134">
        <f>salesitems[[#This Row],[quantity]]*salesitems[[#This Row],[unit_price]]</f>
        <v>193.70000000000002</v>
      </c>
      <c r="O2134" t="str">
        <f>_xlfn.XLOOKUP(salesitems[[#This Row],[product_id]],products[product_id],products[product_name])</f>
        <v>Bold Wrap Dress</v>
      </c>
      <c r="P2134" t="str">
        <f>_xlfn.XLOOKUP(salesitems[[#This Row],[product_id]],fashion_store_products!A:A,fashion_store_products!C:C)</f>
        <v>Dresses</v>
      </c>
    </row>
    <row r="2135" spans="1:16" x14ac:dyDescent="0.45">
      <c r="A2135">
        <v>1922</v>
      </c>
      <c r="B2135">
        <v>356</v>
      </c>
      <c r="C2135">
        <v>446</v>
      </c>
      <c r="D2135">
        <v>5</v>
      </c>
      <c r="E2135">
        <v>55.14</v>
      </c>
      <c r="F2135">
        <v>38.6</v>
      </c>
      <c r="G2135">
        <v>16.54</v>
      </c>
      <c r="H2135" s="2">
        <v>0.3</v>
      </c>
      <c r="I2135">
        <v>1</v>
      </c>
      <c r="J2135">
        <v>192.99</v>
      </c>
      <c r="K2135" s="1">
        <v>45790</v>
      </c>
      <c r="L2135" t="s">
        <v>15</v>
      </c>
      <c r="M2135" t="s">
        <v>15</v>
      </c>
      <c r="N2135">
        <f>salesitems[[#This Row],[quantity]]*salesitems[[#This Row],[unit_price]]</f>
        <v>193</v>
      </c>
      <c r="O2135" t="str">
        <f>_xlfn.XLOOKUP(salesitems[[#This Row],[product_id]],products[product_id],products[product_name])</f>
        <v>Bold Cotton Tee</v>
      </c>
      <c r="P2135" t="str">
        <f>_xlfn.XLOOKUP(salesitems[[#This Row],[product_id]],fashion_store_products!A:A,fashion_store_products!C:C)</f>
        <v>T-Shirts</v>
      </c>
    </row>
    <row r="2136" spans="1:16" x14ac:dyDescent="0.45">
      <c r="A2136">
        <v>1114</v>
      </c>
      <c r="B2136">
        <v>512</v>
      </c>
      <c r="C2136">
        <v>376</v>
      </c>
      <c r="D2136">
        <v>5</v>
      </c>
      <c r="E2136">
        <v>38.520000000000003</v>
      </c>
      <c r="F2136">
        <v>38.520000000000003</v>
      </c>
      <c r="G2136">
        <v>0</v>
      </c>
      <c r="H2136" s="2">
        <v>0</v>
      </c>
      <c r="I2136">
        <v>0</v>
      </c>
      <c r="J2136">
        <v>192.6</v>
      </c>
      <c r="K2136" s="1">
        <v>45812</v>
      </c>
      <c r="L2136" t="s">
        <v>15</v>
      </c>
      <c r="M2136" t="s">
        <v>15</v>
      </c>
      <c r="N2136">
        <f>salesitems[[#This Row],[quantity]]*salesitems[[#This Row],[unit_price]]</f>
        <v>192.60000000000002</v>
      </c>
      <c r="O2136" t="str">
        <f>_xlfn.XLOOKUP(salesitems[[#This Row],[product_id]],products[product_id],products[product_name])</f>
        <v>Tailored Satin Set</v>
      </c>
      <c r="P2136" t="str">
        <f>_xlfn.XLOOKUP(salesitems[[#This Row],[product_id]],fashion_store_products!A:A,fashion_store_products!C:C)</f>
        <v>Sleepwear</v>
      </c>
    </row>
    <row r="2137" spans="1:16" x14ac:dyDescent="0.45">
      <c r="A2137">
        <v>1864</v>
      </c>
      <c r="B2137">
        <v>659</v>
      </c>
      <c r="C2137">
        <v>376</v>
      </c>
      <c r="D2137">
        <v>5</v>
      </c>
      <c r="E2137">
        <v>38.520000000000003</v>
      </c>
      <c r="F2137">
        <v>38.520000000000003</v>
      </c>
      <c r="G2137">
        <v>0</v>
      </c>
      <c r="H2137" s="2">
        <v>0</v>
      </c>
      <c r="I2137">
        <v>0</v>
      </c>
      <c r="J2137">
        <v>192.6</v>
      </c>
      <c r="K2137" s="1">
        <v>45764</v>
      </c>
      <c r="L2137" t="s">
        <v>15</v>
      </c>
      <c r="M2137" t="s">
        <v>15</v>
      </c>
      <c r="N2137">
        <f>salesitems[[#This Row],[quantity]]*salesitems[[#This Row],[unit_price]]</f>
        <v>192.60000000000002</v>
      </c>
      <c r="O2137" t="str">
        <f>_xlfn.XLOOKUP(salesitems[[#This Row],[product_id]],products[product_id],products[product_name])</f>
        <v>Tailored Satin Set</v>
      </c>
      <c r="P2137" t="str">
        <f>_xlfn.XLOOKUP(salesitems[[#This Row],[product_id]],fashion_store_products!A:A,fashion_store_products!C:C)</f>
        <v>Sleepwear</v>
      </c>
    </row>
    <row r="2138" spans="1:16" x14ac:dyDescent="0.45">
      <c r="A2138">
        <v>62</v>
      </c>
      <c r="B2138">
        <v>614</v>
      </c>
      <c r="C2138">
        <v>484</v>
      </c>
      <c r="D2138">
        <v>5</v>
      </c>
      <c r="E2138">
        <v>38.49</v>
      </c>
      <c r="F2138">
        <v>38.49</v>
      </c>
      <c r="G2138">
        <v>0</v>
      </c>
      <c r="H2138" s="2">
        <v>0</v>
      </c>
      <c r="I2138">
        <v>0</v>
      </c>
      <c r="J2138">
        <v>192.45</v>
      </c>
      <c r="K2138" s="1">
        <v>45806</v>
      </c>
      <c r="L2138" t="s">
        <v>15</v>
      </c>
      <c r="M2138" t="s">
        <v>15</v>
      </c>
      <c r="N2138">
        <f>salesitems[[#This Row],[quantity]]*salesitems[[#This Row],[unit_price]]</f>
        <v>192.45000000000002</v>
      </c>
      <c r="O2138" t="str">
        <f>_xlfn.XLOOKUP(salesitems[[#This Row],[product_id]],products[product_id],products[product_name])</f>
        <v>Tailored Silk Trousers</v>
      </c>
      <c r="P2138" t="str">
        <f>_xlfn.XLOOKUP(salesitems[[#This Row],[product_id]],fashion_store_products!A:A,fashion_store_products!C:C)</f>
        <v>Pants</v>
      </c>
    </row>
    <row r="2139" spans="1:16" x14ac:dyDescent="0.45">
      <c r="A2139">
        <v>2935</v>
      </c>
      <c r="B2139">
        <v>883</v>
      </c>
      <c r="C2139">
        <v>484</v>
      </c>
      <c r="D2139">
        <v>5</v>
      </c>
      <c r="E2139">
        <v>38.49</v>
      </c>
      <c r="F2139">
        <v>38.49</v>
      </c>
      <c r="G2139">
        <v>0</v>
      </c>
      <c r="H2139" s="2">
        <v>0</v>
      </c>
      <c r="I2139">
        <v>0</v>
      </c>
      <c r="J2139">
        <v>192.45</v>
      </c>
      <c r="K2139" s="1">
        <v>45798</v>
      </c>
      <c r="L2139" t="s">
        <v>15</v>
      </c>
      <c r="M2139" t="s">
        <v>15</v>
      </c>
      <c r="N2139">
        <f>salesitems[[#This Row],[quantity]]*salesitems[[#This Row],[unit_price]]</f>
        <v>192.45000000000002</v>
      </c>
      <c r="O2139" t="str">
        <f>_xlfn.XLOOKUP(salesitems[[#This Row],[product_id]],products[product_id],products[product_name])</f>
        <v>Tailored Silk Trousers</v>
      </c>
      <c r="P2139" t="str">
        <f>_xlfn.XLOOKUP(salesitems[[#This Row],[product_id]],fashion_store_products!A:A,fashion_store_products!C:C)</f>
        <v>Pants</v>
      </c>
    </row>
    <row r="2140" spans="1:16" x14ac:dyDescent="0.45">
      <c r="A2140">
        <v>2994</v>
      </c>
      <c r="B2140">
        <v>84</v>
      </c>
      <c r="C2140">
        <v>484</v>
      </c>
      <c r="D2140">
        <v>5</v>
      </c>
      <c r="E2140">
        <v>38.49</v>
      </c>
      <c r="F2140">
        <v>38.49</v>
      </c>
      <c r="G2140">
        <v>0</v>
      </c>
      <c r="H2140" s="2">
        <v>0</v>
      </c>
      <c r="I2140">
        <v>0</v>
      </c>
      <c r="J2140">
        <v>192.45</v>
      </c>
      <c r="K2140" s="1">
        <v>45794</v>
      </c>
      <c r="L2140" t="s">
        <v>21</v>
      </c>
      <c r="M2140" t="s">
        <v>18</v>
      </c>
      <c r="N2140">
        <f>salesitems[[#This Row],[quantity]]*salesitems[[#This Row],[unit_price]]</f>
        <v>192.45000000000002</v>
      </c>
      <c r="O2140" t="str">
        <f>_xlfn.XLOOKUP(salesitems[[#This Row],[product_id]],products[product_id],products[product_name])</f>
        <v>Tailored Silk Trousers</v>
      </c>
      <c r="P2140" t="str">
        <f>_xlfn.XLOOKUP(salesitems[[#This Row],[product_id]],fashion_store_products!A:A,fashion_store_products!C:C)</f>
        <v>Pants</v>
      </c>
    </row>
    <row r="2141" spans="1:16" x14ac:dyDescent="0.45">
      <c r="A2141">
        <v>1321</v>
      </c>
      <c r="B2141">
        <v>241</v>
      </c>
      <c r="C2141">
        <v>256</v>
      </c>
      <c r="D2141">
        <v>5</v>
      </c>
      <c r="E2141">
        <v>38.409999999999997</v>
      </c>
      <c r="F2141">
        <v>38.409999999999997</v>
      </c>
      <c r="G2141">
        <v>0</v>
      </c>
      <c r="H2141" s="2">
        <v>0</v>
      </c>
      <c r="I2141">
        <v>0</v>
      </c>
      <c r="J2141">
        <v>192.05</v>
      </c>
      <c r="K2141" s="1">
        <v>45814</v>
      </c>
      <c r="L2141" t="s">
        <v>15</v>
      </c>
      <c r="M2141" t="s">
        <v>15</v>
      </c>
      <c r="N2141">
        <f>salesitems[[#This Row],[quantity]]*salesitems[[#This Row],[unit_price]]</f>
        <v>192.04999999999998</v>
      </c>
      <c r="O2141" t="str">
        <f>_xlfn.XLOOKUP(salesitems[[#This Row],[product_id]],products[product_id],products[product_name])</f>
        <v>Polished Crew Set</v>
      </c>
      <c r="P2141" t="str">
        <f>_xlfn.XLOOKUP(salesitems[[#This Row],[product_id]],fashion_store_products!A:A,fashion_store_products!C:C)</f>
        <v>Sleepwear</v>
      </c>
    </row>
    <row r="2142" spans="1:16" x14ac:dyDescent="0.45">
      <c r="A2142">
        <v>1877</v>
      </c>
      <c r="B2142">
        <v>1020</v>
      </c>
      <c r="C2142">
        <v>498</v>
      </c>
      <c r="D2142">
        <v>5</v>
      </c>
      <c r="E2142">
        <v>38.33</v>
      </c>
      <c r="F2142">
        <v>38.33</v>
      </c>
      <c r="G2142">
        <v>0</v>
      </c>
      <c r="H2142" s="2">
        <v>0</v>
      </c>
      <c r="I2142">
        <v>0</v>
      </c>
      <c r="J2142">
        <v>191.65</v>
      </c>
      <c r="K2142" s="1">
        <v>45794</v>
      </c>
      <c r="L2142" t="s">
        <v>21</v>
      </c>
      <c r="M2142" t="s">
        <v>18</v>
      </c>
      <c r="N2142">
        <f>salesitems[[#This Row],[quantity]]*salesitems[[#This Row],[unit_price]]</f>
        <v>191.64999999999998</v>
      </c>
      <c r="O2142" t="str">
        <f>_xlfn.XLOOKUP(salesitems[[#This Row],[product_id]],products[product_id],products[product_name])</f>
        <v>T-Shirts Drop 8</v>
      </c>
      <c r="P2142" t="str">
        <f>_xlfn.XLOOKUP(salesitems[[#This Row],[product_id]],fashion_store_products!A:A,fashion_store_products!C:C)</f>
        <v>T-Shirts</v>
      </c>
    </row>
    <row r="2143" spans="1:16" x14ac:dyDescent="0.45">
      <c r="A2143">
        <v>156</v>
      </c>
      <c r="B2143">
        <v>994</v>
      </c>
      <c r="C2143">
        <v>496</v>
      </c>
      <c r="D2143">
        <v>5</v>
      </c>
      <c r="E2143">
        <v>54.61</v>
      </c>
      <c r="F2143">
        <v>38.229999999999997</v>
      </c>
      <c r="G2143">
        <v>16.38</v>
      </c>
      <c r="H2143" s="2">
        <v>0.3</v>
      </c>
      <c r="I2143">
        <v>1</v>
      </c>
      <c r="J2143">
        <v>191.14</v>
      </c>
      <c r="K2143" s="1">
        <v>45792</v>
      </c>
      <c r="L2143" t="s">
        <v>15</v>
      </c>
      <c r="M2143" t="s">
        <v>15</v>
      </c>
      <c r="N2143">
        <f>salesitems[[#This Row],[quantity]]*salesitems[[#This Row],[unit_price]]</f>
        <v>191.14999999999998</v>
      </c>
      <c r="O2143" t="str">
        <f>_xlfn.XLOOKUP(salesitems[[#This Row],[product_id]],products[product_id],products[product_name])</f>
        <v>Tailored High-Waist Trousers</v>
      </c>
      <c r="P2143" t="str">
        <f>_xlfn.XLOOKUP(salesitems[[#This Row],[product_id]],fashion_store_products!A:A,fashion_store_products!C:C)</f>
        <v>Pants</v>
      </c>
    </row>
    <row r="2144" spans="1:16" x14ac:dyDescent="0.45">
      <c r="A2144">
        <v>741</v>
      </c>
      <c r="B2144">
        <v>201</v>
      </c>
      <c r="C2144">
        <v>240</v>
      </c>
      <c r="D2144">
        <v>5</v>
      </c>
      <c r="E2144">
        <v>38.14</v>
      </c>
      <c r="F2144">
        <v>38.14</v>
      </c>
      <c r="G2144">
        <v>0</v>
      </c>
      <c r="H2144" s="2">
        <v>0</v>
      </c>
      <c r="I2144">
        <v>0</v>
      </c>
      <c r="J2144">
        <v>190.7</v>
      </c>
      <c r="K2144" s="1">
        <v>45804</v>
      </c>
      <c r="L2144" t="s">
        <v>15</v>
      </c>
      <c r="M2144" t="s">
        <v>15</v>
      </c>
      <c r="N2144">
        <f>salesitems[[#This Row],[quantity]]*salesitems[[#This Row],[unit_price]]</f>
        <v>190.7</v>
      </c>
      <c r="O2144" t="str">
        <f>_xlfn.XLOOKUP(salesitems[[#This Row],[product_id]],products[product_id],products[product_name])</f>
        <v>Polished Linen Trousers</v>
      </c>
      <c r="P2144" t="str">
        <f>_xlfn.XLOOKUP(salesitems[[#This Row],[product_id]],fashion_store_products!A:A,fashion_store_products!C:C)</f>
        <v>Pants</v>
      </c>
    </row>
    <row r="2145" spans="1:16" x14ac:dyDescent="0.45">
      <c r="A2145">
        <v>333</v>
      </c>
      <c r="B2145">
        <v>411</v>
      </c>
      <c r="C2145">
        <v>48</v>
      </c>
      <c r="D2145">
        <v>5</v>
      </c>
      <c r="E2145">
        <v>54.38</v>
      </c>
      <c r="F2145">
        <v>38.07</v>
      </c>
      <c r="G2145">
        <v>16.309999999999999</v>
      </c>
      <c r="H2145" s="2">
        <v>0.3</v>
      </c>
      <c r="I2145">
        <v>1</v>
      </c>
      <c r="J2145">
        <v>190.33</v>
      </c>
      <c r="K2145" s="1">
        <v>45790</v>
      </c>
      <c r="L2145" t="s">
        <v>15</v>
      </c>
      <c r="M2145" t="s">
        <v>15</v>
      </c>
      <c r="N2145">
        <f>salesitems[[#This Row],[quantity]]*salesitems[[#This Row],[unit_price]]</f>
        <v>190.35</v>
      </c>
      <c r="O2145" t="str">
        <f>_xlfn.XLOOKUP(salesitems[[#This Row],[product_id]],products[product_id],products[product_name])</f>
        <v>Soft High-Waist Shoes</v>
      </c>
      <c r="P2145" t="str">
        <f>_xlfn.XLOOKUP(salesitems[[#This Row],[product_id]],fashion_store_products!A:A,fashion_store_products!C:C)</f>
        <v>Shoes</v>
      </c>
    </row>
    <row r="2146" spans="1:16" x14ac:dyDescent="0.45">
      <c r="A2146">
        <v>694</v>
      </c>
      <c r="B2146">
        <v>604</v>
      </c>
      <c r="C2146">
        <v>387</v>
      </c>
      <c r="D2146">
        <v>5</v>
      </c>
      <c r="E2146">
        <v>38.06</v>
      </c>
      <c r="F2146">
        <v>38.06</v>
      </c>
      <c r="G2146">
        <v>0</v>
      </c>
      <c r="H2146" s="2">
        <v>0</v>
      </c>
      <c r="I2146">
        <v>0</v>
      </c>
      <c r="J2146">
        <v>190.3</v>
      </c>
      <c r="K2146" s="1">
        <v>45803</v>
      </c>
      <c r="L2146" t="s">
        <v>21</v>
      </c>
      <c r="M2146" t="s">
        <v>18</v>
      </c>
      <c r="N2146">
        <f>salesitems[[#This Row],[quantity]]*salesitems[[#This Row],[unit_price]]</f>
        <v>190.3</v>
      </c>
      <c r="O2146" t="str">
        <f>_xlfn.XLOOKUP(salesitems[[#This Row],[product_id]],products[product_id],products[product_name])</f>
        <v>Tailored High-Waist Set</v>
      </c>
      <c r="P2146" t="str">
        <f>_xlfn.XLOOKUP(salesitems[[#This Row],[product_id]],fashion_store_products!A:A,fashion_store_products!C:C)</f>
        <v>Sleepwear</v>
      </c>
    </row>
    <row r="2147" spans="1:16" x14ac:dyDescent="0.45">
      <c r="A2147">
        <v>1614</v>
      </c>
      <c r="B2147">
        <v>20</v>
      </c>
      <c r="C2147">
        <v>451</v>
      </c>
      <c r="D2147">
        <v>5</v>
      </c>
      <c r="E2147">
        <v>37.799999999999997</v>
      </c>
      <c r="F2147">
        <v>37.799999999999997</v>
      </c>
      <c r="G2147">
        <v>0</v>
      </c>
      <c r="H2147" s="2">
        <v>0</v>
      </c>
      <c r="I2147">
        <v>0</v>
      </c>
      <c r="J2147">
        <v>189</v>
      </c>
      <c r="K2147" s="1">
        <v>45751</v>
      </c>
      <c r="L2147" t="s">
        <v>21</v>
      </c>
      <c r="M2147" t="s">
        <v>18</v>
      </c>
      <c r="N2147">
        <f>salesitems[[#This Row],[quantity]]*salesitems[[#This Row],[unit_price]]</f>
        <v>189</v>
      </c>
      <c r="O2147" t="str">
        <f>_xlfn.XLOOKUP(salesitems[[#This Row],[product_id]],products[product_id],products[product_name])</f>
        <v>Bold Satin Tee</v>
      </c>
      <c r="P2147" t="str">
        <f>_xlfn.XLOOKUP(salesitems[[#This Row],[product_id]],fashion_store_products!A:A,fashion_store_products!C:C)</f>
        <v>T-Shirts</v>
      </c>
    </row>
    <row r="2148" spans="1:16" x14ac:dyDescent="0.45">
      <c r="A2148">
        <v>1116</v>
      </c>
      <c r="B2148">
        <v>1229</v>
      </c>
      <c r="C2148">
        <v>318</v>
      </c>
      <c r="D2148">
        <v>5</v>
      </c>
      <c r="E2148">
        <v>37.549999999999997</v>
      </c>
      <c r="F2148">
        <v>37.549999999999997</v>
      </c>
      <c r="G2148">
        <v>0</v>
      </c>
      <c r="H2148" s="2">
        <v>0</v>
      </c>
      <c r="I2148">
        <v>0</v>
      </c>
      <c r="J2148">
        <v>187.75</v>
      </c>
      <c r="K2148" s="1">
        <v>45806</v>
      </c>
      <c r="L2148" t="s">
        <v>15</v>
      </c>
      <c r="M2148" t="s">
        <v>15</v>
      </c>
      <c r="N2148">
        <f>salesitems[[#This Row],[quantity]]*salesitems[[#This Row],[unit_price]]</f>
        <v>187.75</v>
      </c>
      <c r="O2148" t="str">
        <f>_xlfn.XLOOKUP(salesitems[[#This Row],[product_id]],products[product_id],products[product_name])</f>
        <v>Essential Boxy Tee</v>
      </c>
      <c r="P2148" t="str">
        <f>_xlfn.XLOOKUP(salesitems[[#This Row],[product_id]],fashion_store_products!A:A,fashion_store_products!C:C)</f>
        <v>T-Shirts</v>
      </c>
    </row>
    <row r="2149" spans="1:16" x14ac:dyDescent="0.45">
      <c r="A2149">
        <v>3187</v>
      </c>
      <c r="B2149">
        <v>11</v>
      </c>
      <c r="C2149">
        <v>318</v>
      </c>
      <c r="D2149">
        <v>5</v>
      </c>
      <c r="E2149">
        <v>37.549999999999997</v>
      </c>
      <c r="F2149">
        <v>37.549999999999997</v>
      </c>
      <c r="G2149">
        <v>0</v>
      </c>
      <c r="H2149" s="2">
        <v>0</v>
      </c>
      <c r="I2149">
        <v>0</v>
      </c>
      <c r="J2149">
        <v>187.75</v>
      </c>
      <c r="K2149" s="1">
        <v>45797</v>
      </c>
      <c r="L2149" t="s">
        <v>15</v>
      </c>
      <c r="M2149" t="s">
        <v>15</v>
      </c>
      <c r="N2149">
        <f>salesitems[[#This Row],[quantity]]*salesitems[[#This Row],[unit_price]]</f>
        <v>187.75</v>
      </c>
      <c r="O2149" t="str">
        <f>_xlfn.XLOOKUP(salesitems[[#This Row],[product_id]],products[product_id],products[product_name])</f>
        <v>Essential Boxy Tee</v>
      </c>
      <c r="P2149" t="str">
        <f>_xlfn.XLOOKUP(salesitems[[#This Row],[product_id]],fashion_store_products!A:A,fashion_store_products!C:C)</f>
        <v>T-Shirts</v>
      </c>
    </row>
    <row r="2150" spans="1:16" x14ac:dyDescent="0.45">
      <c r="A2150">
        <v>1267</v>
      </c>
      <c r="B2150">
        <v>1123</v>
      </c>
      <c r="C2150">
        <v>208</v>
      </c>
      <c r="D2150">
        <v>5</v>
      </c>
      <c r="E2150">
        <v>37.450000000000003</v>
      </c>
      <c r="F2150">
        <v>37.450000000000003</v>
      </c>
      <c r="G2150">
        <v>0</v>
      </c>
      <c r="H2150" s="2">
        <v>0</v>
      </c>
      <c r="I2150">
        <v>0</v>
      </c>
      <c r="J2150">
        <v>187.25</v>
      </c>
      <c r="K2150" s="1">
        <v>45804</v>
      </c>
      <c r="L2150" t="s">
        <v>21</v>
      </c>
      <c r="M2150" t="s">
        <v>18</v>
      </c>
      <c r="N2150">
        <f>salesitems[[#This Row],[quantity]]*salesitems[[#This Row],[unit_price]]</f>
        <v>187.25</v>
      </c>
      <c r="O2150" t="str">
        <f>_xlfn.XLOOKUP(salesitems[[#This Row],[product_id]],products[product_id],products[product_name])</f>
        <v>Polished Wrap Tee</v>
      </c>
      <c r="P2150" t="str">
        <f>_xlfn.XLOOKUP(salesitems[[#This Row],[product_id]],fashion_store_products!A:A,fashion_store_products!C:C)</f>
        <v>T-Shirts</v>
      </c>
    </row>
    <row r="2151" spans="1:16" x14ac:dyDescent="0.45">
      <c r="A2151">
        <v>1566</v>
      </c>
      <c r="B2151">
        <v>352</v>
      </c>
      <c r="C2151">
        <v>85</v>
      </c>
      <c r="D2151">
        <v>5</v>
      </c>
      <c r="E2151">
        <v>37.35</v>
      </c>
      <c r="F2151">
        <v>37.35</v>
      </c>
      <c r="G2151">
        <v>0</v>
      </c>
      <c r="H2151" s="2">
        <v>0</v>
      </c>
      <c r="I2151">
        <v>0</v>
      </c>
      <c r="J2151">
        <v>186.75</v>
      </c>
      <c r="K2151" s="1">
        <v>45752</v>
      </c>
      <c r="L2151" t="s">
        <v>21</v>
      </c>
      <c r="M2151" t="s">
        <v>18</v>
      </c>
      <c r="N2151">
        <f>salesitems[[#This Row],[quantity]]*salesitems[[#This Row],[unit_price]]</f>
        <v>186.75</v>
      </c>
      <c r="O2151" t="str">
        <f>_xlfn.XLOOKUP(salesitems[[#This Row],[product_id]],products[product_id],products[product_name])</f>
        <v>Classic Satin Dress</v>
      </c>
      <c r="P2151" t="str">
        <f>_xlfn.XLOOKUP(salesitems[[#This Row],[product_id]],fashion_store_products!A:A,fashion_store_products!C:C)</f>
        <v>Dresses</v>
      </c>
    </row>
    <row r="2152" spans="1:16" x14ac:dyDescent="0.45">
      <c r="A2152">
        <v>1266</v>
      </c>
      <c r="B2152">
        <v>642</v>
      </c>
      <c r="C2152">
        <v>492</v>
      </c>
      <c r="D2152">
        <v>5</v>
      </c>
      <c r="E2152">
        <v>37.119999999999997</v>
      </c>
      <c r="F2152">
        <v>37.119999999999997</v>
      </c>
      <c r="G2152">
        <v>0</v>
      </c>
      <c r="H2152" s="2">
        <v>0</v>
      </c>
      <c r="I2152">
        <v>0</v>
      </c>
      <c r="J2152">
        <v>185.6</v>
      </c>
      <c r="K2152" s="1">
        <v>45796</v>
      </c>
      <c r="L2152" t="s">
        <v>21</v>
      </c>
      <c r="M2152" t="s">
        <v>18</v>
      </c>
      <c r="N2152">
        <f>salesitems[[#This Row],[quantity]]*salesitems[[#This Row],[unit_price]]</f>
        <v>185.6</v>
      </c>
      <c r="O2152" t="str">
        <f>_xlfn.XLOOKUP(salesitems[[#This Row],[product_id]],products[product_id],products[product_name])</f>
        <v>Tailored Crew Trousers</v>
      </c>
      <c r="P2152" t="str">
        <f>_xlfn.XLOOKUP(salesitems[[#This Row],[product_id]],fashion_store_products!A:A,fashion_store_products!C:C)</f>
        <v>Pants</v>
      </c>
    </row>
    <row r="2153" spans="1:16" x14ac:dyDescent="0.45">
      <c r="A2153">
        <v>1823</v>
      </c>
      <c r="B2153">
        <v>1294</v>
      </c>
      <c r="C2153">
        <v>492</v>
      </c>
      <c r="D2153">
        <v>5</v>
      </c>
      <c r="E2153">
        <v>37.119999999999997</v>
      </c>
      <c r="F2153">
        <v>37.119999999999997</v>
      </c>
      <c r="G2153">
        <v>0</v>
      </c>
      <c r="H2153" s="2">
        <v>0</v>
      </c>
      <c r="I2153">
        <v>0</v>
      </c>
      <c r="J2153">
        <v>185.6</v>
      </c>
      <c r="K2153" s="1">
        <v>45769</v>
      </c>
      <c r="L2153" t="s">
        <v>21</v>
      </c>
      <c r="M2153" t="s">
        <v>18</v>
      </c>
      <c r="N2153">
        <f>salesitems[[#This Row],[quantity]]*salesitems[[#This Row],[unit_price]]</f>
        <v>185.6</v>
      </c>
      <c r="O2153" t="str">
        <f>_xlfn.XLOOKUP(salesitems[[#This Row],[product_id]],products[product_id],products[product_name])</f>
        <v>Tailored Crew Trousers</v>
      </c>
      <c r="P2153" t="str">
        <f>_xlfn.XLOOKUP(salesitems[[#This Row],[product_id]],fashion_store_products!A:A,fashion_store_products!C:C)</f>
        <v>Pants</v>
      </c>
    </row>
    <row r="2154" spans="1:16" x14ac:dyDescent="0.45">
      <c r="A2154">
        <v>3087</v>
      </c>
      <c r="B2154">
        <v>961</v>
      </c>
      <c r="C2154">
        <v>243</v>
      </c>
      <c r="D2154">
        <v>5</v>
      </c>
      <c r="E2154">
        <v>37.06</v>
      </c>
      <c r="F2154">
        <v>37.06</v>
      </c>
      <c r="G2154">
        <v>0</v>
      </c>
      <c r="H2154" s="2">
        <v>0</v>
      </c>
      <c r="I2154">
        <v>0</v>
      </c>
      <c r="J2154">
        <v>185.3</v>
      </c>
      <c r="K2154" s="1">
        <v>45825</v>
      </c>
      <c r="L2154" t="s">
        <v>21</v>
      </c>
      <c r="M2154" t="s">
        <v>18</v>
      </c>
      <c r="N2154">
        <f>salesitems[[#This Row],[quantity]]*salesitems[[#This Row],[unit_price]]</f>
        <v>185.3</v>
      </c>
      <c r="O2154" t="str">
        <f>_xlfn.XLOOKUP(salesitems[[#This Row],[product_id]],products[product_id],products[product_name])</f>
        <v>Polished Satin Set</v>
      </c>
      <c r="P2154" t="str">
        <f>_xlfn.XLOOKUP(salesitems[[#This Row],[product_id]],fashion_store_products!A:A,fashion_store_products!C:C)</f>
        <v>Sleepwear</v>
      </c>
    </row>
    <row r="2155" spans="1:16" x14ac:dyDescent="0.45">
      <c r="A2155">
        <v>2504</v>
      </c>
      <c r="B2155">
        <v>865</v>
      </c>
      <c r="C2155">
        <v>441</v>
      </c>
      <c r="D2155">
        <v>5</v>
      </c>
      <c r="E2155">
        <v>36.99</v>
      </c>
      <c r="F2155">
        <v>36.99</v>
      </c>
      <c r="G2155">
        <v>0</v>
      </c>
      <c r="H2155" s="2">
        <v>0</v>
      </c>
      <c r="I2155">
        <v>0</v>
      </c>
      <c r="J2155">
        <v>184.95</v>
      </c>
      <c r="K2155" s="1">
        <v>45806</v>
      </c>
      <c r="L2155" t="s">
        <v>21</v>
      </c>
      <c r="M2155" t="s">
        <v>18</v>
      </c>
      <c r="N2155">
        <f>salesitems[[#This Row],[quantity]]*salesitems[[#This Row],[unit_price]]</f>
        <v>184.95000000000002</v>
      </c>
      <c r="O2155" t="str">
        <f>_xlfn.XLOOKUP(salesitems[[#This Row],[product_id]],products[product_id],products[product_name])</f>
        <v>Bold Linen Dress</v>
      </c>
      <c r="P2155" t="str">
        <f>_xlfn.XLOOKUP(salesitems[[#This Row],[product_id]],fashion_store_products!A:A,fashion_store_products!C:C)</f>
        <v>Dresses</v>
      </c>
    </row>
    <row r="2156" spans="1:16" x14ac:dyDescent="0.45">
      <c r="A2156">
        <v>2173</v>
      </c>
      <c r="B2156">
        <v>156</v>
      </c>
      <c r="C2156">
        <v>251</v>
      </c>
      <c r="D2156">
        <v>5</v>
      </c>
      <c r="E2156">
        <v>36.880000000000003</v>
      </c>
      <c r="F2156">
        <v>36.880000000000003</v>
      </c>
      <c r="G2156">
        <v>0</v>
      </c>
      <c r="H2156" s="2">
        <v>0</v>
      </c>
      <c r="I2156">
        <v>0</v>
      </c>
      <c r="J2156">
        <v>184.4</v>
      </c>
      <c r="K2156" s="1">
        <v>45801</v>
      </c>
      <c r="L2156" t="s">
        <v>21</v>
      </c>
      <c r="M2156" t="s">
        <v>18</v>
      </c>
      <c r="N2156">
        <f>salesitems[[#This Row],[quantity]]*salesitems[[#This Row],[unit_price]]</f>
        <v>184.4</v>
      </c>
      <c r="O2156" t="str">
        <f>_xlfn.XLOOKUP(salesitems[[#This Row],[product_id]],products[product_id],products[product_name])</f>
        <v>Relaxed Wrap Tee</v>
      </c>
      <c r="P2156" t="str">
        <f>_xlfn.XLOOKUP(salesitems[[#This Row],[product_id]],fashion_store_products!A:A,fashion_store_products!C:C)</f>
        <v>T-Shirts</v>
      </c>
    </row>
    <row r="2157" spans="1:16" x14ac:dyDescent="0.45">
      <c r="A2157">
        <v>1312</v>
      </c>
      <c r="B2157">
        <v>602</v>
      </c>
      <c r="C2157">
        <v>5</v>
      </c>
      <c r="D2157">
        <v>5</v>
      </c>
      <c r="E2157">
        <v>36.840000000000003</v>
      </c>
      <c r="F2157">
        <v>36.840000000000003</v>
      </c>
      <c r="G2157">
        <v>0</v>
      </c>
      <c r="H2157" s="2">
        <v>0</v>
      </c>
      <c r="I2157">
        <v>0</v>
      </c>
      <c r="J2157">
        <v>184.2</v>
      </c>
      <c r="K2157" s="1">
        <v>45775</v>
      </c>
      <c r="L2157" t="s">
        <v>21</v>
      </c>
      <c r="M2157" t="s">
        <v>18</v>
      </c>
      <c r="N2157">
        <f>salesitems[[#This Row],[quantity]]*salesitems[[#This Row],[unit_price]]</f>
        <v>184.20000000000002</v>
      </c>
      <c r="O2157" t="str">
        <f>_xlfn.XLOOKUP(salesitems[[#This Row],[product_id]],products[product_id],products[product_name])</f>
        <v>Soft Wrap Trousers</v>
      </c>
      <c r="P2157" t="str">
        <f>_xlfn.XLOOKUP(salesitems[[#This Row],[product_id]],fashion_store_products!A:A,fashion_store_products!C:C)</f>
        <v>Pants</v>
      </c>
    </row>
    <row r="2158" spans="1:16" x14ac:dyDescent="0.45">
      <c r="A2158">
        <v>1355</v>
      </c>
      <c r="B2158">
        <v>642</v>
      </c>
      <c r="C2158">
        <v>5</v>
      </c>
      <c r="D2158">
        <v>5</v>
      </c>
      <c r="E2158">
        <v>36.840000000000003</v>
      </c>
      <c r="F2158">
        <v>36.840000000000003</v>
      </c>
      <c r="G2158">
        <v>0</v>
      </c>
      <c r="H2158" s="2">
        <v>0</v>
      </c>
      <c r="I2158">
        <v>0</v>
      </c>
      <c r="J2158">
        <v>184.2</v>
      </c>
      <c r="K2158" s="1">
        <v>45796</v>
      </c>
      <c r="L2158" t="s">
        <v>21</v>
      </c>
      <c r="M2158" t="s">
        <v>18</v>
      </c>
      <c r="N2158">
        <f>salesitems[[#This Row],[quantity]]*salesitems[[#This Row],[unit_price]]</f>
        <v>184.20000000000002</v>
      </c>
      <c r="O2158" t="str">
        <f>_xlfn.XLOOKUP(salesitems[[#This Row],[product_id]],products[product_id],products[product_name])</f>
        <v>Soft Wrap Trousers</v>
      </c>
      <c r="P2158" t="str">
        <f>_xlfn.XLOOKUP(salesitems[[#This Row],[product_id]],fashion_store_products!A:A,fashion_store_products!C:C)</f>
        <v>Pants</v>
      </c>
    </row>
    <row r="2159" spans="1:16" x14ac:dyDescent="0.45">
      <c r="A2159">
        <v>3085</v>
      </c>
      <c r="B2159">
        <v>647</v>
      </c>
      <c r="C2159">
        <v>5</v>
      </c>
      <c r="D2159">
        <v>5</v>
      </c>
      <c r="E2159">
        <v>36.840000000000003</v>
      </c>
      <c r="F2159">
        <v>36.840000000000003</v>
      </c>
      <c r="G2159">
        <v>0</v>
      </c>
      <c r="H2159" s="2">
        <v>0</v>
      </c>
      <c r="I2159">
        <v>0</v>
      </c>
      <c r="J2159">
        <v>184.2</v>
      </c>
      <c r="K2159" s="1">
        <v>45777</v>
      </c>
      <c r="L2159" t="s">
        <v>21</v>
      </c>
      <c r="M2159" t="s">
        <v>18</v>
      </c>
      <c r="N2159">
        <f>salesitems[[#This Row],[quantity]]*salesitems[[#This Row],[unit_price]]</f>
        <v>184.20000000000002</v>
      </c>
      <c r="O2159" t="str">
        <f>_xlfn.XLOOKUP(salesitems[[#This Row],[product_id]],products[product_id],products[product_name])</f>
        <v>Soft Wrap Trousers</v>
      </c>
      <c r="P2159" t="str">
        <f>_xlfn.XLOOKUP(salesitems[[#This Row],[product_id]],fashion_store_products!A:A,fashion_store_products!C:C)</f>
        <v>Pants</v>
      </c>
    </row>
    <row r="2160" spans="1:16" x14ac:dyDescent="0.45">
      <c r="A2160">
        <v>1544</v>
      </c>
      <c r="B2160">
        <v>811</v>
      </c>
      <c r="C2160">
        <v>248</v>
      </c>
      <c r="D2160">
        <v>5</v>
      </c>
      <c r="E2160">
        <v>36.79</v>
      </c>
      <c r="F2160">
        <v>36.79</v>
      </c>
      <c r="G2160">
        <v>0</v>
      </c>
      <c r="H2160" s="2">
        <v>0</v>
      </c>
      <c r="I2160">
        <v>0</v>
      </c>
      <c r="J2160">
        <v>183.95</v>
      </c>
      <c r="K2160" s="1">
        <v>45774</v>
      </c>
      <c r="L2160" t="s">
        <v>15</v>
      </c>
      <c r="M2160" t="s">
        <v>15</v>
      </c>
      <c r="N2160">
        <f>salesitems[[#This Row],[quantity]]*salesitems[[#This Row],[unit_price]]</f>
        <v>183.95</v>
      </c>
      <c r="O2160" t="str">
        <f>_xlfn.XLOOKUP(salesitems[[#This Row],[product_id]],products[product_id],products[product_name])</f>
        <v>Polished Boxy Tee</v>
      </c>
      <c r="P2160" t="str">
        <f>_xlfn.XLOOKUP(salesitems[[#This Row],[product_id]],fashion_store_products!A:A,fashion_store_products!C:C)</f>
        <v>T-Shirts</v>
      </c>
    </row>
    <row r="2161" spans="1:16" x14ac:dyDescent="0.45">
      <c r="A2161">
        <v>2840</v>
      </c>
      <c r="B2161">
        <v>401</v>
      </c>
      <c r="C2161">
        <v>148</v>
      </c>
      <c r="D2161">
        <v>5</v>
      </c>
      <c r="E2161">
        <v>36.69</v>
      </c>
      <c r="F2161">
        <v>36.69</v>
      </c>
      <c r="G2161">
        <v>0</v>
      </c>
      <c r="H2161" s="2">
        <v>0</v>
      </c>
      <c r="I2161">
        <v>0</v>
      </c>
      <c r="J2161">
        <v>183.45</v>
      </c>
      <c r="K2161" s="1">
        <v>45762</v>
      </c>
      <c r="L2161" t="s">
        <v>21</v>
      </c>
      <c r="M2161" t="s">
        <v>18</v>
      </c>
      <c r="N2161">
        <f>salesitems[[#This Row],[quantity]]*salesitems[[#This Row],[unit_price]]</f>
        <v>183.45</v>
      </c>
      <c r="O2161" t="str">
        <f>_xlfn.XLOOKUP(salesitems[[#This Row],[product_id]],products[product_id],products[product_name])</f>
        <v>Classic Boxy Tee</v>
      </c>
      <c r="P2161" t="str">
        <f>_xlfn.XLOOKUP(salesitems[[#This Row],[product_id]],fashion_store_products!A:A,fashion_store_products!C:C)</f>
        <v>T-Shirts</v>
      </c>
    </row>
    <row r="2162" spans="1:16" x14ac:dyDescent="0.45">
      <c r="A2162">
        <v>1518</v>
      </c>
      <c r="B2162">
        <v>1024</v>
      </c>
      <c r="C2162">
        <v>495</v>
      </c>
      <c r="D2162">
        <v>5</v>
      </c>
      <c r="E2162">
        <v>36.65</v>
      </c>
      <c r="F2162">
        <v>36.65</v>
      </c>
      <c r="G2162">
        <v>0</v>
      </c>
      <c r="H2162" s="2">
        <v>0</v>
      </c>
      <c r="I2162">
        <v>0</v>
      </c>
      <c r="J2162">
        <v>183.25</v>
      </c>
      <c r="K2162" s="1">
        <v>45762</v>
      </c>
      <c r="L2162" t="s">
        <v>15</v>
      </c>
      <c r="M2162" t="s">
        <v>15</v>
      </c>
      <c r="N2162">
        <f>salesitems[[#This Row],[quantity]]*salesitems[[#This Row],[unit_price]]</f>
        <v>183.25</v>
      </c>
      <c r="O2162" t="str">
        <f>_xlfn.XLOOKUP(salesitems[[#This Row],[product_id]],products[product_id],products[product_name])</f>
        <v>Dresses Drop 7</v>
      </c>
      <c r="P2162" t="str">
        <f>_xlfn.XLOOKUP(salesitems[[#This Row],[product_id]],fashion_store_products!A:A,fashion_store_products!C:C)</f>
        <v>Dresses</v>
      </c>
    </row>
    <row r="2163" spans="1:16" x14ac:dyDescent="0.45">
      <c r="A2163">
        <v>2363</v>
      </c>
      <c r="B2163">
        <v>1040</v>
      </c>
      <c r="C2163">
        <v>445</v>
      </c>
      <c r="D2163">
        <v>5</v>
      </c>
      <c r="E2163">
        <v>52.28</v>
      </c>
      <c r="F2163">
        <v>36.6</v>
      </c>
      <c r="G2163">
        <v>15.68</v>
      </c>
      <c r="H2163" s="2">
        <v>0.3</v>
      </c>
      <c r="I2163">
        <v>1</v>
      </c>
      <c r="J2163">
        <v>182.98</v>
      </c>
      <c r="K2163" s="1">
        <v>45793</v>
      </c>
      <c r="L2163" t="s">
        <v>15</v>
      </c>
      <c r="M2163" t="s">
        <v>15</v>
      </c>
      <c r="N2163">
        <f>salesitems[[#This Row],[quantity]]*salesitems[[#This Row],[unit_price]]</f>
        <v>183</v>
      </c>
      <c r="O2163" t="str">
        <f>_xlfn.XLOOKUP(salesitems[[#This Row],[product_id]],products[product_id],products[product_name])</f>
        <v>Bold Cotton Set</v>
      </c>
      <c r="P2163" t="str">
        <f>_xlfn.XLOOKUP(salesitems[[#This Row],[product_id]],fashion_store_products!A:A,fashion_store_products!C:C)</f>
        <v>Sleepwear</v>
      </c>
    </row>
    <row r="2164" spans="1:16" x14ac:dyDescent="0.45">
      <c r="A2164">
        <v>1678</v>
      </c>
      <c r="B2164">
        <v>343</v>
      </c>
      <c r="C2164">
        <v>364</v>
      </c>
      <c r="D2164">
        <v>5</v>
      </c>
      <c r="E2164">
        <v>36.340000000000003</v>
      </c>
      <c r="F2164">
        <v>36.340000000000003</v>
      </c>
      <c r="G2164">
        <v>0</v>
      </c>
      <c r="H2164" s="2">
        <v>0</v>
      </c>
      <c r="I2164">
        <v>0</v>
      </c>
      <c r="J2164">
        <v>181.7</v>
      </c>
      <c r="K2164" s="1">
        <v>45825</v>
      </c>
      <c r="L2164" t="s">
        <v>15</v>
      </c>
      <c r="M2164" t="s">
        <v>15</v>
      </c>
      <c r="N2164">
        <f>salesitems[[#This Row],[quantity]]*salesitems[[#This Row],[unit_price]]</f>
        <v>181.70000000000002</v>
      </c>
      <c r="O2164" t="str">
        <f>_xlfn.XLOOKUP(salesitems[[#This Row],[product_id]],products[product_id],products[product_name])</f>
        <v>Tailored Satin Dress</v>
      </c>
      <c r="P2164" t="str">
        <f>_xlfn.XLOOKUP(salesitems[[#This Row],[product_id]],fashion_store_products!A:A,fashion_store_products!C:C)</f>
        <v>Dresses</v>
      </c>
    </row>
    <row r="2165" spans="1:16" x14ac:dyDescent="0.45">
      <c r="A2165">
        <v>1856</v>
      </c>
      <c r="B2165">
        <v>474</v>
      </c>
      <c r="C2165">
        <v>364</v>
      </c>
      <c r="D2165">
        <v>5</v>
      </c>
      <c r="E2165">
        <v>36.340000000000003</v>
      </c>
      <c r="F2165">
        <v>36.340000000000003</v>
      </c>
      <c r="G2165">
        <v>0</v>
      </c>
      <c r="H2165" s="2">
        <v>0</v>
      </c>
      <c r="I2165">
        <v>0</v>
      </c>
      <c r="J2165">
        <v>181.7</v>
      </c>
      <c r="K2165" s="1">
        <v>45761</v>
      </c>
      <c r="L2165" t="s">
        <v>15</v>
      </c>
      <c r="M2165" t="s">
        <v>15</v>
      </c>
      <c r="N2165">
        <f>salesitems[[#This Row],[quantity]]*salesitems[[#This Row],[unit_price]]</f>
        <v>181.70000000000002</v>
      </c>
      <c r="O2165" t="str">
        <f>_xlfn.XLOOKUP(salesitems[[#This Row],[product_id]],products[product_id],products[product_name])</f>
        <v>Tailored Satin Dress</v>
      </c>
      <c r="P2165" t="str">
        <f>_xlfn.XLOOKUP(salesitems[[#This Row],[product_id]],fashion_store_products!A:A,fashion_store_products!C:C)</f>
        <v>Dresses</v>
      </c>
    </row>
    <row r="2166" spans="1:16" x14ac:dyDescent="0.45">
      <c r="A2166">
        <v>1012</v>
      </c>
      <c r="B2166">
        <v>321</v>
      </c>
      <c r="C2166">
        <v>259</v>
      </c>
      <c r="D2166">
        <v>5</v>
      </c>
      <c r="E2166">
        <v>35.729999999999997</v>
      </c>
      <c r="F2166">
        <v>35.729999999999997</v>
      </c>
      <c r="G2166">
        <v>0</v>
      </c>
      <c r="H2166" s="2">
        <v>0</v>
      </c>
      <c r="I2166">
        <v>0</v>
      </c>
      <c r="J2166">
        <v>178.65</v>
      </c>
      <c r="K2166" s="1">
        <v>45808</v>
      </c>
      <c r="L2166" t="s">
        <v>15</v>
      </c>
      <c r="M2166" t="s">
        <v>15</v>
      </c>
      <c r="N2166">
        <f>salesitems[[#This Row],[quantity]]*salesitems[[#This Row],[unit_price]]</f>
        <v>178.64999999999998</v>
      </c>
      <c r="O2166" t="str">
        <f>_xlfn.XLOOKUP(salesitems[[#This Row],[product_id]],products[product_id],products[product_name])</f>
        <v>Polished Silk Trousers</v>
      </c>
      <c r="P2166" t="str">
        <f>_xlfn.XLOOKUP(salesitems[[#This Row],[product_id]],fashion_store_products!A:A,fashion_store_products!C:C)</f>
        <v>Pants</v>
      </c>
    </row>
    <row r="2167" spans="1:16" x14ac:dyDescent="0.45">
      <c r="A2167">
        <v>1112</v>
      </c>
      <c r="B2167">
        <v>1271</v>
      </c>
      <c r="C2167">
        <v>313</v>
      </c>
      <c r="D2167">
        <v>5</v>
      </c>
      <c r="E2167">
        <v>35.69</v>
      </c>
      <c r="F2167">
        <v>35.69</v>
      </c>
      <c r="G2167">
        <v>0</v>
      </c>
      <c r="H2167" s="2">
        <v>0</v>
      </c>
      <c r="I2167">
        <v>0</v>
      </c>
      <c r="J2167">
        <v>178.45</v>
      </c>
      <c r="K2167" s="1">
        <v>45752</v>
      </c>
      <c r="L2167" t="s">
        <v>21</v>
      </c>
      <c r="M2167" t="s">
        <v>18</v>
      </c>
      <c r="N2167">
        <f>salesitems[[#This Row],[quantity]]*salesitems[[#This Row],[unit_price]]</f>
        <v>178.45</v>
      </c>
      <c r="O2167" t="str">
        <f>_xlfn.XLOOKUP(salesitems[[#This Row],[product_id]],products[product_id],products[product_name])</f>
        <v>Relaxed Crew Set</v>
      </c>
      <c r="P2167" t="str">
        <f>_xlfn.XLOOKUP(salesitems[[#This Row],[product_id]],fashion_store_products!A:A,fashion_store_products!C:C)</f>
        <v>Sleepwear</v>
      </c>
    </row>
    <row r="2168" spans="1:16" x14ac:dyDescent="0.45">
      <c r="A2168">
        <v>55</v>
      </c>
      <c r="B2168">
        <v>1177</v>
      </c>
      <c r="C2168">
        <v>381</v>
      </c>
      <c r="D2168">
        <v>5</v>
      </c>
      <c r="E2168">
        <v>35.590000000000003</v>
      </c>
      <c r="F2168">
        <v>35.590000000000003</v>
      </c>
      <c r="G2168">
        <v>0</v>
      </c>
      <c r="H2168" s="2">
        <v>0</v>
      </c>
      <c r="I2168">
        <v>0</v>
      </c>
      <c r="J2168">
        <v>177.95</v>
      </c>
      <c r="K2168" s="1">
        <v>45774</v>
      </c>
      <c r="L2168" t="s">
        <v>21</v>
      </c>
      <c r="M2168" t="s">
        <v>18</v>
      </c>
      <c r="N2168">
        <f>salesitems[[#This Row],[quantity]]*salesitems[[#This Row],[unit_price]]</f>
        <v>177.95000000000002</v>
      </c>
      <c r="O2168" t="str">
        <f>_xlfn.XLOOKUP(salesitems[[#This Row],[product_id]],products[product_id],products[product_name])</f>
        <v>Elegant Satin Tee</v>
      </c>
      <c r="P2168" t="str">
        <f>_xlfn.XLOOKUP(salesitems[[#This Row],[product_id]],fashion_store_products!A:A,fashion_store_products!C:C)</f>
        <v>T-Shirts</v>
      </c>
    </row>
    <row r="2169" spans="1:16" x14ac:dyDescent="0.45">
      <c r="A2169">
        <v>2772</v>
      </c>
      <c r="B2169">
        <v>1173</v>
      </c>
      <c r="C2169">
        <v>370</v>
      </c>
      <c r="D2169">
        <v>5</v>
      </c>
      <c r="E2169">
        <v>50.34</v>
      </c>
      <c r="F2169">
        <v>35.24</v>
      </c>
      <c r="G2169">
        <v>15.1</v>
      </c>
      <c r="H2169" s="2">
        <v>0.3</v>
      </c>
      <c r="I2169">
        <v>1</v>
      </c>
      <c r="J2169">
        <v>176.19</v>
      </c>
      <c r="K2169" s="1">
        <v>45793</v>
      </c>
      <c r="L2169" t="s">
        <v>15</v>
      </c>
      <c r="M2169" t="s">
        <v>15</v>
      </c>
      <c r="N2169">
        <f>salesitems[[#This Row],[quantity]]*salesitems[[#This Row],[unit_price]]</f>
        <v>176.20000000000002</v>
      </c>
      <c r="O2169" t="str">
        <f>_xlfn.XLOOKUP(salesitems[[#This Row],[product_id]],products[product_id],products[product_name])</f>
        <v>Elegant Ribbed Tee</v>
      </c>
      <c r="P2169" t="str">
        <f>_xlfn.XLOOKUP(salesitems[[#This Row],[product_id]],fashion_store_products!A:A,fashion_store_products!C:C)</f>
        <v>T-Shirts</v>
      </c>
    </row>
    <row r="2170" spans="1:16" x14ac:dyDescent="0.45">
      <c r="A2170">
        <v>192</v>
      </c>
      <c r="B2170">
        <v>2</v>
      </c>
      <c r="C2170">
        <v>414</v>
      </c>
      <c r="D2170">
        <v>5</v>
      </c>
      <c r="E2170">
        <v>35.200000000000003</v>
      </c>
      <c r="F2170">
        <v>35.200000000000003</v>
      </c>
      <c r="G2170">
        <v>0</v>
      </c>
      <c r="H2170" s="2">
        <v>0</v>
      </c>
      <c r="I2170">
        <v>0</v>
      </c>
      <c r="J2170">
        <v>176</v>
      </c>
      <c r="K2170" s="1">
        <v>45793</v>
      </c>
      <c r="L2170" t="s">
        <v>21</v>
      </c>
      <c r="M2170" t="s">
        <v>18</v>
      </c>
      <c r="N2170">
        <f>salesitems[[#This Row],[quantity]]*salesitems[[#This Row],[unit_price]]</f>
        <v>176</v>
      </c>
      <c r="O2170" t="str">
        <f>_xlfn.XLOOKUP(salesitems[[#This Row],[product_id]],products[product_id],products[product_name])</f>
        <v>Elegant Crew Set</v>
      </c>
      <c r="P2170" t="str">
        <f>_xlfn.XLOOKUP(salesitems[[#This Row],[product_id]],fashion_store_products!A:A,fashion_store_products!C:C)</f>
        <v>Sleepwear</v>
      </c>
    </row>
    <row r="2171" spans="1:16" x14ac:dyDescent="0.45">
      <c r="A2171">
        <v>1819</v>
      </c>
      <c r="B2171">
        <v>1064</v>
      </c>
      <c r="C2171">
        <v>454</v>
      </c>
      <c r="D2171">
        <v>5</v>
      </c>
      <c r="E2171">
        <v>35.159999999999997</v>
      </c>
      <c r="F2171">
        <v>35.159999999999997</v>
      </c>
      <c r="G2171">
        <v>0</v>
      </c>
      <c r="H2171" s="2">
        <v>0</v>
      </c>
      <c r="I2171">
        <v>0</v>
      </c>
      <c r="J2171">
        <v>175.8</v>
      </c>
      <c r="K2171" s="1">
        <v>45765</v>
      </c>
      <c r="L2171" t="s">
        <v>21</v>
      </c>
      <c r="M2171" t="s">
        <v>18</v>
      </c>
      <c r="N2171">
        <f>salesitems[[#This Row],[quantity]]*salesitems[[#This Row],[unit_price]]</f>
        <v>175.79999999999998</v>
      </c>
      <c r="O2171" t="str">
        <f>_xlfn.XLOOKUP(salesitems[[#This Row],[product_id]],products[product_id],products[product_name])</f>
        <v>Bold Crew Set</v>
      </c>
      <c r="P2171" t="str">
        <f>_xlfn.XLOOKUP(salesitems[[#This Row],[product_id]],fashion_store_products!A:A,fashion_store_products!C:C)</f>
        <v>Sleepwear</v>
      </c>
    </row>
    <row r="2172" spans="1:16" x14ac:dyDescent="0.45">
      <c r="A2172">
        <v>852</v>
      </c>
      <c r="B2172">
        <v>551</v>
      </c>
      <c r="C2172">
        <v>405</v>
      </c>
      <c r="D2172">
        <v>5</v>
      </c>
      <c r="E2172">
        <v>34.71</v>
      </c>
      <c r="F2172">
        <v>34.71</v>
      </c>
      <c r="G2172">
        <v>0</v>
      </c>
      <c r="H2172" s="2">
        <v>0</v>
      </c>
      <c r="I2172">
        <v>0</v>
      </c>
      <c r="J2172">
        <v>173.55</v>
      </c>
      <c r="K2172" s="1">
        <v>45808</v>
      </c>
      <c r="L2172" t="s">
        <v>21</v>
      </c>
      <c r="M2172" t="s">
        <v>18</v>
      </c>
      <c r="N2172">
        <f>salesitems[[#This Row],[quantity]]*salesitems[[#This Row],[unit_price]]</f>
        <v>173.55</v>
      </c>
      <c r="O2172" t="str">
        <f>_xlfn.XLOOKUP(salesitems[[#This Row],[product_id]],products[product_id],products[product_name])</f>
        <v>Elegant Silk Dress</v>
      </c>
      <c r="P2172" t="str">
        <f>_xlfn.XLOOKUP(salesitems[[#This Row],[product_id]],fashion_store_products!A:A,fashion_store_products!C:C)</f>
        <v>Dresses</v>
      </c>
    </row>
    <row r="2173" spans="1:16" x14ac:dyDescent="0.45">
      <c r="A2173">
        <v>1399</v>
      </c>
      <c r="B2173">
        <v>761</v>
      </c>
      <c r="C2173">
        <v>59</v>
      </c>
      <c r="D2173">
        <v>5</v>
      </c>
      <c r="E2173">
        <v>34.58</v>
      </c>
      <c r="F2173">
        <v>34.58</v>
      </c>
      <c r="G2173">
        <v>0</v>
      </c>
      <c r="H2173" s="2">
        <v>0</v>
      </c>
      <c r="I2173">
        <v>0</v>
      </c>
      <c r="J2173">
        <v>172.9</v>
      </c>
      <c r="K2173" s="1">
        <v>45808</v>
      </c>
      <c r="L2173" t="s">
        <v>21</v>
      </c>
      <c r="M2173" t="s">
        <v>18</v>
      </c>
      <c r="N2173">
        <f>salesitems[[#This Row],[quantity]]*salesitems[[#This Row],[unit_price]]</f>
        <v>172.89999999999998</v>
      </c>
      <c r="O2173" t="str">
        <f>_xlfn.XLOOKUP(salesitems[[#This Row],[product_id]],products[product_id],products[product_name])</f>
        <v>Soft Silk Set</v>
      </c>
      <c r="P2173" t="str">
        <f>_xlfn.XLOOKUP(salesitems[[#This Row],[product_id]],fashion_store_products!A:A,fashion_store_products!C:C)</f>
        <v>Sleepwear</v>
      </c>
    </row>
    <row r="2174" spans="1:16" x14ac:dyDescent="0.45">
      <c r="A2174">
        <v>2044</v>
      </c>
      <c r="B2174">
        <v>295</v>
      </c>
      <c r="C2174">
        <v>175</v>
      </c>
      <c r="D2174">
        <v>5</v>
      </c>
      <c r="E2174">
        <v>49.16</v>
      </c>
      <c r="F2174">
        <v>34.409999999999997</v>
      </c>
      <c r="G2174">
        <v>14.75</v>
      </c>
      <c r="H2174" s="2">
        <v>0.3</v>
      </c>
      <c r="I2174">
        <v>1</v>
      </c>
      <c r="J2174">
        <v>172.06</v>
      </c>
      <c r="K2174" s="1">
        <v>45790</v>
      </c>
      <c r="L2174" t="s">
        <v>15</v>
      </c>
      <c r="M2174" t="s">
        <v>15</v>
      </c>
      <c r="N2174">
        <f>salesitems[[#This Row],[quantity]]*salesitems[[#This Row],[unit_price]]</f>
        <v>172.04999999999998</v>
      </c>
      <c r="O2174" t="str">
        <f>_xlfn.XLOOKUP(salesitems[[#This Row],[product_id]],products[product_id],products[product_name])</f>
        <v>Vintage Cotton Tee</v>
      </c>
      <c r="P2174" t="str">
        <f>_xlfn.XLOOKUP(salesitems[[#This Row],[product_id]],fashion_store_products!A:A,fashion_store_products!C:C)</f>
        <v>T-Shirts</v>
      </c>
    </row>
    <row r="2175" spans="1:16" x14ac:dyDescent="0.45">
      <c r="A2175">
        <v>657</v>
      </c>
      <c r="B2175">
        <v>232</v>
      </c>
      <c r="C2175">
        <v>343</v>
      </c>
      <c r="D2175">
        <v>5</v>
      </c>
      <c r="E2175">
        <v>34.39</v>
      </c>
      <c r="F2175">
        <v>34.39</v>
      </c>
      <c r="G2175">
        <v>0</v>
      </c>
      <c r="H2175" s="2">
        <v>0</v>
      </c>
      <c r="I2175">
        <v>0</v>
      </c>
      <c r="J2175">
        <v>171.95</v>
      </c>
      <c r="K2175" s="1">
        <v>45807</v>
      </c>
      <c r="L2175" t="s">
        <v>15</v>
      </c>
      <c r="M2175" t="s">
        <v>15</v>
      </c>
      <c r="N2175">
        <f>salesitems[[#This Row],[quantity]]*salesitems[[#This Row],[unit_price]]</f>
        <v>171.95</v>
      </c>
      <c r="O2175" t="str">
        <f>_xlfn.XLOOKUP(salesitems[[#This Row],[product_id]],products[product_id],products[product_name])</f>
        <v>Tailored Satin Tee</v>
      </c>
      <c r="P2175" t="str">
        <f>_xlfn.XLOOKUP(salesitems[[#This Row],[product_id]],fashion_store_products!A:A,fashion_store_products!C:C)</f>
        <v>T-Shirts</v>
      </c>
    </row>
    <row r="2176" spans="1:16" x14ac:dyDescent="0.45">
      <c r="A2176">
        <v>789</v>
      </c>
      <c r="B2176">
        <v>968</v>
      </c>
      <c r="C2176">
        <v>342</v>
      </c>
      <c r="D2176">
        <v>5</v>
      </c>
      <c r="E2176">
        <v>34.35</v>
      </c>
      <c r="F2176">
        <v>34.35</v>
      </c>
      <c r="G2176">
        <v>0</v>
      </c>
      <c r="H2176" s="2">
        <v>0</v>
      </c>
      <c r="I2176">
        <v>0</v>
      </c>
      <c r="J2176">
        <v>171.75</v>
      </c>
      <c r="K2176" s="1">
        <v>45821</v>
      </c>
      <c r="L2176" t="s">
        <v>21</v>
      </c>
      <c r="M2176" t="s">
        <v>18</v>
      </c>
      <c r="N2176">
        <f>salesitems[[#This Row],[quantity]]*salesitems[[#This Row],[unit_price]]</f>
        <v>171.75</v>
      </c>
      <c r="O2176" t="str">
        <f>_xlfn.XLOOKUP(salesitems[[#This Row],[product_id]],products[product_id],products[product_name])</f>
        <v>Essential Satin Set</v>
      </c>
      <c r="P2176" t="str">
        <f>_xlfn.XLOOKUP(salesitems[[#This Row],[product_id]],fashion_store_products!A:A,fashion_store_products!C:C)</f>
        <v>Sleepwear</v>
      </c>
    </row>
    <row r="2177" spans="1:16" x14ac:dyDescent="0.45">
      <c r="A2177">
        <v>1928</v>
      </c>
      <c r="B2177">
        <v>975</v>
      </c>
      <c r="C2177">
        <v>342</v>
      </c>
      <c r="D2177">
        <v>5</v>
      </c>
      <c r="E2177">
        <v>34.35</v>
      </c>
      <c r="F2177">
        <v>34.35</v>
      </c>
      <c r="G2177">
        <v>0</v>
      </c>
      <c r="H2177" s="2">
        <v>0</v>
      </c>
      <c r="I2177">
        <v>0</v>
      </c>
      <c r="J2177">
        <v>171.75</v>
      </c>
      <c r="K2177" s="1">
        <v>45761</v>
      </c>
      <c r="L2177" t="s">
        <v>15</v>
      </c>
      <c r="M2177" t="s">
        <v>15</v>
      </c>
      <c r="N2177">
        <f>salesitems[[#This Row],[quantity]]*salesitems[[#This Row],[unit_price]]</f>
        <v>171.75</v>
      </c>
      <c r="O2177" t="str">
        <f>_xlfn.XLOOKUP(salesitems[[#This Row],[product_id]],products[product_id],products[product_name])</f>
        <v>Essential Satin Set</v>
      </c>
      <c r="P2177" t="str">
        <f>_xlfn.XLOOKUP(salesitems[[#This Row],[product_id]],fashion_store_products!A:A,fashion_store_products!C:C)</f>
        <v>Sleepwear</v>
      </c>
    </row>
    <row r="2178" spans="1:16" x14ac:dyDescent="0.45">
      <c r="A2178">
        <v>1930</v>
      </c>
      <c r="B2178">
        <v>64</v>
      </c>
      <c r="C2178">
        <v>342</v>
      </c>
      <c r="D2178">
        <v>5</v>
      </c>
      <c r="E2178">
        <v>34.35</v>
      </c>
      <c r="F2178">
        <v>34.35</v>
      </c>
      <c r="G2178">
        <v>0</v>
      </c>
      <c r="H2178" s="2">
        <v>0</v>
      </c>
      <c r="I2178">
        <v>0</v>
      </c>
      <c r="J2178">
        <v>171.75</v>
      </c>
      <c r="K2178" s="1">
        <v>45798</v>
      </c>
      <c r="L2178" t="s">
        <v>15</v>
      </c>
      <c r="M2178" t="s">
        <v>15</v>
      </c>
      <c r="N2178">
        <f>salesitems[[#This Row],[quantity]]*salesitems[[#This Row],[unit_price]]</f>
        <v>171.75</v>
      </c>
      <c r="O2178" t="str">
        <f>_xlfn.XLOOKUP(salesitems[[#This Row],[product_id]],products[product_id],products[product_name])</f>
        <v>Essential Satin Set</v>
      </c>
      <c r="P2178" t="str">
        <f>_xlfn.XLOOKUP(salesitems[[#This Row],[product_id]],fashion_store_products!A:A,fashion_store_products!C:C)</f>
        <v>Sleepwear</v>
      </c>
    </row>
    <row r="2179" spans="1:16" x14ac:dyDescent="0.45">
      <c r="A2179">
        <v>1484</v>
      </c>
      <c r="B2179">
        <v>6</v>
      </c>
      <c r="C2179">
        <v>13</v>
      </c>
      <c r="D2179">
        <v>5</v>
      </c>
      <c r="E2179">
        <v>34.25</v>
      </c>
      <c r="F2179">
        <v>34.25</v>
      </c>
      <c r="G2179">
        <v>0</v>
      </c>
      <c r="H2179" s="2">
        <v>0</v>
      </c>
      <c r="I2179">
        <v>0</v>
      </c>
      <c r="J2179">
        <v>171.25</v>
      </c>
      <c r="K2179" s="1">
        <v>45822</v>
      </c>
      <c r="L2179" t="s">
        <v>21</v>
      </c>
      <c r="M2179" t="s">
        <v>18</v>
      </c>
      <c r="N2179">
        <f>salesitems[[#This Row],[quantity]]*salesitems[[#This Row],[unit_price]]</f>
        <v>171.25</v>
      </c>
      <c r="O2179" t="str">
        <f>_xlfn.XLOOKUP(salesitems[[#This Row],[product_id]],products[product_id],products[product_name])</f>
        <v>Soft Cotton Shoes</v>
      </c>
      <c r="P2179" t="str">
        <f>_xlfn.XLOOKUP(salesitems[[#This Row],[product_id]],fashion_store_products!A:A,fashion_store_products!C:C)</f>
        <v>Shoes</v>
      </c>
    </row>
    <row r="2180" spans="1:16" x14ac:dyDescent="0.45">
      <c r="A2180">
        <v>595</v>
      </c>
      <c r="B2180">
        <v>1035</v>
      </c>
      <c r="C2180">
        <v>388</v>
      </c>
      <c r="D2180">
        <v>5</v>
      </c>
      <c r="E2180">
        <v>34.229999999999997</v>
      </c>
      <c r="F2180">
        <v>34.229999999999997</v>
      </c>
      <c r="G2180">
        <v>0</v>
      </c>
      <c r="H2180" s="2">
        <v>0</v>
      </c>
      <c r="I2180">
        <v>0</v>
      </c>
      <c r="J2180">
        <v>171.15</v>
      </c>
      <c r="K2180" s="1">
        <v>45782</v>
      </c>
      <c r="L2180" t="s">
        <v>21</v>
      </c>
      <c r="M2180" t="s">
        <v>18</v>
      </c>
      <c r="N2180">
        <f>salesitems[[#This Row],[quantity]]*salesitems[[#This Row],[unit_price]]</f>
        <v>171.14999999999998</v>
      </c>
      <c r="O2180" t="str">
        <f>_xlfn.XLOOKUP(salesitems[[#This Row],[product_id]],products[product_id],products[product_name])</f>
        <v>Tailored Boxy Dress</v>
      </c>
      <c r="P2180" t="str">
        <f>_xlfn.XLOOKUP(salesitems[[#This Row],[product_id]],fashion_store_products!A:A,fashion_store_products!C:C)</f>
        <v>Dresses</v>
      </c>
    </row>
    <row r="2181" spans="1:16" x14ac:dyDescent="0.45">
      <c r="A2181">
        <v>1336</v>
      </c>
      <c r="B2181">
        <v>762</v>
      </c>
      <c r="C2181">
        <v>388</v>
      </c>
      <c r="D2181">
        <v>5</v>
      </c>
      <c r="E2181">
        <v>34.229999999999997</v>
      </c>
      <c r="F2181">
        <v>34.229999999999997</v>
      </c>
      <c r="G2181">
        <v>0</v>
      </c>
      <c r="H2181" s="2">
        <v>0</v>
      </c>
      <c r="I2181">
        <v>0</v>
      </c>
      <c r="J2181">
        <v>171.15</v>
      </c>
      <c r="K2181" s="1">
        <v>45821</v>
      </c>
      <c r="L2181" t="s">
        <v>21</v>
      </c>
      <c r="M2181" t="s">
        <v>18</v>
      </c>
      <c r="N2181">
        <f>salesitems[[#This Row],[quantity]]*salesitems[[#This Row],[unit_price]]</f>
        <v>171.14999999999998</v>
      </c>
      <c r="O2181" t="str">
        <f>_xlfn.XLOOKUP(salesitems[[#This Row],[product_id]],products[product_id],products[product_name])</f>
        <v>Tailored Boxy Dress</v>
      </c>
      <c r="P2181" t="str">
        <f>_xlfn.XLOOKUP(salesitems[[#This Row],[product_id]],fashion_store_products!A:A,fashion_store_products!C:C)</f>
        <v>Dresses</v>
      </c>
    </row>
    <row r="2182" spans="1:16" x14ac:dyDescent="0.45">
      <c r="A2182">
        <v>2534</v>
      </c>
      <c r="B2182">
        <v>885</v>
      </c>
      <c r="C2182">
        <v>388</v>
      </c>
      <c r="D2182">
        <v>5</v>
      </c>
      <c r="E2182">
        <v>34.229999999999997</v>
      </c>
      <c r="F2182">
        <v>34.229999999999997</v>
      </c>
      <c r="G2182">
        <v>0</v>
      </c>
      <c r="H2182" s="2">
        <v>0</v>
      </c>
      <c r="I2182">
        <v>0</v>
      </c>
      <c r="J2182">
        <v>171.15</v>
      </c>
      <c r="K2182" s="1">
        <v>45769</v>
      </c>
      <c r="L2182" t="s">
        <v>15</v>
      </c>
      <c r="M2182" t="s">
        <v>15</v>
      </c>
      <c r="N2182">
        <f>salesitems[[#This Row],[quantity]]*salesitems[[#This Row],[unit_price]]</f>
        <v>171.14999999999998</v>
      </c>
      <c r="O2182" t="str">
        <f>_xlfn.XLOOKUP(salesitems[[#This Row],[product_id]],products[product_id],products[product_name])</f>
        <v>Tailored Boxy Dress</v>
      </c>
      <c r="P2182" t="str">
        <f>_xlfn.XLOOKUP(salesitems[[#This Row],[product_id]],fashion_store_products!A:A,fashion_store_products!C:C)</f>
        <v>Dresses</v>
      </c>
    </row>
    <row r="2183" spans="1:16" x14ac:dyDescent="0.45">
      <c r="A2183">
        <v>2963</v>
      </c>
      <c r="B2183">
        <v>473</v>
      </c>
      <c r="C2183">
        <v>388</v>
      </c>
      <c r="D2183">
        <v>5</v>
      </c>
      <c r="E2183">
        <v>34.229999999999997</v>
      </c>
      <c r="F2183">
        <v>34.229999999999997</v>
      </c>
      <c r="G2183">
        <v>0</v>
      </c>
      <c r="H2183" s="2">
        <v>0</v>
      </c>
      <c r="I2183">
        <v>0</v>
      </c>
      <c r="J2183">
        <v>171.15</v>
      </c>
      <c r="K2183" s="1">
        <v>45777</v>
      </c>
      <c r="L2183" t="s">
        <v>21</v>
      </c>
      <c r="M2183" t="s">
        <v>18</v>
      </c>
      <c r="N2183">
        <f>salesitems[[#This Row],[quantity]]*salesitems[[#This Row],[unit_price]]</f>
        <v>171.14999999999998</v>
      </c>
      <c r="O2183" t="str">
        <f>_xlfn.XLOOKUP(salesitems[[#This Row],[product_id]],products[product_id],products[product_name])</f>
        <v>Tailored Boxy Dress</v>
      </c>
      <c r="P2183" t="str">
        <f>_xlfn.XLOOKUP(salesitems[[#This Row],[product_id]],fashion_store_products!A:A,fashion_store_products!C:C)</f>
        <v>Dresses</v>
      </c>
    </row>
    <row r="2184" spans="1:16" x14ac:dyDescent="0.45">
      <c r="A2184">
        <v>402</v>
      </c>
      <c r="B2184">
        <v>534</v>
      </c>
      <c r="C2184">
        <v>298</v>
      </c>
      <c r="D2184">
        <v>5</v>
      </c>
      <c r="E2184">
        <v>33.94</v>
      </c>
      <c r="F2184">
        <v>33.94</v>
      </c>
      <c r="G2184">
        <v>0</v>
      </c>
      <c r="H2184" s="2">
        <v>0</v>
      </c>
      <c r="I2184">
        <v>0</v>
      </c>
      <c r="J2184">
        <v>169.7</v>
      </c>
      <c r="K2184" s="1">
        <v>45769</v>
      </c>
      <c r="L2184" t="s">
        <v>15</v>
      </c>
      <c r="M2184" t="s">
        <v>15</v>
      </c>
      <c r="N2184">
        <f>salesitems[[#This Row],[quantity]]*salesitems[[#This Row],[unit_price]]</f>
        <v>169.7</v>
      </c>
      <c r="O2184" t="str">
        <f>_xlfn.XLOOKUP(salesitems[[#This Row],[product_id]],products[product_id],products[product_name])</f>
        <v>Essential Boxy Shoes</v>
      </c>
      <c r="P2184" t="str">
        <f>_xlfn.XLOOKUP(salesitems[[#This Row],[product_id]],fashion_store_products!A:A,fashion_store_products!C:C)</f>
        <v>Shoes</v>
      </c>
    </row>
    <row r="2185" spans="1:16" x14ac:dyDescent="0.45">
      <c r="A2185">
        <v>1977</v>
      </c>
      <c r="B2185">
        <v>886</v>
      </c>
      <c r="C2185">
        <v>330</v>
      </c>
      <c r="D2185">
        <v>5</v>
      </c>
      <c r="E2185">
        <v>33.94</v>
      </c>
      <c r="F2185">
        <v>33.94</v>
      </c>
      <c r="G2185">
        <v>0</v>
      </c>
      <c r="H2185" s="2">
        <v>0</v>
      </c>
      <c r="I2185">
        <v>0</v>
      </c>
      <c r="J2185">
        <v>169.7</v>
      </c>
      <c r="K2185" s="1">
        <v>45802</v>
      </c>
      <c r="L2185" t="s">
        <v>21</v>
      </c>
      <c r="M2185" t="s">
        <v>18</v>
      </c>
      <c r="N2185">
        <f>salesitems[[#This Row],[quantity]]*salesitems[[#This Row],[unit_price]]</f>
        <v>169.7</v>
      </c>
      <c r="O2185" t="str">
        <f>_xlfn.XLOOKUP(salesitems[[#This Row],[product_id]],products[product_id],products[product_name])</f>
        <v>Essential Wrap Set</v>
      </c>
      <c r="P2185" t="str">
        <f>_xlfn.XLOOKUP(salesitems[[#This Row],[product_id]],fashion_store_products!A:A,fashion_store_products!C:C)</f>
        <v>Sleepwear</v>
      </c>
    </row>
    <row r="2186" spans="1:16" x14ac:dyDescent="0.45">
      <c r="A2186">
        <v>3348</v>
      </c>
      <c r="B2186">
        <v>8</v>
      </c>
      <c r="C2186">
        <v>330</v>
      </c>
      <c r="D2186">
        <v>5</v>
      </c>
      <c r="E2186">
        <v>33.94</v>
      </c>
      <c r="F2186">
        <v>33.94</v>
      </c>
      <c r="G2186">
        <v>0</v>
      </c>
      <c r="H2186" s="2">
        <v>0</v>
      </c>
      <c r="I2186">
        <v>0</v>
      </c>
      <c r="J2186">
        <v>169.7</v>
      </c>
      <c r="K2186" s="1">
        <v>45803</v>
      </c>
      <c r="L2186" t="s">
        <v>15</v>
      </c>
      <c r="M2186" t="s">
        <v>15</v>
      </c>
      <c r="N2186">
        <f>salesitems[[#This Row],[quantity]]*salesitems[[#This Row],[unit_price]]</f>
        <v>169.7</v>
      </c>
      <c r="O2186" t="str">
        <f>_xlfn.XLOOKUP(salesitems[[#This Row],[product_id]],products[product_id],products[product_name])</f>
        <v>Essential Wrap Set</v>
      </c>
      <c r="P2186" t="str">
        <f>_xlfn.XLOOKUP(salesitems[[#This Row],[product_id]],fashion_store_products!A:A,fashion_store_products!C:C)</f>
        <v>Sleepwear</v>
      </c>
    </row>
    <row r="2187" spans="1:16" x14ac:dyDescent="0.45">
      <c r="A2187">
        <v>37</v>
      </c>
      <c r="B2187">
        <v>100</v>
      </c>
      <c r="C2187">
        <v>139</v>
      </c>
      <c r="D2187">
        <v>5</v>
      </c>
      <c r="E2187">
        <v>33.590000000000003</v>
      </c>
      <c r="F2187">
        <v>33.590000000000003</v>
      </c>
      <c r="G2187">
        <v>0</v>
      </c>
      <c r="H2187" s="2">
        <v>0</v>
      </c>
      <c r="I2187">
        <v>0</v>
      </c>
      <c r="J2187">
        <v>167.95</v>
      </c>
      <c r="K2187" s="1">
        <v>45768</v>
      </c>
      <c r="L2187" t="s">
        <v>15</v>
      </c>
      <c r="M2187" t="s">
        <v>15</v>
      </c>
      <c r="N2187">
        <f>salesitems[[#This Row],[quantity]]*salesitems[[#This Row],[unit_price]]</f>
        <v>167.95000000000002</v>
      </c>
      <c r="O2187" t="str">
        <f>_xlfn.XLOOKUP(salesitems[[#This Row],[product_id]],products[product_id],products[product_name])</f>
        <v>Classic High-Waist Tee</v>
      </c>
      <c r="P2187" t="str">
        <f>_xlfn.XLOOKUP(salesitems[[#This Row],[product_id]],fashion_store_products!A:A,fashion_store_products!C:C)</f>
        <v>T-Shirts</v>
      </c>
    </row>
    <row r="2188" spans="1:16" x14ac:dyDescent="0.45">
      <c r="A2188">
        <v>1626</v>
      </c>
      <c r="B2188">
        <v>992</v>
      </c>
      <c r="C2188">
        <v>409</v>
      </c>
      <c r="D2188">
        <v>5</v>
      </c>
      <c r="E2188">
        <v>47.84</v>
      </c>
      <c r="F2188">
        <v>33.49</v>
      </c>
      <c r="G2188">
        <v>14.35</v>
      </c>
      <c r="H2188" s="2">
        <v>0.3</v>
      </c>
      <c r="I2188">
        <v>1</v>
      </c>
      <c r="J2188">
        <v>167.44</v>
      </c>
      <c r="K2188" s="1">
        <v>45790</v>
      </c>
      <c r="L2188" t="s">
        <v>15</v>
      </c>
      <c r="M2188" t="s">
        <v>15</v>
      </c>
      <c r="N2188">
        <f>salesitems[[#This Row],[quantity]]*salesitems[[#This Row],[unit_price]]</f>
        <v>167.45000000000002</v>
      </c>
      <c r="O2188" t="str">
        <f>_xlfn.XLOOKUP(salesitems[[#This Row],[product_id]],products[product_id],products[product_name])</f>
        <v>Elegant Ribbed Shoes</v>
      </c>
      <c r="P2188" t="str">
        <f>_xlfn.XLOOKUP(salesitems[[#This Row],[product_id]],fashion_store_products!A:A,fashion_store_products!C:C)</f>
        <v>Shoes</v>
      </c>
    </row>
    <row r="2189" spans="1:16" x14ac:dyDescent="0.45">
      <c r="A2189">
        <v>2085</v>
      </c>
      <c r="B2189">
        <v>1168</v>
      </c>
      <c r="C2189">
        <v>338</v>
      </c>
      <c r="D2189">
        <v>5</v>
      </c>
      <c r="E2189">
        <v>33.39</v>
      </c>
      <c r="F2189">
        <v>33.39</v>
      </c>
      <c r="G2189">
        <v>0</v>
      </c>
      <c r="H2189" s="2">
        <v>0</v>
      </c>
      <c r="I2189">
        <v>0</v>
      </c>
      <c r="J2189">
        <v>166.95</v>
      </c>
      <c r="K2189" s="1">
        <v>45821</v>
      </c>
      <c r="L2189" t="s">
        <v>21</v>
      </c>
      <c r="M2189" t="s">
        <v>18</v>
      </c>
      <c r="N2189">
        <f>salesitems[[#This Row],[quantity]]*salesitems[[#This Row],[unit_price]]</f>
        <v>166.95</v>
      </c>
      <c r="O2189" t="str">
        <f>_xlfn.XLOOKUP(salesitems[[#This Row],[product_id]],products[product_id],products[product_name])</f>
        <v>Essential Ribbed Set</v>
      </c>
      <c r="P2189" t="str">
        <f>_xlfn.XLOOKUP(salesitems[[#This Row],[product_id]],fashion_store_products!A:A,fashion_store_products!C:C)</f>
        <v>Sleepwear</v>
      </c>
    </row>
    <row r="2190" spans="1:16" x14ac:dyDescent="0.45">
      <c r="A2190">
        <v>2295</v>
      </c>
      <c r="B2190">
        <v>132</v>
      </c>
      <c r="C2190">
        <v>338</v>
      </c>
      <c r="D2190">
        <v>5</v>
      </c>
      <c r="E2190">
        <v>33.39</v>
      </c>
      <c r="F2190">
        <v>33.39</v>
      </c>
      <c r="G2190">
        <v>0</v>
      </c>
      <c r="H2190" s="2">
        <v>0</v>
      </c>
      <c r="I2190">
        <v>0</v>
      </c>
      <c r="J2190">
        <v>166.95</v>
      </c>
      <c r="K2190" s="1">
        <v>45767</v>
      </c>
      <c r="L2190" t="s">
        <v>15</v>
      </c>
      <c r="M2190" t="s">
        <v>15</v>
      </c>
      <c r="N2190">
        <f>salesitems[[#This Row],[quantity]]*salesitems[[#This Row],[unit_price]]</f>
        <v>166.95</v>
      </c>
      <c r="O2190" t="str">
        <f>_xlfn.XLOOKUP(salesitems[[#This Row],[product_id]],products[product_id],products[product_name])</f>
        <v>Essential Ribbed Set</v>
      </c>
      <c r="P2190" t="str">
        <f>_xlfn.XLOOKUP(salesitems[[#This Row],[product_id]],fashion_store_products!A:A,fashion_store_products!C:C)</f>
        <v>Sleepwear</v>
      </c>
    </row>
    <row r="2191" spans="1:16" x14ac:dyDescent="0.45">
      <c r="A2191">
        <v>446</v>
      </c>
      <c r="B2191">
        <v>67</v>
      </c>
      <c r="C2191">
        <v>169</v>
      </c>
      <c r="D2191">
        <v>5</v>
      </c>
      <c r="E2191">
        <v>32.94</v>
      </c>
      <c r="F2191">
        <v>32.94</v>
      </c>
      <c r="G2191">
        <v>0</v>
      </c>
      <c r="H2191" s="2">
        <v>0</v>
      </c>
      <c r="I2191">
        <v>0</v>
      </c>
      <c r="J2191">
        <v>164.7</v>
      </c>
      <c r="K2191" s="1">
        <v>45751</v>
      </c>
      <c r="L2191" t="s">
        <v>15</v>
      </c>
      <c r="M2191" t="s">
        <v>15</v>
      </c>
      <c r="N2191">
        <f>salesitems[[#This Row],[quantity]]*salesitems[[#This Row],[unit_price]]</f>
        <v>164.7</v>
      </c>
      <c r="O2191" t="str">
        <f>_xlfn.XLOOKUP(salesitems[[#This Row],[product_id]],products[product_id],products[product_name])</f>
        <v>Vintage Linen Set</v>
      </c>
      <c r="P2191" t="str">
        <f>_xlfn.XLOOKUP(salesitems[[#This Row],[product_id]],fashion_store_products!A:A,fashion_store_products!C:C)</f>
        <v>Sleepwear</v>
      </c>
    </row>
    <row r="2192" spans="1:16" x14ac:dyDescent="0.45">
      <c r="A2192">
        <v>1535</v>
      </c>
      <c r="B2192">
        <v>1050</v>
      </c>
      <c r="C2192">
        <v>199</v>
      </c>
      <c r="D2192">
        <v>5</v>
      </c>
      <c r="E2192">
        <v>36.479999999999997</v>
      </c>
      <c r="F2192">
        <v>32.83</v>
      </c>
      <c r="G2192">
        <v>3.65</v>
      </c>
      <c r="H2192" s="2">
        <v>0.1</v>
      </c>
      <c r="I2192">
        <v>1</v>
      </c>
      <c r="J2192">
        <v>164.16</v>
      </c>
      <c r="K2192" s="1">
        <v>45812</v>
      </c>
      <c r="L2192" t="s">
        <v>21</v>
      </c>
      <c r="M2192" t="s">
        <v>18</v>
      </c>
      <c r="N2192">
        <f>salesitems[[#This Row],[quantity]]*salesitems[[#This Row],[unit_price]]</f>
        <v>164.14999999999998</v>
      </c>
      <c r="O2192" t="str">
        <f>_xlfn.XLOOKUP(salesitems[[#This Row],[product_id]],products[product_id],products[product_name])</f>
        <v>Polished Sleeveless Dress</v>
      </c>
      <c r="P2192" t="str">
        <f>_xlfn.XLOOKUP(salesitems[[#This Row],[product_id]],fashion_store_products!A:A,fashion_store_products!C:C)</f>
        <v>Dresses</v>
      </c>
    </row>
    <row r="2193" spans="1:16" x14ac:dyDescent="0.45">
      <c r="A2193">
        <v>1738</v>
      </c>
      <c r="B2193">
        <v>442</v>
      </c>
      <c r="C2193">
        <v>497</v>
      </c>
      <c r="D2193">
        <v>5</v>
      </c>
      <c r="E2193">
        <v>36.049999999999997</v>
      </c>
      <c r="F2193">
        <v>32.44</v>
      </c>
      <c r="G2193">
        <v>3.6</v>
      </c>
      <c r="H2193" s="2">
        <v>0.1</v>
      </c>
      <c r="I2193">
        <v>1</v>
      </c>
      <c r="J2193">
        <v>162.22</v>
      </c>
      <c r="K2193" s="1">
        <v>45814</v>
      </c>
      <c r="L2193" t="s">
        <v>21</v>
      </c>
      <c r="M2193" t="s">
        <v>18</v>
      </c>
      <c r="N2193">
        <f>salesitems[[#This Row],[quantity]]*salesitems[[#This Row],[unit_price]]</f>
        <v>162.19999999999999</v>
      </c>
      <c r="O2193" t="str">
        <f>_xlfn.XLOOKUP(salesitems[[#This Row],[product_id]],products[product_id],products[product_name])</f>
        <v>Dresses Drop 8</v>
      </c>
      <c r="P2193" t="str">
        <f>_xlfn.XLOOKUP(salesitems[[#This Row],[product_id]],fashion_store_products!A:A,fashion_store_products!C:C)</f>
        <v>Dresses</v>
      </c>
    </row>
    <row r="2194" spans="1:16" x14ac:dyDescent="0.45">
      <c r="A2194">
        <v>1848</v>
      </c>
      <c r="B2194">
        <v>143</v>
      </c>
      <c r="C2194">
        <v>82</v>
      </c>
      <c r="D2194">
        <v>5</v>
      </c>
      <c r="E2194">
        <v>32.21</v>
      </c>
      <c r="F2194">
        <v>32.21</v>
      </c>
      <c r="G2194">
        <v>0</v>
      </c>
      <c r="H2194" s="2">
        <v>0</v>
      </c>
      <c r="I2194">
        <v>0</v>
      </c>
      <c r="J2194">
        <v>161.05000000000001</v>
      </c>
      <c r="K2194" s="1">
        <v>45824</v>
      </c>
      <c r="L2194" t="s">
        <v>21</v>
      </c>
      <c r="M2194" t="s">
        <v>18</v>
      </c>
      <c r="N2194">
        <f>salesitems[[#This Row],[quantity]]*salesitems[[#This Row],[unit_price]]</f>
        <v>161.05000000000001</v>
      </c>
      <c r="O2194" t="str">
        <f>_xlfn.XLOOKUP(salesitems[[#This Row],[product_id]],products[product_id],products[product_name])</f>
        <v>Classic Cotton Dress</v>
      </c>
      <c r="P2194" t="str">
        <f>_xlfn.XLOOKUP(salesitems[[#This Row],[product_id]],fashion_store_products!A:A,fashion_store_products!C:C)</f>
        <v>Dresses</v>
      </c>
    </row>
    <row r="2195" spans="1:16" x14ac:dyDescent="0.45">
      <c r="A2195">
        <v>2826</v>
      </c>
      <c r="B2195">
        <v>1286</v>
      </c>
      <c r="C2195">
        <v>259</v>
      </c>
      <c r="D2195">
        <v>5</v>
      </c>
      <c r="E2195">
        <v>35.729999999999997</v>
      </c>
      <c r="F2195">
        <v>32.159999999999997</v>
      </c>
      <c r="G2195">
        <v>3.57</v>
      </c>
      <c r="H2195" s="2">
        <v>0.1</v>
      </c>
      <c r="I2195">
        <v>1</v>
      </c>
      <c r="J2195">
        <v>160.78</v>
      </c>
      <c r="K2195" s="1">
        <v>45814</v>
      </c>
      <c r="L2195" t="s">
        <v>21</v>
      </c>
      <c r="M2195" t="s">
        <v>18</v>
      </c>
      <c r="N2195">
        <f>salesitems[[#This Row],[quantity]]*salesitems[[#This Row],[unit_price]]</f>
        <v>160.79999999999998</v>
      </c>
      <c r="O2195" t="str">
        <f>_xlfn.XLOOKUP(salesitems[[#This Row],[product_id]],products[product_id],products[product_name])</f>
        <v>Polished Silk Trousers</v>
      </c>
      <c r="P2195" t="str">
        <f>_xlfn.XLOOKUP(salesitems[[#This Row],[product_id]],fashion_store_products!A:A,fashion_store_products!C:C)</f>
        <v>Pants</v>
      </c>
    </row>
    <row r="2196" spans="1:16" x14ac:dyDescent="0.45">
      <c r="A2196">
        <v>815</v>
      </c>
      <c r="B2196">
        <v>913</v>
      </c>
      <c r="C2196">
        <v>84</v>
      </c>
      <c r="D2196">
        <v>5</v>
      </c>
      <c r="E2196">
        <v>31.84</v>
      </c>
      <c r="F2196">
        <v>31.84</v>
      </c>
      <c r="G2196">
        <v>0</v>
      </c>
      <c r="H2196" s="2">
        <v>0</v>
      </c>
      <c r="I2196">
        <v>0</v>
      </c>
      <c r="J2196">
        <v>159.19999999999999</v>
      </c>
      <c r="K2196" s="1">
        <v>45804</v>
      </c>
      <c r="L2196" t="s">
        <v>15</v>
      </c>
      <c r="M2196" t="s">
        <v>15</v>
      </c>
      <c r="N2196">
        <f>salesitems[[#This Row],[quantity]]*salesitems[[#This Row],[unit_price]]</f>
        <v>159.19999999999999</v>
      </c>
      <c r="O2196" t="str">
        <f>_xlfn.XLOOKUP(salesitems[[#This Row],[product_id]],products[product_id],products[product_name])</f>
        <v>Modern Cotton Shoes</v>
      </c>
      <c r="P2196" t="str">
        <f>_xlfn.XLOOKUP(salesitems[[#This Row],[product_id]],fashion_store_products!A:A,fashion_store_products!C:C)</f>
        <v>Shoes</v>
      </c>
    </row>
    <row r="2197" spans="1:16" x14ac:dyDescent="0.45">
      <c r="A2197">
        <v>891</v>
      </c>
      <c r="B2197">
        <v>449</v>
      </c>
      <c r="C2197">
        <v>418</v>
      </c>
      <c r="D2197">
        <v>5</v>
      </c>
      <c r="E2197">
        <v>31.84</v>
      </c>
      <c r="F2197">
        <v>31.84</v>
      </c>
      <c r="G2197">
        <v>0</v>
      </c>
      <c r="H2197" s="2">
        <v>0</v>
      </c>
      <c r="I2197">
        <v>0</v>
      </c>
      <c r="J2197">
        <v>159.19999999999999</v>
      </c>
      <c r="K2197" s="1">
        <v>45800</v>
      </c>
      <c r="L2197" t="s">
        <v>21</v>
      </c>
      <c r="M2197" t="s">
        <v>18</v>
      </c>
      <c r="N2197">
        <f>salesitems[[#This Row],[quantity]]*salesitems[[#This Row],[unit_price]]</f>
        <v>159.19999999999999</v>
      </c>
      <c r="O2197" t="str">
        <f>_xlfn.XLOOKUP(salesitems[[#This Row],[product_id]],products[product_id],products[product_name])</f>
        <v>Elegant Crew Shoes</v>
      </c>
      <c r="P2197" t="str">
        <f>_xlfn.XLOOKUP(salesitems[[#This Row],[product_id]],fashion_store_products!A:A,fashion_store_products!C:C)</f>
        <v>Shoes</v>
      </c>
    </row>
    <row r="2198" spans="1:16" x14ac:dyDescent="0.45">
      <c r="A2198">
        <v>97</v>
      </c>
      <c r="B2198">
        <v>904</v>
      </c>
      <c r="C2198">
        <v>90</v>
      </c>
      <c r="D2198">
        <v>5</v>
      </c>
      <c r="E2198">
        <v>31.67</v>
      </c>
      <c r="F2198">
        <v>31.67</v>
      </c>
      <c r="G2198">
        <v>0</v>
      </c>
      <c r="H2198" s="2">
        <v>0</v>
      </c>
      <c r="I2198">
        <v>0</v>
      </c>
      <c r="J2198">
        <v>158.35</v>
      </c>
      <c r="K2198" s="1">
        <v>45782</v>
      </c>
      <c r="L2198" t="s">
        <v>21</v>
      </c>
      <c r="M2198" t="s">
        <v>18</v>
      </c>
      <c r="N2198">
        <f>salesitems[[#This Row],[quantity]]*salesitems[[#This Row],[unit_price]]</f>
        <v>158.35000000000002</v>
      </c>
      <c r="O2198" t="str">
        <f>_xlfn.XLOOKUP(salesitems[[#This Row],[product_id]],products[product_id],products[product_name])</f>
        <v>Modern Silk Shoes</v>
      </c>
      <c r="P2198" t="str">
        <f>_xlfn.XLOOKUP(salesitems[[#This Row],[product_id]],fashion_store_products!A:A,fashion_store_products!C:C)</f>
        <v>Shoes</v>
      </c>
    </row>
    <row r="2199" spans="1:16" x14ac:dyDescent="0.45">
      <c r="A2199">
        <v>3094</v>
      </c>
      <c r="B2199">
        <v>1256</v>
      </c>
      <c r="C2199">
        <v>457</v>
      </c>
      <c r="D2199">
        <v>5</v>
      </c>
      <c r="E2199">
        <v>31.61</v>
      </c>
      <c r="F2199">
        <v>31.61</v>
      </c>
      <c r="G2199">
        <v>0</v>
      </c>
      <c r="H2199" s="2">
        <v>0</v>
      </c>
      <c r="I2199">
        <v>0</v>
      </c>
      <c r="J2199">
        <v>158.05000000000001</v>
      </c>
      <c r="K2199" s="1">
        <v>45763</v>
      </c>
      <c r="L2199" t="s">
        <v>15</v>
      </c>
      <c r="M2199" t="s">
        <v>15</v>
      </c>
      <c r="N2199">
        <f>salesitems[[#This Row],[quantity]]*salesitems[[#This Row],[unit_price]]</f>
        <v>158.05000000000001</v>
      </c>
      <c r="O2199" t="str">
        <f>_xlfn.XLOOKUP(salesitems[[#This Row],[product_id]],products[product_id],products[product_name])</f>
        <v>Bold Crew Tee</v>
      </c>
      <c r="P2199" t="str">
        <f>_xlfn.XLOOKUP(salesitems[[#This Row],[product_id]],fashion_store_products!A:A,fashion_store_products!C:C)</f>
        <v>T-Shirts</v>
      </c>
    </row>
    <row r="2200" spans="1:16" x14ac:dyDescent="0.45">
      <c r="A2200">
        <v>166</v>
      </c>
      <c r="B2200">
        <v>528</v>
      </c>
      <c r="C2200">
        <v>128</v>
      </c>
      <c r="D2200">
        <v>5</v>
      </c>
      <c r="E2200">
        <v>44.9</v>
      </c>
      <c r="F2200">
        <v>31.43</v>
      </c>
      <c r="G2200">
        <v>13.47</v>
      </c>
      <c r="H2200" s="2">
        <v>0.3</v>
      </c>
      <c r="I2200">
        <v>1</v>
      </c>
      <c r="J2200">
        <v>157.15</v>
      </c>
      <c r="K2200" s="1">
        <v>45794</v>
      </c>
      <c r="L2200" t="s">
        <v>15</v>
      </c>
      <c r="M2200" t="s">
        <v>15</v>
      </c>
      <c r="N2200">
        <f>salesitems[[#This Row],[quantity]]*salesitems[[#This Row],[unit_price]]</f>
        <v>157.15</v>
      </c>
      <c r="O2200" t="str">
        <f>_xlfn.XLOOKUP(salesitems[[#This Row],[product_id]],products[product_id],products[product_name])</f>
        <v>Classic Crew Tee</v>
      </c>
      <c r="P2200" t="str">
        <f>_xlfn.XLOOKUP(salesitems[[#This Row],[product_id]],fashion_store_products!A:A,fashion_store_products!C:C)</f>
        <v>T-Shirts</v>
      </c>
    </row>
    <row r="2201" spans="1:16" x14ac:dyDescent="0.45">
      <c r="A2201">
        <v>165</v>
      </c>
      <c r="B2201">
        <v>834</v>
      </c>
      <c r="C2201">
        <v>95</v>
      </c>
      <c r="D2201">
        <v>5</v>
      </c>
      <c r="E2201">
        <v>31.15</v>
      </c>
      <c r="F2201">
        <v>31.15</v>
      </c>
      <c r="G2201">
        <v>0</v>
      </c>
      <c r="H2201" s="2">
        <v>0</v>
      </c>
      <c r="I2201">
        <v>0</v>
      </c>
      <c r="J2201">
        <v>155.75</v>
      </c>
      <c r="K2201" s="1">
        <v>45825</v>
      </c>
      <c r="L2201" t="s">
        <v>15</v>
      </c>
      <c r="M2201" t="s">
        <v>15</v>
      </c>
      <c r="N2201">
        <f>salesitems[[#This Row],[quantity]]*salesitems[[#This Row],[unit_price]]</f>
        <v>155.75</v>
      </c>
      <c r="O2201" t="str">
        <f>_xlfn.XLOOKUP(salesitems[[#This Row],[product_id]],products[product_id],products[product_name])</f>
        <v>Modern Crew Set</v>
      </c>
      <c r="P2201" t="str">
        <f>_xlfn.XLOOKUP(salesitems[[#This Row],[product_id]],fashion_store_products!A:A,fashion_store_products!C:C)</f>
        <v>Sleepwear</v>
      </c>
    </row>
    <row r="2202" spans="1:16" x14ac:dyDescent="0.45">
      <c r="A2202">
        <v>1662</v>
      </c>
      <c r="B2202">
        <v>53</v>
      </c>
      <c r="C2202">
        <v>95</v>
      </c>
      <c r="D2202">
        <v>5</v>
      </c>
      <c r="E2202">
        <v>31.15</v>
      </c>
      <c r="F2202">
        <v>31.15</v>
      </c>
      <c r="G2202">
        <v>0</v>
      </c>
      <c r="H2202" s="2">
        <v>0</v>
      </c>
      <c r="I2202">
        <v>0</v>
      </c>
      <c r="J2202">
        <v>155.75</v>
      </c>
      <c r="K2202" s="1">
        <v>45761</v>
      </c>
      <c r="L2202" t="s">
        <v>21</v>
      </c>
      <c r="M2202" t="s">
        <v>18</v>
      </c>
      <c r="N2202">
        <f>salesitems[[#This Row],[quantity]]*salesitems[[#This Row],[unit_price]]</f>
        <v>155.75</v>
      </c>
      <c r="O2202" t="str">
        <f>_xlfn.XLOOKUP(salesitems[[#This Row],[product_id]],products[product_id],products[product_name])</f>
        <v>Modern Crew Set</v>
      </c>
      <c r="P2202" t="str">
        <f>_xlfn.XLOOKUP(salesitems[[#This Row],[product_id]],fashion_store_products!A:A,fashion_store_products!C:C)</f>
        <v>Sleepwear</v>
      </c>
    </row>
    <row r="2203" spans="1:16" x14ac:dyDescent="0.45">
      <c r="A2203">
        <v>1846</v>
      </c>
      <c r="B2203">
        <v>423</v>
      </c>
      <c r="C2203">
        <v>184</v>
      </c>
      <c r="D2203">
        <v>5</v>
      </c>
      <c r="E2203">
        <v>44.08</v>
      </c>
      <c r="F2203">
        <v>30.86</v>
      </c>
      <c r="G2203">
        <v>13.22</v>
      </c>
      <c r="H2203" s="2">
        <v>0.3</v>
      </c>
      <c r="I2203">
        <v>1</v>
      </c>
      <c r="J2203">
        <v>154.28</v>
      </c>
      <c r="K2203" s="1">
        <v>45790</v>
      </c>
      <c r="L2203" t="s">
        <v>15</v>
      </c>
      <c r="M2203" t="s">
        <v>15</v>
      </c>
      <c r="N2203">
        <f>salesitems[[#This Row],[quantity]]*salesitems[[#This Row],[unit_price]]</f>
        <v>154.30000000000001</v>
      </c>
      <c r="O2203" t="str">
        <f>_xlfn.XLOOKUP(salesitems[[#This Row],[product_id]],products[product_id],products[product_name])</f>
        <v>Vintage Wrap Trousers</v>
      </c>
      <c r="P2203" t="str">
        <f>_xlfn.XLOOKUP(salesitems[[#This Row],[product_id]],fashion_store_products!A:A,fashion_store_products!C:C)</f>
        <v>Pants</v>
      </c>
    </row>
    <row r="2204" spans="1:16" x14ac:dyDescent="0.45">
      <c r="A2204">
        <v>885</v>
      </c>
      <c r="B2204">
        <v>640</v>
      </c>
      <c r="C2204">
        <v>401</v>
      </c>
      <c r="D2204">
        <v>5</v>
      </c>
      <c r="E2204">
        <v>30.83</v>
      </c>
      <c r="F2204">
        <v>30.83</v>
      </c>
      <c r="G2204">
        <v>0</v>
      </c>
      <c r="H2204" s="2">
        <v>0</v>
      </c>
      <c r="I2204">
        <v>0</v>
      </c>
      <c r="J2204">
        <v>154.15</v>
      </c>
      <c r="K2204" s="1">
        <v>45765</v>
      </c>
      <c r="L2204" t="s">
        <v>15</v>
      </c>
      <c r="M2204" t="s">
        <v>15</v>
      </c>
      <c r="N2204">
        <f>salesitems[[#This Row],[quantity]]*salesitems[[#This Row],[unit_price]]</f>
        <v>154.14999999999998</v>
      </c>
      <c r="O2204" t="str">
        <f>_xlfn.XLOOKUP(salesitems[[#This Row],[product_id]],products[product_id],products[product_name])</f>
        <v>Elegant Cotton Dress</v>
      </c>
      <c r="P2204" t="str">
        <f>_xlfn.XLOOKUP(salesitems[[#This Row],[product_id]],fashion_store_products!A:A,fashion_store_products!C:C)</f>
        <v>Dresses</v>
      </c>
    </row>
    <row r="2205" spans="1:16" x14ac:dyDescent="0.45">
      <c r="A2205">
        <v>1587</v>
      </c>
      <c r="B2205">
        <v>287</v>
      </c>
      <c r="C2205">
        <v>401</v>
      </c>
      <c r="D2205">
        <v>5</v>
      </c>
      <c r="E2205">
        <v>30.83</v>
      </c>
      <c r="F2205">
        <v>30.83</v>
      </c>
      <c r="G2205">
        <v>0</v>
      </c>
      <c r="H2205" s="2">
        <v>0</v>
      </c>
      <c r="I2205">
        <v>0</v>
      </c>
      <c r="J2205">
        <v>154.15</v>
      </c>
      <c r="K2205" s="1">
        <v>45792</v>
      </c>
      <c r="L2205" t="s">
        <v>21</v>
      </c>
      <c r="M2205" t="s">
        <v>18</v>
      </c>
      <c r="N2205">
        <f>salesitems[[#This Row],[quantity]]*salesitems[[#This Row],[unit_price]]</f>
        <v>154.14999999999998</v>
      </c>
      <c r="O2205" t="str">
        <f>_xlfn.XLOOKUP(salesitems[[#This Row],[product_id]],products[product_id],products[product_name])</f>
        <v>Elegant Cotton Dress</v>
      </c>
      <c r="P2205" t="str">
        <f>_xlfn.XLOOKUP(salesitems[[#This Row],[product_id]],fashion_store_products!A:A,fashion_store_products!C:C)</f>
        <v>Dresses</v>
      </c>
    </row>
    <row r="2206" spans="1:16" x14ac:dyDescent="0.45">
      <c r="A2206">
        <v>1948</v>
      </c>
      <c r="B2206">
        <v>580</v>
      </c>
      <c r="C2206">
        <v>401</v>
      </c>
      <c r="D2206">
        <v>5</v>
      </c>
      <c r="E2206">
        <v>30.83</v>
      </c>
      <c r="F2206">
        <v>30.83</v>
      </c>
      <c r="G2206">
        <v>0</v>
      </c>
      <c r="H2206" s="2">
        <v>0</v>
      </c>
      <c r="I2206">
        <v>0</v>
      </c>
      <c r="J2206">
        <v>154.15</v>
      </c>
      <c r="K2206" s="1">
        <v>45808</v>
      </c>
      <c r="L2206" t="s">
        <v>15</v>
      </c>
      <c r="M2206" t="s">
        <v>15</v>
      </c>
      <c r="N2206">
        <f>salesitems[[#This Row],[quantity]]*salesitems[[#This Row],[unit_price]]</f>
        <v>154.14999999999998</v>
      </c>
      <c r="O2206" t="str">
        <f>_xlfn.XLOOKUP(salesitems[[#This Row],[product_id]],products[product_id],products[product_name])</f>
        <v>Elegant Cotton Dress</v>
      </c>
      <c r="P2206" t="str">
        <f>_xlfn.XLOOKUP(salesitems[[#This Row],[product_id]],fashion_store_products!A:A,fashion_store_products!C:C)</f>
        <v>Dresses</v>
      </c>
    </row>
    <row r="2207" spans="1:16" x14ac:dyDescent="0.45">
      <c r="A2207">
        <v>469</v>
      </c>
      <c r="B2207">
        <v>1295</v>
      </c>
      <c r="C2207">
        <v>431</v>
      </c>
      <c r="D2207">
        <v>5</v>
      </c>
      <c r="E2207">
        <v>30.41</v>
      </c>
      <c r="F2207">
        <v>30.41</v>
      </c>
      <c r="G2207">
        <v>0</v>
      </c>
      <c r="H2207" s="2">
        <v>0</v>
      </c>
      <c r="I2207">
        <v>0</v>
      </c>
      <c r="J2207">
        <v>152.05000000000001</v>
      </c>
      <c r="K2207" s="1">
        <v>45794</v>
      </c>
      <c r="L2207" t="s">
        <v>21</v>
      </c>
      <c r="M2207" t="s">
        <v>18</v>
      </c>
      <c r="N2207">
        <f>salesitems[[#This Row],[quantity]]*salesitems[[#This Row],[unit_price]]</f>
        <v>152.05000000000001</v>
      </c>
      <c r="O2207" t="str">
        <f>_xlfn.XLOOKUP(salesitems[[#This Row],[product_id]],products[product_id],products[product_name])</f>
        <v>Elegant Boxy Shoes</v>
      </c>
      <c r="P2207" t="str">
        <f>_xlfn.XLOOKUP(salesitems[[#This Row],[product_id]],fashion_store_products!A:A,fashion_store_products!C:C)</f>
        <v>Shoes</v>
      </c>
    </row>
    <row r="2208" spans="1:16" x14ac:dyDescent="0.45">
      <c r="A2208">
        <v>561</v>
      </c>
      <c r="B2208">
        <v>1068</v>
      </c>
      <c r="C2208">
        <v>431</v>
      </c>
      <c r="D2208">
        <v>5</v>
      </c>
      <c r="E2208">
        <v>30.41</v>
      </c>
      <c r="F2208">
        <v>30.41</v>
      </c>
      <c r="G2208">
        <v>0</v>
      </c>
      <c r="H2208" s="2">
        <v>0</v>
      </c>
      <c r="I2208">
        <v>0</v>
      </c>
      <c r="J2208">
        <v>152.05000000000001</v>
      </c>
      <c r="K2208" s="1">
        <v>45796</v>
      </c>
      <c r="L2208" t="s">
        <v>21</v>
      </c>
      <c r="M2208" t="s">
        <v>18</v>
      </c>
      <c r="N2208">
        <f>salesitems[[#This Row],[quantity]]*salesitems[[#This Row],[unit_price]]</f>
        <v>152.05000000000001</v>
      </c>
      <c r="O2208" t="str">
        <f>_xlfn.XLOOKUP(salesitems[[#This Row],[product_id]],products[product_id],products[product_name])</f>
        <v>Elegant Boxy Shoes</v>
      </c>
      <c r="P2208" t="str">
        <f>_xlfn.XLOOKUP(salesitems[[#This Row],[product_id]],fashion_store_products!A:A,fashion_store_products!C:C)</f>
        <v>Shoes</v>
      </c>
    </row>
    <row r="2209" spans="1:16" x14ac:dyDescent="0.45">
      <c r="A2209">
        <v>2204</v>
      </c>
      <c r="B2209">
        <v>1251</v>
      </c>
      <c r="C2209">
        <v>431</v>
      </c>
      <c r="D2209">
        <v>5</v>
      </c>
      <c r="E2209">
        <v>30.41</v>
      </c>
      <c r="F2209">
        <v>30.41</v>
      </c>
      <c r="G2209">
        <v>0</v>
      </c>
      <c r="H2209" s="2">
        <v>0</v>
      </c>
      <c r="I2209">
        <v>0</v>
      </c>
      <c r="J2209">
        <v>152.05000000000001</v>
      </c>
      <c r="K2209" s="1">
        <v>45777</v>
      </c>
      <c r="L2209" t="s">
        <v>15</v>
      </c>
      <c r="M2209" t="s">
        <v>15</v>
      </c>
      <c r="N2209">
        <f>salesitems[[#This Row],[quantity]]*salesitems[[#This Row],[unit_price]]</f>
        <v>152.05000000000001</v>
      </c>
      <c r="O2209" t="str">
        <f>_xlfn.XLOOKUP(salesitems[[#This Row],[product_id]],products[product_id],products[product_name])</f>
        <v>Elegant Boxy Shoes</v>
      </c>
      <c r="P2209" t="str">
        <f>_xlfn.XLOOKUP(salesitems[[#This Row],[product_id]],fashion_store_products!A:A,fashion_store_products!C:C)</f>
        <v>Shoes</v>
      </c>
    </row>
    <row r="2210" spans="1:16" x14ac:dyDescent="0.45">
      <c r="A2210">
        <v>3050</v>
      </c>
      <c r="B2210">
        <v>1206</v>
      </c>
      <c r="C2210">
        <v>431</v>
      </c>
      <c r="D2210">
        <v>5</v>
      </c>
      <c r="E2210">
        <v>30.41</v>
      </c>
      <c r="F2210">
        <v>30.41</v>
      </c>
      <c r="G2210">
        <v>0</v>
      </c>
      <c r="H2210" s="2">
        <v>0</v>
      </c>
      <c r="I2210">
        <v>0</v>
      </c>
      <c r="J2210">
        <v>152.05000000000001</v>
      </c>
      <c r="K2210" s="1">
        <v>45766</v>
      </c>
      <c r="L2210" t="s">
        <v>21</v>
      </c>
      <c r="M2210" t="s">
        <v>18</v>
      </c>
      <c r="N2210">
        <f>salesitems[[#This Row],[quantity]]*salesitems[[#This Row],[unit_price]]</f>
        <v>152.05000000000001</v>
      </c>
      <c r="O2210" t="str">
        <f>_xlfn.XLOOKUP(salesitems[[#This Row],[product_id]],products[product_id],products[product_name])</f>
        <v>Elegant Boxy Shoes</v>
      </c>
      <c r="P2210" t="str">
        <f>_xlfn.XLOOKUP(salesitems[[#This Row],[product_id]],fashion_store_products!A:A,fashion_store_products!C:C)</f>
        <v>Shoes</v>
      </c>
    </row>
    <row r="2211" spans="1:16" x14ac:dyDescent="0.45">
      <c r="A2211">
        <v>2127</v>
      </c>
      <c r="B2211">
        <v>414</v>
      </c>
      <c r="C2211">
        <v>339</v>
      </c>
      <c r="D2211">
        <v>5</v>
      </c>
      <c r="E2211">
        <v>30.35</v>
      </c>
      <c r="F2211">
        <v>30.35</v>
      </c>
      <c r="G2211">
        <v>0</v>
      </c>
      <c r="H2211" s="2">
        <v>0</v>
      </c>
      <c r="I2211">
        <v>0</v>
      </c>
      <c r="J2211">
        <v>151.75</v>
      </c>
      <c r="K2211" s="1">
        <v>45822</v>
      </c>
      <c r="L2211" t="s">
        <v>15</v>
      </c>
      <c r="M2211" t="s">
        <v>15</v>
      </c>
      <c r="N2211">
        <f>salesitems[[#This Row],[quantity]]*salesitems[[#This Row],[unit_price]]</f>
        <v>151.75</v>
      </c>
      <c r="O2211" t="str">
        <f>_xlfn.XLOOKUP(salesitems[[#This Row],[product_id]],products[product_id],products[product_name])</f>
        <v>Tailored Cotton Tee</v>
      </c>
      <c r="P2211" t="str">
        <f>_xlfn.XLOOKUP(salesitems[[#This Row],[product_id]],fashion_store_products!A:A,fashion_store_products!C:C)</f>
        <v>T-Shirts</v>
      </c>
    </row>
    <row r="2212" spans="1:16" x14ac:dyDescent="0.45">
      <c r="A2212">
        <v>3267</v>
      </c>
      <c r="B2212">
        <v>534</v>
      </c>
      <c r="C2212">
        <v>171</v>
      </c>
      <c r="D2212">
        <v>5</v>
      </c>
      <c r="E2212">
        <v>30.26</v>
      </c>
      <c r="F2212">
        <v>30.26</v>
      </c>
      <c r="G2212">
        <v>0</v>
      </c>
      <c r="H2212" s="2">
        <v>0</v>
      </c>
      <c r="I2212">
        <v>0</v>
      </c>
      <c r="J2212">
        <v>151.30000000000001</v>
      </c>
      <c r="K2212" s="1">
        <v>45769</v>
      </c>
      <c r="L2212" t="s">
        <v>15</v>
      </c>
      <c r="M2212" t="s">
        <v>15</v>
      </c>
      <c r="N2212">
        <f>salesitems[[#This Row],[quantity]]*salesitems[[#This Row],[unit_price]]</f>
        <v>151.30000000000001</v>
      </c>
      <c r="O2212" t="str">
        <f>_xlfn.XLOOKUP(salesitems[[#This Row],[product_id]],products[product_id],products[product_name])</f>
        <v>Polished Wrap Dress</v>
      </c>
      <c r="P2212" t="str">
        <f>_xlfn.XLOOKUP(salesitems[[#This Row],[product_id]],fashion_store_products!A:A,fashion_store_products!C:C)</f>
        <v>Dresses</v>
      </c>
    </row>
    <row r="2213" spans="1:16" x14ac:dyDescent="0.45">
      <c r="A2213">
        <v>3092</v>
      </c>
      <c r="B2213">
        <v>81</v>
      </c>
      <c r="C2213">
        <v>329</v>
      </c>
      <c r="D2213">
        <v>5</v>
      </c>
      <c r="E2213">
        <v>43.09</v>
      </c>
      <c r="F2213">
        <v>30.16</v>
      </c>
      <c r="G2213">
        <v>12.93</v>
      </c>
      <c r="H2213" s="2">
        <v>0.3</v>
      </c>
      <c r="I2213">
        <v>1</v>
      </c>
      <c r="J2213">
        <v>150.82</v>
      </c>
      <c r="K2213" s="1">
        <v>45795</v>
      </c>
      <c r="L2213" t="s">
        <v>15</v>
      </c>
      <c r="M2213" t="s">
        <v>15</v>
      </c>
      <c r="N2213">
        <f>salesitems[[#This Row],[quantity]]*salesitems[[#This Row],[unit_price]]</f>
        <v>150.80000000000001</v>
      </c>
      <c r="O2213" t="str">
        <f>_xlfn.XLOOKUP(salesitems[[#This Row],[product_id]],products[product_id],products[product_name])</f>
        <v>Relaxed Boxy Set</v>
      </c>
      <c r="P2213" t="str">
        <f>_xlfn.XLOOKUP(salesitems[[#This Row],[product_id]],fashion_store_products!A:A,fashion_store_products!C:C)</f>
        <v>Sleepwear</v>
      </c>
    </row>
    <row r="2214" spans="1:16" x14ac:dyDescent="0.45">
      <c r="A2214">
        <v>2615</v>
      </c>
      <c r="B2214">
        <v>256</v>
      </c>
      <c r="C2214">
        <v>499</v>
      </c>
      <c r="D2214">
        <v>5</v>
      </c>
      <c r="E2214">
        <v>30.07</v>
      </c>
      <c r="F2214">
        <v>30.07</v>
      </c>
      <c r="G2214">
        <v>0</v>
      </c>
      <c r="H2214" s="2">
        <v>0</v>
      </c>
      <c r="I2214">
        <v>0</v>
      </c>
      <c r="J2214">
        <v>150.35</v>
      </c>
      <c r="K2214" s="1">
        <v>45798</v>
      </c>
      <c r="L2214" t="s">
        <v>21</v>
      </c>
      <c r="M2214" t="s">
        <v>18</v>
      </c>
      <c r="N2214">
        <f>salesitems[[#This Row],[quantity]]*salesitems[[#This Row],[unit_price]]</f>
        <v>150.35</v>
      </c>
      <c r="O2214" t="str">
        <f>_xlfn.XLOOKUP(salesitems[[#This Row],[product_id]],products[product_id],products[product_name])</f>
        <v>Sleepwear Drop 4</v>
      </c>
      <c r="P2214" t="str">
        <f>_xlfn.XLOOKUP(salesitems[[#This Row],[product_id]],fashion_store_products!A:A,fashion_store_products!C:C)</f>
        <v>Sleepwear</v>
      </c>
    </row>
    <row r="2215" spans="1:16" x14ac:dyDescent="0.45">
      <c r="A2215">
        <v>90</v>
      </c>
      <c r="B2215">
        <v>387</v>
      </c>
      <c r="C2215">
        <v>88</v>
      </c>
      <c r="D2215">
        <v>5</v>
      </c>
      <c r="E2215">
        <v>29.81</v>
      </c>
      <c r="F2215">
        <v>29.81</v>
      </c>
      <c r="G2215">
        <v>0</v>
      </c>
      <c r="H2215" s="2">
        <v>0</v>
      </c>
      <c r="I2215">
        <v>0</v>
      </c>
      <c r="J2215">
        <v>149.05000000000001</v>
      </c>
      <c r="K2215" s="1">
        <v>45767</v>
      </c>
      <c r="L2215" t="s">
        <v>21</v>
      </c>
      <c r="M2215" t="s">
        <v>18</v>
      </c>
      <c r="N2215">
        <f>salesitems[[#This Row],[quantity]]*salesitems[[#This Row],[unit_price]]</f>
        <v>149.04999999999998</v>
      </c>
      <c r="O2215" t="str">
        <f>_xlfn.XLOOKUP(salesitems[[#This Row],[product_id]],products[product_id],products[product_name])</f>
        <v>Modern Satin Set</v>
      </c>
      <c r="P2215" t="str">
        <f>_xlfn.XLOOKUP(salesitems[[#This Row],[product_id]],fashion_store_products!A:A,fashion_store_products!C:C)</f>
        <v>Sleepwear</v>
      </c>
    </row>
    <row r="2216" spans="1:16" x14ac:dyDescent="0.45">
      <c r="A2216">
        <v>493</v>
      </c>
      <c r="B2216">
        <v>32</v>
      </c>
      <c r="C2216">
        <v>88</v>
      </c>
      <c r="D2216">
        <v>5</v>
      </c>
      <c r="E2216">
        <v>29.81</v>
      </c>
      <c r="F2216">
        <v>29.81</v>
      </c>
      <c r="G2216">
        <v>0</v>
      </c>
      <c r="H2216" s="2">
        <v>0</v>
      </c>
      <c r="I2216">
        <v>0</v>
      </c>
      <c r="J2216">
        <v>149.05000000000001</v>
      </c>
      <c r="K2216" s="1">
        <v>45768</v>
      </c>
      <c r="L2216" t="s">
        <v>15</v>
      </c>
      <c r="M2216" t="s">
        <v>15</v>
      </c>
      <c r="N2216">
        <f>salesitems[[#This Row],[quantity]]*salesitems[[#This Row],[unit_price]]</f>
        <v>149.04999999999998</v>
      </c>
      <c r="O2216" t="str">
        <f>_xlfn.XLOOKUP(salesitems[[#This Row],[product_id]],products[product_id],products[product_name])</f>
        <v>Modern Satin Set</v>
      </c>
      <c r="P2216" t="str">
        <f>_xlfn.XLOOKUP(salesitems[[#This Row],[product_id]],fashion_store_products!A:A,fashion_store_products!C:C)</f>
        <v>Sleepwear</v>
      </c>
    </row>
    <row r="2217" spans="1:16" x14ac:dyDescent="0.45">
      <c r="A2217">
        <v>1868</v>
      </c>
      <c r="B2217">
        <v>287</v>
      </c>
      <c r="C2217">
        <v>88</v>
      </c>
      <c r="D2217">
        <v>5</v>
      </c>
      <c r="E2217">
        <v>29.81</v>
      </c>
      <c r="F2217">
        <v>29.81</v>
      </c>
      <c r="G2217">
        <v>0</v>
      </c>
      <c r="H2217" s="2">
        <v>0</v>
      </c>
      <c r="I2217">
        <v>0</v>
      </c>
      <c r="J2217">
        <v>149.05000000000001</v>
      </c>
      <c r="K2217" s="1">
        <v>45792</v>
      </c>
      <c r="L2217" t="s">
        <v>21</v>
      </c>
      <c r="M2217" t="s">
        <v>18</v>
      </c>
      <c r="N2217">
        <f>salesitems[[#This Row],[quantity]]*salesitems[[#This Row],[unit_price]]</f>
        <v>149.04999999999998</v>
      </c>
      <c r="O2217" t="str">
        <f>_xlfn.XLOOKUP(salesitems[[#This Row],[product_id]],products[product_id],products[product_name])</f>
        <v>Modern Satin Set</v>
      </c>
      <c r="P2217" t="str">
        <f>_xlfn.XLOOKUP(salesitems[[#This Row],[product_id]],fashion_store_products!A:A,fashion_store_products!C:C)</f>
        <v>Sleepwear</v>
      </c>
    </row>
    <row r="2218" spans="1:16" x14ac:dyDescent="0.45">
      <c r="A2218">
        <v>754</v>
      </c>
      <c r="B2218">
        <v>785</v>
      </c>
      <c r="C2218">
        <v>81</v>
      </c>
      <c r="D2218">
        <v>5</v>
      </c>
      <c r="E2218">
        <v>29.63</v>
      </c>
      <c r="F2218">
        <v>29.63</v>
      </c>
      <c r="G2218">
        <v>0</v>
      </c>
      <c r="H2218" s="2">
        <v>0</v>
      </c>
      <c r="I2218">
        <v>0</v>
      </c>
      <c r="J2218">
        <v>148.15</v>
      </c>
      <c r="K2218" s="1">
        <v>45808</v>
      </c>
      <c r="L2218" t="s">
        <v>15</v>
      </c>
      <c r="M2218" t="s">
        <v>15</v>
      </c>
      <c r="N2218">
        <f>salesitems[[#This Row],[quantity]]*salesitems[[#This Row],[unit_price]]</f>
        <v>148.15</v>
      </c>
      <c r="O2218" t="str">
        <f>_xlfn.XLOOKUP(salesitems[[#This Row],[product_id]],products[product_id],products[product_name])</f>
        <v>Modern Ribbed Set</v>
      </c>
      <c r="P2218" t="str">
        <f>_xlfn.XLOOKUP(salesitems[[#This Row],[product_id]],fashion_store_products!A:A,fashion_store_products!C:C)</f>
        <v>Sleepwear</v>
      </c>
    </row>
    <row r="2219" spans="1:16" x14ac:dyDescent="0.45">
      <c r="A2219">
        <v>2682</v>
      </c>
      <c r="B2219">
        <v>108</v>
      </c>
      <c r="C2219">
        <v>81</v>
      </c>
      <c r="D2219">
        <v>5</v>
      </c>
      <c r="E2219">
        <v>29.63</v>
      </c>
      <c r="F2219">
        <v>29.63</v>
      </c>
      <c r="G2219">
        <v>0</v>
      </c>
      <c r="H2219" s="2">
        <v>0</v>
      </c>
      <c r="I2219">
        <v>0</v>
      </c>
      <c r="J2219">
        <v>148.15</v>
      </c>
      <c r="K2219" s="1">
        <v>45796</v>
      </c>
      <c r="L2219" t="s">
        <v>21</v>
      </c>
      <c r="M2219" t="s">
        <v>18</v>
      </c>
      <c r="N2219">
        <f>salesitems[[#This Row],[quantity]]*salesitems[[#This Row],[unit_price]]</f>
        <v>148.15</v>
      </c>
      <c r="O2219" t="str">
        <f>_xlfn.XLOOKUP(salesitems[[#This Row],[product_id]],products[product_id],products[product_name])</f>
        <v>Modern Ribbed Set</v>
      </c>
      <c r="P2219" t="str">
        <f>_xlfn.XLOOKUP(salesitems[[#This Row],[product_id]],fashion_store_products!A:A,fashion_store_products!C:C)</f>
        <v>Sleepwear</v>
      </c>
    </row>
    <row r="2220" spans="1:16" x14ac:dyDescent="0.45">
      <c r="A2220">
        <v>2476</v>
      </c>
      <c r="B2220">
        <v>211</v>
      </c>
      <c r="C2220">
        <v>362</v>
      </c>
      <c r="D2220">
        <v>5</v>
      </c>
      <c r="E2220">
        <v>32.64</v>
      </c>
      <c r="F2220">
        <v>29.38</v>
      </c>
      <c r="G2220">
        <v>3.26</v>
      </c>
      <c r="H2220" s="2">
        <v>0.1</v>
      </c>
      <c r="I2220">
        <v>1</v>
      </c>
      <c r="J2220">
        <v>146.88</v>
      </c>
      <c r="K2220" s="1">
        <v>45813</v>
      </c>
      <c r="L2220" t="s">
        <v>21</v>
      </c>
      <c r="M2220" t="s">
        <v>18</v>
      </c>
      <c r="N2220">
        <f>salesitems[[#This Row],[quantity]]*salesitems[[#This Row],[unit_price]]</f>
        <v>146.9</v>
      </c>
      <c r="O2220" t="str">
        <f>_xlfn.XLOOKUP(salesitems[[#This Row],[product_id]],products[product_id],products[product_name])</f>
        <v>Tailored Ribbed Set</v>
      </c>
      <c r="P2220" t="str">
        <f>_xlfn.XLOOKUP(salesitems[[#This Row],[product_id]],fashion_store_products!A:A,fashion_store_products!C:C)</f>
        <v>Sleepwear</v>
      </c>
    </row>
    <row r="2221" spans="1:16" x14ac:dyDescent="0.45">
      <c r="A2221">
        <v>975</v>
      </c>
      <c r="B2221">
        <v>64</v>
      </c>
      <c r="C2221">
        <v>246</v>
      </c>
      <c r="D2221">
        <v>5</v>
      </c>
      <c r="E2221">
        <v>28.98</v>
      </c>
      <c r="F2221">
        <v>28.98</v>
      </c>
      <c r="G2221">
        <v>0</v>
      </c>
      <c r="H2221" s="2">
        <v>0</v>
      </c>
      <c r="I2221">
        <v>0</v>
      </c>
      <c r="J2221">
        <v>144.9</v>
      </c>
      <c r="K2221" s="1">
        <v>45798</v>
      </c>
      <c r="L2221" t="s">
        <v>15</v>
      </c>
      <c r="M2221" t="s">
        <v>15</v>
      </c>
      <c r="N2221">
        <f>salesitems[[#This Row],[quantity]]*salesitems[[#This Row],[unit_price]]</f>
        <v>144.9</v>
      </c>
      <c r="O2221" t="str">
        <f>_xlfn.XLOOKUP(salesitems[[#This Row],[product_id]],products[product_id],products[product_name])</f>
        <v>Relaxed Satin Dress</v>
      </c>
      <c r="P2221" t="str">
        <f>_xlfn.XLOOKUP(salesitems[[#This Row],[product_id]],fashion_store_products!A:A,fashion_store_products!C:C)</f>
        <v>Dresses</v>
      </c>
    </row>
    <row r="2222" spans="1:16" x14ac:dyDescent="0.45">
      <c r="A2222">
        <v>1500</v>
      </c>
      <c r="B2222">
        <v>59</v>
      </c>
      <c r="C2222">
        <v>246</v>
      </c>
      <c r="D2222">
        <v>5</v>
      </c>
      <c r="E2222">
        <v>28.98</v>
      </c>
      <c r="F2222">
        <v>28.98</v>
      </c>
      <c r="G2222">
        <v>0</v>
      </c>
      <c r="H2222" s="2">
        <v>0</v>
      </c>
      <c r="I2222">
        <v>0</v>
      </c>
      <c r="J2222">
        <v>144.9</v>
      </c>
      <c r="K2222" s="1">
        <v>45791</v>
      </c>
      <c r="L2222" t="s">
        <v>21</v>
      </c>
      <c r="M2222" t="s">
        <v>18</v>
      </c>
      <c r="N2222">
        <f>salesitems[[#This Row],[quantity]]*salesitems[[#This Row],[unit_price]]</f>
        <v>144.9</v>
      </c>
      <c r="O2222" t="str">
        <f>_xlfn.XLOOKUP(salesitems[[#This Row],[product_id]],products[product_id],products[product_name])</f>
        <v>Relaxed Satin Dress</v>
      </c>
      <c r="P2222" t="str">
        <f>_xlfn.XLOOKUP(salesitems[[#This Row],[product_id]],fashion_store_products!A:A,fashion_store_products!C:C)</f>
        <v>Dresses</v>
      </c>
    </row>
    <row r="2223" spans="1:16" x14ac:dyDescent="0.45">
      <c r="A2223">
        <v>2501</v>
      </c>
      <c r="B2223">
        <v>55</v>
      </c>
      <c r="C2223">
        <v>462</v>
      </c>
      <c r="D2223">
        <v>5</v>
      </c>
      <c r="E2223">
        <v>28.58</v>
      </c>
      <c r="F2223">
        <v>28.58</v>
      </c>
      <c r="G2223">
        <v>0</v>
      </c>
      <c r="H2223" s="2">
        <v>0</v>
      </c>
      <c r="I2223">
        <v>0</v>
      </c>
      <c r="J2223">
        <v>142.9</v>
      </c>
      <c r="K2223" s="1">
        <v>45764</v>
      </c>
      <c r="L2223" t="s">
        <v>21</v>
      </c>
      <c r="M2223" t="s">
        <v>18</v>
      </c>
      <c r="N2223">
        <f>salesitems[[#This Row],[quantity]]*salesitems[[#This Row],[unit_price]]</f>
        <v>142.89999999999998</v>
      </c>
      <c r="O2223" t="str">
        <f>_xlfn.XLOOKUP(salesitems[[#This Row],[product_id]],products[product_id],products[product_name])</f>
        <v>Bold High-Waist Set</v>
      </c>
      <c r="P2223" t="str">
        <f>_xlfn.XLOOKUP(salesitems[[#This Row],[product_id]],fashion_store_products!A:A,fashion_store_products!C:C)</f>
        <v>Sleepwear</v>
      </c>
    </row>
    <row r="2224" spans="1:16" x14ac:dyDescent="0.45">
      <c r="A2224">
        <v>354</v>
      </c>
      <c r="B2224">
        <v>212</v>
      </c>
      <c r="C2224">
        <v>176</v>
      </c>
      <c r="D2224">
        <v>5</v>
      </c>
      <c r="E2224">
        <v>27.94</v>
      </c>
      <c r="F2224">
        <v>27.94</v>
      </c>
      <c r="G2224">
        <v>0</v>
      </c>
      <c r="H2224" s="2">
        <v>0</v>
      </c>
      <c r="I2224">
        <v>0</v>
      </c>
      <c r="J2224">
        <v>139.69999999999999</v>
      </c>
      <c r="K2224" s="1">
        <v>45782</v>
      </c>
      <c r="L2224" t="s">
        <v>15</v>
      </c>
      <c r="M2224" t="s">
        <v>15</v>
      </c>
      <c r="N2224">
        <f>salesitems[[#This Row],[quantity]]*salesitems[[#This Row],[unit_price]]</f>
        <v>139.70000000000002</v>
      </c>
      <c r="O2224" t="str">
        <f>_xlfn.XLOOKUP(salesitems[[#This Row],[product_id]],products[product_id],products[product_name])</f>
        <v>Polished Ribbed Dress</v>
      </c>
      <c r="P2224" t="str">
        <f>_xlfn.XLOOKUP(salesitems[[#This Row],[product_id]],fashion_store_products!A:A,fashion_store_products!C:C)</f>
        <v>Dresses</v>
      </c>
    </row>
    <row r="2225" spans="1:16" x14ac:dyDescent="0.45">
      <c r="A2225">
        <v>1036</v>
      </c>
      <c r="B2225">
        <v>1030</v>
      </c>
      <c r="C2225">
        <v>65</v>
      </c>
      <c r="D2225">
        <v>5</v>
      </c>
      <c r="E2225">
        <v>27.45</v>
      </c>
      <c r="F2225">
        <v>27.45</v>
      </c>
      <c r="G2225">
        <v>0</v>
      </c>
      <c r="H2225" s="2">
        <v>0</v>
      </c>
      <c r="I2225">
        <v>0</v>
      </c>
      <c r="J2225">
        <v>137.25</v>
      </c>
      <c r="K2225" s="1">
        <v>45824</v>
      </c>
      <c r="L2225" t="s">
        <v>15</v>
      </c>
      <c r="M2225" t="s">
        <v>15</v>
      </c>
      <c r="N2225">
        <f>salesitems[[#This Row],[quantity]]*salesitems[[#This Row],[unit_price]]</f>
        <v>137.25</v>
      </c>
      <c r="O2225" t="str">
        <f>_xlfn.XLOOKUP(salesitems[[#This Row],[product_id]],products[product_id],products[product_name])</f>
        <v>Modern Silk Tee</v>
      </c>
      <c r="P2225" t="str">
        <f>_xlfn.XLOOKUP(salesitems[[#This Row],[product_id]],fashion_store_products!A:A,fashion_store_products!C:C)</f>
        <v>T-Shirts</v>
      </c>
    </row>
    <row r="2226" spans="1:16" x14ac:dyDescent="0.45">
      <c r="A2226">
        <v>1303</v>
      </c>
      <c r="B2226">
        <v>513</v>
      </c>
      <c r="C2226">
        <v>65</v>
      </c>
      <c r="D2226">
        <v>5</v>
      </c>
      <c r="E2226">
        <v>27.45</v>
      </c>
      <c r="F2226">
        <v>27.45</v>
      </c>
      <c r="G2226">
        <v>0</v>
      </c>
      <c r="H2226" s="2">
        <v>0</v>
      </c>
      <c r="I2226">
        <v>0</v>
      </c>
      <c r="J2226">
        <v>137.25</v>
      </c>
      <c r="K2226" s="1">
        <v>45822</v>
      </c>
      <c r="L2226" t="s">
        <v>21</v>
      </c>
      <c r="M2226" t="s">
        <v>18</v>
      </c>
      <c r="N2226">
        <f>salesitems[[#This Row],[quantity]]*salesitems[[#This Row],[unit_price]]</f>
        <v>137.25</v>
      </c>
      <c r="O2226" t="str">
        <f>_xlfn.XLOOKUP(salesitems[[#This Row],[product_id]],products[product_id],products[product_name])</f>
        <v>Modern Silk Tee</v>
      </c>
      <c r="P2226" t="str">
        <f>_xlfn.XLOOKUP(salesitems[[#This Row],[product_id]],fashion_store_products!A:A,fashion_store_products!C:C)</f>
        <v>T-Shirts</v>
      </c>
    </row>
    <row r="2227" spans="1:16" x14ac:dyDescent="0.45">
      <c r="A2227">
        <v>1634</v>
      </c>
      <c r="B2227">
        <v>647</v>
      </c>
      <c r="C2227">
        <v>119</v>
      </c>
      <c r="D2227">
        <v>5</v>
      </c>
      <c r="E2227">
        <v>27.34</v>
      </c>
      <c r="F2227">
        <v>27.34</v>
      </c>
      <c r="G2227">
        <v>0</v>
      </c>
      <c r="H2227" s="2">
        <v>0</v>
      </c>
      <c r="I2227">
        <v>0</v>
      </c>
      <c r="J2227">
        <v>136.69999999999999</v>
      </c>
      <c r="K2227" s="1">
        <v>45777</v>
      </c>
      <c r="L2227" t="s">
        <v>21</v>
      </c>
      <c r="M2227" t="s">
        <v>18</v>
      </c>
      <c r="N2227">
        <f>salesitems[[#This Row],[quantity]]*salesitems[[#This Row],[unit_price]]</f>
        <v>136.69999999999999</v>
      </c>
      <c r="O2227" t="str">
        <f>_xlfn.XLOOKUP(salesitems[[#This Row],[product_id]],products[product_id],products[product_name])</f>
        <v>Vintage Linen Dress</v>
      </c>
      <c r="P2227" t="str">
        <f>_xlfn.XLOOKUP(salesitems[[#This Row],[product_id]],fashion_store_products!A:A,fashion_store_products!C:C)</f>
        <v>Dresses</v>
      </c>
    </row>
    <row r="2228" spans="1:16" x14ac:dyDescent="0.45">
      <c r="A2228">
        <v>1524</v>
      </c>
      <c r="B2228">
        <v>259</v>
      </c>
      <c r="C2228">
        <v>451</v>
      </c>
      <c r="D2228">
        <v>5</v>
      </c>
      <c r="E2228">
        <v>37.799999999999997</v>
      </c>
      <c r="F2228">
        <v>26.46</v>
      </c>
      <c r="G2228">
        <v>11.34</v>
      </c>
      <c r="H2228" s="2">
        <v>0.3</v>
      </c>
      <c r="I2228">
        <v>1</v>
      </c>
      <c r="J2228">
        <v>132.30000000000001</v>
      </c>
      <c r="K2228" s="1">
        <v>45796</v>
      </c>
      <c r="L2228" t="s">
        <v>15</v>
      </c>
      <c r="M2228" t="s">
        <v>15</v>
      </c>
      <c r="N2228">
        <f>salesitems[[#This Row],[quantity]]*salesitems[[#This Row],[unit_price]]</f>
        <v>132.30000000000001</v>
      </c>
      <c r="O2228" t="str">
        <f>_xlfn.XLOOKUP(salesitems[[#This Row],[product_id]],products[product_id],products[product_name])</f>
        <v>Bold Satin Tee</v>
      </c>
      <c r="P2228" t="str">
        <f>_xlfn.XLOOKUP(salesitems[[#This Row],[product_id]],fashion_store_products!A:A,fashion_store_products!C:C)</f>
        <v>T-Shirts</v>
      </c>
    </row>
    <row r="2229" spans="1:16" x14ac:dyDescent="0.45">
      <c r="A2229">
        <v>1728</v>
      </c>
      <c r="B2229">
        <v>387</v>
      </c>
      <c r="C2229">
        <v>174</v>
      </c>
      <c r="D2229">
        <v>5</v>
      </c>
      <c r="E2229">
        <v>26.41</v>
      </c>
      <c r="F2229">
        <v>26.41</v>
      </c>
      <c r="G2229">
        <v>0</v>
      </c>
      <c r="H2229" s="2">
        <v>0</v>
      </c>
      <c r="I2229">
        <v>0</v>
      </c>
      <c r="J2229">
        <v>132.05000000000001</v>
      </c>
      <c r="K2229" s="1">
        <v>45767</v>
      </c>
      <c r="L2229" t="s">
        <v>21</v>
      </c>
      <c r="M2229" t="s">
        <v>18</v>
      </c>
      <c r="N2229">
        <f>salesitems[[#This Row],[quantity]]*salesitems[[#This Row],[unit_price]]</f>
        <v>132.05000000000001</v>
      </c>
      <c r="O2229" t="str">
        <f>_xlfn.XLOOKUP(salesitems[[#This Row],[product_id]],products[product_id],products[product_name])</f>
        <v>Vintage Ribbed Set</v>
      </c>
      <c r="P2229" t="str">
        <f>_xlfn.XLOOKUP(salesitems[[#This Row],[product_id]],fashion_store_products!A:A,fashion_store_products!C:C)</f>
        <v>Sleepwear</v>
      </c>
    </row>
    <row r="2230" spans="1:16" x14ac:dyDescent="0.45">
      <c r="A2230">
        <v>2936</v>
      </c>
      <c r="B2230">
        <v>341</v>
      </c>
      <c r="C2230">
        <v>208</v>
      </c>
      <c r="D2230">
        <v>5</v>
      </c>
      <c r="E2230">
        <v>37.450000000000003</v>
      </c>
      <c r="F2230">
        <v>26.22</v>
      </c>
      <c r="G2230">
        <v>11.24</v>
      </c>
      <c r="H2230" s="2">
        <v>0.3</v>
      </c>
      <c r="I2230">
        <v>1</v>
      </c>
      <c r="J2230">
        <v>131.08000000000001</v>
      </c>
      <c r="K2230" s="1">
        <v>45790</v>
      </c>
      <c r="L2230" t="s">
        <v>15</v>
      </c>
      <c r="M2230" t="s">
        <v>15</v>
      </c>
      <c r="N2230">
        <f>salesitems[[#This Row],[quantity]]*salesitems[[#This Row],[unit_price]]</f>
        <v>131.1</v>
      </c>
      <c r="O2230" t="str">
        <f>_xlfn.XLOOKUP(salesitems[[#This Row],[product_id]],products[product_id],products[product_name])</f>
        <v>Polished Wrap Tee</v>
      </c>
      <c r="P2230" t="str">
        <f>_xlfn.XLOOKUP(salesitems[[#This Row],[product_id]],fashion_store_products!A:A,fashion_store_products!C:C)</f>
        <v>T-Shirts</v>
      </c>
    </row>
    <row r="2231" spans="1:16" x14ac:dyDescent="0.45">
      <c r="A2231">
        <v>3034</v>
      </c>
      <c r="B2231">
        <v>411</v>
      </c>
      <c r="C2231">
        <v>5</v>
      </c>
      <c r="D2231">
        <v>5</v>
      </c>
      <c r="E2231">
        <v>36.840000000000003</v>
      </c>
      <c r="F2231">
        <v>25.79</v>
      </c>
      <c r="G2231">
        <v>11.05</v>
      </c>
      <c r="H2231" s="2">
        <v>0.3</v>
      </c>
      <c r="I2231">
        <v>1</v>
      </c>
      <c r="J2231">
        <v>128.94</v>
      </c>
      <c r="K2231" s="1">
        <v>45790</v>
      </c>
      <c r="L2231" t="s">
        <v>15</v>
      </c>
      <c r="M2231" t="s">
        <v>15</v>
      </c>
      <c r="N2231">
        <f>salesitems[[#This Row],[quantity]]*salesitems[[#This Row],[unit_price]]</f>
        <v>128.94999999999999</v>
      </c>
      <c r="O2231" t="str">
        <f>_xlfn.XLOOKUP(salesitems[[#This Row],[product_id]],products[product_id],products[product_name])</f>
        <v>Soft Wrap Trousers</v>
      </c>
      <c r="P2231" t="str">
        <f>_xlfn.XLOOKUP(salesitems[[#This Row],[product_id]],fashion_store_products!A:A,fashion_store_products!C:C)</f>
        <v>Pants</v>
      </c>
    </row>
    <row r="2232" spans="1:16" x14ac:dyDescent="0.45">
      <c r="A2232">
        <v>39</v>
      </c>
      <c r="B2232">
        <v>1297</v>
      </c>
      <c r="C2232">
        <v>245</v>
      </c>
      <c r="D2232">
        <v>5</v>
      </c>
      <c r="E2232">
        <v>24.91</v>
      </c>
      <c r="F2232">
        <v>24.91</v>
      </c>
      <c r="G2232">
        <v>0</v>
      </c>
      <c r="H2232" s="2">
        <v>0</v>
      </c>
      <c r="I2232">
        <v>0</v>
      </c>
      <c r="J2232">
        <v>124.55</v>
      </c>
      <c r="K2232" s="1">
        <v>45776</v>
      </c>
      <c r="L2232" t="s">
        <v>15</v>
      </c>
      <c r="M2232" t="s">
        <v>15</v>
      </c>
      <c r="N2232">
        <f>salesitems[[#This Row],[quantity]]*salesitems[[#This Row],[unit_price]]</f>
        <v>124.55</v>
      </c>
      <c r="O2232" t="str">
        <f>_xlfn.XLOOKUP(salesitems[[#This Row],[product_id]],products[product_id],products[product_name])</f>
        <v>Relaxed Cotton Dress</v>
      </c>
      <c r="P2232" t="str">
        <f>_xlfn.XLOOKUP(salesitems[[#This Row],[product_id]],fashion_store_products!A:A,fashion_store_products!C:C)</f>
        <v>Dresses</v>
      </c>
    </row>
    <row r="2233" spans="1:16" x14ac:dyDescent="0.45">
      <c r="A2233">
        <v>48</v>
      </c>
      <c r="B2233">
        <v>1030</v>
      </c>
      <c r="C2233">
        <v>122</v>
      </c>
      <c r="D2233">
        <v>5</v>
      </c>
      <c r="E2233">
        <v>24.8</v>
      </c>
      <c r="F2233">
        <v>24.8</v>
      </c>
      <c r="G2233">
        <v>0</v>
      </c>
      <c r="H2233" s="2">
        <v>0</v>
      </c>
      <c r="I2233">
        <v>0</v>
      </c>
      <c r="J2233">
        <v>124</v>
      </c>
      <c r="K2233" s="1">
        <v>45824</v>
      </c>
      <c r="L2233" t="s">
        <v>15</v>
      </c>
      <c r="M2233" t="s">
        <v>15</v>
      </c>
      <c r="N2233">
        <f>salesitems[[#This Row],[quantity]]*salesitems[[#This Row],[unit_price]]</f>
        <v>124</v>
      </c>
      <c r="O2233" t="str">
        <f>_xlfn.XLOOKUP(salesitems[[#This Row],[product_id]],products[product_id],products[product_name])</f>
        <v>Modern Boxy Trousers</v>
      </c>
      <c r="P2233" t="str">
        <f>_xlfn.XLOOKUP(salesitems[[#This Row],[product_id]],fashion_store_products!A:A,fashion_store_products!C:C)</f>
        <v>Pants</v>
      </c>
    </row>
    <row r="2234" spans="1:16" x14ac:dyDescent="0.45">
      <c r="A2234">
        <v>2070</v>
      </c>
      <c r="B2234">
        <v>120</v>
      </c>
      <c r="C2234">
        <v>23</v>
      </c>
      <c r="D2234">
        <v>5</v>
      </c>
      <c r="E2234">
        <v>27.5</v>
      </c>
      <c r="F2234">
        <v>24.75</v>
      </c>
      <c r="G2234">
        <v>2.75</v>
      </c>
      <c r="H2234" s="2">
        <v>0.1</v>
      </c>
      <c r="I2234">
        <v>1</v>
      </c>
      <c r="J2234">
        <v>123.75</v>
      </c>
      <c r="K2234" s="1">
        <v>45814</v>
      </c>
      <c r="L2234" t="s">
        <v>21</v>
      </c>
      <c r="M2234" t="s">
        <v>18</v>
      </c>
      <c r="N2234">
        <f>salesitems[[#This Row],[quantity]]*salesitems[[#This Row],[unit_price]]</f>
        <v>123.75</v>
      </c>
      <c r="O2234" t="str">
        <f>_xlfn.XLOOKUP(salesitems[[#This Row],[product_id]],products[product_id],products[product_name])</f>
        <v>Soft Sleeveless Dress</v>
      </c>
      <c r="P2234" t="str">
        <f>_xlfn.XLOOKUP(salesitems[[#This Row],[product_id]],fashion_store_products!A:A,fashion_store_products!C:C)</f>
        <v>Dresses</v>
      </c>
    </row>
    <row r="2235" spans="1:16" x14ac:dyDescent="0.45">
      <c r="A2235">
        <v>91</v>
      </c>
      <c r="B2235">
        <v>875</v>
      </c>
      <c r="C2235">
        <v>405</v>
      </c>
      <c r="D2235">
        <v>5</v>
      </c>
      <c r="E2235">
        <v>34.71</v>
      </c>
      <c r="F2235">
        <v>24.3</v>
      </c>
      <c r="G2235">
        <v>10.41</v>
      </c>
      <c r="H2235" s="2">
        <v>0.3</v>
      </c>
      <c r="I2235">
        <v>1</v>
      </c>
      <c r="J2235">
        <v>121.48</v>
      </c>
      <c r="K2235" s="1">
        <v>45794</v>
      </c>
      <c r="L2235" t="s">
        <v>15</v>
      </c>
      <c r="M2235" t="s">
        <v>15</v>
      </c>
      <c r="N2235">
        <f>salesitems[[#This Row],[quantity]]*salesitems[[#This Row],[unit_price]]</f>
        <v>121.5</v>
      </c>
      <c r="O2235" t="str">
        <f>_xlfn.XLOOKUP(salesitems[[#This Row],[product_id]],products[product_id],products[product_name])</f>
        <v>Elegant Silk Dress</v>
      </c>
      <c r="P2235" t="str">
        <f>_xlfn.XLOOKUP(salesitems[[#This Row],[product_id]],fashion_store_products!A:A,fashion_store_products!C:C)</f>
        <v>Dresses</v>
      </c>
    </row>
    <row r="2236" spans="1:16" x14ac:dyDescent="0.45">
      <c r="A2236">
        <v>570</v>
      </c>
      <c r="B2236">
        <v>518</v>
      </c>
      <c r="C2236">
        <v>319</v>
      </c>
      <c r="D2236">
        <v>5</v>
      </c>
      <c r="E2236">
        <v>24.05</v>
      </c>
      <c r="F2236">
        <v>24.05</v>
      </c>
      <c r="G2236">
        <v>0</v>
      </c>
      <c r="H2236" s="2">
        <v>0</v>
      </c>
      <c r="I2236">
        <v>0</v>
      </c>
      <c r="J2236">
        <v>120.25</v>
      </c>
      <c r="K2236" s="1">
        <v>45752</v>
      </c>
      <c r="L2236" t="s">
        <v>21</v>
      </c>
      <c r="M2236" t="s">
        <v>18</v>
      </c>
      <c r="N2236">
        <f>salesitems[[#This Row],[quantity]]*salesitems[[#This Row],[unit_price]]</f>
        <v>120.25</v>
      </c>
      <c r="O2236" t="str">
        <f>_xlfn.XLOOKUP(salesitems[[#This Row],[product_id]],products[product_id],products[product_name])</f>
        <v>Essential Silk Dress</v>
      </c>
      <c r="P2236" t="str">
        <f>_xlfn.XLOOKUP(salesitems[[#This Row],[product_id]],fashion_store_products!A:A,fashion_store_products!C:C)</f>
        <v>Dresses</v>
      </c>
    </row>
    <row r="2237" spans="1:16" x14ac:dyDescent="0.45">
      <c r="A2237">
        <v>2995</v>
      </c>
      <c r="B2237">
        <v>1132</v>
      </c>
      <c r="C2237">
        <v>205</v>
      </c>
      <c r="D2237">
        <v>5</v>
      </c>
      <c r="E2237">
        <v>24.05</v>
      </c>
      <c r="F2237">
        <v>24.05</v>
      </c>
      <c r="G2237">
        <v>0</v>
      </c>
      <c r="H2237" s="2">
        <v>0</v>
      </c>
      <c r="I2237">
        <v>0</v>
      </c>
      <c r="J2237">
        <v>120.25</v>
      </c>
      <c r="K2237" s="1">
        <v>45797</v>
      </c>
      <c r="L2237" t="s">
        <v>15</v>
      </c>
      <c r="M2237" t="s">
        <v>15</v>
      </c>
      <c r="N2237">
        <f>salesitems[[#This Row],[quantity]]*salesitems[[#This Row],[unit_price]]</f>
        <v>120.25</v>
      </c>
      <c r="O2237" t="str">
        <f>_xlfn.XLOOKUP(salesitems[[#This Row],[product_id]],products[product_id],products[product_name])</f>
        <v>Vintage Satin Trousers</v>
      </c>
      <c r="P2237" t="str">
        <f>_xlfn.XLOOKUP(salesitems[[#This Row],[product_id]],fashion_store_products!A:A,fashion_store_products!C:C)</f>
        <v>Pants</v>
      </c>
    </row>
    <row r="2238" spans="1:16" x14ac:dyDescent="0.45">
      <c r="A2238">
        <v>457</v>
      </c>
      <c r="B2238">
        <v>421</v>
      </c>
      <c r="C2238">
        <v>3</v>
      </c>
      <c r="D2238">
        <v>5</v>
      </c>
      <c r="E2238">
        <v>23.9</v>
      </c>
      <c r="F2238">
        <v>23.9</v>
      </c>
      <c r="G2238">
        <v>0</v>
      </c>
      <c r="H2238" s="2">
        <v>0</v>
      </c>
      <c r="I2238">
        <v>0</v>
      </c>
      <c r="J2238">
        <v>119.5</v>
      </c>
      <c r="K2238" s="1">
        <v>45796</v>
      </c>
      <c r="L2238" t="s">
        <v>21</v>
      </c>
      <c r="M2238" t="s">
        <v>18</v>
      </c>
      <c r="N2238">
        <f>salesitems[[#This Row],[quantity]]*salesitems[[#This Row],[unit_price]]</f>
        <v>119.5</v>
      </c>
      <c r="O2238" t="str">
        <f>_xlfn.XLOOKUP(salesitems[[#This Row],[product_id]],products[product_id],products[product_name])</f>
        <v>Soft Linen Tee</v>
      </c>
      <c r="P2238" t="str">
        <f>_xlfn.XLOOKUP(salesitems[[#This Row],[product_id]],fashion_store_products!A:A,fashion_store_products!C:C)</f>
        <v>T-Shirts</v>
      </c>
    </row>
    <row r="2239" spans="1:16" x14ac:dyDescent="0.45">
      <c r="A2239">
        <v>1748</v>
      </c>
      <c r="B2239">
        <v>915</v>
      </c>
      <c r="C2239">
        <v>3</v>
      </c>
      <c r="D2239">
        <v>5</v>
      </c>
      <c r="E2239">
        <v>23.9</v>
      </c>
      <c r="F2239">
        <v>23.9</v>
      </c>
      <c r="G2239">
        <v>0</v>
      </c>
      <c r="H2239" s="2">
        <v>0</v>
      </c>
      <c r="I2239">
        <v>0</v>
      </c>
      <c r="J2239">
        <v>119.5</v>
      </c>
      <c r="K2239" s="1">
        <v>45767</v>
      </c>
      <c r="L2239" t="s">
        <v>21</v>
      </c>
      <c r="M2239" t="s">
        <v>18</v>
      </c>
      <c r="N2239">
        <f>salesitems[[#This Row],[quantity]]*salesitems[[#This Row],[unit_price]]</f>
        <v>119.5</v>
      </c>
      <c r="O2239" t="str">
        <f>_xlfn.XLOOKUP(salesitems[[#This Row],[product_id]],products[product_id],products[product_name])</f>
        <v>Soft Linen Tee</v>
      </c>
      <c r="P2239" t="str">
        <f>_xlfn.XLOOKUP(salesitems[[#This Row],[product_id]],fashion_store_products!A:A,fashion_store_products!C:C)</f>
        <v>T-Shirts</v>
      </c>
    </row>
    <row r="2240" spans="1:16" x14ac:dyDescent="0.45">
      <c r="A2240">
        <v>2749</v>
      </c>
      <c r="B2240">
        <v>1180</v>
      </c>
      <c r="C2240">
        <v>3</v>
      </c>
      <c r="D2240">
        <v>5</v>
      </c>
      <c r="E2240">
        <v>23.9</v>
      </c>
      <c r="F2240">
        <v>23.9</v>
      </c>
      <c r="G2240">
        <v>0</v>
      </c>
      <c r="H2240" s="2">
        <v>0</v>
      </c>
      <c r="I2240">
        <v>0</v>
      </c>
      <c r="J2240">
        <v>119.5</v>
      </c>
      <c r="K2240" s="1">
        <v>45803</v>
      </c>
      <c r="L2240" t="s">
        <v>21</v>
      </c>
      <c r="M2240" t="s">
        <v>18</v>
      </c>
      <c r="N2240">
        <f>salesitems[[#This Row],[quantity]]*salesitems[[#This Row],[unit_price]]</f>
        <v>119.5</v>
      </c>
      <c r="O2240" t="str">
        <f>_xlfn.XLOOKUP(salesitems[[#This Row],[product_id]],products[product_id],products[product_name])</f>
        <v>Soft Linen Tee</v>
      </c>
      <c r="P2240" t="str">
        <f>_xlfn.XLOOKUP(salesitems[[#This Row],[product_id]],fashion_store_products!A:A,fashion_store_products!C:C)</f>
        <v>T-Shirts</v>
      </c>
    </row>
    <row r="2241" spans="1:16" x14ac:dyDescent="0.45">
      <c r="A2241">
        <v>2910</v>
      </c>
      <c r="B2241">
        <v>295</v>
      </c>
      <c r="C2241">
        <v>430</v>
      </c>
      <c r="D2241">
        <v>5</v>
      </c>
      <c r="E2241">
        <v>33.979999999999997</v>
      </c>
      <c r="F2241">
        <v>23.79</v>
      </c>
      <c r="G2241">
        <v>10.19</v>
      </c>
      <c r="H2241" s="2">
        <v>0.3</v>
      </c>
      <c r="I2241">
        <v>1</v>
      </c>
      <c r="J2241">
        <v>118.93</v>
      </c>
      <c r="K2241" s="1">
        <v>45790</v>
      </c>
      <c r="L2241" t="s">
        <v>15</v>
      </c>
      <c r="M2241" t="s">
        <v>15</v>
      </c>
      <c r="N2241">
        <f>salesitems[[#This Row],[quantity]]*salesitems[[#This Row],[unit_price]]</f>
        <v>118.94999999999999</v>
      </c>
      <c r="O2241" t="str">
        <f>_xlfn.XLOOKUP(salesitems[[#This Row],[product_id]],products[product_id],products[product_name])</f>
        <v>Bold Linen Set</v>
      </c>
      <c r="P2241" t="str">
        <f>_xlfn.XLOOKUP(salesitems[[#This Row],[product_id]],fashion_store_products!A:A,fashion_store_products!C:C)</f>
        <v>Sleepwear</v>
      </c>
    </row>
    <row r="2242" spans="1:16" x14ac:dyDescent="0.45">
      <c r="A2242">
        <v>704</v>
      </c>
      <c r="B2242">
        <v>375</v>
      </c>
      <c r="C2242">
        <v>235</v>
      </c>
      <c r="D2242">
        <v>5</v>
      </c>
      <c r="E2242">
        <v>23.68</v>
      </c>
      <c r="F2242">
        <v>23.68</v>
      </c>
      <c r="G2242">
        <v>0</v>
      </c>
      <c r="H2242" s="2">
        <v>0</v>
      </c>
      <c r="I2242">
        <v>0</v>
      </c>
      <c r="J2242">
        <v>118.4</v>
      </c>
      <c r="K2242" s="1">
        <v>45761</v>
      </c>
      <c r="L2242" t="s">
        <v>21</v>
      </c>
      <c r="M2242" t="s">
        <v>18</v>
      </c>
      <c r="N2242">
        <f>salesitems[[#This Row],[quantity]]*salesitems[[#This Row],[unit_price]]</f>
        <v>118.4</v>
      </c>
      <c r="O2242" t="str">
        <f>_xlfn.XLOOKUP(salesitems[[#This Row],[product_id]],products[product_id],products[product_name])</f>
        <v>Polished Cotton Set</v>
      </c>
      <c r="P2242" t="str">
        <f>_xlfn.XLOOKUP(salesitems[[#This Row],[product_id]],fashion_store_products!A:A,fashion_store_products!C:C)</f>
        <v>Sleepwear</v>
      </c>
    </row>
    <row r="2243" spans="1:16" x14ac:dyDescent="0.45">
      <c r="A2243">
        <v>2028</v>
      </c>
      <c r="B2243">
        <v>102</v>
      </c>
      <c r="C2243">
        <v>443</v>
      </c>
      <c r="D2243">
        <v>5</v>
      </c>
      <c r="E2243">
        <v>23.13</v>
      </c>
      <c r="F2243">
        <v>23.13</v>
      </c>
      <c r="G2243">
        <v>0</v>
      </c>
      <c r="H2243" s="2">
        <v>0</v>
      </c>
      <c r="I2243">
        <v>0</v>
      </c>
      <c r="J2243">
        <v>115.65</v>
      </c>
      <c r="K2243" s="1">
        <v>45822</v>
      </c>
      <c r="L2243" t="s">
        <v>15</v>
      </c>
      <c r="M2243" t="s">
        <v>15</v>
      </c>
      <c r="N2243">
        <f>salesitems[[#This Row],[quantity]]*salesitems[[#This Row],[unit_price]]</f>
        <v>115.64999999999999</v>
      </c>
      <c r="O2243" t="str">
        <f>_xlfn.XLOOKUP(salesitems[[#This Row],[product_id]],products[product_id],products[product_name])</f>
        <v>Bold Ribbed Set</v>
      </c>
      <c r="P2243" t="str">
        <f>_xlfn.XLOOKUP(salesitems[[#This Row],[product_id]],fashion_store_products!A:A,fashion_store_products!C:C)</f>
        <v>Sleepwear</v>
      </c>
    </row>
    <row r="2244" spans="1:16" x14ac:dyDescent="0.45">
      <c r="A2244">
        <v>2031</v>
      </c>
      <c r="B2244">
        <v>1303</v>
      </c>
      <c r="C2244">
        <v>164</v>
      </c>
      <c r="D2244">
        <v>5</v>
      </c>
      <c r="E2244">
        <v>22.96</v>
      </c>
      <c r="F2244">
        <v>22.96</v>
      </c>
      <c r="G2244">
        <v>0</v>
      </c>
      <c r="H2244" s="2">
        <v>0</v>
      </c>
      <c r="I2244">
        <v>0</v>
      </c>
      <c r="J2244">
        <v>114.8</v>
      </c>
      <c r="K2244" s="1">
        <v>45798</v>
      </c>
      <c r="L2244" t="s">
        <v>21</v>
      </c>
      <c r="M2244" t="s">
        <v>18</v>
      </c>
      <c r="N2244">
        <f>salesitems[[#This Row],[quantity]]*salesitems[[#This Row],[unit_price]]</f>
        <v>114.80000000000001</v>
      </c>
      <c r="O2244" t="str">
        <f>_xlfn.XLOOKUP(salesitems[[#This Row],[product_id]],products[product_id],products[product_name])</f>
        <v>Vintage High-Waist Dress</v>
      </c>
      <c r="P2244" t="str">
        <f>_xlfn.XLOOKUP(salesitems[[#This Row],[product_id]],fashion_store_products!A:A,fashion_store_products!C:C)</f>
        <v>Dresses</v>
      </c>
    </row>
    <row r="2245" spans="1:16" x14ac:dyDescent="0.45">
      <c r="A2245">
        <v>1764</v>
      </c>
      <c r="B2245">
        <v>338</v>
      </c>
      <c r="C2245">
        <v>491</v>
      </c>
      <c r="D2245">
        <v>5</v>
      </c>
      <c r="E2245">
        <v>22.66</v>
      </c>
      <c r="F2245">
        <v>22.66</v>
      </c>
      <c r="G2245">
        <v>0</v>
      </c>
      <c r="H2245" s="2">
        <v>0</v>
      </c>
      <c r="I2245">
        <v>0</v>
      </c>
      <c r="J2245">
        <v>113.3</v>
      </c>
      <c r="K2245" s="1">
        <v>45768</v>
      </c>
      <c r="L2245" t="s">
        <v>21</v>
      </c>
      <c r="M2245" t="s">
        <v>18</v>
      </c>
      <c r="N2245">
        <f>salesitems[[#This Row],[quantity]]*salesitems[[#This Row],[unit_price]]</f>
        <v>113.3</v>
      </c>
      <c r="O2245" t="str">
        <f>_xlfn.XLOOKUP(salesitems[[#This Row],[product_id]],products[product_id],products[product_name])</f>
        <v>T-Shirts Drop 6</v>
      </c>
      <c r="P2245" t="str">
        <f>_xlfn.XLOOKUP(salesitems[[#This Row],[product_id]],fashion_store_products!A:A,fashion_store_products!C:C)</f>
        <v>T-Shirts</v>
      </c>
    </row>
    <row r="2246" spans="1:16" x14ac:dyDescent="0.45">
      <c r="A2246">
        <v>1938</v>
      </c>
      <c r="B2246">
        <v>297</v>
      </c>
      <c r="C2246">
        <v>401</v>
      </c>
      <c r="D2246">
        <v>5</v>
      </c>
      <c r="E2246">
        <v>30.83</v>
      </c>
      <c r="F2246">
        <v>21.58</v>
      </c>
      <c r="G2246">
        <v>9.25</v>
      </c>
      <c r="H2246" s="2">
        <v>0.3</v>
      </c>
      <c r="I2246">
        <v>1</v>
      </c>
      <c r="J2246">
        <v>107.9</v>
      </c>
      <c r="K2246" s="1">
        <v>45794</v>
      </c>
      <c r="L2246" t="s">
        <v>15</v>
      </c>
      <c r="M2246" t="s">
        <v>15</v>
      </c>
      <c r="N2246">
        <f>salesitems[[#This Row],[quantity]]*salesitems[[#This Row],[unit_price]]</f>
        <v>107.89999999999999</v>
      </c>
      <c r="O2246" t="str">
        <f>_xlfn.XLOOKUP(salesitems[[#This Row],[product_id]],products[product_id],products[product_name])</f>
        <v>Elegant Cotton Dress</v>
      </c>
      <c r="P2246" t="str">
        <f>_xlfn.XLOOKUP(salesitems[[#This Row],[product_id]],fashion_store_products!A:A,fashion_store_products!C:C)</f>
        <v>Dresses</v>
      </c>
    </row>
    <row r="2247" spans="1:16" x14ac:dyDescent="0.45">
      <c r="A2247">
        <v>1104</v>
      </c>
      <c r="B2247">
        <v>1270</v>
      </c>
      <c r="C2247">
        <v>114</v>
      </c>
      <c r="D2247">
        <v>5</v>
      </c>
      <c r="E2247">
        <v>21.53</v>
      </c>
      <c r="F2247">
        <v>21.53</v>
      </c>
      <c r="G2247">
        <v>0</v>
      </c>
      <c r="H2247" s="2">
        <v>0</v>
      </c>
      <c r="I2247">
        <v>0</v>
      </c>
      <c r="J2247">
        <v>107.65</v>
      </c>
      <c r="K2247" s="1">
        <v>45771</v>
      </c>
      <c r="L2247" t="s">
        <v>15</v>
      </c>
      <c r="M2247" t="s">
        <v>15</v>
      </c>
      <c r="N2247">
        <f>salesitems[[#This Row],[quantity]]*salesitems[[#This Row],[unit_price]]</f>
        <v>107.65</v>
      </c>
      <c r="O2247" t="str">
        <f>_xlfn.XLOOKUP(salesitems[[#This Row],[product_id]],products[product_id],products[product_name])</f>
        <v>Classic Ribbed Shoes</v>
      </c>
      <c r="P2247" t="str">
        <f>_xlfn.XLOOKUP(salesitems[[#This Row],[product_id]],fashion_store_products!A:A,fashion_store_products!C:C)</f>
        <v>Shoes</v>
      </c>
    </row>
    <row r="2248" spans="1:16" x14ac:dyDescent="0.45">
      <c r="A2248">
        <v>3296</v>
      </c>
      <c r="B2248">
        <v>189</v>
      </c>
      <c r="C2248">
        <v>114</v>
      </c>
      <c r="D2248">
        <v>5</v>
      </c>
      <c r="E2248">
        <v>21.53</v>
      </c>
      <c r="F2248">
        <v>21.53</v>
      </c>
      <c r="G2248">
        <v>0</v>
      </c>
      <c r="H2248" s="2">
        <v>0</v>
      </c>
      <c r="I2248">
        <v>0</v>
      </c>
      <c r="J2248">
        <v>107.65</v>
      </c>
      <c r="K2248" s="1">
        <v>45772</v>
      </c>
      <c r="L2248" t="s">
        <v>21</v>
      </c>
      <c r="M2248" t="s">
        <v>18</v>
      </c>
      <c r="N2248">
        <f>salesitems[[#This Row],[quantity]]*salesitems[[#This Row],[unit_price]]</f>
        <v>107.65</v>
      </c>
      <c r="O2248" t="str">
        <f>_xlfn.XLOOKUP(salesitems[[#This Row],[product_id]],products[product_id],products[product_name])</f>
        <v>Classic Ribbed Shoes</v>
      </c>
      <c r="P2248" t="str">
        <f>_xlfn.XLOOKUP(salesitems[[#This Row],[product_id]],fashion_store_products!A:A,fashion_store_products!C:C)</f>
        <v>Shoes</v>
      </c>
    </row>
    <row r="2249" spans="1:16" x14ac:dyDescent="0.45">
      <c r="A2249">
        <v>2412</v>
      </c>
      <c r="B2249">
        <v>1014</v>
      </c>
      <c r="C2249">
        <v>355</v>
      </c>
      <c r="D2249">
        <v>5</v>
      </c>
      <c r="E2249">
        <v>21.38</v>
      </c>
      <c r="F2249">
        <v>21.38</v>
      </c>
      <c r="G2249">
        <v>0</v>
      </c>
      <c r="H2249" s="2">
        <v>0</v>
      </c>
      <c r="I2249">
        <v>0</v>
      </c>
      <c r="J2249">
        <v>106.9</v>
      </c>
      <c r="K2249" s="1">
        <v>45793</v>
      </c>
      <c r="L2249" t="s">
        <v>21</v>
      </c>
      <c r="M2249" t="s">
        <v>18</v>
      </c>
      <c r="N2249">
        <f>salesitems[[#This Row],[quantity]]*salesitems[[#This Row],[unit_price]]</f>
        <v>106.89999999999999</v>
      </c>
      <c r="O2249" t="str">
        <f>_xlfn.XLOOKUP(salesitems[[#This Row],[product_id]],products[product_id],products[product_name])</f>
        <v>Relaxed Boxy Trousers</v>
      </c>
      <c r="P2249" t="str">
        <f>_xlfn.XLOOKUP(salesitems[[#This Row],[product_id]],fashion_store_products!A:A,fashion_store_products!C:C)</f>
        <v>Pants</v>
      </c>
    </row>
    <row r="2250" spans="1:16" x14ac:dyDescent="0.45">
      <c r="A2250">
        <v>516</v>
      </c>
      <c r="B2250">
        <v>1300</v>
      </c>
      <c r="C2250">
        <v>334</v>
      </c>
      <c r="D2250">
        <v>5</v>
      </c>
      <c r="E2250">
        <v>20.82</v>
      </c>
      <c r="F2250">
        <v>20.82</v>
      </c>
      <c r="G2250">
        <v>0</v>
      </c>
      <c r="H2250" s="2">
        <v>0</v>
      </c>
      <c r="I2250">
        <v>0</v>
      </c>
      <c r="J2250">
        <v>104.1</v>
      </c>
      <c r="K2250" s="1">
        <v>45762</v>
      </c>
      <c r="L2250" t="s">
        <v>21</v>
      </c>
      <c r="M2250" t="s">
        <v>18</v>
      </c>
      <c r="N2250">
        <f>salesitems[[#This Row],[quantity]]*salesitems[[#This Row],[unit_price]]</f>
        <v>104.1</v>
      </c>
      <c r="O2250" t="str">
        <f>_xlfn.XLOOKUP(salesitems[[#This Row],[product_id]],products[product_id],products[product_name])</f>
        <v>Tailored Ribbed Dress</v>
      </c>
      <c r="P2250" t="str">
        <f>_xlfn.XLOOKUP(salesitems[[#This Row],[product_id]],fashion_store_products!A:A,fashion_store_products!C:C)</f>
        <v>Dresses</v>
      </c>
    </row>
    <row r="2251" spans="1:16" x14ac:dyDescent="0.45">
      <c r="A2251">
        <v>1240</v>
      </c>
      <c r="B2251">
        <v>727</v>
      </c>
      <c r="C2251">
        <v>334</v>
      </c>
      <c r="D2251">
        <v>5</v>
      </c>
      <c r="E2251">
        <v>20.82</v>
      </c>
      <c r="F2251">
        <v>20.82</v>
      </c>
      <c r="G2251">
        <v>0</v>
      </c>
      <c r="H2251" s="2">
        <v>0</v>
      </c>
      <c r="I2251">
        <v>0</v>
      </c>
      <c r="J2251">
        <v>104.1</v>
      </c>
      <c r="K2251" s="1">
        <v>45769</v>
      </c>
      <c r="L2251" t="s">
        <v>21</v>
      </c>
      <c r="M2251" t="s">
        <v>18</v>
      </c>
      <c r="N2251">
        <f>salesitems[[#This Row],[quantity]]*salesitems[[#This Row],[unit_price]]</f>
        <v>104.1</v>
      </c>
      <c r="O2251" t="str">
        <f>_xlfn.XLOOKUP(salesitems[[#This Row],[product_id]],products[product_id],products[product_name])</f>
        <v>Tailored Ribbed Dress</v>
      </c>
      <c r="P2251" t="str">
        <f>_xlfn.XLOOKUP(salesitems[[#This Row],[product_id]],fashion_store_products!A:A,fashion_store_products!C:C)</f>
        <v>Dresses</v>
      </c>
    </row>
    <row r="2252" spans="1:16" x14ac:dyDescent="0.45">
      <c r="A2252">
        <v>2394</v>
      </c>
      <c r="B2252">
        <v>172</v>
      </c>
      <c r="C2252">
        <v>246</v>
      </c>
      <c r="D2252">
        <v>5</v>
      </c>
      <c r="E2252">
        <v>28.98</v>
      </c>
      <c r="F2252">
        <v>20.29</v>
      </c>
      <c r="G2252">
        <v>8.69</v>
      </c>
      <c r="H2252" s="2">
        <v>0.3</v>
      </c>
      <c r="I2252">
        <v>1</v>
      </c>
      <c r="J2252">
        <v>101.43</v>
      </c>
      <c r="K2252" s="1">
        <v>45790</v>
      </c>
      <c r="L2252" t="s">
        <v>15</v>
      </c>
      <c r="M2252" t="s">
        <v>15</v>
      </c>
      <c r="N2252">
        <f>salesitems[[#This Row],[quantity]]*salesitems[[#This Row],[unit_price]]</f>
        <v>101.44999999999999</v>
      </c>
      <c r="O2252" t="str">
        <f>_xlfn.XLOOKUP(salesitems[[#This Row],[product_id]],products[product_id],products[product_name])</f>
        <v>Relaxed Satin Dress</v>
      </c>
      <c r="P2252" t="str">
        <f>_xlfn.XLOOKUP(salesitems[[#This Row],[product_id]],fashion_store_products!A:A,fashion_store_products!C:C)</f>
        <v>Dresses</v>
      </c>
    </row>
    <row r="2253" spans="1:16" x14ac:dyDescent="0.45">
      <c r="A2253">
        <v>1631</v>
      </c>
      <c r="B2253">
        <v>986</v>
      </c>
      <c r="C2253">
        <v>195</v>
      </c>
      <c r="D2253">
        <v>5</v>
      </c>
      <c r="E2253">
        <v>16.690000000000001</v>
      </c>
      <c r="F2253">
        <v>16.690000000000001</v>
      </c>
      <c r="G2253">
        <v>0</v>
      </c>
      <c r="H2253" s="2">
        <v>0</v>
      </c>
      <c r="I2253">
        <v>0</v>
      </c>
      <c r="J2253">
        <v>83.45</v>
      </c>
      <c r="K2253" s="1">
        <v>45800</v>
      </c>
      <c r="L2253" t="s">
        <v>15</v>
      </c>
      <c r="M2253" t="s">
        <v>15</v>
      </c>
      <c r="N2253">
        <f>salesitems[[#This Row],[quantity]]*salesitems[[#This Row],[unit_price]]</f>
        <v>83.45</v>
      </c>
      <c r="O2253" t="str">
        <f>_xlfn.XLOOKUP(salesitems[[#This Row],[product_id]],products[product_id],products[product_name])</f>
        <v>Vintage Crew Tee</v>
      </c>
      <c r="P2253" t="str">
        <f>_xlfn.XLOOKUP(salesitems[[#This Row],[product_id]],fashion_store_products!A:A,fashion_store_products!C:C)</f>
        <v>T-Shirts</v>
      </c>
    </row>
    <row r="2254" spans="1:16" x14ac:dyDescent="0.45">
      <c r="A2254">
        <v>685</v>
      </c>
      <c r="B2254">
        <v>724</v>
      </c>
      <c r="C2254">
        <v>346</v>
      </c>
      <c r="D2254">
        <v>5</v>
      </c>
      <c r="E2254">
        <v>15.31</v>
      </c>
      <c r="F2254">
        <v>15.31</v>
      </c>
      <c r="G2254">
        <v>0</v>
      </c>
      <c r="H2254" s="2">
        <v>0</v>
      </c>
      <c r="I2254">
        <v>0</v>
      </c>
      <c r="J2254">
        <v>76.55</v>
      </c>
      <c r="K2254" s="1">
        <v>45807</v>
      </c>
      <c r="L2254" t="s">
        <v>21</v>
      </c>
      <c r="M2254" t="s">
        <v>18</v>
      </c>
      <c r="N2254">
        <f>salesitems[[#This Row],[quantity]]*salesitems[[#This Row],[unit_price]]</f>
        <v>76.55</v>
      </c>
      <c r="O2254" t="str">
        <f>_xlfn.XLOOKUP(salesitems[[#This Row],[product_id]],products[product_id],products[product_name])</f>
        <v>Relaxed Crew Trousers</v>
      </c>
      <c r="P2254" t="str">
        <f>_xlfn.XLOOKUP(salesitems[[#This Row],[product_id]],fashion_store_products!A:A,fashion_store_products!C:C)</f>
        <v>Pants</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49A5D-0495-45EB-B76D-4574D94605E3}">
  <dimension ref="A1:C1001"/>
  <sheetViews>
    <sheetView topLeftCell="A487" workbookViewId="0">
      <selection activeCell="C502" sqref="C502"/>
    </sheetView>
  </sheetViews>
  <sheetFormatPr defaultRowHeight="14.25" x14ac:dyDescent="0.45"/>
  <cols>
    <col min="2" max="2" width="11.06640625" customWidth="1"/>
    <col min="3" max="3" width="14.19921875" customWidth="1"/>
  </cols>
  <sheetData>
    <row r="1" spans="1:3" x14ac:dyDescent="0.45">
      <c r="A1" t="s">
        <v>25</v>
      </c>
      <c r="B1" t="s">
        <v>39</v>
      </c>
      <c r="C1" t="s">
        <v>577</v>
      </c>
    </row>
    <row r="2" spans="1:3" x14ac:dyDescent="0.45">
      <c r="A2" t="s">
        <v>28</v>
      </c>
      <c r="B2">
        <v>1</v>
      </c>
      <c r="C2">
        <v>61</v>
      </c>
    </row>
    <row r="3" spans="1:3" x14ac:dyDescent="0.45">
      <c r="A3" t="s">
        <v>28</v>
      </c>
      <c r="B3">
        <v>2</v>
      </c>
      <c r="C3">
        <v>24</v>
      </c>
    </row>
    <row r="4" spans="1:3" x14ac:dyDescent="0.45">
      <c r="A4" t="s">
        <v>28</v>
      </c>
      <c r="B4">
        <v>3</v>
      </c>
      <c r="C4">
        <v>81</v>
      </c>
    </row>
    <row r="5" spans="1:3" x14ac:dyDescent="0.45">
      <c r="A5" t="s">
        <v>28</v>
      </c>
      <c r="B5">
        <v>4</v>
      </c>
      <c r="C5">
        <v>70</v>
      </c>
    </row>
    <row r="6" spans="1:3" x14ac:dyDescent="0.45">
      <c r="A6" t="s">
        <v>28</v>
      </c>
      <c r="B6">
        <v>5</v>
      </c>
      <c r="C6">
        <v>30</v>
      </c>
    </row>
    <row r="7" spans="1:3" x14ac:dyDescent="0.45">
      <c r="A7" t="s">
        <v>28</v>
      </c>
      <c r="B7">
        <v>6</v>
      </c>
      <c r="C7">
        <v>92</v>
      </c>
    </row>
    <row r="8" spans="1:3" x14ac:dyDescent="0.45">
      <c r="A8" t="s">
        <v>28</v>
      </c>
      <c r="B8">
        <v>7</v>
      </c>
      <c r="C8">
        <v>96</v>
      </c>
    </row>
    <row r="9" spans="1:3" x14ac:dyDescent="0.45">
      <c r="A9" t="s">
        <v>28</v>
      </c>
      <c r="B9">
        <v>8</v>
      </c>
      <c r="C9">
        <v>84</v>
      </c>
    </row>
    <row r="10" spans="1:3" x14ac:dyDescent="0.45">
      <c r="A10" t="s">
        <v>28</v>
      </c>
      <c r="B10">
        <v>9</v>
      </c>
      <c r="C10">
        <v>84</v>
      </c>
    </row>
    <row r="11" spans="1:3" x14ac:dyDescent="0.45">
      <c r="A11" t="s">
        <v>28</v>
      </c>
      <c r="B11">
        <v>10</v>
      </c>
      <c r="C11">
        <v>97</v>
      </c>
    </row>
    <row r="12" spans="1:3" x14ac:dyDescent="0.45">
      <c r="A12" t="s">
        <v>28</v>
      </c>
      <c r="B12">
        <v>11</v>
      </c>
      <c r="C12">
        <v>3</v>
      </c>
    </row>
    <row r="13" spans="1:3" x14ac:dyDescent="0.45">
      <c r="A13" t="s">
        <v>28</v>
      </c>
      <c r="B13">
        <v>12</v>
      </c>
      <c r="C13">
        <v>12</v>
      </c>
    </row>
    <row r="14" spans="1:3" x14ac:dyDescent="0.45">
      <c r="A14" t="s">
        <v>28</v>
      </c>
      <c r="B14">
        <v>13</v>
      </c>
      <c r="C14">
        <v>31</v>
      </c>
    </row>
    <row r="15" spans="1:3" x14ac:dyDescent="0.45">
      <c r="A15" t="s">
        <v>28</v>
      </c>
      <c r="B15">
        <v>14</v>
      </c>
      <c r="C15">
        <v>62</v>
      </c>
    </row>
    <row r="16" spans="1:3" x14ac:dyDescent="0.45">
      <c r="A16" t="s">
        <v>28</v>
      </c>
      <c r="B16">
        <v>15</v>
      </c>
      <c r="C16">
        <v>11</v>
      </c>
    </row>
    <row r="17" spans="1:3" x14ac:dyDescent="0.45">
      <c r="A17" t="s">
        <v>28</v>
      </c>
      <c r="B17">
        <v>16</v>
      </c>
      <c r="C17">
        <v>1</v>
      </c>
    </row>
    <row r="18" spans="1:3" x14ac:dyDescent="0.45">
      <c r="A18" t="s">
        <v>28</v>
      </c>
      <c r="B18">
        <v>17</v>
      </c>
      <c r="C18">
        <v>39</v>
      </c>
    </row>
    <row r="19" spans="1:3" x14ac:dyDescent="0.45">
      <c r="A19" t="s">
        <v>28</v>
      </c>
      <c r="B19">
        <v>18</v>
      </c>
      <c r="C19">
        <v>47</v>
      </c>
    </row>
    <row r="20" spans="1:3" x14ac:dyDescent="0.45">
      <c r="A20" t="s">
        <v>28</v>
      </c>
      <c r="B20">
        <v>19</v>
      </c>
      <c r="C20">
        <v>11</v>
      </c>
    </row>
    <row r="21" spans="1:3" x14ac:dyDescent="0.45">
      <c r="A21" t="s">
        <v>28</v>
      </c>
      <c r="B21">
        <v>20</v>
      </c>
      <c r="C21">
        <v>73</v>
      </c>
    </row>
    <row r="22" spans="1:3" x14ac:dyDescent="0.45">
      <c r="A22" t="s">
        <v>28</v>
      </c>
      <c r="B22">
        <v>21</v>
      </c>
      <c r="C22">
        <v>69</v>
      </c>
    </row>
    <row r="23" spans="1:3" x14ac:dyDescent="0.45">
      <c r="A23" t="s">
        <v>28</v>
      </c>
      <c r="B23">
        <v>22</v>
      </c>
      <c r="C23">
        <v>30</v>
      </c>
    </row>
    <row r="24" spans="1:3" x14ac:dyDescent="0.45">
      <c r="A24" t="s">
        <v>28</v>
      </c>
      <c r="B24">
        <v>23</v>
      </c>
      <c r="C24">
        <v>42</v>
      </c>
    </row>
    <row r="25" spans="1:3" x14ac:dyDescent="0.45">
      <c r="A25" t="s">
        <v>28</v>
      </c>
      <c r="B25">
        <v>24</v>
      </c>
      <c r="C25">
        <v>85</v>
      </c>
    </row>
    <row r="26" spans="1:3" x14ac:dyDescent="0.45">
      <c r="A26" t="s">
        <v>28</v>
      </c>
      <c r="B26">
        <v>25</v>
      </c>
      <c r="C26">
        <v>67</v>
      </c>
    </row>
    <row r="27" spans="1:3" x14ac:dyDescent="0.45">
      <c r="A27" t="s">
        <v>28</v>
      </c>
      <c r="B27">
        <v>26</v>
      </c>
      <c r="C27">
        <v>31</v>
      </c>
    </row>
    <row r="28" spans="1:3" x14ac:dyDescent="0.45">
      <c r="A28" t="s">
        <v>28</v>
      </c>
      <c r="B28">
        <v>27</v>
      </c>
      <c r="C28">
        <v>1</v>
      </c>
    </row>
    <row r="29" spans="1:3" x14ac:dyDescent="0.45">
      <c r="A29" t="s">
        <v>28</v>
      </c>
      <c r="B29">
        <v>28</v>
      </c>
      <c r="C29">
        <v>58</v>
      </c>
    </row>
    <row r="30" spans="1:3" x14ac:dyDescent="0.45">
      <c r="A30" t="s">
        <v>28</v>
      </c>
      <c r="B30">
        <v>29</v>
      </c>
      <c r="C30">
        <v>68</v>
      </c>
    </row>
    <row r="31" spans="1:3" x14ac:dyDescent="0.45">
      <c r="A31" t="s">
        <v>28</v>
      </c>
      <c r="B31">
        <v>30</v>
      </c>
      <c r="C31">
        <v>51</v>
      </c>
    </row>
    <row r="32" spans="1:3" x14ac:dyDescent="0.45">
      <c r="A32" t="s">
        <v>28</v>
      </c>
      <c r="B32">
        <v>31</v>
      </c>
      <c r="C32">
        <v>69</v>
      </c>
    </row>
    <row r="33" spans="1:3" x14ac:dyDescent="0.45">
      <c r="A33" t="s">
        <v>28</v>
      </c>
      <c r="B33">
        <v>32</v>
      </c>
      <c r="C33">
        <v>89</v>
      </c>
    </row>
    <row r="34" spans="1:3" x14ac:dyDescent="0.45">
      <c r="A34" t="s">
        <v>28</v>
      </c>
      <c r="B34">
        <v>33</v>
      </c>
      <c r="C34">
        <v>24</v>
      </c>
    </row>
    <row r="35" spans="1:3" x14ac:dyDescent="0.45">
      <c r="A35" t="s">
        <v>28</v>
      </c>
      <c r="B35">
        <v>34</v>
      </c>
      <c r="C35">
        <v>71</v>
      </c>
    </row>
    <row r="36" spans="1:3" x14ac:dyDescent="0.45">
      <c r="A36" t="s">
        <v>28</v>
      </c>
      <c r="B36">
        <v>35</v>
      </c>
      <c r="C36">
        <v>71</v>
      </c>
    </row>
    <row r="37" spans="1:3" x14ac:dyDescent="0.45">
      <c r="A37" t="s">
        <v>28</v>
      </c>
      <c r="B37">
        <v>36</v>
      </c>
      <c r="C37">
        <v>56</v>
      </c>
    </row>
    <row r="38" spans="1:3" x14ac:dyDescent="0.45">
      <c r="A38" t="s">
        <v>28</v>
      </c>
      <c r="B38">
        <v>37</v>
      </c>
      <c r="C38">
        <v>71</v>
      </c>
    </row>
    <row r="39" spans="1:3" x14ac:dyDescent="0.45">
      <c r="A39" t="s">
        <v>28</v>
      </c>
      <c r="B39">
        <v>38</v>
      </c>
      <c r="C39">
        <v>60</v>
      </c>
    </row>
    <row r="40" spans="1:3" x14ac:dyDescent="0.45">
      <c r="A40" t="s">
        <v>28</v>
      </c>
      <c r="B40">
        <v>39</v>
      </c>
      <c r="C40">
        <v>64</v>
      </c>
    </row>
    <row r="41" spans="1:3" x14ac:dyDescent="0.45">
      <c r="A41" t="s">
        <v>28</v>
      </c>
      <c r="B41">
        <v>40</v>
      </c>
      <c r="C41">
        <v>73</v>
      </c>
    </row>
    <row r="42" spans="1:3" x14ac:dyDescent="0.45">
      <c r="A42" t="s">
        <v>28</v>
      </c>
      <c r="B42">
        <v>41</v>
      </c>
      <c r="C42">
        <v>12</v>
      </c>
    </row>
    <row r="43" spans="1:3" x14ac:dyDescent="0.45">
      <c r="A43" t="s">
        <v>28</v>
      </c>
      <c r="B43">
        <v>42</v>
      </c>
      <c r="C43">
        <v>60</v>
      </c>
    </row>
    <row r="44" spans="1:3" x14ac:dyDescent="0.45">
      <c r="A44" t="s">
        <v>28</v>
      </c>
      <c r="B44">
        <v>43</v>
      </c>
      <c r="C44">
        <v>16</v>
      </c>
    </row>
    <row r="45" spans="1:3" x14ac:dyDescent="0.45">
      <c r="A45" t="s">
        <v>28</v>
      </c>
      <c r="B45">
        <v>44</v>
      </c>
      <c r="C45">
        <v>30</v>
      </c>
    </row>
    <row r="46" spans="1:3" x14ac:dyDescent="0.45">
      <c r="A46" t="s">
        <v>28</v>
      </c>
      <c r="B46">
        <v>45</v>
      </c>
      <c r="C46">
        <v>82</v>
      </c>
    </row>
    <row r="47" spans="1:3" x14ac:dyDescent="0.45">
      <c r="A47" t="s">
        <v>28</v>
      </c>
      <c r="B47">
        <v>46</v>
      </c>
      <c r="C47">
        <v>48</v>
      </c>
    </row>
    <row r="48" spans="1:3" x14ac:dyDescent="0.45">
      <c r="A48" t="s">
        <v>28</v>
      </c>
      <c r="B48">
        <v>47</v>
      </c>
      <c r="C48">
        <v>27</v>
      </c>
    </row>
    <row r="49" spans="1:3" x14ac:dyDescent="0.45">
      <c r="A49" t="s">
        <v>28</v>
      </c>
      <c r="B49">
        <v>48</v>
      </c>
      <c r="C49">
        <v>13</v>
      </c>
    </row>
    <row r="50" spans="1:3" x14ac:dyDescent="0.45">
      <c r="A50" t="s">
        <v>28</v>
      </c>
      <c r="B50">
        <v>49</v>
      </c>
      <c r="C50">
        <v>1</v>
      </c>
    </row>
    <row r="51" spans="1:3" x14ac:dyDescent="0.45">
      <c r="A51" t="s">
        <v>28</v>
      </c>
      <c r="B51">
        <v>50</v>
      </c>
      <c r="C51">
        <v>69</v>
      </c>
    </row>
    <row r="52" spans="1:3" x14ac:dyDescent="0.45">
      <c r="A52" t="s">
        <v>28</v>
      </c>
      <c r="B52">
        <v>51</v>
      </c>
      <c r="C52">
        <v>23</v>
      </c>
    </row>
    <row r="53" spans="1:3" x14ac:dyDescent="0.45">
      <c r="A53" t="s">
        <v>28</v>
      </c>
      <c r="B53">
        <v>52</v>
      </c>
      <c r="C53">
        <v>18</v>
      </c>
    </row>
    <row r="54" spans="1:3" x14ac:dyDescent="0.45">
      <c r="A54" t="s">
        <v>28</v>
      </c>
      <c r="B54">
        <v>53</v>
      </c>
      <c r="C54">
        <v>99</v>
      </c>
    </row>
    <row r="55" spans="1:3" x14ac:dyDescent="0.45">
      <c r="A55" t="s">
        <v>28</v>
      </c>
      <c r="B55">
        <v>54</v>
      </c>
      <c r="C55">
        <v>62</v>
      </c>
    </row>
    <row r="56" spans="1:3" x14ac:dyDescent="0.45">
      <c r="A56" t="s">
        <v>28</v>
      </c>
      <c r="B56">
        <v>55</v>
      </c>
      <c r="C56">
        <v>11</v>
      </c>
    </row>
    <row r="57" spans="1:3" x14ac:dyDescent="0.45">
      <c r="A57" t="s">
        <v>28</v>
      </c>
      <c r="B57">
        <v>56</v>
      </c>
      <c r="C57">
        <v>93</v>
      </c>
    </row>
    <row r="58" spans="1:3" x14ac:dyDescent="0.45">
      <c r="A58" t="s">
        <v>28</v>
      </c>
      <c r="B58">
        <v>57</v>
      </c>
      <c r="C58">
        <v>69</v>
      </c>
    </row>
    <row r="59" spans="1:3" x14ac:dyDescent="0.45">
      <c r="A59" t="s">
        <v>28</v>
      </c>
      <c r="B59">
        <v>58</v>
      </c>
      <c r="C59">
        <v>80</v>
      </c>
    </row>
    <row r="60" spans="1:3" x14ac:dyDescent="0.45">
      <c r="A60" t="s">
        <v>28</v>
      </c>
      <c r="B60">
        <v>59</v>
      </c>
      <c r="C60">
        <v>53</v>
      </c>
    </row>
    <row r="61" spans="1:3" x14ac:dyDescent="0.45">
      <c r="A61" t="s">
        <v>28</v>
      </c>
      <c r="B61">
        <v>60</v>
      </c>
      <c r="C61">
        <v>5</v>
      </c>
    </row>
    <row r="62" spans="1:3" x14ac:dyDescent="0.45">
      <c r="A62" t="s">
        <v>28</v>
      </c>
      <c r="B62">
        <v>61</v>
      </c>
      <c r="C62">
        <v>56</v>
      </c>
    </row>
    <row r="63" spans="1:3" x14ac:dyDescent="0.45">
      <c r="A63" t="s">
        <v>28</v>
      </c>
      <c r="B63">
        <v>62</v>
      </c>
      <c r="C63">
        <v>44</v>
      </c>
    </row>
    <row r="64" spans="1:3" x14ac:dyDescent="0.45">
      <c r="A64" t="s">
        <v>28</v>
      </c>
      <c r="B64">
        <v>63</v>
      </c>
      <c r="C64">
        <v>87</v>
      </c>
    </row>
    <row r="65" spans="1:3" x14ac:dyDescent="0.45">
      <c r="A65" t="s">
        <v>28</v>
      </c>
      <c r="B65">
        <v>64</v>
      </c>
      <c r="C65">
        <v>90</v>
      </c>
    </row>
    <row r="66" spans="1:3" x14ac:dyDescent="0.45">
      <c r="A66" t="s">
        <v>28</v>
      </c>
      <c r="B66">
        <v>65</v>
      </c>
      <c r="C66">
        <v>45</v>
      </c>
    </row>
    <row r="67" spans="1:3" x14ac:dyDescent="0.45">
      <c r="A67" t="s">
        <v>28</v>
      </c>
      <c r="B67">
        <v>66</v>
      </c>
      <c r="C67">
        <v>59</v>
      </c>
    </row>
    <row r="68" spans="1:3" x14ac:dyDescent="0.45">
      <c r="A68" t="s">
        <v>28</v>
      </c>
      <c r="B68">
        <v>67</v>
      </c>
      <c r="C68">
        <v>13</v>
      </c>
    </row>
    <row r="69" spans="1:3" x14ac:dyDescent="0.45">
      <c r="A69" t="s">
        <v>28</v>
      </c>
      <c r="B69">
        <v>68</v>
      </c>
      <c r="C69">
        <v>11</v>
      </c>
    </row>
    <row r="70" spans="1:3" x14ac:dyDescent="0.45">
      <c r="A70" t="s">
        <v>28</v>
      </c>
      <c r="B70">
        <v>69</v>
      </c>
      <c r="C70">
        <v>15</v>
      </c>
    </row>
    <row r="71" spans="1:3" x14ac:dyDescent="0.45">
      <c r="A71" t="s">
        <v>28</v>
      </c>
      <c r="B71">
        <v>70</v>
      </c>
      <c r="C71">
        <v>63</v>
      </c>
    </row>
    <row r="72" spans="1:3" x14ac:dyDescent="0.45">
      <c r="A72" t="s">
        <v>28</v>
      </c>
      <c r="B72">
        <v>71</v>
      </c>
      <c r="C72">
        <v>3</v>
      </c>
    </row>
    <row r="73" spans="1:3" x14ac:dyDescent="0.45">
      <c r="A73" t="s">
        <v>28</v>
      </c>
      <c r="B73">
        <v>72</v>
      </c>
      <c r="C73">
        <v>63</v>
      </c>
    </row>
    <row r="74" spans="1:3" x14ac:dyDescent="0.45">
      <c r="A74" t="s">
        <v>28</v>
      </c>
      <c r="B74">
        <v>73</v>
      </c>
      <c r="C74">
        <v>72</v>
      </c>
    </row>
    <row r="75" spans="1:3" x14ac:dyDescent="0.45">
      <c r="A75" t="s">
        <v>28</v>
      </c>
      <c r="B75">
        <v>74</v>
      </c>
      <c r="C75">
        <v>27</v>
      </c>
    </row>
    <row r="76" spans="1:3" x14ac:dyDescent="0.45">
      <c r="A76" t="s">
        <v>28</v>
      </c>
      <c r="B76">
        <v>75</v>
      </c>
      <c r="C76">
        <v>99</v>
      </c>
    </row>
    <row r="77" spans="1:3" x14ac:dyDescent="0.45">
      <c r="A77" t="s">
        <v>28</v>
      </c>
      <c r="B77">
        <v>76</v>
      </c>
      <c r="C77">
        <v>53</v>
      </c>
    </row>
    <row r="78" spans="1:3" x14ac:dyDescent="0.45">
      <c r="A78" t="s">
        <v>28</v>
      </c>
      <c r="B78">
        <v>77</v>
      </c>
      <c r="C78">
        <v>43</v>
      </c>
    </row>
    <row r="79" spans="1:3" x14ac:dyDescent="0.45">
      <c r="A79" t="s">
        <v>28</v>
      </c>
      <c r="B79">
        <v>78</v>
      </c>
      <c r="C79">
        <v>83</v>
      </c>
    </row>
    <row r="80" spans="1:3" x14ac:dyDescent="0.45">
      <c r="A80" t="s">
        <v>28</v>
      </c>
      <c r="B80">
        <v>79</v>
      </c>
      <c r="C80">
        <v>71</v>
      </c>
    </row>
    <row r="81" spans="1:3" x14ac:dyDescent="0.45">
      <c r="A81" t="s">
        <v>28</v>
      </c>
      <c r="B81">
        <v>80</v>
      </c>
      <c r="C81">
        <v>23</v>
      </c>
    </row>
    <row r="82" spans="1:3" x14ac:dyDescent="0.45">
      <c r="A82" t="s">
        <v>28</v>
      </c>
      <c r="B82">
        <v>81</v>
      </c>
      <c r="C82">
        <v>57</v>
      </c>
    </row>
    <row r="83" spans="1:3" x14ac:dyDescent="0.45">
      <c r="A83" t="s">
        <v>28</v>
      </c>
      <c r="B83">
        <v>82</v>
      </c>
      <c r="C83">
        <v>24</v>
      </c>
    </row>
    <row r="84" spans="1:3" x14ac:dyDescent="0.45">
      <c r="A84" t="s">
        <v>28</v>
      </c>
      <c r="B84">
        <v>83</v>
      </c>
      <c r="C84">
        <v>81</v>
      </c>
    </row>
    <row r="85" spans="1:3" x14ac:dyDescent="0.45">
      <c r="A85" t="s">
        <v>28</v>
      </c>
      <c r="B85">
        <v>84</v>
      </c>
      <c r="C85">
        <v>87</v>
      </c>
    </row>
    <row r="86" spans="1:3" x14ac:dyDescent="0.45">
      <c r="A86" t="s">
        <v>28</v>
      </c>
      <c r="B86">
        <v>85</v>
      </c>
      <c r="C86">
        <v>96</v>
      </c>
    </row>
    <row r="87" spans="1:3" x14ac:dyDescent="0.45">
      <c r="A87" t="s">
        <v>28</v>
      </c>
      <c r="B87">
        <v>86</v>
      </c>
      <c r="C87">
        <v>71</v>
      </c>
    </row>
    <row r="88" spans="1:3" x14ac:dyDescent="0.45">
      <c r="A88" t="s">
        <v>28</v>
      </c>
      <c r="B88">
        <v>87</v>
      </c>
      <c r="C88">
        <v>49</v>
      </c>
    </row>
    <row r="89" spans="1:3" x14ac:dyDescent="0.45">
      <c r="A89" t="s">
        <v>28</v>
      </c>
      <c r="B89">
        <v>88</v>
      </c>
      <c r="C89">
        <v>94</v>
      </c>
    </row>
    <row r="90" spans="1:3" x14ac:dyDescent="0.45">
      <c r="A90" t="s">
        <v>28</v>
      </c>
      <c r="B90">
        <v>89</v>
      </c>
      <c r="C90">
        <v>89</v>
      </c>
    </row>
    <row r="91" spans="1:3" x14ac:dyDescent="0.45">
      <c r="A91" t="s">
        <v>28</v>
      </c>
      <c r="B91">
        <v>90</v>
      </c>
      <c r="C91">
        <v>91</v>
      </c>
    </row>
    <row r="92" spans="1:3" x14ac:dyDescent="0.45">
      <c r="A92" t="s">
        <v>28</v>
      </c>
      <c r="B92">
        <v>91</v>
      </c>
      <c r="C92">
        <v>62</v>
      </c>
    </row>
    <row r="93" spans="1:3" x14ac:dyDescent="0.45">
      <c r="A93" t="s">
        <v>28</v>
      </c>
      <c r="B93">
        <v>92</v>
      </c>
      <c r="C93">
        <v>33</v>
      </c>
    </row>
    <row r="94" spans="1:3" x14ac:dyDescent="0.45">
      <c r="A94" t="s">
        <v>28</v>
      </c>
      <c r="B94">
        <v>93</v>
      </c>
      <c r="C94">
        <v>35</v>
      </c>
    </row>
    <row r="95" spans="1:3" x14ac:dyDescent="0.45">
      <c r="A95" t="s">
        <v>28</v>
      </c>
      <c r="B95">
        <v>94</v>
      </c>
      <c r="C95">
        <v>98</v>
      </c>
    </row>
    <row r="96" spans="1:3" x14ac:dyDescent="0.45">
      <c r="A96" t="s">
        <v>28</v>
      </c>
      <c r="B96">
        <v>95</v>
      </c>
      <c r="C96">
        <v>69</v>
      </c>
    </row>
    <row r="97" spans="1:3" x14ac:dyDescent="0.45">
      <c r="A97" t="s">
        <v>28</v>
      </c>
      <c r="B97">
        <v>96</v>
      </c>
      <c r="C97">
        <v>50</v>
      </c>
    </row>
    <row r="98" spans="1:3" x14ac:dyDescent="0.45">
      <c r="A98" t="s">
        <v>28</v>
      </c>
      <c r="B98">
        <v>97</v>
      </c>
      <c r="C98">
        <v>3</v>
      </c>
    </row>
    <row r="99" spans="1:3" x14ac:dyDescent="0.45">
      <c r="A99" t="s">
        <v>28</v>
      </c>
      <c r="B99">
        <v>98</v>
      </c>
      <c r="C99">
        <v>24</v>
      </c>
    </row>
    <row r="100" spans="1:3" x14ac:dyDescent="0.45">
      <c r="A100" t="s">
        <v>28</v>
      </c>
      <c r="B100">
        <v>99</v>
      </c>
      <c r="C100">
        <v>54</v>
      </c>
    </row>
    <row r="101" spans="1:3" x14ac:dyDescent="0.45">
      <c r="A101" t="s">
        <v>28</v>
      </c>
      <c r="B101">
        <v>100</v>
      </c>
      <c r="C101">
        <v>74</v>
      </c>
    </row>
    <row r="102" spans="1:3" x14ac:dyDescent="0.45">
      <c r="A102" t="s">
        <v>28</v>
      </c>
      <c r="B102">
        <v>101</v>
      </c>
      <c r="C102">
        <v>98</v>
      </c>
    </row>
    <row r="103" spans="1:3" x14ac:dyDescent="0.45">
      <c r="A103" t="s">
        <v>28</v>
      </c>
      <c r="B103">
        <v>102</v>
      </c>
      <c r="C103">
        <v>80</v>
      </c>
    </row>
    <row r="104" spans="1:3" x14ac:dyDescent="0.45">
      <c r="A104" t="s">
        <v>28</v>
      </c>
      <c r="B104">
        <v>103</v>
      </c>
      <c r="C104">
        <v>18</v>
      </c>
    </row>
    <row r="105" spans="1:3" x14ac:dyDescent="0.45">
      <c r="A105" t="s">
        <v>28</v>
      </c>
      <c r="B105">
        <v>104</v>
      </c>
      <c r="C105">
        <v>97</v>
      </c>
    </row>
    <row r="106" spans="1:3" x14ac:dyDescent="0.45">
      <c r="A106" t="s">
        <v>28</v>
      </c>
      <c r="B106">
        <v>105</v>
      </c>
      <c r="C106">
        <v>10</v>
      </c>
    </row>
    <row r="107" spans="1:3" x14ac:dyDescent="0.45">
      <c r="A107" t="s">
        <v>28</v>
      </c>
      <c r="B107">
        <v>106</v>
      </c>
      <c r="C107">
        <v>17</v>
      </c>
    </row>
    <row r="108" spans="1:3" x14ac:dyDescent="0.45">
      <c r="A108" t="s">
        <v>28</v>
      </c>
      <c r="B108">
        <v>107</v>
      </c>
      <c r="C108">
        <v>97</v>
      </c>
    </row>
    <row r="109" spans="1:3" x14ac:dyDescent="0.45">
      <c r="A109" t="s">
        <v>28</v>
      </c>
      <c r="B109">
        <v>108</v>
      </c>
      <c r="C109">
        <v>72</v>
      </c>
    </row>
    <row r="110" spans="1:3" x14ac:dyDescent="0.45">
      <c r="A110" t="s">
        <v>28</v>
      </c>
      <c r="B110">
        <v>109</v>
      </c>
      <c r="C110">
        <v>20</v>
      </c>
    </row>
    <row r="111" spans="1:3" x14ac:dyDescent="0.45">
      <c r="A111" t="s">
        <v>28</v>
      </c>
      <c r="B111">
        <v>110</v>
      </c>
      <c r="C111">
        <v>90</v>
      </c>
    </row>
    <row r="112" spans="1:3" x14ac:dyDescent="0.45">
      <c r="A112" t="s">
        <v>28</v>
      </c>
      <c r="B112">
        <v>111</v>
      </c>
      <c r="C112">
        <v>17</v>
      </c>
    </row>
    <row r="113" spans="1:3" x14ac:dyDescent="0.45">
      <c r="A113" t="s">
        <v>28</v>
      </c>
      <c r="B113">
        <v>112</v>
      </c>
      <c r="C113">
        <v>44</v>
      </c>
    </row>
    <row r="114" spans="1:3" x14ac:dyDescent="0.45">
      <c r="A114" t="s">
        <v>28</v>
      </c>
      <c r="B114">
        <v>113</v>
      </c>
      <c r="C114">
        <v>44</v>
      </c>
    </row>
    <row r="115" spans="1:3" x14ac:dyDescent="0.45">
      <c r="A115" t="s">
        <v>28</v>
      </c>
      <c r="B115">
        <v>114</v>
      </c>
      <c r="C115">
        <v>42</v>
      </c>
    </row>
    <row r="116" spans="1:3" x14ac:dyDescent="0.45">
      <c r="A116" t="s">
        <v>28</v>
      </c>
      <c r="B116">
        <v>115</v>
      </c>
      <c r="C116">
        <v>14</v>
      </c>
    </row>
    <row r="117" spans="1:3" x14ac:dyDescent="0.45">
      <c r="A117" t="s">
        <v>28</v>
      </c>
      <c r="B117">
        <v>116</v>
      </c>
      <c r="C117">
        <v>50</v>
      </c>
    </row>
    <row r="118" spans="1:3" x14ac:dyDescent="0.45">
      <c r="A118" t="s">
        <v>28</v>
      </c>
      <c r="B118">
        <v>117</v>
      </c>
      <c r="C118">
        <v>37</v>
      </c>
    </row>
    <row r="119" spans="1:3" x14ac:dyDescent="0.45">
      <c r="A119" t="s">
        <v>28</v>
      </c>
      <c r="B119">
        <v>118</v>
      </c>
      <c r="C119">
        <v>16</v>
      </c>
    </row>
    <row r="120" spans="1:3" x14ac:dyDescent="0.45">
      <c r="A120" t="s">
        <v>28</v>
      </c>
      <c r="B120">
        <v>119</v>
      </c>
      <c r="C120">
        <v>82</v>
      </c>
    </row>
    <row r="121" spans="1:3" x14ac:dyDescent="0.45">
      <c r="A121" t="s">
        <v>28</v>
      </c>
      <c r="B121">
        <v>120</v>
      </c>
      <c r="C121">
        <v>81</v>
      </c>
    </row>
    <row r="122" spans="1:3" x14ac:dyDescent="0.45">
      <c r="A122" t="s">
        <v>28</v>
      </c>
      <c r="B122">
        <v>121</v>
      </c>
      <c r="C122">
        <v>21</v>
      </c>
    </row>
    <row r="123" spans="1:3" x14ac:dyDescent="0.45">
      <c r="A123" t="s">
        <v>28</v>
      </c>
      <c r="B123">
        <v>122</v>
      </c>
      <c r="C123">
        <v>43</v>
      </c>
    </row>
    <row r="124" spans="1:3" x14ac:dyDescent="0.45">
      <c r="A124" t="s">
        <v>28</v>
      </c>
      <c r="B124">
        <v>123</v>
      </c>
      <c r="C124">
        <v>42</v>
      </c>
    </row>
    <row r="125" spans="1:3" x14ac:dyDescent="0.45">
      <c r="A125" t="s">
        <v>28</v>
      </c>
      <c r="B125">
        <v>124</v>
      </c>
      <c r="C125">
        <v>57</v>
      </c>
    </row>
    <row r="126" spans="1:3" x14ac:dyDescent="0.45">
      <c r="A126" t="s">
        <v>28</v>
      </c>
      <c r="B126">
        <v>125</v>
      </c>
      <c r="C126">
        <v>32</v>
      </c>
    </row>
    <row r="127" spans="1:3" x14ac:dyDescent="0.45">
      <c r="A127" t="s">
        <v>28</v>
      </c>
      <c r="B127">
        <v>126</v>
      </c>
      <c r="C127">
        <v>71</v>
      </c>
    </row>
    <row r="128" spans="1:3" x14ac:dyDescent="0.45">
      <c r="A128" t="s">
        <v>28</v>
      </c>
      <c r="B128">
        <v>127</v>
      </c>
      <c r="C128">
        <v>97</v>
      </c>
    </row>
    <row r="129" spans="1:3" x14ac:dyDescent="0.45">
      <c r="A129" t="s">
        <v>28</v>
      </c>
      <c r="B129">
        <v>128</v>
      </c>
      <c r="C129">
        <v>3</v>
      </c>
    </row>
    <row r="130" spans="1:3" x14ac:dyDescent="0.45">
      <c r="A130" t="s">
        <v>28</v>
      </c>
      <c r="B130">
        <v>129</v>
      </c>
      <c r="C130">
        <v>53</v>
      </c>
    </row>
    <row r="131" spans="1:3" x14ac:dyDescent="0.45">
      <c r="A131" t="s">
        <v>28</v>
      </c>
      <c r="B131">
        <v>130</v>
      </c>
      <c r="C131">
        <v>95</v>
      </c>
    </row>
    <row r="132" spans="1:3" x14ac:dyDescent="0.45">
      <c r="A132" t="s">
        <v>28</v>
      </c>
      <c r="B132">
        <v>131</v>
      </c>
      <c r="C132">
        <v>44</v>
      </c>
    </row>
    <row r="133" spans="1:3" x14ac:dyDescent="0.45">
      <c r="A133" t="s">
        <v>28</v>
      </c>
      <c r="B133">
        <v>132</v>
      </c>
      <c r="C133">
        <v>74</v>
      </c>
    </row>
    <row r="134" spans="1:3" x14ac:dyDescent="0.45">
      <c r="A134" t="s">
        <v>28</v>
      </c>
      <c r="B134">
        <v>133</v>
      </c>
      <c r="C134">
        <v>56</v>
      </c>
    </row>
    <row r="135" spans="1:3" x14ac:dyDescent="0.45">
      <c r="A135" t="s">
        <v>28</v>
      </c>
      <c r="B135">
        <v>134</v>
      </c>
      <c r="C135">
        <v>87</v>
      </c>
    </row>
    <row r="136" spans="1:3" x14ac:dyDescent="0.45">
      <c r="A136" t="s">
        <v>28</v>
      </c>
      <c r="B136">
        <v>135</v>
      </c>
      <c r="C136">
        <v>3</v>
      </c>
    </row>
    <row r="137" spans="1:3" x14ac:dyDescent="0.45">
      <c r="A137" t="s">
        <v>28</v>
      </c>
      <c r="B137">
        <v>136</v>
      </c>
      <c r="C137">
        <v>10</v>
      </c>
    </row>
    <row r="138" spans="1:3" x14ac:dyDescent="0.45">
      <c r="A138" t="s">
        <v>28</v>
      </c>
      <c r="B138">
        <v>137</v>
      </c>
      <c r="C138">
        <v>1</v>
      </c>
    </row>
    <row r="139" spans="1:3" x14ac:dyDescent="0.45">
      <c r="A139" t="s">
        <v>28</v>
      </c>
      <c r="B139">
        <v>138</v>
      </c>
      <c r="C139">
        <v>99</v>
      </c>
    </row>
    <row r="140" spans="1:3" x14ac:dyDescent="0.45">
      <c r="A140" t="s">
        <v>28</v>
      </c>
      <c r="B140">
        <v>139</v>
      </c>
      <c r="C140">
        <v>23</v>
      </c>
    </row>
    <row r="141" spans="1:3" x14ac:dyDescent="0.45">
      <c r="A141" t="s">
        <v>28</v>
      </c>
      <c r="B141">
        <v>140</v>
      </c>
      <c r="C141">
        <v>5</v>
      </c>
    </row>
    <row r="142" spans="1:3" x14ac:dyDescent="0.45">
      <c r="A142" t="s">
        <v>28</v>
      </c>
      <c r="B142">
        <v>141</v>
      </c>
      <c r="C142">
        <v>18</v>
      </c>
    </row>
    <row r="143" spans="1:3" x14ac:dyDescent="0.45">
      <c r="A143" t="s">
        <v>28</v>
      </c>
      <c r="B143">
        <v>142</v>
      </c>
      <c r="C143">
        <v>88</v>
      </c>
    </row>
    <row r="144" spans="1:3" x14ac:dyDescent="0.45">
      <c r="A144" t="s">
        <v>28</v>
      </c>
      <c r="B144">
        <v>143</v>
      </c>
      <c r="C144">
        <v>24</v>
      </c>
    </row>
    <row r="145" spans="1:3" x14ac:dyDescent="0.45">
      <c r="A145" t="s">
        <v>28</v>
      </c>
      <c r="B145">
        <v>144</v>
      </c>
      <c r="C145">
        <v>99</v>
      </c>
    </row>
    <row r="146" spans="1:3" x14ac:dyDescent="0.45">
      <c r="A146" t="s">
        <v>28</v>
      </c>
      <c r="B146">
        <v>145</v>
      </c>
      <c r="C146">
        <v>51</v>
      </c>
    </row>
    <row r="147" spans="1:3" x14ac:dyDescent="0.45">
      <c r="A147" t="s">
        <v>28</v>
      </c>
      <c r="B147">
        <v>146</v>
      </c>
      <c r="C147">
        <v>86</v>
      </c>
    </row>
    <row r="148" spans="1:3" x14ac:dyDescent="0.45">
      <c r="A148" t="s">
        <v>28</v>
      </c>
      <c r="B148">
        <v>147</v>
      </c>
      <c r="C148">
        <v>60</v>
      </c>
    </row>
    <row r="149" spans="1:3" x14ac:dyDescent="0.45">
      <c r="A149" t="s">
        <v>28</v>
      </c>
      <c r="B149">
        <v>148</v>
      </c>
      <c r="C149">
        <v>72</v>
      </c>
    </row>
    <row r="150" spans="1:3" x14ac:dyDescent="0.45">
      <c r="A150" t="s">
        <v>28</v>
      </c>
      <c r="B150">
        <v>149</v>
      </c>
      <c r="C150">
        <v>61</v>
      </c>
    </row>
    <row r="151" spans="1:3" x14ac:dyDescent="0.45">
      <c r="A151" t="s">
        <v>28</v>
      </c>
      <c r="B151">
        <v>150</v>
      </c>
      <c r="C151">
        <v>5</v>
      </c>
    </row>
    <row r="152" spans="1:3" x14ac:dyDescent="0.45">
      <c r="A152" t="s">
        <v>28</v>
      </c>
      <c r="B152">
        <v>151</v>
      </c>
      <c r="C152">
        <v>32</v>
      </c>
    </row>
    <row r="153" spans="1:3" x14ac:dyDescent="0.45">
      <c r="A153" t="s">
        <v>28</v>
      </c>
      <c r="B153">
        <v>152</v>
      </c>
      <c r="C153">
        <v>24</v>
      </c>
    </row>
    <row r="154" spans="1:3" x14ac:dyDescent="0.45">
      <c r="A154" t="s">
        <v>28</v>
      </c>
      <c r="B154">
        <v>153</v>
      </c>
      <c r="C154">
        <v>52</v>
      </c>
    </row>
    <row r="155" spans="1:3" x14ac:dyDescent="0.45">
      <c r="A155" t="s">
        <v>28</v>
      </c>
      <c r="B155">
        <v>154</v>
      </c>
      <c r="C155">
        <v>38</v>
      </c>
    </row>
    <row r="156" spans="1:3" x14ac:dyDescent="0.45">
      <c r="A156" t="s">
        <v>28</v>
      </c>
      <c r="B156">
        <v>155</v>
      </c>
      <c r="C156">
        <v>45</v>
      </c>
    </row>
    <row r="157" spans="1:3" x14ac:dyDescent="0.45">
      <c r="A157" t="s">
        <v>28</v>
      </c>
      <c r="B157">
        <v>156</v>
      </c>
      <c r="C157">
        <v>22</v>
      </c>
    </row>
    <row r="158" spans="1:3" x14ac:dyDescent="0.45">
      <c r="A158" t="s">
        <v>28</v>
      </c>
      <c r="B158">
        <v>157</v>
      </c>
      <c r="C158">
        <v>1</v>
      </c>
    </row>
    <row r="159" spans="1:3" x14ac:dyDescent="0.45">
      <c r="A159" t="s">
        <v>28</v>
      </c>
      <c r="B159">
        <v>158</v>
      </c>
      <c r="C159">
        <v>80</v>
      </c>
    </row>
    <row r="160" spans="1:3" x14ac:dyDescent="0.45">
      <c r="A160" t="s">
        <v>28</v>
      </c>
      <c r="B160">
        <v>159</v>
      </c>
      <c r="C160">
        <v>68</v>
      </c>
    </row>
    <row r="161" spans="1:3" x14ac:dyDescent="0.45">
      <c r="A161" t="s">
        <v>28</v>
      </c>
      <c r="B161">
        <v>160</v>
      </c>
      <c r="C161">
        <v>95</v>
      </c>
    </row>
    <row r="162" spans="1:3" x14ac:dyDescent="0.45">
      <c r="A162" t="s">
        <v>28</v>
      </c>
      <c r="B162">
        <v>161</v>
      </c>
      <c r="C162">
        <v>37</v>
      </c>
    </row>
    <row r="163" spans="1:3" x14ac:dyDescent="0.45">
      <c r="A163" t="s">
        <v>28</v>
      </c>
      <c r="B163">
        <v>162</v>
      </c>
      <c r="C163">
        <v>75</v>
      </c>
    </row>
    <row r="164" spans="1:3" x14ac:dyDescent="0.45">
      <c r="A164" t="s">
        <v>28</v>
      </c>
      <c r="B164">
        <v>163</v>
      </c>
      <c r="C164">
        <v>51</v>
      </c>
    </row>
    <row r="165" spans="1:3" x14ac:dyDescent="0.45">
      <c r="A165" t="s">
        <v>28</v>
      </c>
      <c r="B165">
        <v>164</v>
      </c>
      <c r="C165">
        <v>54</v>
      </c>
    </row>
    <row r="166" spans="1:3" x14ac:dyDescent="0.45">
      <c r="A166" t="s">
        <v>28</v>
      </c>
      <c r="B166">
        <v>165</v>
      </c>
      <c r="C166">
        <v>71</v>
      </c>
    </row>
    <row r="167" spans="1:3" x14ac:dyDescent="0.45">
      <c r="A167" t="s">
        <v>28</v>
      </c>
      <c r="B167">
        <v>166</v>
      </c>
      <c r="C167">
        <v>66</v>
      </c>
    </row>
    <row r="168" spans="1:3" x14ac:dyDescent="0.45">
      <c r="A168" t="s">
        <v>28</v>
      </c>
      <c r="B168">
        <v>167</v>
      </c>
      <c r="C168">
        <v>15</v>
      </c>
    </row>
    <row r="169" spans="1:3" x14ac:dyDescent="0.45">
      <c r="A169" t="s">
        <v>28</v>
      </c>
      <c r="B169">
        <v>168</v>
      </c>
      <c r="C169">
        <v>37</v>
      </c>
    </row>
    <row r="170" spans="1:3" x14ac:dyDescent="0.45">
      <c r="A170" t="s">
        <v>28</v>
      </c>
      <c r="B170">
        <v>169</v>
      </c>
      <c r="C170">
        <v>37</v>
      </c>
    </row>
    <row r="171" spans="1:3" x14ac:dyDescent="0.45">
      <c r="A171" t="s">
        <v>28</v>
      </c>
      <c r="B171">
        <v>170</v>
      </c>
      <c r="C171">
        <v>53</v>
      </c>
    </row>
    <row r="172" spans="1:3" x14ac:dyDescent="0.45">
      <c r="A172" t="s">
        <v>28</v>
      </c>
      <c r="B172">
        <v>171</v>
      </c>
      <c r="C172">
        <v>3</v>
      </c>
    </row>
    <row r="173" spans="1:3" x14ac:dyDescent="0.45">
      <c r="A173" t="s">
        <v>28</v>
      </c>
      <c r="B173">
        <v>172</v>
      </c>
      <c r="C173">
        <v>39</v>
      </c>
    </row>
    <row r="174" spans="1:3" x14ac:dyDescent="0.45">
      <c r="A174" t="s">
        <v>28</v>
      </c>
      <c r="B174">
        <v>173</v>
      </c>
      <c r="C174">
        <v>71</v>
      </c>
    </row>
    <row r="175" spans="1:3" x14ac:dyDescent="0.45">
      <c r="A175" t="s">
        <v>28</v>
      </c>
      <c r="B175">
        <v>174</v>
      </c>
      <c r="C175">
        <v>84</v>
      </c>
    </row>
    <row r="176" spans="1:3" x14ac:dyDescent="0.45">
      <c r="A176" t="s">
        <v>28</v>
      </c>
      <c r="B176">
        <v>175</v>
      </c>
      <c r="C176">
        <v>1</v>
      </c>
    </row>
    <row r="177" spans="1:3" x14ac:dyDescent="0.45">
      <c r="A177" t="s">
        <v>28</v>
      </c>
      <c r="B177">
        <v>176</v>
      </c>
      <c r="C177">
        <v>2</v>
      </c>
    </row>
    <row r="178" spans="1:3" x14ac:dyDescent="0.45">
      <c r="A178" t="s">
        <v>28</v>
      </c>
      <c r="B178">
        <v>177</v>
      </c>
      <c r="C178">
        <v>10</v>
      </c>
    </row>
    <row r="179" spans="1:3" x14ac:dyDescent="0.45">
      <c r="A179" t="s">
        <v>28</v>
      </c>
      <c r="B179">
        <v>178</v>
      </c>
      <c r="C179">
        <v>36</v>
      </c>
    </row>
    <row r="180" spans="1:3" x14ac:dyDescent="0.45">
      <c r="A180" t="s">
        <v>28</v>
      </c>
      <c r="B180">
        <v>179</v>
      </c>
      <c r="C180">
        <v>71</v>
      </c>
    </row>
    <row r="181" spans="1:3" x14ac:dyDescent="0.45">
      <c r="A181" t="s">
        <v>28</v>
      </c>
      <c r="B181">
        <v>180</v>
      </c>
      <c r="C181">
        <v>3</v>
      </c>
    </row>
    <row r="182" spans="1:3" x14ac:dyDescent="0.45">
      <c r="A182" t="s">
        <v>28</v>
      </c>
      <c r="B182">
        <v>181</v>
      </c>
      <c r="C182">
        <v>12</v>
      </c>
    </row>
    <row r="183" spans="1:3" x14ac:dyDescent="0.45">
      <c r="A183" t="s">
        <v>28</v>
      </c>
      <c r="B183">
        <v>182</v>
      </c>
      <c r="C183">
        <v>79</v>
      </c>
    </row>
    <row r="184" spans="1:3" x14ac:dyDescent="0.45">
      <c r="A184" t="s">
        <v>28</v>
      </c>
      <c r="B184">
        <v>183</v>
      </c>
      <c r="C184">
        <v>81</v>
      </c>
    </row>
    <row r="185" spans="1:3" x14ac:dyDescent="0.45">
      <c r="A185" t="s">
        <v>28</v>
      </c>
      <c r="B185">
        <v>184</v>
      </c>
      <c r="C185">
        <v>36</v>
      </c>
    </row>
    <row r="186" spans="1:3" x14ac:dyDescent="0.45">
      <c r="A186" t="s">
        <v>28</v>
      </c>
      <c r="B186">
        <v>185</v>
      </c>
      <c r="C186">
        <v>18</v>
      </c>
    </row>
    <row r="187" spans="1:3" x14ac:dyDescent="0.45">
      <c r="A187" t="s">
        <v>28</v>
      </c>
      <c r="B187">
        <v>186</v>
      </c>
      <c r="C187">
        <v>71</v>
      </c>
    </row>
    <row r="188" spans="1:3" x14ac:dyDescent="0.45">
      <c r="A188" t="s">
        <v>28</v>
      </c>
      <c r="B188">
        <v>187</v>
      </c>
      <c r="C188">
        <v>46</v>
      </c>
    </row>
    <row r="189" spans="1:3" x14ac:dyDescent="0.45">
      <c r="A189" t="s">
        <v>28</v>
      </c>
      <c r="B189">
        <v>188</v>
      </c>
      <c r="C189">
        <v>60</v>
      </c>
    </row>
    <row r="190" spans="1:3" x14ac:dyDescent="0.45">
      <c r="A190" t="s">
        <v>28</v>
      </c>
      <c r="B190">
        <v>189</v>
      </c>
      <c r="C190">
        <v>53</v>
      </c>
    </row>
    <row r="191" spans="1:3" x14ac:dyDescent="0.45">
      <c r="A191" t="s">
        <v>28</v>
      </c>
      <c r="B191">
        <v>190</v>
      </c>
      <c r="C191">
        <v>33</v>
      </c>
    </row>
    <row r="192" spans="1:3" x14ac:dyDescent="0.45">
      <c r="A192" t="s">
        <v>28</v>
      </c>
      <c r="B192">
        <v>191</v>
      </c>
      <c r="C192">
        <v>88</v>
      </c>
    </row>
    <row r="193" spans="1:3" x14ac:dyDescent="0.45">
      <c r="A193" t="s">
        <v>28</v>
      </c>
      <c r="B193">
        <v>192</v>
      </c>
      <c r="C193">
        <v>68</v>
      </c>
    </row>
    <row r="194" spans="1:3" x14ac:dyDescent="0.45">
      <c r="A194" t="s">
        <v>28</v>
      </c>
      <c r="B194">
        <v>193</v>
      </c>
      <c r="C194">
        <v>41</v>
      </c>
    </row>
    <row r="195" spans="1:3" x14ac:dyDescent="0.45">
      <c r="A195" t="s">
        <v>28</v>
      </c>
      <c r="B195">
        <v>194</v>
      </c>
      <c r="C195">
        <v>97</v>
      </c>
    </row>
    <row r="196" spans="1:3" x14ac:dyDescent="0.45">
      <c r="A196" t="s">
        <v>28</v>
      </c>
      <c r="B196">
        <v>195</v>
      </c>
      <c r="C196">
        <v>2</v>
      </c>
    </row>
    <row r="197" spans="1:3" x14ac:dyDescent="0.45">
      <c r="A197" t="s">
        <v>28</v>
      </c>
      <c r="B197">
        <v>196</v>
      </c>
      <c r="C197">
        <v>71</v>
      </c>
    </row>
    <row r="198" spans="1:3" x14ac:dyDescent="0.45">
      <c r="A198" t="s">
        <v>28</v>
      </c>
      <c r="B198">
        <v>197</v>
      </c>
      <c r="C198">
        <v>67</v>
      </c>
    </row>
    <row r="199" spans="1:3" x14ac:dyDescent="0.45">
      <c r="A199" t="s">
        <v>28</v>
      </c>
      <c r="B199">
        <v>198</v>
      </c>
      <c r="C199">
        <v>61</v>
      </c>
    </row>
    <row r="200" spans="1:3" x14ac:dyDescent="0.45">
      <c r="A200" t="s">
        <v>28</v>
      </c>
      <c r="B200">
        <v>199</v>
      </c>
      <c r="C200">
        <v>4</v>
      </c>
    </row>
    <row r="201" spans="1:3" x14ac:dyDescent="0.45">
      <c r="A201" t="s">
        <v>28</v>
      </c>
      <c r="B201">
        <v>200</v>
      </c>
      <c r="C201">
        <v>48</v>
      </c>
    </row>
    <row r="202" spans="1:3" x14ac:dyDescent="0.45">
      <c r="A202" t="s">
        <v>28</v>
      </c>
      <c r="B202">
        <v>201</v>
      </c>
      <c r="C202">
        <v>11</v>
      </c>
    </row>
    <row r="203" spans="1:3" x14ac:dyDescent="0.45">
      <c r="A203" t="s">
        <v>28</v>
      </c>
      <c r="B203">
        <v>202</v>
      </c>
      <c r="C203">
        <v>12</v>
      </c>
    </row>
    <row r="204" spans="1:3" x14ac:dyDescent="0.45">
      <c r="A204" t="s">
        <v>28</v>
      </c>
      <c r="B204">
        <v>203</v>
      </c>
      <c r="C204">
        <v>65</v>
      </c>
    </row>
    <row r="205" spans="1:3" x14ac:dyDescent="0.45">
      <c r="A205" t="s">
        <v>28</v>
      </c>
      <c r="B205">
        <v>204</v>
      </c>
      <c r="C205">
        <v>5</v>
      </c>
    </row>
    <row r="206" spans="1:3" x14ac:dyDescent="0.45">
      <c r="A206" t="s">
        <v>28</v>
      </c>
      <c r="B206">
        <v>205</v>
      </c>
      <c r="C206">
        <v>68</v>
      </c>
    </row>
    <row r="207" spans="1:3" x14ac:dyDescent="0.45">
      <c r="A207" t="s">
        <v>28</v>
      </c>
      <c r="B207">
        <v>206</v>
      </c>
      <c r="C207">
        <v>11</v>
      </c>
    </row>
    <row r="208" spans="1:3" x14ac:dyDescent="0.45">
      <c r="A208" t="s">
        <v>28</v>
      </c>
      <c r="B208">
        <v>207</v>
      </c>
      <c r="C208">
        <v>11</v>
      </c>
    </row>
    <row r="209" spans="1:3" x14ac:dyDescent="0.45">
      <c r="A209" t="s">
        <v>28</v>
      </c>
      <c r="B209">
        <v>208</v>
      </c>
      <c r="C209">
        <v>5</v>
      </c>
    </row>
    <row r="210" spans="1:3" x14ac:dyDescent="0.45">
      <c r="A210" t="s">
        <v>28</v>
      </c>
      <c r="B210">
        <v>209</v>
      </c>
      <c r="C210">
        <v>96</v>
      </c>
    </row>
    <row r="211" spans="1:3" x14ac:dyDescent="0.45">
      <c r="A211" t="s">
        <v>28</v>
      </c>
      <c r="B211">
        <v>210</v>
      </c>
      <c r="C211">
        <v>3</v>
      </c>
    </row>
    <row r="212" spans="1:3" x14ac:dyDescent="0.45">
      <c r="A212" t="s">
        <v>28</v>
      </c>
      <c r="B212">
        <v>211</v>
      </c>
      <c r="C212">
        <v>28</v>
      </c>
    </row>
    <row r="213" spans="1:3" x14ac:dyDescent="0.45">
      <c r="A213" t="s">
        <v>28</v>
      </c>
      <c r="B213">
        <v>212</v>
      </c>
      <c r="C213">
        <v>11</v>
      </c>
    </row>
    <row r="214" spans="1:3" x14ac:dyDescent="0.45">
      <c r="A214" t="s">
        <v>28</v>
      </c>
      <c r="B214">
        <v>213</v>
      </c>
      <c r="C214">
        <v>62</v>
      </c>
    </row>
    <row r="215" spans="1:3" x14ac:dyDescent="0.45">
      <c r="A215" t="s">
        <v>28</v>
      </c>
      <c r="B215">
        <v>214</v>
      </c>
      <c r="C215">
        <v>53</v>
      </c>
    </row>
    <row r="216" spans="1:3" x14ac:dyDescent="0.45">
      <c r="A216" t="s">
        <v>28</v>
      </c>
      <c r="B216">
        <v>215</v>
      </c>
      <c r="C216">
        <v>99</v>
      </c>
    </row>
    <row r="217" spans="1:3" x14ac:dyDescent="0.45">
      <c r="A217" t="s">
        <v>28</v>
      </c>
      <c r="B217">
        <v>216</v>
      </c>
      <c r="C217">
        <v>41</v>
      </c>
    </row>
    <row r="218" spans="1:3" x14ac:dyDescent="0.45">
      <c r="A218" t="s">
        <v>28</v>
      </c>
      <c r="B218">
        <v>217</v>
      </c>
      <c r="C218">
        <v>79</v>
      </c>
    </row>
    <row r="219" spans="1:3" x14ac:dyDescent="0.45">
      <c r="A219" t="s">
        <v>28</v>
      </c>
      <c r="B219">
        <v>218</v>
      </c>
      <c r="C219">
        <v>41</v>
      </c>
    </row>
    <row r="220" spans="1:3" x14ac:dyDescent="0.45">
      <c r="A220" t="s">
        <v>28</v>
      </c>
      <c r="B220">
        <v>219</v>
      </c>
      <c r="C220">
        <v>2</v>
      </c>
    </row>
    <row r="221" spans="1:3" x14ac:dyDescent="0.45">
      <c r="A221" t="s">
        <v>28</v>
      </c>
      <c r="B221">
        <v>220</v>
      </c>
      <c r="C221">
        <v>64</v>
      </c>
    </row>
    <row r="222" spans="1:3" x14ac:dyDescent="0.45">
      <c r="A222" t="s">
        <v>28</v>
      </c>
      <c r="B222">
        <v>221</v>
      </c>
      <c r="C222">
        <v>84</v>
      </c>
    </row>
    <row r="223" spans="1:3" x14ac:dyDescent="0.45">
      <c r="A223" t="s">
        <v>28</v>
      </c>
      <c r="B223">
        <v>222</v>
      </c>
      <c r="C223">
        <v>65</v>
      </c>
    </row>
    <row r="224" spans="1:3" x14ac:dyDescent="0.45">
      <c r="A224" t="s">
        <v>28</v>
      </c>
      <c r="B224">
        <v>223</v>
      </c>
      <c r="C224">
        <v>26</v>
      </c>
    </row>
    <row r="225" spans="1:3" x14ac:dyDescent="0.45">
      <c r="A225" t="s">
        <v>28</v>
      </c>
      <c r="B225">
        <v>224</v>
      </c>
      <c r="C225">
        <v>47</v>
      </c>
    </row>
    <row r="226" spans="1:3" x14ac:dyDescent="0.45">
      <c r="A226" t="s">
        <v>28</v>
      </c>
      <c r="B226">
        <v>225</v>
      </c>
      <c r="C226">
        <v>33</v>
      </c>
    </row>
    <row r="227" spans="1:3" x14ac:dyDescent="0.45">
      <c r="A227" t="s">
        <v>28</v>
      </c>
      <c r="B227">
        <v>226</v>
      </c>
      <c r="C227">
        <v>78</v>
      </c>
    </row>
    <row r="228" spans="1:3" x14ac:dyDescent="0.45">
      <c r="A228" t="s">
        <v>28</v>
      </c>
      <c r="B228">
        <v>227</v>
      </c>
      <c r="C228">
        <v>79</v>
      </c>
    </row>
    <row r="229" spans="1:3" x14ac:dyDescent="0.45">
      <c r="A229" t="s">
        <v>28</v>
      </c>
      <c r="B229">
        <v>228</v>
      </c>
      <c r="C229">
        <v>95</v>
      </c>
    </row>
    <row r="230" spans="1:3" x14ac:dyDescent="0.45">
      <c r="A230" t="s">
        <v>28</v>
      </c>
      <c r="B230">
        <v>229</v>
      </c>
      <c r="C230">
        <v>20</v>
      </c>
    </row>
    <row r="231" spans="1:3" x14ac:dyDescent="0.45">
      <c r="A231" t="s">
        <v>28</v>
      </c>
      <c r="B231">
        <v>230</v>
      </c>
      <c r="C231">
        <v>25</v>
      </c>
    </row>
    <row r="232" spans="1:3" x14ac:dyDescent="0.45">
      <c r="A232" t="s">
        <v>28</v>
      </c>
      <c r="B232">
        <v>231</v>
      </c>
      <c r="C232">
        <v>3</v>
      </c>
    </row>
    <row r="233" spans="1:3" x14ac:dyDescent="0.45">
      <c r="A233" t="s">
        <v>28</v>
      </c>
      <c r="B233">
        <v>232</v>
      </c>
      <c r="C233">
        <v>68</v>
      </c>
    </row>
    <row r="234" spans="1:3" x14ac:dyDescent="0.45">
      <c r="A234" t="s">
        <v>28</v>
      </c>
      <c r="B234">
        <v>233</v>
      </c>
      <c r="C234">
        <v>79</v>
      </c>
    </row>
    <row r="235" spans="1:3" x14ac:dyDescent="0.45">
      <c r="A235" t="s">
        <v>28</v>
      </c>
      <c r="B235">
        <v>234</v>
      </c>
      <c r="C235">
        <v>5</v>
      </c>
    </row>
    <row r="236" spans="1:3" x14ac:dyDescent="0.45">
      <c r="A236" t="s">
        <v>28</v>
      </c>
      <c r="B236">
        <v>235</v>
      </c>
      <c r="C236">
        <v>12</v>
      </c>
    </row>
    <row r="237" spans="1:3" x14ac:dyDescent="0.45">
      <c r="A237" t="s">
        <v>28</v>
      </c>
      <c r="B237">
        <v>236</v>
      </c>
      <c r="C237">
        <v>29</v>
      </c>
    </row>
    <row r="238" spans="1:3" x14ac:dyDescent="0.45">
      <c r="A238" t="s">
        <v>28</v>
      </c>
      <c r="B238">
        <v>237</v>
      </c>
      <c r="C238">
        <v>68</v>
      </c>
    </row>
    <row r="239" spans="1:3" x14ac:dyDescent="0.45">
      <c r="A239" t="s">
        <v>28</v>
      </c>
      <c r="B239">
        <v>238</v>
      </c>
      <c r="C239">
        <v>45</v>
      </c>
    </row>
    <row r="240" spans="1:3" x14ac:dyDescent="0.45">
      <c r="A240" t="s">
        <v>28</v>
      </c>
      <c r="B240">
        <v>239</v>
      </c>
      <c r="C240">
        <v>28</v>
      </c>
    </row>
    <row r="241" spans="1:3" x14ac:dyDescent="0.45">
      <c r="A241" t="s">
        <v>28</v>
      </c>
      <c r="B241">
        <v>240</v>
      </c>
      <c r="C241">
        <v>99</v>
      </c>
    </row>
    <row r="242" spans="1:3" x14ac:dyDescent="0.45">
      <c r="A242" t="s">
        <v>28</v>
      </c>
      <c r="B242">
        <v>241</v>
      </c>
      <c r="C242">
        <v>76</v>
      </c>
    </row>
    <row r="243" spans="1:3" x14ac:dyDescent="0.45">
      <c r="A243" t="s">
        <v>28</v>
      </c>
      <c r="B243">
        <v>242</v>
      </c>
      <c r="C243">
        <v>28</v>
      </c>
    </row>
    <row r="244" spans="1:3" x14ac:dyDescent="0.45">
      <c r="A244" t="s">
        <v>28</v>
      </c>
      <c r="B244">
        <v>243</v>
      </c>
      <c r="C244">
        <v>3</v>
      </c>
    </row>
    <row r="245" spans="1:3" x14ac:dyDescent="0.45">
      <c r="A245" t="s">
        <v>28</v>
      </c>
      <c r="B245">
        <v>244</v>
      </c>
      <c r="C245">
        <v>80</v>
      </c>
    </row>
    <row r="246" spans="1:3" x14ac:dyDescent="0.45">
      <c r="A246" t="s">
        <v>28</v>
      </c>
      <c r="B246">
        <v>245</v>
      </c>
      <c r="C246">
        <v>4</v>
      </c>
    </row>
    <row r="247" spans="1:3" x14ac:dyDescent="0.45">
      <c r="A247" t="s">
        <v>28</v>
      </c>
      <c r="B247">
        <v>246</v>
      </c>
      <c r="C247">
        <v>42</v>
      </c>
    </row>
    <row r="248" spans="1:3" x14ac:dyDescent="0.45">
      <c r="A248" t="s">
        <v>28</v>
      </c>
      <c r="B248">
        <v>247</v>
      </c>
      <c r="C248">
        <v>49</v>
      </c>
    </row>
    <row r="249" spans="1:3" x14ac:dyDescent="0.45">
      <c r="A249" t="s">
        <v>28</v>
      </c>
      <c r="B249">
        <v>248</v>
      </c>
      <c r="C249">
        <v>48</v>
      </c>
    </row>
    <row r="250" spans="1:3" x14ac:dyDescent="0.45">
      <c r="A250" t="s">
        <v>28</v>
      </c>
      <c r="B250">
        <v>249</v>
      </c>
      <c r="C250">
        <v>91</v>
      </c>
    </row>
    <row r="251" spans="1:3" x14ac:dyDescent="0.45">
      <c r="A251" t="s">
        <v>28</v>
      </c>
      <c r="B251">
        <v>250</v>
      </c>
      <c r="C251">
        <v>10</v>
      </c>
    </row>
    <row r="252" spans="1:3" x14ac:dyDescent="0.45">
      <c r="A252" t="s">
        <v>28</v>
      </c>
      <c r="B252">
        <v>251</v>
      </c>
      <c r="C252">
        <v>20</v>
      </c>
    </row>
    <row r="253" spans="1:3" x14ac:dyDescent="0.45">
      <c r="A253" t="s">
        <v>28</v>
      </c>
      <c r="B253">
        <v>252</v>
      </c>
      <c r="C253">
        <v>66</v>
      </c>
    </row>
    <row r="254" spans="1:3" x14ac:dyDescent="0.45">
      <c r="A254" t="s">
        <v>28</v>
      </c>
      <c r="B254">
        <v>253</v>
      </c>
      <c r="C254">
        <v>98</v>
      </c>
    </row>
    <row r="255" spans="1:3" x14ac:dyDescent="0.45">
      <c r="A255" t="s">
        <v>28</v>
      </c>
      <c r="B255">
        <v>254</v>
      </c>
      <c r="C255">
        <v>59</v>
      </c>
    </row>
    <row r="256" spans="1:3" x14ac:dyDescent="0.45">
      <c r="A256" t="s">
        <v>28</v>
      </c>
      <c r="B256">
        <v>255</v>
      </c>
      <c r="C256">
        <v>1</v>
      </c>
    </row>
    <row r="257" spans="1:3" x14ac:dyDescent="0.45">
      <c r="A257" t="s">
        <v>28</v>
      </c>
      <c r="B257">
        <v>256</v>
      </c>
      <c r="C257">
        <v>40</v>
      </c>
    </row>
    <row r="258" spans="1:3" x14ac:dyDescent="0.45">
      <c r="A258" t="s">
        <v>28</v>
      </c>
      <c r="B258">
        <v>257</v>
      </c>
      <c r="C258">
        <v>51</v>
      </c>
    </row>
    <row r="259" spans="1:3" x14ac:dyDescent="0.45">
      <c r="A259" t="s">
        <v>28</v>
      </c>
      <c r="B259">
        <v>258</v>
      </c>
      <c r="C259">
        <v>16</v>
      </c>
    </row>
    <row r="260" spans="1:3" x14ac:dyDescent="0.45">
      <c r="A260" t="s">
        <v>28</v>
      </c>
      <c r="B260">
        <v>259</v>
      </c>
      <c r="C260">
        <v>25</v>
      </c>
    </row>
    <row r="261" spans="1:3" x14ac:dyDescent="0.45">
      <c r="A261" t="s">
        <v>28</v>
      </c>
      <c r="B261">
        <v>260</v>
      </c>
      <c r="C261">
        <v>99</v>
      </c>
    </row>
    <row r="262" spans="1:3" x14ac:dyDescent="0.45">
      <c r="A262" t="s">
        <v>28</v>
      </c>
      <c r="B262">
        <v>261</v>
      </c>
      <c r="C262">
        <v>69</v>
      </c>
    </row>
    <row r="263" spans="1:3" x14ac:dyDescent="0.45">
      <c r="A263" t="s">
        <v>28</v>
      </c>
      <c r="B263">
        <v>262</v>
      </c>
      <c r="C263">
        <v>11</v>
      </c>
    </row>
    <row r="264" spans="1:3" x14ac:dyDescent="0.45">
      <c r="A264" t="s">
        <v>28</v>
      </c>
      <c r="B264">
        <v>263</v>
      </c>
      <c r="C264">
        <v>10</v>
      </c>
    </row>
    <row r="265" spans="1:3" x14ac:dyDescent="0.45">
      <c r="A265" t="s">
        <v>28</v>
      </c>
      <c r="B265">
        <v>264</v>
      </c>
      <c r="C265">
        <v>57</v>
      </c>
    </row>
    <row r="266" spans="1:3" x14ac:dyDescent="0.45">
      <c r="A266" t="s">
        <v>28</v>
      </c>
      <c r="B266">
        <v>265</v>
      </c>
      <c r="C266">
        <v>21</v>
      </c>
    </row>
    <row r="267" spans="1:3" x14ac:dyDescent="0.45">
      <c r="A267" t="s">
        <v>28</v>
      </c>
      <c r="B267">
        <v>266</v>
      </c>
      <c r="C267">
        <v>78</v>
      </c>
    </row>
    <row r="268" spans="1:3" x14ac:dyDescent="0.45">
      <c r="A268" t="s">
        <v>28</v>
      </c>
      <c r="B268">
        <v>267</v>
      </c>
      <c r="C268">
        <v>46</v>
      </c>
    </row>
    <row r="269" spans="1:3" x14ac:dyDescent="0.45">
      <c r="A269" t="s">
        <v>28</v>
      </c>
      <c r="B269">
        <v>268</v>
      </c>
      <c r="C269">
        <v>41</v>
      </c>
    </row>
    <row r="270" spans="1:3" x14ac:dyDescent="0.45">
      <c r="A270" t="s">
        <v>28</v>
      </c>
      <c r="B270">
        <v>269</v>
      </c>
      <c r="C270">
        <v>18</v>
      </c>
    </row>
    <row r="271" spans="1:3" x14ac:dyDescent="0.45">
      <c r="A271" t="s">
        <v>28</v>
      </c>
      <c r="B271">
        <v>270</v>
      </c>
      <c r="C271">
        <v>28</v>
      </c>
    </row>
    <row r="272" spans="1:3" x14ac:dyDescent="0.45">
      <c r="A272" t="s">
        <v>28</v>
      </c>
      <c r="B272">
        <v>271</v>
      </c>
      <c r="C272">
        <v>57</v>
      </c>
    </row>
    <row r="273" spans="1:3" x14ac:dyDescent="0.45">
      <c r="A273" t="s">
        <v>28</v>
      </c>
      <c r="B273">
        <v>272</v>
      </c>
      <c r="C273">
        <v>89</v>
      </c>
    </row>
    <row r="274" spans="1:3" x14ac:dyDescent="0.45">
      <c r="A274" t="s">
        <v>28</v>
      </c>
      <c r="B274">
        <v>273</v>
      </c>
      <c r="C274">
        <v>12</v>
      </c>
    </row>
    <row r="275" spans="1:3" x14ac:dyDescent="0.45">
      <c r="A275" t="s">
        <v>28</v>
      </c>
      <c r="B275">
        <v>274</v>
      </c>
      <c r="C275">
        <v>29</v>
      </c>
    </row>
    <row r="276" spans="1:3" x14ac:dyDescent="0.45">
      <c r="A276" t="s">
        <v>28</v>
      </c>
      <c r="B276">
        <v>275</v>
      </c>
      <c r="C276">
        <v>33</v>
      </c>
    </row>
    <row r="277" spans="1:3" x14ac:dyDescent="0.45">
      <c r="A277" t="s">
        <v>28</v>
      </c>
      <c r="B277">
        <v>276</v>
      </c>
      <c r="C277">
        <v>63</v>
      </c>
    </row>
    <row r="278" spans="1:3" x14ac:dyDescent="0.45">
      <c r="A278" t="s">
        <v>28</v>
      </c>
      <c r="B278">
        <v>277</v>
      </c>
      <c r="C278">
        <v>42</v>
      </c>
    </row>
    <row r="279" spans="1:3" x14ac:dyDescent="0.45">
      <c r="A279" t="s">
        <v>28</v>
      </c>
      <c r="B279">
        <v>278</v>
      </c>
      <c r="C279">
        <v>33</v>
      </c>
    </row>
    <row r="280" spans="1:3" x14ac:dyDescent="0.45">
      <c r="A280" t="s">
        <v>28</v>
      </c>
      <c r="B280">
        <v>279</v>
      </c>
      <c r="C280">
        <v>84</v>
      </c>
    </row>
    <row r="281" spans="1:3" x14ac:dyDescent="0.45">
      <c r="A281" t="s">
        <v>28</v>
      </c>
      <c r="B281">
        <v>280</v>
      </c>
      <c r="C281">
        <v>1</v>
      </c>
    </row>
    <row r="282" spans="1:3" x14ac:dyDescent="0.45">
      <c r="A282" t="s">
        <v>28</v>
      </c>
      <c r="B282">
        <v>281</v>
      </c>
      <c r="C282">
        <v>45</v>
      </c>
    </row>
    <row r="283" spans="1:3" x14ac:dyDescent="0.45">
      <c r="A283" t="s">
        <v>28</v>
      </c>
      <c r="B283">
        <v>282</v>
      </c>
      <c r="C283">
        <v>47</v>
      </c>
    </row>
    <row r="284" spans="1:3" x14ac:dyDescent="0.45">
      <c r="A284" t="s">
        <v>28</v>
      </c>
      <c r="B284">
        <v>283</v>
      </c>
      <c r="C284">
        <v>93</v>
      </c>
    </row>
    <row r="285" spans="1:3" x14ac:dyDescent="0.45">
      <c r="A285" t="s">
        <v>28</v>
      </c>
      <c r="B285">
        <v>284</v>
      </c>
      <c r="C285">
        <v>98</v>
      </c>
    </row>
    <row r="286" spans="1:3" x14ac:dyDescent="0.45">
      <c r="A286" t="s">
        <v>28</v>
      </c>
      <c r="B286">
        <v>285</v>
      </c>
      <c r="C286">
        <v>34</v>
      </c>
    </row>
    <row r="287" spans="1:3" x14ac:dyDescent="0.45">
      <c r="A287" t="s">
        <v>28</v>
      </c>
      <c r="B287">
        <v>286</v>
      </c>
      <c r="C287">
        <v>27</v>
      </c>
    </row>
    <row r="288" spans="1:3" x14ac:dyDescent="0.45">
      <c r="A288" t="s">
        <v>28</v>
      </c>
      <c r="B288">
        <v>287</v>
      </c>
      <c r="C288">
        <v>91</v>
      </c>
    </row>
    <row r="289" spans="1:3" x14ac:dyDescent="0.45">
      <c r="A289" t="s">
        <v>28</v>
      </c>
      <c r="B289">
        <v>288</v>
      </c>
      <c r="C289">
        <v>75</v>
      </c>
    </row>
    <row r="290" spans="1:3" x14ac:dyDescent="0.45">
      <c r="A290" t="s">
        <v>28</v>
      </c>
      <c r="B290">
        <v>289</v>
      </c>
      <c r="C290">
        <v>63</v>
      </c>
    </row>
    <row r="291" spans="1:3" x14ac:dyDescent="0.45">
      <c r="A291" t="s">
        <v>28</v>
      </c>
      <c r="B291">
        <v>290</v>
      </c>
      <c r="C291">
        <v>4</v>
      </c>
    </row>
    <row r="292" spans="1:3" x14ac:dyDescent="0.45">
      <c r="A292" t="s">
        <v>28</v>
      </c>
      <c r="B292">
        <v>291</v>
      </c>
      <c r="C292">
        <v>89</v>
      </c>
    </row>
    <row r="293" spans="1:3" x14ac:dyDescent="0.45">
      <c r="A293" t="s">
        <v>28</v>
      </c>
      <c r="B293">
        <v>292</v>
      </c>
      <c r="C293">
        <v>70</v>
      </c>
    </row>
    <row r="294" spans="1:3" x14ac:dyDescent="0.45">
      <c r="A294" t="s">
        <v>28</v>
      </c>
      <c r="B294">
        <v>293</v>
      </c>
      <c r="C294">
        <v>1</v>
      </c>
    </row>
    <row r="295" spans="1:3" x14ac:dyDescent="0.45">
      <c r="A295" t="s">
        <v>28</v>
      </c>
      <c r="B295">
        <v>294</v>
      </c>
      <c r="C295">
        <v>42</v>
      </c>
    </row>
    <row r="296" spans="1:3" x14ac:dyDescent="0.45">
      <c r="A296" t="s">
        <v>28</v>
      </c>
      <c r="B296">
        <v>295</v>
      </c>
      <c r="C296">
        <v>77</v>
      </c>
    </row>
    <row r="297" spans="1:3" x14ac:dyDescent="0.45">
      <c r="A297" t="s">
        <v>28</v>
      </c>
      <c r="B297">
        <v>296</v>
      </c>
      <c r="C297">
        <v>42</v>
      </c>
    </row>
    <row r="298" spans="1:3" x14ac:dyDescent="0.45">
      <c r="A298" t="s">
        <v>28</v>
      </c>
      <c r="B298">
        <v>297</v>
      </c>
      <c r="C298">
        <v>23</v>
      </c>
    </row>
    <row r="299" spans="1:3" x14ac:dyDescent="0.45">
      <c r="A299" t="s">
        <v>28</v>
      </c>
      <c r="B299">
        <v>298</v>
      </c>
      <c r="C299">
        <v>30</v>
      </c>
    </row>
    <row r="300" spans="1:3" x14ac:dyDescent="0.45">
      <c r="A300" t="s">
        <v>28</v>
      </c>
      <c r="B300">
        <v>299</v>
      </c>
      <c r="C300">
        <v>57</v>
      </c>
    </row>
    <row r="301" spans="1:3" x14ac:dyDescent="0.45">
      <c r="A301" t="s">
        <v>28</v>
      </c>
      <c r="B301">
        <v>300</v>
      </c>
      <c r="C301">
        <v>29</v>
      </c>
    </row>
    <row r="302" spans="1:3" x14ac:dyDescent="0.45">
      <c r="A302" t="s">
        <v>28</v>
      </c>
      <c r="B302">
        <v>301</v>
      </c>
      <c r="C302">
        <v>17</v>
      </c>
    </row>
    <row r="303" spans="1:3" x14ac:dyDescent="0.45">
      <c r="A303" t="s">
        <v>28</v>
      </c>
      <c r="B303">
        <v>302</v>
      </c>
      <c r="C303">
        <v>16</v>
      </c>
    </row>
    <row r="304" spans="1:3" x14ac:dyDescent="0.45">
      <c r="A304" t="s">
        <v>28</v>
      </c>
      <c r="B304">
        <v>303</v>
      </c>
      <c r="C304">
        <v>76</v>
      </c>
    </row>
    <row r="305" spans="1:3" x14ac:dyDescent="0.45">
      <c r="A305" t="s">
        <v>28</v>
      </c>
      <c r="B305">
        <v>304</v>
      </c>
      <c r="C305">
        <v>26</v>
      </c>
    </row>
    <row r="306" spans="1:3" x14ac:dyDescent="0.45">
      <c r="A306" t="s">
        <v>28</v>
      </c>
      <c r="B306">
        <v>305</v>
      </c>
      <c r="C306">
        <v>42</v>
      </c>
    </row>
    <row r="307" spans="1:3" x14ac:dyDescent="0.45">
      <c r="A307" t="s">
        <v>28</v>
      </c>
      <c r="B307">
        <v>306</v>
      </c>
      <c r="C307">
        <v>3</v>
      </c>
    </row>
    <row r="308" spans="1:3" x14ac:dyDescent="0.45">
      <c r="A308" t="s">
        <v>28</v>
      </c>
      <c r="B308">
        <v>307</v>
      </c>
      <c r="C308">
        <v>85</v>
      </c>
    </row>
    <row r="309" spans="1:3" x14ac:dyDescent="0.45">
      <c r="A309" t="s">
        <v>28</v>
      </c>
      <c r="B309">
        <v>308</v>
      </c>
      <c r="C309">
        <v>68</v>
      </c>
    </row>
    <row r="310" spans="1:3" x14ac:dyDescent="0.45">
      <c r="A310" t="s">
        <v>28</v>
      </c>
      <c r="B310">
        <v>309</v>
      </c>
      <c r="C310">
        <v>5</v>
      </c>
    </row>
    <row r="311" spans="1:3" x14ac:dyDescent="0.45">
      <c r="A311" t="s">
        <v>28</v>
      </c>
      <c r="B311">
        <v>310</v>
      </c>
      <c r="C311">
        <v>31</v>
      </c>
    </row>
    <row r="312" spans="1:3" x14ac:dyDescent="0.45">
      <c r="A312" t="s">
        <v>28</v>
      </c>
      <c r="B312">
        <v>311</v>
      </c>
      <c r="C312">
        <v>39</v>
      </c>
    </row>
    <row r="313" spans="1:3" x14ac:dyDescent="0.45">
      <c r="A313" t="s">
        <v>28</v>
      </c>
      <c r="B313">
        <v>312</v>
      </c>
      <c r="C313">
        <v>47</v>
      </c>
    </row>
    <row r="314" spans="1:3" x14ac:dyDescent="0.45">
      <c r="A314" t="s">
        <v>28</v>
      </c>
      <c r="B314">
        <v>313</v>
      </c>
      <c r="C314">
        <v>2</v>
      </c>
    </row>
    <row r="315" spans="1:3" x14ac:dyDescent="0.45">
      <c r="A315" t="s">
        <v>28</v>
      </c>
      <c r="B315">
        <v>314</v>
      </c>
      <c r="C315">
        <v>63</v>
      </c>
    </row>
    <row r="316" spans="1:3" x14ac:dyDescent="0.45">
      <c r="A316" t="s">
        <v>28</v>
      </c>
      <c r="B316">
        <v>315</v>
      </c>
      <c r="C316">
        <v>17</v>
      </c>
    </row>
    <row r="317" spans="1:3" x14ac:dyDescent="0.45">
      <c r="A317" t="s">
        <v>28</v>
      </c>
      <c r="B317">
        <v>316</v>
      </c>
      <c r="C317">
        <v>36</v>
      </c>
    </row>
    <row r="318" spans="1:3" x14ac:dyDescent="0.45">
      <c r="A318" t="s">
        <v>28</v>
      </c>
      <c r="B318">
        <v>317</v>
      </c>
      <c r="C318">
        <v>36</v>
      </c>
    </row>
    <row r="319" spans="1:3" x14ac:dyDescent="0.45">
      <c r="A319" t="s">
        <v>28</v>
      </c>
      <c r="B319">
        <v>318</v>
      </c>
      <c r="C319">
        <v>30</v>
      </c>
    </row>
    <row r="320" spans="1:3" x14ac:dyDescent="0.45">
      <c r="A320" t="s">
        <v>28</v>
      </c>
      <c r="B320">
        <v>319</v>
      </c>
      <c r="C320">
        <v>39</v>
      </c>
    </row>
    <row r="321" spans="1:3" x14ac:dyDescent="0.45">
      <c r="A321" t="s">
        <v>28</v>
      </c>
      <c r="B321">
        <v>320</v>
      </c>
      <c r="C321">
        <v>4</v>
      </c>
    </row>
    <row r="322" spans="1:3" x14ac:dyDescent="0.45">
      <c r="A322" t="s">
        <v>28</v>
      </c>
      <c r="B322">
        <v>321</v>
      </c>
      <c r="C322">
        <v>73</v>
      </c>
    </row>
    <row r="323" spans="1:3" x14ac:dyDescent="0.45">
      <c r="A323" t="s">
        <v>28</v>
      </c>
      <c r="B323">
        <v>322</v>
      </c>
      <c r="C323">
        <v>78</v>
      </c>
    </row>
    <row r="324" spans="1:3" x14ac:dyDescent="0.45">
      <c r="A324" t="s">
        <v>28</v>
      </c>
      <c r="B324">
        <v>323</v>
      </c>
      <c r="C324">
        <v>70</v>
      </c>
    </row>
    <row r="325" spans="1:3" x14ac:dyDescent="0.45">
      <c r="A325" t="s">
        <v>28</v>
      </c>
      <c r="B325">
        <v>324</v>
      </c>
      <c r="C325">
        <v>57</v>
      </c>
    </row>
    <row r="326" spans="1:3" x14ac:dyDescent="0.45">
      <c r="A326" t="s">
        <v>28</v>
      </c>
      <c r="B326">
        <v>325</v>
      </c>
      <c r="C326">
        <v>28</v>
      </c>
    </row>
    <row r="327" spans="1:3" x14ac:dyDescent="0.45">
      <c r="A327" t="s">
        <v>28</v>
      </c>
      <c r="B327">
        <v>326</v>
      </c>
      <c r="C327">
        <v>13</v>
      </c>
    </row>
    <row r="328" spans="1:3" x14ac:dyDescent="0.45">
      <c r="A328" t="s">
        <v>28</v>
      </c>
      <c r="B328">
        <v>327</v>
      </c>
      <c r="C328">
        <v>44</v>
      </c>
    </row>
    <row r="329" spans="1:3" x14ac:dyDescent="0.45">
      <c r="A329" t="s">
        <v>28</v>
      </c>
      <c r="B329">
        <v>328</v>
      </c>
      <c r="C329">
        <v>73</v>
      </c>
    </row>
    <row r="330" spans="1:3" x14ac:dyDescent="0.45">
      <c r="A330" t="s">
        <v>28</v>
      </c>
      <c r="B330">
        <v>329</v>
      </c>
      <c r="C330">
        <v>58</v>
      </c>
    </row>
    <row r="331" spans="1:3" x14ac:dyDescent="0.45">
      <c r="A331" t="s">
        <v>28</v>
      </c>
      <c r="B331">
        <v>330</v>
      </c>
      <c r="C331">
        <v>26</v>
      </c>
    </row>
    <row r="332" spans="1:3" x14ac:dyDescent="0.45">
      <c r="A332" t="s">
        <v>28</v>
      </c>
      <c r="B332">
        <v>331</v>
      </c>
      <c r="C332">
        <v>53</v>
      </c>
    </row>
    <row r="333" spans="1:3" x14ac:dyDescent="0.45">
      <c r="A333" t="s">
        <v>28</v>
      </c>
      <c r="B333">
        <v>332</v>
      </c>
      <c r="C333">
        <v>3</v>
      </c>
    </row>
    <row r="334" spans="1:3" x14ac:dyDescent="0.45">
      <c r="A334" t="s">
        <v>28</v>
      </c>
      <c r="B334">
        <v>333</v>
      </c>
      <c r="C334">
        <v>55</v>
      </c>
    </row>
    <row r="335" spans="1:3" x14ac:dyDescent="0.45">
      <c r="A335" t="s">
        <v>28</v>
      </c>
      <c r="B335">
        <v>334</v>
      </c>
      <c r="C335">
        <v>15</v>
      </c>
    </row>
    <row r="336" spans="1:3" x14ac:dyDescent="0.45">
      <c r="A336" t="s">
        <v>28</v>
      </c>
      <c r="B336">
        <v>335</v>
      </c>
      <c r="C336">
        <v>46</v>
      </c>
    </row>
    <row r="337" spans="1:3" x14ac:dyDescent="0.45">
      <c r="A337" t="s">
        <v>28</v>
      </c>
      <c r="B337">
        <v>336</v>
      </c>
      <c r="C337">
        <v>33</v>
      </c>
    </row>
    <row r="338" spans="1:3" x14ac:dyDescent="0.45">
      <c r="A338" t="s">
        <v>28</v>
      </c>
      <c r="B338">
        <v>337</v>
      </c>
      <c r="C338">
        <v>55</v>
      </c>
    </row>
    <row r="339" spans="1:3" x14ac:dyDescent="0.45">
      <c r="A339" t="s">
        <v>28</v>
      </c>
      <c r="B339">
        <v>338</v>
      </c>
      <c r="C339">
        <v>62</v>
      </c>
    </row>
    <row r="340" spans="1:3" x14ac:dyDescent="0.45">
      <c r="A340" t="s">
        <v>28</v>
      </c>
      <c r="B340">
        <v>339</v>
      </c>
      <c r="C340">
        <v>69</v>
      </c>
    </row>
    <row r="341" spans="1:3" x14ac:dyDescent="0.45">
      <c r="A341" t="s">
        <v>28</v>
      </c>
      <c r="B341">
        <v>340</v>
      </c>
      <c r="C341">
        <v>72</v>
      </c>
    </row>
    <row r="342" spans="1:3" x14ac:dyDescent="0.45">
      <c r="A342" t="s">
        <v>28</v>
      </c>
      <c r="B342">
        <v>341</v>
      </c>
      <c r="C342">
        <v>4</v>
      </c>
    </row>
    <row r="343" spans="1:3" x14ac:dyDescent="0.45">
      <c r="A343" t="s">
        <v>28</v>
      </c>
      <c r="B343">
        <v>342</v>
      </c>
      <c r="C343">
        <v>41</v>
      </c>
    </row>
    <row r="344" spans="1:3" x14ac:dyDescent="0.45">
      <c r="A344" t="s">
        <v>28</v>
      </c>
      <c r="B344">
        <v>343</v>
      </c>
      <c r="C344">
        <v>96</v>
      </c>
    </row>
    <row r="345" spans="1:3" x14ac:dyDescent="0.45">
      <c r="A345" t="s">
        <v>28</v>
      </c>
      <c r="B345">
        <v>344</v>
      </c>
      <c r="C345">
        <v>3</v>
      </c>
    </row>
    <row r="346" spans="1:3" x14ac:dyDescent="0.45">
      <c r="A346" t="s">
        <v>28</v>
      </c>
      <c r="B346">
        <v>345</v>
      </c>
      <c r="C346">
        <v>76</v>
      </c>
    </row>
    <row r="347" spans="1:3" x14ac:dyDescent="0.45">
      <c r="A347" t="s">
        <v>28</v>
      </c>
      <c r="B347">
        <v>346</v>
      </c>
      <c r="C347">
        <v>27</v>
      </c>
    </row>
    <row r="348" spans="1:3" x14ac:dyDescent="0.45">
      <c r="A348" t="s">
        <v>28</v>
      </c>
      <c r="B348">
        <v>347</v>
      </c>
      <c r="C348">
        <v>34</v>
      </c>
    </row>
    <row r="349" spans="1:3" x14ac:dyDescent="0.45">
      <c r="A349" t="s">
        <v>28</v>
      </c>
      <c r="B349">
        <v>348</v>
      </c>
      <c r="C349">
        <v>63</v>
      </c>
    </row>
    <row r="350" spans="1:3" x14ac:dyDescent="0.45">
      <c r="A350" t="s">
        <v>28</v>
      </c>
      <c r="B350">
        <v>349</v>
      </c>
      <c r="C350">
        <v>67</v>
      </c>
    </row>
    <row r="351" spans="1:3" x14ac:dyDescent="0.45">
      <c r="A351" t="s">
        <v>28</v>
      </c>
      <c r="B351">
        <v>350</v>
      </c>
      <c r="C351">
        <v>76</v>
      </c>
    </row>
    <row r="352" spans="1:3" x14ac:dyDescent="0.45">
      <c r="A352" t="s">
        <v>28</v>
      </c>
      <c r="B352">
        <v>351</v>
      </c>
      <c r="C352">
        <v>55</v>
      </c>
    </row>
    <row r="353" spans="1:3" x14ac:dyDescent="0.45">
      <c r="A353" t="s">
        <v>28</v>
      </c>
      <c r="B353">
        <v>352</v>
      </c>
      <c r="C353">
        <v>33</v>
      </c>
    </row>
    <row r="354" spans="1:3" x14ac:dyDescent="0.45">
      <c r="A354" t="s">
        <v>28</v>
      </c>
      <c r="B354">
        <v>353</v>
      </c>
      <c r="C354">
        <v>41</v>
      </c>
    </row>
    <row r="355" spans="1:3" x14ac:dyDescent="0.45">
      <c r="A355" t="s">
        <v>28</v>
      </c>
      <c r="B355">
        <v>354</v>
      </c>
      <c r="C355">
        <v>4</v>
      </c>
    </row>
    <row r="356" spans="1:3" x14ac:dyDescent="0.45">
      <c r="A356" t="s">
        <v>28</v>
      </c>
      <c r="B356">
        <v>355</v>
      </c>
      <c r="C356">
        <v>95</v>
      </c>
    </row>
    <row r="357" spans="1:3" x14ac:dyDescent="0.45">
      <c r="A357" t="s">
        <v>28</v>
      </c>
      <c r="B357">
        <v>356</v>
      </c>
      <c r="C357">
        <v>32</v>
      </c>
    </row>
    <row r="358" spans="1:3" x14ac:dyDescent="0.45">
      <c r="A358" t="s">
        <v>28</v>
      </c>
      <c r="B358">
        <v>357</v>
      </c>
      <c r="C358">
        <v>75</v>
      </c>
    </row>
    <row r="359" spans="1:3" x14ac:dyDescent="0.45">
      <c r="A359" t="s">
        <v>28</v>
      </c>
      <c r="B359">
        <v>358</v>
      </c>
      <c r="C359">
        <v>2</v>
      </c>
    </row>
    <row r="360" spans="1:3" x14ac:dyDescent="0.45">
      <c r="A360" t="s">
        <v>28</v>
      </c>
      <c r="B360">
        <v>359</v>
      </c>
      <c r="C360">
        <v>11</v>
      </c>
    </row>
    <row r="361" spans="1:3" x14ac:dyDescent="0.45">
      <c r="A361" t="s">
        <v>28</v>
      </c>
      <c r="B361">
        <v>360</v>
      </c>
      <c r="C361">
        <v>99</v>
      </c>
    </row>
    <row r="362" spans="1:3" x14ac:dyDescent="0.45">
      <c r="A362" t="s">
        <v>28</v>
      </c>
      <c r="B362">
        <v>361</v>
      </c>
      <c r="C362">
        <v>26</v>
      </c>
    </row>
    <row r="363" spans="1:3" x14ac:dyDescent="0.45">
      <c r="A363" t="s">
        <v>28</v>
      </c>
      <c r="B363">
        <v>362</v>
      </c>
      <c r="C363">
        <v>42</v>
      </c>
    </row>
    <row r="364" spans="1:3" x14ac:dyDescent="0.45">
      <c r="A364" t="s">
        <v>28</v>
      </c>
      <c r="B364">
        <v>363</v>
      </c>
      <c r="C364">
        <v>18</v>
      </c>
    </row>
    <row r="365" spans="1:3" x14ac:dyDescent="0.45">
      <c r="A365" t="s">
        <v>28</v>
      </c>
      <c r="B365">
        <v>364</v>
      </c>
      <c r="C365">
        <v>52</v>
      </c>
    </row>
    <row r="366" spans="1:3" x14ac:dyDescent="0.45">
      <c r="A366" t="s">
        <v>28</v>
      </c>
      <c r="B366">
        <v>365</v>
      </c>
      <c r="C366">
        <v>57</v>
      </c>
    </row>
    <row r="367" spans="1:3" x14ac:dyDescent="0.45">
      <c r="A367" t="s">
        <v>28</v>
      </c>
      <c r="B367">
        <v>366</v>
      </c>
      <c r="C367">
        <v>48</v>
      </c>
    </row>
    <row r="368" spans="1:3" x14ac:dyDescent="0.45">
      <c r="A368" t="s">
        <v>28</v>
      </c>
      <c r="B368">
        <v>367</v>
      </c>
      <c r="C368">
        <v>51</v>
      </c>
    </row>
    <row r="369" spans="1:3" x14ac:dyDescent="0.45">
      <c r="A369" t="s">
        <v>28</v>
      </c>
      <c r="B369">
        <v>368</v>
      </c>
      <c r="C369">
        <v>35</v>
      </c>
    </row>
    <row r="370" spans="1:3" x14ac:dyDescent="0.45">
      <c r="A370" t="s">
        <v>28</v>
      </c>
      <c r="B370">
        <v>369</v>
      </c>
      <c r="C370">
        <v>59</v>
      </c>
    </row>
    <row r="371" spans="1:3" x14ac:dyDescent="0.45">
      <c r="A371" t="s">
        <v>28</v>
      </c>
      <c r="B371">
        <v>370</v>
      </c>
      <c r="C371">
        <v>2</v>
      </c>
    </row>
    <row r="372" spans="1:3" x14ac:dyDescent="0.45">
      <c r="A372" t="s">
        <v>28</v>
      </c>
      <c r="B372">
        <v>371</v>
      </c>
      <c r="C372">
        <v>33</v>
      </c>
    </row>
    <row r="373" spans="1:3" x14ac:dyDescent="0.45">
      <c r="A373" t="s">
        <v>28</v>
      </c>
      <c r="B373">
        <v>372</v>
      </c>
      <c r="C373">
        <v>22</v>
      </c>
    </row>
    <row r="374" spans="1:3" x14ac:dyDescent="0.45">
      <c r="A374" t="s">
        <v>28</v>
      </c>
      <c r="B374">
        <v>373</v>
      </c>
      <c r="C374">
        <v>69</v>
      </c>
    </row>
    <row r="375" spans="1:3" x14ac:dyDescent="0.45">
      <c r="A375" t="s">
        <v>28</v>
      </c>
      <c r="B375">
        <v>374</v>
      </c>
      <c r="C375">
        <v>16</v>
      </c>
    </row>
    <row r="376" spans="1:3" x14ac:dyDescent="0.45">
      <c r="A376" t="s">
        <v>28</v>
      </c>
      <c r="B376">
        <v>375</v>
      </c>
      <c r="C376">
        <v>66</v>
      </c>
    </row>
    <row r="377" spans="1:3" x14ac:dyDescent="0.45">
      <c r="A377" t="s">
        <v>28</v>
      </c>
      <c r="B377">
        <v>376</v>
      </c>
      <c r="C377">
        <v>45</v>
      </c>
    </row>
    <row r="378" spans="1:3" x14ac:dyDescent="0.45">
      <c r="A378" t="s">
        <v>28</v>
      </c>
      <c r="B378">
        <v>377</v>
      </c>
      <c r="C378">
        <v>54</v>
      </c>
    </row>
    <row r="379" spans="1:3" x14ac:dyDescent="0.45">
      <c r="A379" t="s">
        <v>28</v>
      </c>
      <c r="B379">
        <v>378</v>
      </c>
      <c r="C379">
        <v>29</v>
      </c>
    </row>
    <row r="380" spans="1:3" x14ac:dyDescent="0.45">
      <c r="A380" t="s">
        <v>28</v>
      </c>
      <c r="B380">
        <v>379</v>
      </c>
      <c r="C380">
        <v>74</v>
      </c>
    </row>
    <row r="381" spans="1:3" x14ac:dyDescent="0.45">
      <c r="A381" t="s">
        <v>28</v>
      </c>
      <c r="B381">
        <v>380</v>
      </c>
      <c r="C381">
        <v>17</v>
      </c>
    </row>
    <row r="382" spans="1:3" x14ac:dyDescent="0.45">
      <c r="A382" t="s">
        <v>28</v>
      </c>
      <c r="B382">
        <v>381</v>
      </c>
      <c r="C382">
        <v>25</v>
      </c>
    </row>
    <row r="383" spans="1:3" x14ac:dyDescent="0.45">
      <c r="A383" t="s">
        <v>28</v>
      </c>
      <c r="B383">
        <v>382</v>
      </c>
      <c r="C383">
        <v>23</v>
      </c>
    </row>
    <row r="384" spans="1:3" x14ac:dyDescent="0.45">
      <c r="A384" t="s">
        <v>28</v>
      </c>
      <c r="B384">
        <v>383</v>
      </c>
      <c r="C384">
        <v>85</v>
      </c>
    </row>
    <row r="385" spans="1:3" x14ac:dyDescent="0.45">
      <c r="A385" t="s">
        <v>28</v>
      </c>
      <c r="B385">
        <v>384</v>
      </c>
      <c r="C385">
        <v>96</v>
      </c>
    </row>
    <row r="386" spans="1:3" x14ac:dyDescent="0.45">
      <c r="A386" t="s">
        <v>28</v>
      </c>
      <c r="B386">
        <v>385</v>
      </c>
      <c r="C386">
        <v>24</v>
      </c>
    </row>
    <row r="387" spans="1:3" x14ac:dyDescent="0.45">
      <c r="A387" t="s">
        <v>28</v>
      </c>
      <c r="B387">
        <v>386</v>
      </c>
      <c r="C387">
        <v>75</v>
      </c>
    </row>
    <row r="388" spans="1:3" x14ac:dyDescent="0.45">
      <c r="A388" t="s">
        <v>28</v>
      </c>
      <c r="B388">
        <v>387</v>
      </c>
      <c r="C388">
        <v>41</v>
      </c>
    </row>
    <row r="389" spans="1:3" x14ac:dyDescent="0.45">
      <c r="A389" t="s">
        <v>28</v>
      </c>
      <c r="B389">
        <v>388</v>
      </c>
      <c r="C389">
        <v>96</v>
      </c>
    </row>
    <row r="390" spans="1:3" x14ac:dyDescent="0.45">
      <c r="A390" t="s">
        <v>28</v>
      </c>
      <c r="B390">
        <v>389</v>
      </c>
      <c r="C390">
        <v>72</v>
      </c>
    </row>
    <row r="391" spans="1:3" x14ac:dyDescent="0.45">
      <c r="A391" t="s">
        <v>28</v>
      </c>
      <c r="B391">
        <v>390</v>
      </c>
      <c r="C391">
        <v>95</v>
      </c>
    </row>
    <row r="392" spans="1:3" x14ac:dyDescent="0.45">
      <c r="A392" t="s">
        <v>28</v>
      </c>
      <c r="B392">
        <v>391</v>
      </c>
      <c r="C392">
        <v>60</v>
      </c>
    </row>
    <row r="393" spans="1:3" x14ac:dyDescent="0.45">
      <c r="A393" t="s">
        <v>28</v>
      </c>
      <c r="B393">
        <v>392</v>
      </c>
      <c r="C393">
        <v>34</v>
      </c>
    </row>
    <row r="394" spans="1:3" x14ac:dyDescent="0.45">
      <c r="A394" t="s">
        <v>28</v>
      </c>
      <c r="B394">
        <v>393</v>
      </c>
      <c r="C394">
        <v>67</v>
      </c>
    </row>
    <row r="395" spans="1:3" x14ac:dyDescent="0.45">
      <c r="A395" t="s">
        <v>28</v>
      </c>
      <c r="B395">
        <v>394</v>
      </c>
      <c r="C395">
        <v>72</v>
      </c>
    </row>
    <row r="396" spans="1:3" x14ac:dyDescent="0.45">
      <c r="A396" t="s">
        <v>28</v>
      </c>
      <c r="B396">
        <v>395</v>
      </c>
      <c r="C396">
        <v>71</v>
      </c>
    </row>
    <row r="397" spans="1:3" x14ac:dyDescent="0.45">
      <c r="A397" t="s">
        <v>28</v>
      </c>
      <c r="B397">
        <v>396</v>
      </c>
      <c r="C397">
        <v>31</v>
      </c>
    </row>
    <row r="398" spans="1:3" x14ac:dyDescent="0.45">
      <c r="A398" t="s">
        <v>28</v>
      </c>
      <c r="B398">
        <v>397</v>
      </c>
      <c r="C398">
        <v>67</v>
      </c>
    </row>
    <row r="399" spans="1:3" x14ac:dyDescent="0.45">
      <c r="A399" t="s">
        <v>28</v>
      </c>
      <c r="B399">
        <v>398</v>
      </c>
      <c r="C399">
        <v>67</v>
      </c>
    </row>
    <row r="400" spans="1:3" x14ac:dyDescent="0.45">
      <c r="A400" t="s">
        <v>28</v>
      </c>
      <c r="B400">
        <v>399</v>
      </c>
      <c r="C400">
        <v>5</v>
      </c>
    </row>
    <row r="401" spans="1:3" x14ac:dyDescent="0.45">
      <c r="A401" t="s">
        <v>28</v>
      </c>
      <c r="B401">
        <v>400</v>
      </c>
      <c r="C401">
        <v>2</v>
      </c>
    </row>
    <row r="402" spans="1:3" x14ac:dyDescent="0.45">
      <c r="A402" t="s">
        <v>28</v>
      </c>
      <c r="B402">
        <v>401</v>
      </c>
      <c r="C402">
        <v>1</v>
      </c>
    </row>
    <row r="403" spans="1:3" x14ac:dyDescent="0.45">
      <c r="A403" t="s">
        <v>28</v>
      </c>
      <c r="B403">
        <v>402</v>
      </c>
      <c r="C403">
        <v>51</v>
      </c>
    </row>
    <row r="404" spans="1:3" x14ac:dyDescent="0.45">
      <c r="A404" t="s">
        <v>28</v>
      </c>
      <c r="B404">
        <v>403</v>
      </c>
      <c r="C404">
        <v>79</v>
      </c>
    </row>
    <row r="405" spans="1:3" x14ac:dyDescent="0.45">
      <c r="A405" t="s">
        <v>28</v>
      </c>
      <c r="B405">
        <v>404</v>
      </c>
      <c r="C405">
        <v>1</v>
      </c>
    </row>
    <row r="406" spans="1:3" x14ac:dyDescent="0.45">
      <c r="A406" t="s">
        <v>28</v>
      </c>
      <c r="B406">
        <v>405</v>
      </c>
      <c r="C406">
        <v>63</v>
      </c>
    </row>
    <row r="407" spans="1:3" x14ac:dyDescent="0.45">
      <c r="A407" t="s">
        <v>28</v>
      </c>
      <c r="B407">
        <v>406</v>
      </c>
      <c r="C407">
        <v>69</v>
      </c>
    </row>
    <row r="408" spans="1:3" x14ac:dyDescent="0.45">
      <c r="A408" t="s">
        <v>28</v>
      </c>
      <c r="B408">
        <v>407</v>
      </c>
      <c r="C408">
        <v>17</v>
      </c>
    </row>
    <row r="409" spans="1:3" x14ac:dyDescent="0.45">
      <c r="A409" t="s">
        <v>28</v>
      </c>
      <c r="B409">
        <v>408</v>
      </c>
      <c r="C409">
        <v>62</v>
      </c>
    </row>
    <row r="410" spans="1:3" x14ac:dyDescent="0.45">
      <c r="A410" t="s">
        <v>28</v>
      </c>
      <c r="B410">
        <v>409</v>
      </c>
      <c r="C410">
        <v>69</v>
      </c>
    </row>
    <row r="411" spans="1:3" x14ac:dyDescent="0.45">
      <c r="A411" t="s">
        <v>28</v>
      </c>
      <c r="B411">
        <v>410</v>
      </c>
      <c r="C411">
        <v>14</v>
      </c>
    </row>
    <row r="412" spans="1:3" x14ac:dyDescent="0.45">
      <c r="A412" t="s">
        <v>28</v>
      </c>
      <c r="B412">
        <v>411</v>
      </c>
      <c r="C412">
        <v>77</v>
      </c>
    </row>
    <row r="413" spans="1:3" x14ac:dyDescent="0.45">
      <c r="A413" t="s">
        <v>28</v>
      </c>
      <c r="B413">
        <v>412</v>
      </c>
      <c r="C413">
        <v>15</v>
      </c>
    </row>
    <row r="414" spans="1:3" x14ac:dyDescent="0.45">
      <c r="A414" t="s">
        <v>28</v>
      </c>
      <c r="B414">
        <v>413</v>
      </c>
      <c r="C414">
        <v>56</v>
      </c>
    </row>
    <row r="415" spans="1:3" x14ac:dyDescent="0.45">
      <c r="A415" t="s">
        <v>28</v>
      </c>
      <c r="B415">
        <v>414</v>
      </c>
      <c r="C415">
        <v>64</v>
      </c>
    </row>
    <row r="416" spans="1:3" x14ac:dyDescent="0.45">
      <c r="A416" t="s">
        <v>28</v>
      </c>
      <c r="B416">
        <v>415</v>
      </c>
      <c r="C416">
        <v>49</v>
      </c>
    </row>
    <row r="417" spans="1:3" x14ac:dyDescent="0.45">
      <c r="A417" t="s">
        <v>28</v>
      </c>
      <c r="B417">
        <v>416</v>
      </c>
      <c r="C417">
        <v>61</v>
      </c>
    </row>
    <row r="418" spans="1:3" x14ac:dyDescent="0.45">
      <c r="A418" t="s">
        <v>28</v>
      </c>
      <c r="B418">
        <v>417</v>
      </c>
      <c r="C418">
        <v>25</v>
      </c>
    </row>
    <row r="419" spans="1:3" x14ac:dyDescent="0.45">
      <c r="A419" t="s">
        <v>28</v>
      </c>
      <c r="B419">
        <v>418</v>
      </c>
      <c r="C419">
        <v>22</v>
      </c>
    </row>
    <row r="420" spans="1:3" x14ac:dyDescent="0.45">
      <c r="A420" t="s">
        <v>28</v>
      </c>
      <c r="B420">
        <v>419</v>
      </c>
      <c r="C420">
        <v>39</v>
      </c>
    </row>
    <row r="421" spans="1:3" x14ac:dyDescent="0.45">
      <c r="A421" t="s">
        <v>28</v>
      </c>
      <c r="B421">
        <v>420</v>
      </c>
      <c r="C421">
        <v>28</v>
      </c>
    </row>
    <row r="422" spans="1:3" x14ac:dyDescent="0.45">
      <c r="A422" t="s">
        <v>28</v>
      </c>
      <c r="B422">
        <v>421</v>
      </c>
      <c r="C422">
        <v>26</v>
      </c>
    </row>
    <row r="423" spans="1:3" x14ac:dyDescent="0.45">
      <c r="A423" t="s">
        <v>28</v>
      </c>
      <c r="B423">
        <v>422</v>
      </c>
      <c r="C423">
        <v>72</v>
      </c>
    </row>
    <row r="424" spans="1:3" x14ac:dyDescent="0.45">
      <c r="A424" t="s">
        <v>28</v>
      </c>
      <c r="B424">
        <v>423</v>
      </c>
      <c r="C424">
        <v>28</v>
      </c>
    </row>
    <row r="425" spans="1:3" x14ac:dyDescent="0.45">
      <c r="A425" t="s">
        <v>28</v>
      </c>
      <c r="B425">
        <v>424</v>
      </c>
      <c r="C425">
        <v>67</v>
      </c>
    </row>
    <row r="426" spans="1:3" x14ac:dyDescent="0.45">
      <c r="A426" t="s">
        <v>28</v>
      </c>
      <c r="B426">
        <v>425</v>
      </c>
      <c r="C426">
        <v>1</v>
      </c>
    </row>
    <row r="427" spans="1:3" x14ac:dyDescent="0.45">
      <c r="A427" t="s">
        <v>28</v>
      </c>
      <c r="B427">
        <v>426</v>
      </c>
      <c r="C427">
        <v>99</v>
      </c>
    </row>
    <row r="428" spans="1:3" x14ac:dyDescent="0.45">
      <c r="A428" t="s">
        <v>28</v>
      </c>
      <c r="B428">
        <v>427</v>
      </c>
      <c r="C428">
        <v>99</v>
      </c>
    </row>
    <row r="429" spans="1:3" x14ac:dyDescent="0.45">
      <c r="A429" t="s">
        <v>28</v>
      </c>
      <c r="B429">
        <v>428</v>
      </c>
      <c r="C429">
        <v>71</v>
      </c>
    </row>
    <row r="430" spans="1:3" x14ac:dyDescent="0.45">
      <c r="A430" t="s">
        <v>28</v>
      </c>
      <c r="B430">
        <v>429</v>
      </c>
      <c r="C430">
        <v>32</v>
      </c>
    </row>
    <row r="431" spans="1:3" x14ac:dyDescent="0.45">
      <c r="A431" t="s">
        <v>28</v>
      </c>
      <c r="B431">
        <v>430</v>
      </c>
      <c r="C431">
        <v>18</v>
      </c>
    </row>
    <row r="432" spans="1:3" x14ac:dyDescent="0.45">
      <c r="A432" t="s">
        <v>28</v>
      </c>
      <c r="B432">
        <v>431</v>
      </c>
      <c r="C432">
        <v>21</v>
      </c>
    </row>
    <row r="433" spans="1:3" x14ac:dyDescent="0.45">
      <c r="A433" t="s">
        <v>28</v>
      </c>
      <c r="B433">
        <v>432</v>
      </c>
      <c r="C433">
        <v>10</v>
      </c>
    </row>
    <row r="434" spans="1:3" x14ac:dyDescent="0.45">
      <c r="A434" t="s">
        <v>28</v>
      </c>
      <c r="B434">
        <v>433</v>
      </c>
      <c r="C434">
        <v>67</v>
      </c>
    </row>
    <row r="435" spans="1:3" x14ac:dyDescent="0.45">
      <c r="A435" t="s">
        <v>28</v>
      </c>
      <c r="B435">
        <v>434</v>
      </c>
      <c r="C435">
        <v>3</v>
      </c>
    </row>
    <row r="436" spans="1:3" x14ac:dyDescent="0.45">
      <c r="A436" t="s">
        <v>28</v>
      </c>
      <c r="B436">
        <v>435</v>
      </c>
      <c r="C436">
        <v>43</v>
      </c>
    </row>
    <row r="437" spans="1:3" x14ac:dyDescent="0.45">
      <c r="A437" t="s">
        <v>28</v>
      </c>
      <c r="B437">
        <v>436</v>
      </c>
      <c r="C437">
        <v>57</v>
      </c>
    </row>
    <row r="438" spans="1:3" x14ac:dyDescent="0.45">
      <c r="A438" t="s">
        <v>28</v>
      </c>
      <c r="B438">
        <v>437</v>
      </c>
      <c r="C438">
        <v>98</v>
      </c>
    </row>
    <row r="439" spans="1:3" x14ac:dyDescent="0.45">
      <c r="A439" t="s">
        <v>28</v>
      </c>
      <c r="B439">
        <v>438</v>
      </c>
      <c r="C439">
        <v>10</v>
      </c>
    </row>
    <row r="440" spans="1:3" x14ac:dyDescent="0.45">
      <c r="A440" t="s">
        <v>28</v>
      </c>
      <c r="B440">
        <v>439</v>
      </c>
      <c r="C440">
        <v>25</v>
      </c>
    </row>
    <row r="441" spans="1:3" x14ac:dyDescent="0.45">
      <c r="A441" t="s">
        <v>28</v>
      </c>
      <c r="B441">
        <v>440</v>
      </c>
      <c r="C441">
        <v>70</v>
      </c>
    </row>
    <row r="442" spans="1:3" x14ac:dyDescent="0.45">
      <c r="A442" t="s">
        <v>28</v>
      </c>
      <c r="B442">
        <v>441</v>
      </c>
      <c r="C442">
        <v>73</v>
      </c>
    </row>
    <row r="443" spans="1:3" x14ac:dyDescent="0.45">
      <c r="A443" t="s">
        <v>28</v>
      </c>
      <c r="B443">
        <v>442</v>
      </c>
      <c r="C443">
        <v>72</v>
      </c>
    </row>
    <row r="444" spans="1:3" x14ac:dyDescent="0.45">
      <c r="A444" t="s">
        <v>28</v>
      </c>
      <c r="B444">
        <v>443</v>
      </c>
      <c r="C444">
        <v>78</v>
      </c>
    </row>
    <row r="445" spans="1:3" x14ac:dyDescent="0.45">
      <c r="A445" t="s">
        <v>28</v>
      </c>
      <c r="B445">
        <v>444</v>
      </c>
      <c r="C445">
        <v>31</v>
      </c>
    </row>
    <row r="446" spans="1:3" x14ac:dyDescent="0.45">
      <c r="A446" t="s">
        <v>28</v>
      </c>
      <c r="B446">
        <v>445</v>
      </c>
      <c r="C446">
        <v>76</v>
      </c>
    </row>
    <row r="447" spans="1:3" x14ac:dyDescent="0.45">
      <c r="A447" t="s">
        <v>28</v>
      </c>
      <c r="B447">
        <v>446</v>
      </c>
      <c r="C447">
        <v>85</v>
      </c>
    </row>
    <row r="448" spans="1:3" x14ac:dyDescent="0.45">
      <c r="A448" t="s">
        <v>28</v>
      </c>
      <c r="B448">
        <v>447</v>
      </c>
      <c r="C448">
        <v>35</v>
      </c>
    </row>
    <row r="449" spans="1:3" x14ac:dyDescent="0.45">
      <c r="A449" t="s">
        <v>28</v>
      </c>
      <c r="B449">
        <v>448</v>
      </c>
      <c r="C449">
        <v>25</v>
      </c>
    </row>
    <row r="450" spans="1:3" x14ac:dyDescent="0.45">
      <c r="A450" t="s">
        <v>28</v>
      </c>
      <c r="B450">
        <v>449</v>
      </c>
      <c r="C450">
        <v>60</v>
      </c>
    </row>
    <row r="451" spans="1:3" x14ac:dyDescent="0.45">
      <c r="A451" t="s">
        <v>28</v>
      </c>
      <c r="B451">
        <v>450</v>
      </c>
      <c r="C451">
        <v>95</v>
      </c>
    </row>
    <row r="452" spans="1:3" x14ac:dyDescent="0.45">
      <c r="A452" t="s">
        <v>28</v>
      </c>
      <c r="B452">
        <v>451</v>
      </c>
      <c r="C452">
        <v>66</v>
      </c>
    </row>
    <row r="453" spans="1:3" x14ac:dyDescent="0.45">
      <c r="A453" t="s">
        <v>28</v>
      </c>
      <c r="B453">
        <v>452</v>
      </c>
      <c r="C453">
        <v>1</v>
      </c>
    </row>
    <row r="454" spans="1:3" x14ac:dyDescent="0.45">
      <c r="A454" t="s">
        <v>28</v>
      </c>
      <c r="B454">
        <v>453</v>
      </c>
      <c r="C454">
        <v>87</v>
      </c>
    </row>
    <row r="455" spans="1:3" x14ac:dyDescent="0.45">
      <c r="A455" t="s">
        <v>28</v>
      </c>
      <c r="B455">
        <v>454</v>
      </c>
      <c r="C455">
        <v>78</v>
      </c>
    </row>
    <row r="456" spans="1:3" x14ac:dyDescent="0.45">
      <c r="A456" t="s">
        <v>28</v>
      </c>
      <c r="B456">
        <v>455</v>
      </c>
      <c r="C456">
        <v>56</v>
      </c>
    </row>
    <row r="457" spans="1:3" x14ac:dyDescent="0.45">
      <c r="A457" t="s">
        <v>28</v>
      </c>
      <c r="B457">
        <v>456</v>
      </c>
      <c r="C457">
        <v>71</v>
      </c>
    </row>
    <row r="458" spans="1:3" x14ac:dyDescent="0.45">
      <c r="A458" t="s">
        <v>28</v>
      </c>
      <c r="B458">
        <v>457</v>
      </c>
      <c r="C458">
        <v>78</v>
      </c>
    </row>
    <row r="459" spans="1:3" x14ac:dyDescent="0.45">
      <c r="A459" t="s">
        <v>28</v>
      </c>
      <c r="B459">
        <v>458</v>
      </c>
      <c r="C459">
        <v>85</v>
      </c>
    </row>
    <row r="460" spans="1:3" x14ac:dyDescent="0.45">
      <c r="A460" t="s">
        <v>28</v>
      </c>
      <c r="B460">
        <v>459</v>
      </c>
      <c r="C460">
        <v>25</v>
      </c>
    </row>
    <row r="461" spans="1:3" x14ac:dyDescent="0.45">
      <c r="A461" t="s">
        <v>28</v>
      </c>
      <c r="B461">
        <v>460</v>
      </c>
      <c r="C461">
        <v>99</v>
      </c>
    </row>
    <row r="462" spans="1:3" x14ac:dyDescent="0.45">
      <c r="A462" t="s">
        <v>28</v>
      </c>
      <c r="B462">
        <v>461</v>
      </c>
      <c r="C462">
        <v>99</v>
      </c>
    </row>
    <row r="463" spans="1:3" x14ac:dyDescent="0.45">
      <c r="A463" t="s">
        <v>28</v>
      </c>
      <c r="B463">
        <v>462</v>
      </c>
      <c r="C463">
        <v>57</v>
      </c>
    </row>
    <row r="464" spans="1:3" x14ac:dyDescent="0.45">
      <c r="A464" t="s">
        <v>28</v>
      </c>
      <c r="B464">
        <v>463</v>
      </c>
      <c r="C464">
        <v>94</v>
      </c>
    </row>
    <row r="465" spans="1:3" x14ac:dyDescent="0.45">
      <c r="A465" t="s">
        <v>28</v>
      </c>
      <c r="B465">
        <v>464</v>
      </c>
      <c r="C465">
        <v>48</v>
      </c>
    </row>
    <row r="466" spans="1:3" x14ac:dyDescent="0.45">
      <c r="A466" t="s">
        <v>28</v>
      </c>
      <c r="B466">
        <v>465</v>
      </c>
      <c r="C466">
        <v>42</v>
      </c>
    </row>
    <row r="467" spans="1:3" x14ac:dyDescent="0.45">
      <c r="A467" t="s">
        <v>28</v>
      </c>
      <c r="B467">
        <v>466</v>
      </c>
      <c r="C467">
        <v>32</v>
      </c>
    </row>
    <row r="468" spans="1:3" x14ac:dyDescent="0.45">
      <c r="A468" t="s">
        <v>28</v>
      </c>
      <c r="B468">
        <v>467</v>
      </c>
      <c r="C468">
        <v>19</v>
      </c>
    </row>
    <row r="469" spans="1:3" x14ac:dyDescent="0.45">
      <c r="A469" t="s">
        <v>28</v>
      </c>
      <c r="B469">
        <v>468</v>
      </c>
      <c r="C469">
        <v>78</v>
      </c>
    </row>
    <row r="470" spans="1:3" x14ac:dyDescent="0.45">
      <c r="A470" t="s">
        <v>28</v>
      </c>
      <c r="B470">
        <v>469</v>
      </c>
      <c r="C470">
        <v>43</v>
      </c>
    </row>
    <row r="471" spans="1:3" x14ac:dyDescent="0.45">
      <c r="A471" t="s">
        <v>28</v>
      </c>
      <c r="B471">
        <v>470</v>
      </c>
      <c r="C471">
        <v>61</v>
      </c>
    </row>
    <row r="472" spans="1:3" x14ac:dyDescent="0.45">
      <c r="A472" t="s">
        <v>28</v>
      </c>
      <c r="B472">
        <v>471</v>
      </c>
      <c r="C472">
        <v>5</v>
      </c>
    </row>
    <row r="473" spans="1:3" x14ac:dyDescent="0.45">
      <c r="A473" t="s">
        <v>28</v>
      </c>
      <c r="B473">
        <v>472</v>
      </c>
      <c r="C473">
        <v>28</v>
      </c>
    </row>
    <row r="474" spans="1:3" x14ac:dyDescent="0.45">
      <c r="A474" t="s">
        <v>28</v>
      </c>
      <c r="B474">
        <v>473</v>
      </c>
      <c r="C474">
        <v>67</v>
      </c>
    </row>
    <row r="475" spans="1:3" x14ac:dyDescent="0.45">
      <c r="A475" t="s">
        <v>28</v>
      </c>
      <c r="B475">
        <v>474</v>
      </c>
      <c r="C475">
        <v>10</v>
      </c>
    </row>
    <row r="476" spans="1:3" x14ac:dyDescent="0.45">
      <c r="A476" t="s">
        <v>28</v>
      </c>
      <c r="B476">
        <v>475</v>
      </c>
      <c r="C476">
        <v>78</v>
      </c>
    </row>
    <row r="477" spans="1:3" x14ac:dyDescent="0.45">
      <c r="A477" t="s">
        <v>28</v>
      </c>
      <c r="B477">
        <v>476</v>
      </c>
      <c r="C477">
        <v>13</v>
      </c>
    </row>
    <row r="478" spans="1:3" x14ac:dyDescent="0.45">
      <c r="A478" t="s">
        <v>28</v>
      </c>
      <c r="B478">
        <v>477</v>
      </c>
      <c r="C478">
        <v>25</v>
      </c>
    </row>
    <row r="479" spans="1:3" x14ac:dyDescent="0.45">
      <c r="A479" t="s">
        <v>28</v>
      </c>
      <c r="B479">
        <v>478</v>
      </c>
      <c r="C479">
        <v>33</v>
      </c>
    </row>
    <row r="480" spans="1:3" x14ac:dyDescent="0.45">
      <c r="A480" t="s">
        <v>28</v>
      </c>
      <c r="B480">
        <v>479</v>
      </c>
      <c r="C480">
        <v>89</v>
      </c>
    </row>
    <row r="481" spans="1:3" x14ac:dyDescent="0.45">
      <c r="A481" t="s">
        <v>28</v>
      </c>
      <c r="B481">
        <v>480</v>
      </c>
      <c r="C481">
        <v>11</v>
      </c>
    </row>
    <row r="482" spans="1:3" x14ac:dyDescent="0.45">
      <c r="A482" t="s">
        <v>28</v>
      </c>
      <c r="B482">
        <v>481</v>
      </c>
      <c r="C482">
        <v>41</v>
      </c>
    </row>
    <row r="483" spans="1:3" x14ac:dyDescent="0.45">
      <c r="A483" t="s">
        <v>28</v>
      </c>
      <c r="B483">
        <v>482</v>
      </c>
      <c r="C483">
        <v>93</v>
      </c>
    </row>
    <row r="484" spans="1:3" x14ac:dyDescent="0.45">
      <c r="A484" t="s">
        <v>28</v>
      </c>
      <c r="B484">
        <v>483</v>
      </c>
      <c r="C484">
        <v>33</v>
      </c>
    </row>
    <row r="485" spans="1:3" x14ac:dyDescent="0.45">
      <c r="A485" t="s">
        <v>28</v>
      </c>
      <c r="B485">
        <v>484</v>
      </c>
      <c r="C485">
        <v>21</v>
      </c>
    </row>
    <row r="486" spans="1:3" x14ac:dyDescent="0.45">
      <c r="A486" t="s">
        <v>28</v>
      </c>
      <c r="B486">
        <v>485</v>
      </c>
      <c r="C486">
        <v>59</v>
      </c>
    </row>
    <row r="487" spans="1:3" x14ac:dyDescent="0.45">
      <c r="A487" t="s">
        <v>28</v>
      </c>
      <c r="B487">
        <v>486</v>
      </c>
      <c r="C487">
        <v>44</v>
      </c>
    </row>
    <row r="488" spans="1:3" x14ac:dyDescent="0.45">
      <c r="A488" t="s">
        <v>28</v>
      </c>
      <c r="B488">
        <v>487</v>
      </c>
      <c r="C488">
        <v>42</v>
      </c>
    </row>
    <row r="489" spans="1:3" x14ac:dyDescent="0.45">
      <c r="A489" t="s">
        <v>28</v>
      </c>
      <c r="B489">
        <v>488</v>
      </c>
      <c r="C489">
        <v>42</v>
      </c>
    </row>
    <row r="490" spans="1:3" x14ac:dyDescent="0.45">
      <c r="A490" t="s">
        <v>28</v>
      </c>
      <c r="B490">
        <v>489</v>
      </c>
      <c r="C490">
        <v>70</v>
      </c>
    </row>
    <row r="491" spans="1:3" x14ac:dyDescent="0.45">
      <c r="A491" t="s">
        <v>28</v>
      </c>
      <c r="B491">
        <v>490</v>
      </c>
      <c r="C491">
        <v>60</v>
      </c>
    </row>
    <row r="492" spans="1:3" x14ac:dyDescent="0.45">
      <c r="A492" t="s">
        <v>28</v>
      </c>
      <c r="B492">
        <v>491</v>
      </c>
      <c r="C492">
        <v>52</v>
      </c>
    </row>
    <row r="493" spans="1:3" x14ac:dyDescent="0.45">
      <c r="A493" t="s">
        <v>28</v>
      </c>
      <c r="B493">
        <v>492</v>
      </c>
      <c r="C493">
        <v>21</v>
      </c>
    </row>
    <row r="494" spans="1:3" x14ac:dyDescent="0.45">
      <c r="A494" t="s">
        <v>28</v>
      </c>
      <c r="B494">
        <v>493</v>
      </c>
      <c r="C494">
        <v>76</v>
      </c>
    </row>
    <row r="495" spans="1:3" x14ac:dyDescent="0.45">
      <c r="A495" t="s">
        <v>28</v>
      </c>
      <c r="B495">
        <v>494</v>
      </c>
      <c r="C495">
        <v>74</v>
      </c>
    </row>
    <row r="496" spans="1:3" x14ac:dyDescent="0.45">
      <c r="A496" t="s">
        <v>28</v>
      </c>
      <c r="B496">
        <v>495</v>
      </c>
      <c r="C496">
        <v>42</v>
      </c>
    </row>
    <row r="497" spans="1:3" x14ac:dyDescent="0.45">
      <c r="A497" t="s">
        <v>28</v>
      </c>
      <c r="B497">
        <v>496</v>
      </c>
      <c r="C497">
        <v>5</v>
      </c>
    </row>
    <row r="498" spans="1:3" x14ac:dyDescent="0.45">
      <c r="A498" t="s">
        <v>28</v>
      </c>
      <c r="B498">
        <v>497</v>
      </c>
      <c r="C498">
        <v>83</v>
      </c>
    </row>
    <row r="499" spans="1:3" x14ac:dyDescent="0.45">
      <c r="A499" t="s">
        <v>28</v>
      </c>
      <c r="B499">
        <v>498</v>
      </c>
      <c r="C499">
        <v>52</v>
      </c>
    </row>
    <row r="500" spans="1:3" x14ac:dyDescent="0.45">
      <c r="A500" t="s">
        <v>28</v>
      </c>
      <c r="B500">
        <v>499</v>
      </c>
      <c r="C500">
        <v>53</v>
      </c>
    </row>
    <row r="501" spans="1:3" x14ac:dyDescent="0.45">
      <c r="A501" t="s">
        <v>28</v>
      </c>
      <c r="B501">
        <v>500</v>
      </c>
      <c r="C501">
        <v>38</v>
      </c>
    </row>
    <row r="502" spans="1:3" x14ac:dyDescent="0.45">
      <c r="A502" t="s">
        <v>36</v>
      </c>
      <c r="B502">
        <v>1</v>
      </c>
      <c r="C502">
        <v>1</v>
      </c>
    </row>
    <row r="503" spans="1:3" x14ac:dyDescent="0.45">
      <c r="A503" t="s">
        <v>36</v>
      </c>
      <c r="B503">
        <v>2</v>
      </c>
      <c r="C503">
        <v>1</v>
      </c>
    </row>
    <row r="504" spans="1:3" x14ac:dyDescent="0.45">
      <c r="A504" t="s">
        <v>36</v>
      </c>
      <c r="B504">
        <v>3</v>
      </c>
      <c r="C504">
        <v>1</v>
      </c>
    </row>
    <row r="505" spans="1:3" x14ac:dyDescent="0.45">
      <c r="A505" t="s">
        <v>36</v>
      </c>
      <c r="B505">
        <v>4</v>
      </c>
      <c r="C505">
        <v>1</v>
      </c>
    </row>
    <row r="506" spans="1:3" x14ac:dyDescent="0.45">
      <c r="A506" t="s">
        <v>36</v>
      </c>
      <c r="B506">
        <v>5</v>
      </c>
      <c r="C506">
        <v>1</v>
      </c>
    </row>
    <row r="507" spans="1:3" x14ac:dyDescent="0.45">
      <c r="A507" t="s">
        <v>36</v>
      </c>
      <c r="B507">
        <v>6</v>
      </c>
      <c r="C507">
        <v>1</v>
      </c>
    </row>
    <row r="508" spans="1:3" x14ac:dyDescent="0.45">
      <c r="A508" t="s">
        <v>36</v>
      </c>
      <c r="B508">
        <v>7</v>
      </c>
      <c r="C508">
        <v>1</v>
      </c>
    </row>
    <row r="509" spans="1:3" x14ac:dyDescent="0.45">
      <c r="A509" t="s">
        <v>36</v>
      </c>
      <c r="B509">
        <v>8</v>
      </c>
      <c r="C509">
        <v>1</v>
      </c>
    </row>
    <row r="510" spans="1:3" x14ac:dyDescent="0.45">
      <c r="A510" t="s">
        <v>36</v>
      </c>
      <c r="B510">
        <v>9</v>
      </c>
      <c r="C510">
        <v>1</v>
      </c>
    </row>
    <row r="511" spans="1:3" x14ac:dyDescent="0.45">
      <c r="A511" t="s">
        <v>36</v>
      </c>
      <c r="B511">
        <v>10</v>
      </c>
      <c r="C511">
        <v>1</v>
      </c>
    </row>
    <row r="512" spans="1:3" x14ac:dyDescent="0.45">
      <c r="A512" t="s">
        <v>36</v>
      </c>
      <c r="B512">
        <v>11</v>
      </c>
      <c r="C512">
        <v>1</v>
      </c>
    </row>
    <row r="513" spans="1:3" x14ac:dyDescent="0.45">
      <c r="A513" t="s">
        <v>36</v>
      </c>
      <c r="B513">
        <v>12</v>
      </c>
      <c r="C513">
        <v>1</v>
      </c>
    </row>
    <row r="514" spans="1:3" x14ac:dyDescent="0.45">
      <c r="A514" t="s">
        <v>36</v>
      </c>
      <c r="B514">
        <v>13</v>
      </c>
      <c r="C514">
        <v>1</v>
      </c>
    </row>
    <row r="515" spans="1:3" x14ac:dyDescent="0.45">
      <c r="A515" t="s">
        <v>36</v>
      </c>
      <c r="B515">
        <v>14</v>
      </c>
      <c r="C515">
        <v>1</v>
      </c>
    </row>
    <row r="516" spans="1:3" x14ac:dyDescent="0.45">
      <c r="A516" t="s">
        <v>36</v>
      </c>
      <c r="B516">
        <v>15</v>
      </c>
      <c r="C516">
        <v>1</v>
      </c>
    </row>
    <row r="517" spans="1:3" x14ac:dyDescent="0.45">
      <c r="A517" t="s">
        <v>36</v>
      </c>
      <c r="B517">
        <v>16</v>
      </c>
      <c r="C517">
        <v>1</v>
      </c>
    </row>
    <row r="518" spans="1:3" x14ac:dyDescent="0.45">
      <c r="A518" t="s">
        <v>36</v>
      </c>
      <c r="B518">
        <v>17</v>
      </c>
      <c r="C518">
        <v>1</v>
      </c>
    </row>
    <row r="519" spans="1:3" x14ac:dyDescent="0.45">
      <c r="A519" t="s">
        <v>36</v>
      </c>
      <c r="B519">
        <v>18</v>
      </c>
      <c r="C519">
        <v>1</v>
      </c>
    </row>
    <row r="520" spans="1:3" x14ac:dyDescent="0.45">
      <c r="A520" t="s">
        <v>36</v>
      </c>
      <c r="B520">
        <v>19</v>
      </c>
      <c r="C520">
        <v>1</v>
      </c>
    </row>
    <row r="521" spans="1:3" x14ac:dyDescent="0.45">
      <c r="A521" t="s">
        <v>36</v>
      </c>
      <c r="B521">
        <v>20</v>
      </c>
      <c r="C521">
        <v>1</v>
      </c>
    </row>
    <row r="522" spans="1:3" x14ac:dyDescent="0.45">
      <c r="A522" t="s">
        <v>36</v>
      </c>
      <c r="B522">
        <v>21</v>
      </c>
      <c r="C522">
        <v>1</v>
      </c>
    </row>
    <row r="523" spans="1:3" x14ac:dyDescent="0.45">
      <c r="A523" t="s">
        <v>36</v>
      </c>
      <c r="B523">
        <v>22</v>
      </c>
      <c r="C523">
        <v>1</v>
      </c>
    </row>
    <row r="524" spans="1:3" x14ac:dyDescent="0.45">
      <c r="A524" t="s">
        <v>36</v>
      </c>
      <c r="B524">
        <v>23</v>
      </c>
      <c r="C524">
        <v>1</v>
      </c>
    </row>
    <row r="525" spans="1:3" x14ac:dyDescent="0.45">
      <c r="A525" t="s">
        <v>36</v>
      </c>
      <c r="B525">
        <v>24</v>
      </c>
      <c r="C525">
        <v>1</v>
      </c>
    </row>
    <row r="526" spans="1:3" x14ac:dyDescent="0.45">
      <c r="A526" t="s">
        <v>36</v>
      </c>
      <c r="B526">
        <v>25</v>
      </c>
      <c r="C526">
        <v>1</v>
      </c>
    </row>
    <row r="527" spans="1:3" x14ac:dyDescent="0.45">
      <c r="A527" t="s">
        <v>36</v>
      </c>
      <c r="B527">
        <v>26</v>
      </c>
      <c r="C527">
        <v>1</v>
      </c>
    </row>
    <row r="528" spans="1:3" x14ac:dyDescent="0.45">
      <c r="A528" t="s">
        <v>36</v>
      </c>
      <c r="B528">
        <v>27</v>
      </c>
      <c r="C528">
        <v>1</v>
      </c>
    </row>
    <row r="529" spans="1:3" x14ac:dyDescent="0.45">
      <c r="A529" t="s">
        <v>36</v>
      </c>
      <c r="B529">
        <v>28</v>
      </c>
      <c r="C529">
        <v>1</v>
      </c>
    </row>
    <row r="530" spans="1:3" x14ac:dyDescent="0.45">
      <c r="A530" t="s">
        <v>36</v>
      </c>
      <c r="B530">
        <v>29</v>
      </c>
      <c r="C530">
        <v>1</v>
      </c>
    </row>
    <row r="531" spans="1:3" x14ac:dyDescent="0.45">
      <c r="A531" t="s">
        <v>36</v>
      </c>
      <c r="B531">
        <v>30</v>
      </c>
      <c r="C531">
        <v>1</v>
      </c>
    </row>
    <row r="532" spans="1:3" x14ac:dyDescent="0.45">
      <c r="A532" t="s">
        <v>36</v>
      </c>
      <c r="B532">
        <v>31</v>
      </c>
      <c r="C532">
        <v>1</v>
      </c>
    </row>
    <row r="533" spans="1:3" x14ac:dyDescent="0.45">
      <c r="A533" t="s">
        <v>36</v>
      </c>
      <c r="B533">
        <v>32</v>
      </c>
      <c r="C533">
        <v>1</v>
      </c>
    </row>
    <row r="534" spans="1:3" x14ac:dyDescent="0.45">
      <c r="A534" t="s">
        <v>36</v>
      </c>
      <c r="B534">
        <v>33</v>
      </c>
      <c r="C534">
        <v>1</v>
      </c>
    </row>
    <row r="535" spans="1:3" x14ac:dyDescent="0.45">
      <c r="A535" t="s">
        <v>36</v>
      </c>
      <c r="B535">
        <v>34</v>
      </c>
      <c r="C535">
        <v>1</v>
      </c>
    </row>
    <row r="536" spans="1:3" x14ac:dyDescent="0.45">
      <c r="A536" t="s">
        <v>36</v>
      </c>
      <c r="B536">
        <v>35</v>
      </c>
      <c r="C536">
        <v>1</v>
      </c>
    </row>
    <row r="537" spans="1:3" x14ac:dyDescent="0.45">
      <c r="A537" t="s">
        <v>36</v>
      </c>
      <c r="B537">
        <v>36</v>
      </c>
      <c r="C537">
        <v>1</v>
      </c>
    </row>
    <row r="538" spans="1:3" x14ac:dyDescent="0.45">
      <c r="A538" t="s">
        <v>36</v>
      </c>
      <c r="B538">
        <v>37</v>
      </c>
      <c r="C538">
        <v>1</v>
      </c>
    </row>
    <row r="539" spans="1:3" x14ac:dyDescent="0.45">
      <c r="A539" t="s">
        <v>36</v>
      </c>
      <c r="B539">
        <v>38</v>
      </c>
      <c r="C539">
        <v>1</v>
      </c>
    </row>
    <row r="540" spans="1:3" x14ac:dyDescent="0.45">
      <c r="A540" t="s">
        <v>36</v>
      </c>
      <c r="B540">
        <v>39</v>
      </c>
      <c r="C540">
        <v>1</v>
      </c>
    </row>
    <row r="541" spans="1:3" x14ac:dyDescent="0.45">
      <c r="A541" t="s">
        <v>36</v>
      </c>
      <c r="B541">
        <v>40</v>
      </c>
      <c r="C541">
        <v>1</v>
      </c>
    </row>
    <row r="542" spans="1:3" x14ac:dyDescent="0.45">
      <c r="A542" t="s">
        <v>36</v>
      </c>
      <c r="B542">
        <v>41</v>
      </c>
      <c r="C542">
        <v>1</v>
      </c>
    </row>
    <row r="543" spans="1:3" x14ac:dyDescent="0.45">
      <c r="A543" t="s">
        <v>36</v>
      </c>
      <c r="B543">
        <v>42</v>
      </c>
      <c r="C543">
        <v>1</v>
      </c>
    </row>
    <row r="544" spans="1:3" x14ac:dyDescent="0.45">
      <c r="A544" t="s">
        <v>36</v>
      </c>
      <c r="B544">
        <v>43</v>
      </c>
      <c r="C544">
        <v>1</v>
      </c>
    </row>
    <row r="545" spans="1:3" x14ac:dyDescent="0.45">
      <c r="A545" t="s">
        <v>36</v>
      </c>
      <c r="B545">
        <v>44</v>
      </c>
      <c r="C545">
        <v>1</v>
      </c>
    </row>
    <row r="546" spans="1:3" x14ac:dyDescent="0.45">
      <c r="A546" t="s">
        <v>36</v>
      </c>
      <c r="B546">
        <v>45</v>
      </c>
      <c r="C546">
        <v>1</v>
      </c>
    </row>
    <row r="547" spans="1:3" x14ac:dyDescent="0.45">
      <c r="A547" t="s">
        <v>36</v>
      </c>
      <c r="B547">
        <v>46</v>
      </c>
      <c r="C547">
        <v>1</v>
      </c>
    </row>
    <row r="548" spans="1:3" x14ac:dyDescent="0.45">
      <c r="A548" t="s">
        <v>36</v>
      </c>
      <c r="B548">
        <v>47</v>
      </c>
      <c r="C548">
        <v>1</v>
      </c>
    </row>
    <row r="549" spans="1:3" x14ac:dyDescent="0.45">
      <c r="A549" t="s">
        <v>36</v>
      </c>
      <c r="B549">
        <v>48</v>
      </c>
      <c r="C549">
        <v>1</v>
      </c>
    </row>
    <row r="550" spans="1:3" x14ac:dyDescent="0.45">
      <c r="A550" t="s">
        <v>36</v>
      </c>
      <c r="B550">
        <v>49</v>
      </c>
      <c r="C550">
        <v>1</v>
      </c>
    </row>
    <row r="551" spans="1:3" x14ac:dyDescent="0.45">
      <c r="A551" t="s">
        <v>36</v>
      </c>
      <c r="B551">
        <v>50</v>
      </c>
      <c r="C551">
        <v>1</v>
      </c>
    </row>
    <row r="552" spans="1:3" x14ac:dyDescent="0.45">
      <c r="A552" t="s">
        <v>36</v>
      </c>
      <c r="B552">
        <v>51</v>
      </c>
      <c r="C552">
        <v>1</v>
      </c>
    </row>
    <row r="553" spans="1:3" x14ac:dyDescent="0.45">
      <c r="A553" t="s">
        <v>36</v>
      </c>
      <c r="B553">
        <v>52</v>
      </c>
      <c r="C553">
        <v>1</v>
      </c>
    </row>
    <row r="554" spans="1:3" x14ac:dyDescent="0.45">
      <c r="A554" t="s">
        <v>36</v>
      </c>
      <c r="B554">
        <v>53</v>
      </c>
      <c r="C554">
        <v>1</v>
      </c>
    </row>
    <row r="555" spans="1:3" x14ac:dyDescent="0.45">
      <c r="A555" t="s">
        <v>36</v>
      </c>
      <c r="B555">
        <v>54</v>
      </c>
      <c r="C555">
        <v>1</v>
      </c>
    </row>
    <row r="556" spans="1:3" x14ac:dyDescent="0.45">
      <c r="A556" t="s">
        <v>36</v>
      </c>
      <c r="B556">
        <v>55</v>
      </c>
      <c r="C556">
        <v>1</v>
      </c>
    </row>
    <row r="557" spans="1:3" x14ac:dyDescent="0.45">
      <c r="A557" t="s">
        <v>36</v>
      </c>
      <c r="B557">
        <v>56</v>
      </c>
      <c r="C557">
        <v>1</v>
      </c>
    </row>
    <row r="558" spans="1:3" x14ac:dyDescent="0.45">
      <c r="A558" t="s">
        <v>36</v>
      </c>
      <c r="B558">
        <v>57</v>
      </c>
      <c r="C558">
        <v>1</v>
      </c>
    </row>
    <row r="559" spans="1:3" x14ac:dyDescent="0.45">
      <c r="A559" t="s">
        <v>36</v>
      </c>
      <c r="B559">
        <v>58</v>
      </c>
      <c r="C559">
        <v>1</v>
      </c>
    </row>
    <row r="560" spans="1:3" x14ac:dyDescent="0.45">
      <c r="A560" t="s">
        <v>36</v>
      </c>
      <c r="B560">
        <v>59</v>
      </c>
      <c r="C560">
        <v>1</v>
      </c>
    </row>
    <row r="561" spans="1:3" x14ac:dyDescent="0.45">
      <c r="A561" t="s">
        <v>36</v>
      </c>
      <c r="B561">
        <v>60</v>
      </c>
      <c r="C561">
        <v>1</v>
      </c>
    </row>
    <row r="562" spans="1:3" x14ac:dyDescent="0.45">
      <c r="A562" t="s">
        <v>36</v>
      </c>
      <c r="B562">
        <v>61</v>
      </c>
      <c r="C562">
        <v>1</v>
      </c>
    </row>
    <row r="563" spans="1:3" x14ac:dyDescent="0.45">
      <c r="A563" t="s">
        <v>36</v>
      </c>
      <c r="B563">
        <v>62</v>
      </c>
      <c r="C563">
        <v>1</v>
      </c>
    </row>
    <row r="564" spans="1:3" x14ac:dyDescent="0.45">
      <c r="A564" t="s">
        <v>36</v>
      </c>
      <c r="B564">
        <v>63</v>
      </c>
      <c r="C564">
        <v>1</v>
      </c>
    </row>
    <row r="565" spans="1:3" x14ac:dyDescent="0.45">
      <c r="A565" t="s">
        <v>36</v>
      </c>
      <c r="B565">
        <v>64</v>
      </c>
      <c r="C565">
        <v>1</v>
      </c>
    </row>
    <row r="566" spans="1:3" x14ac:dyDescent="0.45">
      <c r="A566" t="s">
        <v>36</v>
      </c>
      <c r="B566">
        <v>65</v>
      </c>
      <c r="C566">
        <v>1</v>
      </c>
    </row>
    <row r="567" spans="1:3" x14ac:dyDescent="0.45">
      <c r="A567" t="s">
        <v>36</v>
      </c>
      <c r="B567">
        <v>66</v>
      </c>
      <c r="C567">
        <v>1</v>
      </c>
    </row>
    <row r="568" spans="1:3" x14ac:dyDescent="0.45">
      <c r="A568" t="s">
        <v>36</v>
      </c>
      <c r="B568">
        <v>67</v>
      </c>
      <c r="C568">
        <v>1</v>
      </c>
    </row>
    <row r="569" spans="1:3" x14ac:dyDescent="0.45">
      <c r="A569" t="s">
        <v>36</v>
      </c>
      <c r="B569">
        <v>68</v>
      </c>
      <c r="C569">
        <v>1</v>
      </c>
    </row>
    <row r="570" spans="1:3" x14ac:dyDescent="0.45">
      <c r="A570" t="s">
        <v>36</v>
      </c>
      <c r="B570">
        <v>69</v>
      </c>
      <c r="C570">
        <v>1</v>
      </c>
    </row>
    <row r="571" spans="1:3" x14ac:dyDescent="0.45">
      <c r="A571" t="s">
        <v>36</v>
      </c>
      <c r="B571">
        <v>70</v>
      </c>
      <c r="C571">
        <v>1</v>
      </c>
    </row>
    <row r="572" spans="1:3" x14ac:dyDescent="0.45">
      <c r="A572" t="s">
        <v>36</v>
      </c>
      <c r="B572">
        <v>71</v>
      </c>
      <c r="C572">
        <v>1</v>
      </c>
    </row>
    <row r="573" spans="1:3" x14ac:dyDescent="0.45">
      <c r="A573" t="s">
        <v>36</v>
      </c>
      <c r="B573">
        <v>72</v>
      </c>
      <c r="C573">
        <v>1</v>
      </c>
    </row>
    <row r="574" spans="1:3" x14ac:dyDescent="0.45">
      <c r="A574" t="s">
        <v>36</v>
      </c>
      <c r="B574">
        <v>73</v>
      </c>
      <c r="C574">
        <v>1</v>
      </c>
    </row>
    <row r="575" spans="1:3" x14ac:dyDescent="0.45">
      <c r="A575" t="s">
        <v>36</v>
      </c>
      <c r="B575">
        <v>74</v>
      </c>
      <c r="C575">
        <v>1</v>
      </c>
    </row>
    <row r="576" spans="1:3" x14ac:dyDescent="0.45">
      <c r="A576" t="s">
        <v>36</v>
      </c>
      <c r="B576">
        <v>75</v>
      </c>
      <c r="C576">
        <v>1</v>
      </c>
    </row>
    <row r="577" spans="1:3" x14ac:dyDescent="0.45">
      <c r="A577" t="s">
        <v>36</v>
      </c>
      <c r="B577">
        <v>76</v>
      </c>
      <c r="C577">
        <v>1</v>
      </c>
    </row>
    <row r="578" spans="1:3" x14ac:dyDescent="0.45">
      <c r="A578" t="s">
        <v>36</v>
      </c>
      <c r="B578">
        <v>77</v>
      </c>
      <c r="C578">
        <v>1</v>
      </c>
    </row>
    <row r="579" spans="1:3" x14ac:dyDescent="0.45">
      <c r="A579" t="s">
        <v>36</v>
      </c>
      <c r="B579">
        <v>78</v>
      </c>
      <c r="C579">
        <v>1</v>
      </c>
    </row>
    <row r="580" spans="1:3" x14ac:dyDescent="0.45">
      <c r="A580" t="s">
        <v>36</v>
      </c>
      <c r="B580">
        <v>79</v>
      </c>
      <c r="C580">
        <v>1</v>
      </c>
    </row>
    <row r="581" spans="1:3" x14ac:dyDescent="0.45">
      <c r="A581" t="s">
        <v>36</v>
      </c>
      <c r="B581">
        <v>80</v>
      </c>
      <c r="C581">
        <v>1</v>
      </c>
    </row>
    <row r="582" spans="1:3" x14ac:dyDescent="0.45">
      <c r="A582" t="s">
        <v>36</v>
      </c>
      <c r="B582">
        <v>81</v>
      </c>
      <c r="C582">
        <v>1</v>
      </c>
    </row>
    <row r="583" spans="1:3" x14ac:dyDescent="0.45">
      <c r="A583" t="s">
        <v>36</v>
      </c>
      <c r="B583">
        <v>82</v>
      </c>
      <c r="C583">
        <v>1</v>
      </c>
    </row>
    <row r="584" spans="1:3" x14ac:dyDescent="0.45">
      <c r="A584" t="s">
        <v>36</v>
      </c>
      <c r="B584">
        <v>83</v>
      </c>
      <c r="C584">
        <v>1</v>
      </c>
    </row>
    <row r="585" spans="1:3" x14ac:dyDescent="0.45">
      <c r="A585" t="s">
        <v>36</v>
      </c>
      <c r="B585">
        <v>84</v>
      </c>
      <c r="C585">
        <v>1</v>
      </c>
    </row>
    <row r="586" spans="1:3" x14ac:dyDescent="0.45">
      <c r="A586" t="s">
        <v>36</v>
      </c>
      <c r="B586">
        <v>85</v>
      </c>
      <c r="C586">
        <v>1</v>
      </c>
    </row>
    <row r="587" spans="1:3" x14ac:dyDescent="0.45">
      <c r="A587" t="s">
        <v>36</v>
      </c>
      <c r="B587">
        <v>86</v>
      </c>
      <c r="C587">
        <v>1</v>
      </c>
    </row>
    <row r="588" spans="1:3" x14ac:dyDescent="0.45">
      <c r="A588" t="s">
        <v>36</v>
      </c>
      <c r="B588">
        <v>87</v>
      </c>
      <c r="C588">
        <v>1</v>
      </c>
    </row>
    <row r="589" spans="1:3" x14ac:dyDescent="0.45">
      <c r="A589" t="s">
        <v>36</v>
      </c>
      <c r="B589">
        <v>88</v>
      </c>
      <c r="C589">
        <v>1</v>
      </c>
    </row>
    <row r="590" spans="1:3" x14ac:dyDescent="0.45">
      <c r="A590" t="s">
        <v>36</v>
      </c>
      <c r="B590">
        <v>89</v>
      </c>
      <c r="C590">
        <v>1</v>
      </c>
    </row>
    <row r="591" spans="1:3" x14ac:dyDescent="0.45">
      <c r="A591" t="s">
        <v>36</v>
      </c>
      <c r="B591">
        <v>90</v>
      </c>
      <c r="C591">
        <v>1</v>
      </c>
    </row>
    <row r="592" spans="1:3" x14ac:dyDescent="0.45">
      <c r="A592" t="s">
        <v>36</v>
      </c>
      <c r="B592">
        <v>91</v>
      </c>
      <c r="C592">
        <v>1</v>
      </c>
    </row>
    <row r="593" spans="1:3" x14ac:dyDescent="0.45">
      <c r="A593" t="s">
        <v>36</v>
      </c>
      <c r="B593">
        <v>92</v>
      </c>
      <c r="C593">
        <v>1</v>
      </c>
    </row>
    <row r="594" spans="1:3" x14ac:dyDescent="0.45">
      <c r="A594" t="s">
        <v>36</v>
      </c>
      <c r="B594">
        <v>93</v>
      </c>
      <c r="C594">
        <v>1</v>
      </c>
    </row>
    <row r="595" spans="1:3" x14ac:dyDescent="0.45">
      <c r="A595" t="s">
        <v>36</v>
      </c>
      <c r="B595">
        <v>94</v>
      </c>
      <c r="C595">
        <v>1</v>
      </c>
    </row>
    <row r="596" spans="1:3" x14ac:dyDescent="0.45">
      <c r="A596" t="s">
        <v>36</v>
      </c>
      <c r="B596">
        <v>95</v>
      </c>
      <c r="C596">
        <v>1</v>
      </c>
    </row>
    <row r="597" spans="1:3" x14ac:dyDescent="0.45">
      <c r="A597" t="s">
        <v>36</v>
      </c>
      <c r="B597">
        <v>96</v>
      </c>
      <c r="C597">
        <v>1</v>
      </c>
    </row>
    <row r="598" spans="1:3" x14ac:dyDescent="0.45">
      <c r="A598" t="s">
        <v>36</v>
      </c>
      <c r="B598">
        <v>97</v>
      </c>
      <c r="C598">
        <v>1</v>
      </c>
    </row>
    <row r="599" spans="1:3" x14ac:dyDescent="0.45">
      <c r="A599" t="s">
        <v>36</v>
      </c>
      <c r="B599">
        <v>98</v>
      </c>
      <c r="C599">
        <v>1</v>
      </c>
    </row>
    <row r="600" spans="1:3" x14ac:dyDescent="0.45">
      <c r="A600" t="s">
        <v>36</v>
      </c>
      <c r="B600">
        <v>99</v>
      </c>
      <c r="C600">
        <v>1</v>
      </c>
    </row>
    <row r="601" spans="1:3" x14ac:dyDescent="0.45">
      <c r="A601" t="s">
        <v>36</v>
      </c>
      <c r="B601">
        <v>100</v>
      </c>
      <c r="C601">
        <v>1</v>
      </c>
    </row>
    <row r="602" spans="1:3" x14ac:dyDescent="0.45">
      <c r="A602" t="s">
        <v>36</v>
      </c>
      <c r="B602">
        <v>101</v>
      </c>
      <c r="C602">
        <v>1</v>
      </c>
    </row>
    <row r="603" spans="1:3" x14ac:dyDescent="0.45">
      <c r="A603" t="s">
        <v>36</v>
      </c>
      <c r="B603">
        <v>102</v>
      </c>
      <c r="C603">
        <v>1</v>
      </c>
    </row>
    <row r="604" spans="1:3" x14ac:dyDescent="0.45">
      <c r="A604" t="s">
        <v>36</v>
      </c>
      <c r="B604">
        <v>103</v>
      </c>
      <c r="C604">
        <v>1</v>
      </c>
    </row>
    <row r="605" spans="1:3" x14ac:dyDescent="0.45">
      <c r="A605" t="s">
        <v>36</v>
      </c>
      <c r="B605">
        <v>104</v>
      </c>
      <c r="C605">
        <v>1</v>
      </c>
    </row>
    <row r="606" spans="1:3" x14ac:dyDescent="0.45">
      <c r="A606" t="s">
        <v>36</v>
      </c>
      <c r="B606">
        <v>105</v>
      </c>
      <c r="C606">
        <v>1</v>
      </c>
    </row>
    <row r="607" spans="1:3" x14ac:dyDescent="0.45">
      <c r="A607" t="s">
        <v>36</v>
      </c>
      <c r="B607">
        <v>106</v>
      </c>
      <c r="C607">
        <v>1</v>
      </c>
    </row>
    <row r="608" spans="1:3" x14ac:dyDescent="0.45">
      <c r="A608" t="s">
        <v>36</v>
      </c>
      <c r="B608">
        <v>107</v>
      </c>
      <c r="C608">
        <v>1</v>
      </c>
    </row>
    <row r="609" spans="1:3" x14ac:dyDescent="0.45">
      <c r="A609" t="s">
        <v>36</v>
      </c>
      <c r="B609">
        <v>108</v>
      </c>
      <c r="C609">
        <v>1</v>
      </c>
    </row>
    <row r="610" spans="1:3" x14ac:dyDescent="0.45">
      <c r="A610" t="s">
        <v>36</v>
      </c>
      <c r="B610">
        <v>109</v>
      </c>
      <c r="C610">
        <v>1</v>
      </c>
    </row>
    <row r="611" spans="1:3" x14ac:dyDescent="0.45">
      <c r="A611" t="s">
        <v>36</v>
      </c>
      <c r="B611">
        <v>110</v>
      </c>
      <c r="C611">
        <v>1</v>
      </c>
    </row>
    <row r="612" spans="1:3" x14ac:dyDescent="0.45">
      <c r="A612" t="s">
        <v>36</v>
      </c>
      <c r="B612">
        <v>111</v>
      </c>
      <c r="C612">
        <v>1</v>
      </c>
    </row>
    <row r="613" spans="1:3" x14ac:dyDescent="0.45">
      <c r="A613" t="s">
        <v>36</v>
      </c>
      <c r="B613">
        <v>112</v>
      </c>
      <c r="C613">
        <v>1</v>
      </c>
    </row>
    <row r="614" spans="1:3" x14ac:dyDescent="0.45">
      <c r="A614" t="s">
        <v>36</v>
      </c>
      <c r="B614">
        <v>113</v>
      </c>
      <c r="C614">
        <v>1</v>
      </c>
    </row>
    <row r="615" spans="1:3" x14ac:dyDescent="0.45">
      <c r="A615" t="s">
        <v>36</v>
      </c>
      <c r="B615">
        <v>114</v>
      </c>
      <c r="C615">
        <v>1</v>
      </c>
    </row>
    <row r="616" spans="1:3" x14ac:dyDescent="0.45">
      <c r="A616" t="s">
        <v>36</v>
      </c>
      <c r="B616">
        <v>115</v>
      </c>
      <c r="C616">
        <v>1</v>
      </c>
    </row>
    <row r="617" spans="1:3" x14ac:dyDescent="0.45">
      <c r="A617" t="s">
        <v>36</v>
      </c>
      <c r="B617">
        <v>116</v>
      </c>
      <c r="C617">
        <v>1</v>
      </c>
    </row>
    <row r="618" spans="1:3" x14ac:dyDescent="0.45">
      <c r="A618" t="s">
        <v>36</v>
      </c>
      <c r="B618">
        <v>117</v>
      </c>
      <c r="C618">
        <v>1</v>
      </c>
    </row>
    <row r="619" spans="1:3" x14ac:dyDescent="0.45">
      <c r="A619" t="s">
        <v>36</v>
      </c>
      <c r="B619">
        <v>118</v>
      </c>
      <c r="C619">
        <v>1</v>
      </c>
    </row>
    <row r="620" spans="1:3" x14ac:dyDescent="0.45">
      <c r="A620" t="s">
        <v>36</v>
      </c>
      <c r="B620">
        <v>119</v>
      </c>
      <c r="C620">
        <v>1</v>
      </c>
    </row>
    <row r="621" spans="1:3" x14ac:dyDescent="0.45">
      <c r="A621" t="s">
        <v>36</v>
      </c>
      <c r="B621">
        <v>120</v>
      </c>
      <c r="C621">
        <v>1</v>
      </c>
    </row>
    <row r="622" spans="1:3" x14ac:dyDescent="0.45">
      <c r="A622" t="s">
        <v>36</v>
      </c>
      <c r="B622">
        <v>121</v>
      </c>
      <c r="C622">
        <v>1</v>
      </c>
    </row>
    <row r="623" spans="1:3" x14ac:dyDescent="0.45">
      <c r="A623" t="s">
        <v>36</v>
      </c>
      <c r="B623">
        <v>122</v>
      </c>
      <c r="C623">
        <v>1</v>
      </c>
    </row>
    <row r="624" spans="1:3" x14ac:dyDescent="0.45">
      <c r="A624" t="s">
        <v>36</v>
      </c>
      <c r="B624">
        <v>123</v>
      </c>
      <c r="C624">
        <v>1</v>
      </c>
    </row>
    <row r="625" spans="1:3" x14ac:dyDescent="0.45">
      <c r="A625" t="s">
        <v>36</v>
      </c>
      <c r="B625">
        <v>124</v>
      </c>
      <c r="C625">
        <v>1</v>
      </c>
    </row>
    <row r="626" spans="1:3" x14ac:dyDescent="0.45">
      <c r="A626" t="s">
        <v>36</v>
      </c>
      <c r="B626">
        <v>125</v>
      </c>
      <c r="C626">
        <v>1</v>
      </c>
    </row>
    <row r="627" spans="1:3" x14ac:dyDescent="0.45">
      <c r="A627" t="s">
        <v>36</v>
      </c>
      <c r="B627">
        <v>126</v>
      </c>
      <c r="C627">
        <v>1</v>
      </c>
    </row>
    <row r="628" spans="1:3" x14ac:dyDescent="0.45">
      <c r="A628" t="s">
        <v>36</v>
      </c>
      <c r="B628">
        <v>127</v>
      </c>
      <c r="C628">
        <v>1</v>
      </c>
    </row>
    <row r="629" spans="1:3" x14ac:dyDescent="0.45">
      <c r="A629" t="s">
        <v>36</v>
      </c>
      <c r="B629">
        <v>128</v>
      </c>
      <c r="C629">
        <v>1</v>
      </c>
    </row>
    <row r="630" spans="1:3" x14ac:dyDescent="0.45">
      <c r="A630" t="s">
        <v>36</v>
      </c>
      <c r="B630">
        <v>129</v>
      </c>
      <c r="C630">
        <v>1</v>
      </c>
    </row>
    <row r="631" spans="1:3" x14ac:dyDescent="0.45">
      <c r="A631" t="s">
        <v>36</v>
      </c>
      <c r="B631">
        <v>130</v>
      </c>
      <c r="C631">
        <v>1</v>
      </c>
    </row>
    <row r="632" spans="1:3" x14ac:dyDescent="0.45">
      <c r="A632" t="s">
        <v>36</v>
      </c>
      <c r="B632">
        <v>131</v>
      </c>
      <c r="C632">
        <v>1</v>
      </c>
    </row>
    <row r="633" spans="1:3" x14ac:dyDescent="0.45">
      <c r="A633" t="s">
        <v>36</v>
      </c>
      <c r="B633">
        <v>132</v>
      </c>
      <c r="C633">
        <v>1</v>
      </c>
    </row>
    <row r="634" spans="1:3" x14ac:dyDescent="0.45">
      <c r="A634" t="s">
        <v>36</v>
      </c>
      <c r="B634">
        <v>133</v>
      </c>
      <c r="C634">
        <v>1</v>
      </c>
    </row>
    <row r="635" spans="1:3" x14ac:dyDescent="0.45">
      <c r="A635" t="s">
        <v>36</v>
      </c>
      <c r="B635">
        <v>134</v>
      </c>
      <c r="C635">
        <v>1</v>
      </c>
    </row>
    <row r="636" spans="1:3" x14ac:dyDescent="0.45">
      <c r="A636" t="s">
        <v>36</v>
      </c>
      <c r="B636">
        <v>135</v>
      </c>
      <c r="C636">
        <v>1</v>
      </c>
    </row>
    <row r="637" spans="1:3" x14ac:dyDescent="0.45">
      <c r="A637" t="s">
        <v>36</v>
      </c>
      <c r="B637">
        <v>136</v>
      </c>
      <c r="C637">
        <v>1</v>
      </c>
    </row>
    <row r="638" spans="1:3" x14ac:dyDescent="0.45">
      <c r="A638" t="s">
        <v>36</v>
      </c>
      <c r="B638">
        <v>137</v>
      </c>
      <c r="C638">
        <v>1</v>
      </c>
    </row>
    <row r="639" spans="1:3" x14ac:dyDescent="0.45">
      <c r="A639" t="s">
        <v>36</v>
      </c>
      <c r="B639">
        <v>138</v>
      </c>
      <c r="C639">
        <v>1</v>
      </c>
    </row>
    <row r="640" spans="1:3" x14ac:dyDescent="0.45">
      <c r="A640" t="s">
        <v>36</v>
      </c>
      <c r="B640">
        <v>139</v>
      </c>
      <c r="C640">
        <v>1</v>
      </c>
    </row>
    <row r="641" spans="1:3" x14ac:dyDescent="0.45">
      <c r="A641" t="s">
        <v>36</v>
      </c>
      <c r="B641">
        <v>140</v>
      </c>
      <c r="C641">
        <v>1</v>
      </c>
    </row>
    <row r="642" spans="1:3" x14ac:dyDescent="0.45">
      <c r="A642" t="s">
        <v>36</v>
      </c>
      <c r="B642">
        <v>141</v>
      </c>
      <c r="C642">
        <v>1</v>
      </c>
    </row>
    <row r="643" spans="1:3" x14ac:dyDescent="0.45">
      <c r="A643" t="s">
        <v>36</v>
      </c>
      <c r="B643">
        <v>142</v>
      </c>
      <c r="C643">
        <v>1</v>
      </c>
    </row>
    <row r="644" spans="1:3" x14ac:dyDescent="0.45">
      <c r="A644" t="s">
        <v>36</v>
      </c>
      <c r="B644">
        <v>143</v>
      </c>
      <c r="C644">
        <v>1</v>
      </c>
    </row>
    <row r="645" spans="1:3" x14ac:dyDescent="0.45">
      <c r="A645" t="s">
        <v>36</v>
      </c>
      <c r="B645">
        <v>144</v>
      </c>
      <c r="C645">
        <v>1</v>
      </c>
    </row>
    <row r="646" spans="1:3" x14ac:dyDescent="0.45">
      <c r="A646" t="s">
        <v>36</v>
      </c>
      <c r="B646">
        <v>145</v>
      </c>
      <c r="C646">
        <v>1</v>
      </c>
    </row>
    <row r="647" spans="1:3" x14ac:dyDescent="0.45">
      <c r="A647" t="s">
        <v>36</v>
      </c>
      <c r="B647">
        <v>146</v>
      </c>
      <c r="C647">
        <v>1</v>
      </c>
    </row>
    <row r="648" spans="1:3" x14ac:dyDescent="0.45">
      <c r="A648" t="s">
        <v>36</v>
      </c>
      <c r="B648">
        <v>147</v>
      </c>
      <c r="C648">
        <v>1</v>
      </c>
    </row>
    <row r="649" spans="1:3" x14ac:dyDescent="0.45">
      <c r="A649" t="s">
        <v>36</v>
      </c>
      <c r="B649">
        <v>148</v>
      </c>
      <c r="C649">
        <v>1</v>
      </c>
    </row>
    <row r="650" spans="1:3" x14ac:dyDescent="0.45">
      <c r="A650" t="s">
        <v>36</v>
      </c>
      <c r="B650">
        <v>149</v>
      </c>
      <c r="C650">
        <v>1</v>
      </c>
    </row>
    <row r="651" spans="1:3" x14ac:dyDescent="0.45">
      <c r="A651" t="s">
        <v>36</v>
      </c>
      <c r="B651">
        <v>150</v>
      </c>
      <c r="C651">
        <v>1</v>
      </c>
    </row>
    <row r="652" spans="1:3" x14ac:dyDescent="0.45">
      <c r="A652" t="s">
        <v>36</v>
      </c>
      <c r="B652">
        <v>151</v>
      </c>
      <c r="C652">
        <v>1</v>
      </c>
    </row>
    <row r="653" spans="1:3" x14ac:dyDescent="0.45">
      <c r="A653" t="s">
        <v>36</v>
      </c>
      <c r="B653">
        <v>152</v>
      </c>
      <c r="C653">
        <v>1</v>
      </c>
    </row>
    <row r="654" spans="1:3" x14ac:dyDescent="0.45">
      <c r="A654" t="s">
        <v>36</v>
      </c>
      <c r="B654">
        <v>153</v>
      </c>
      <c r="C654">
        <v>1</v>
      </c>
    </row>
    <row r="655" spans="1:3" x14ac:dyDescent="0.45">
      <c r="A655" t="s">
        <v>36</v>
      </c>
      <c r="B655">
        <v>154</v>
      </c>
      <c r="C655">
        <v>1</v>
      </c>
    </row>
    <row r="656" spans="1:3" x14ac:dyDescent="0.45">
      <c r="A656" t="s">
        <v>36</v>
      </c>
      <c r="B656">
        <v>155</v>
      </c>
      <c r="C656">
        <v>1</v>
      </c>
    </row>
    <row r="657" spans="1:3" x14ac:dyDescent="0.45">
      <c r="A657" t="s">
        <v>36</v>
      </c>
      <c r="B657">
        <v>156</v>
      </c>
      <c r="C657">
        <v>1</v>
      </c>
    </row>
    <row r="658" spans="1:3" x14ac:dyDescent="0.45">
      <c r="A658" t="s">
        <v>36</v>
      </c>
      <c r="B658">
        <v>157</v>
      </c>
      <c r="C658">
        <v>1</v>
      </c>
    </row>
    <row r="659" spans="1:3" x14ac:dyDescent="0.45">
      <c r="A659" t="s">
        <v>36</v>
      </c>
      <c r="B659">
        <v>158</v>
      </c>
      <c r="C659">
        <v>1</v>
      </c>
    </row>
    <row r="660" spans="1:3" x14ac:dyDescent="0.45">
      <c r="A660" t="s">
        <v>36</v>
      </c>
      <c r="B660">
        <v>159</v>
      </c>
      <c r="C660">
        <v>1</v>
      </c>
    </row>
    <row r="661" spans="1:3" x14ac:dyDescent="0.45">
      <c r="A661" t="s">
        <v>36</v>
      </c>
      <c r="B661">
        <v>160</v>
      </c>
      <c r="C661">
        <v>1</v>
      </c>
    </row>
    <row r="662" spans="1:3" x14ac:dyDescent="0.45">
      <c r="A662" t="s">
        <v>36</v>
      </c>
      <c r="B662">
        <v>161</v>
      </c>
      <c r="C662">
        <v>1</v>
      </c>
    </row>
    <row r="663" spans="1:3" x14ac:dyDescent="0.45">
      <c r="A663" t="s">
        <v>36</v>
      </c>
      <c r="B663">
        <v>162</v>
      </c>
      <c r="C663">
        <v>1</v>
      </c>
    </row>
    <row r="664" spans="1:3" x14ac:dyDescent="0.45">
      <c r="A664" t="s">
        <v>36</v>
      </c>
      <c r="B664">
        <v>163</v>
      </c>
      <c r="C664">
        <v>1</v>
      </c>
    </row>
    <row r="665" spans="1:3" x14ac:dyDescent="0.45">
      <c r="A665" t="s">
        <v>36</v>
      </c>
      <c r="B665">
        <v>164</v>
      </c>
      <c r="C665">
        <v>1</v>
      </c>
    </row>
    <row r="666" spans="1:3" x14ac:dyDescent="0.45">
      <c r="A666" t="s">
        <v>36</v>
      </c>
      <c r="B666">
        <v>165</v>
      </c>
      <c r="C666">
        <v>1</v>
      </c>
    </row>
    <row r="667" spans="1:3" x14ac:dyDescent="0.45">
      <c r="A667" t="s">
        <v>36</v>
      </c>
      <c r="B667">
        <v>166</v>
      </c>
      <c r="C667">
        <v>1</v>
      </c>
    </row>
    <row r="668" spans="1:3" x14ac:dyDescent="0.45">
      <c r="A668" t="s">
        <v>36</v>
      </c>
      <c r="B668">
        <v>167</v>
      </c>
      <c r="C668">
        <v>1</v>
      </c>
    </row>
    <row r="669" spans="1:3" x14ac:dyDescent="0.45">
      <c r="A669" t="s">
        <v>36</v>
      </c>
      <c r="B669">
        <v>168</v>
      </c>
      <c r="C669">
        <v>1</v>
      </c>
    </row>
    <row r="670" spans="1:3" x14ac:dyDescent="0.45">
      <c r="A670" t="s">
        <v>36</v>
      </c>
      <c r="B670">
        <v>169</v>
      </c>
      <c r="C670">
        <v>1</v>
      </c>
    </row>
    <row r="671" spans="1:3" x14ac:dyDescent="0.45">
      <c r="A671" t="s">
        <v>36</v>
      </c>
      <c r="B671">
        <v>170</v>
      </c>
      <c r="C671">
        <v>1</v>
      </c>
    </row>
    <row r="672" spans="1:3" x14ac:dyDescent="0.45">
      <c r="A672" t="s">
        <v>36</v>
      </c>
      <c r="B672">
        <v>171</v>
      </c>
      <c r="C672">
        <v>1</v>
      </c>
    </row>
    <row r="673" spans="1:3" x14ac:dyDescent="0.45">
      <c r="A673" t="s">
        <v>36</v>
      </c>
      <c r="B673">
        <v>172</v>
      </c>
      <c r="C673">
        <v>1</v>
      </c>
    </row>
    <row r="674" spans="1:3" x14ac:dyDescent="0.45">
      <c r="A674" t="s">
        <v>36</v>
      </c>
      <c r="B674">
        <v>173</v>
      </c>
      <c r="C674">
        <v>1</v>
      </c>
    </row>
    <row r="675" spans="1:3" x14ac:dyDescent="0.45">
      <c r="A675" t="s">
        <v>36</v>
      </c>
      <c r="B675">
        <v>174</v>
      </c>
      <c r="C675">
        <v>1</v>
      </c>
    </row>
    <row r="676" spans="1:3" x14ac:dyDescent="0.45">
      <c r="A676" t="s">
        <v>36</v>
      </c>
      <c r="B676">
        <v>175</v>
      </c>
      <c r="C676">
        <v>1</v>
      </c>
    </row>
    <row r="677" spans="1:3" x14ac:dyDescent="0.45">
      <c r="A677" t="s">
        <v>36</v>
      </c>
      <c r="B677">
        <v>176</v>
      </c>
      <c r="C677">
        <v>1</v>
      </c>
    </row>
    <row r="678" spans="1:3" x14ac:dyDescent="0.45">
      <c r="A678" t="s">
        <v>36</v>
      </c>
      <c r="B678">
        <v>177</v>
      </c>
      <c r="C678">
        <v>1</v>
      </c>
    </row>
    <row r="679" spans="1:3" x14ac:dyDescent="0.45">
      <c r="A679" t="s">
        <v>36</v>
      </c>
      <c r="B679">
        <v>178</v>
      </c>
      <c r="C679">
        <v>1</v>
      </c>
    </row>
    <row r="680" spans="1:3" x14ac:dyDescent="0.45">
      <c r="A680" t="s">
        <v>36</v>
      </c>
      <c r="B680">
        <v>179</v>
      </c>
      <c r="C680">
        <v>1</v>
      </c>
    </row>
    <row r="681" spans="1:3" x14ac:dyDescent="0.45">
      <c r="A681" t="s">
        <v>36</v>
      </c>
      <c r="B681">
        <v>180</v>
      </c>
      <c r="C681">
        <v>1</v>
      </c>
    </row>
    <row r="682" spans="1:3" x14ac:dyDescent="0.45">
      <c r="A682" t="s">
        <v>36</v>
      </c>
      <c r="B682">
        <v>181</v>
      </c>
      <c r="C682">
        <v>1</v>
      </c>
    </row>
    <row r="683" spans="1:3" x14ac:dyDescent="0.45">
      <c r="A683" t="s">
        <v>36</v>
      </c>
      <c r="B683">
        <v>182</v>
      </c>
      <c r="C683">
        <v>1</v>
      </c>
    </row>
    <row r="684" spans="1:3" x14ac:dyDescent="0.45">
      <c r="A684" t="s">
        <v>36</v>
      </c>
      <c r="B684">
        <v>183</v>
      </c>
      <c r="C684">
        <v>1</v>
      </c>
    </row>
    <row r="685" spans="1:3" x14ac:dyDescent="0.45">
      <c r="A685" t="s">
        <v>36</v>
      </c>
      <c r="B685">
        <v>184</v>
      </c>
      <c r="C685">
        <v>1</v>
      </c>
    </row>
    <row r="686" spans="1:3" x14ac:dyDescent="0.45">
      <c r="A686" t="s">
        <v>36</v>
      </c>
      <c r="B686">
        <v>185</v>
      </c>
      <c r="C686">
        <v>1</v>
      </c>
    </row>
    <row r="687" spans="1:3" x14ac:dyDescent="0.45">
      <c r="A687" t="s">
        <v>36</v>
      </c>
      <c r="B687">
        <v>186</v>
      </c>
      <c r="C687">
        <v>1</v>
      </c>
    </row>
    <row r="688" spans="1:3" x14ac:dyDescent="0.45">
      <c r="A688" t="s">
        <v>36</v>
      </c>
      <c r="B688">
        <v>187</v>
      </c>
      <c r="C688">
        <v>1</v>
      </c>
    </row>
    <row r="689" spans="1:3" x14ac:dyDescent="0.45">
      <c r="A689" t="s">
        <v>36</v>
      </c>
      <c r="B689">
        <v>188</v>
      </c>
      <c r="C689">
        <v>1</v>
      </c>
    </row>
    <row r="690" spans="1:3" x14ac:dyDescent="0.45">
      <c r="A690" t="s">
        <v>36</v>
      </c>
      <c r="B690">
        <v>189</v>
      </c>
      <c r="C690">
        <v>1</v>
      </c>
    </row>
    <row r="691" spans="1:3" x14ac:dyDescent="0.45">
      <c r="A691" t="s">
        <v>36</v>
      </c>
      <c r="B691">
        <v>190</v>
      </c>
      <c r="C691">
        <v>1</v>
      </c>
    </row>
    <row r="692" spans="1:3" x14ac:dyDescent="0.45">
      <c r="A692" t="s">
        <v>36</v>
      </c>
      <c r="B692">
        <v>191</v>
      </c>
      <c r="C692">
        <v>1</v>
      </c>
    </row>
    <row r="693" spans="1:3" x14ac:dyDescent="0.45">
      <c r="A693" t="s">
        <v>36</v>
      </c>
      <c r="B693">
        <v>192</v>
      </c>
      <c r="C693">
        <v>1</v>
      </c>
    </row>
    <row r="694" spans="1:3" x14ac:dyDescent="0.45">
      <c r="A694" t="s">
        <v>36</v>
      </c>
      <c r="B694">
        <v>193</v>
      </c>
      <c r="C694">
        <v>1</v>
      </c>
    </row>
    <row r="695" spans="1:3" x14ac:dyDescent="0.45">
      <c r="A695" t="s">
        <v>36</v>
      </c>
      <c r="B695">
        <v>194</v>
      </c>
      <c r="C695">
        <v>1</v>
      </c>
    </row>
    <row r="696" spans="1:3" x14ac:dyDescent="0.45">
      <c r="A696" t="s">
        <v>36</v>
      </c>
      <c r="B696">
        <v>195</v>
      </c>
      <c r="C696">
        <v>1</v>
      </c>
    </row>
    <row r="697" spans="1:3" x14ac:dyDescent="0.45">
      <c r="A697" t="s">
        <v>36</v>
      </c>
      <c r="B697">
        <v>196</v>
      </c>
      <c r="C697">
        <v>1</v>
      </c>
    </row>
    <row r="698" spans="1:3" x14ac:dyDescent="0.45">
      <c r="A698" t="s">
        <v>36</v>
      </c>
      <c r="B698">
        <v>197</v>
      </c>
      <c r="C698">
        <v>1</v>
      </c>
    </row>
    <row r="699" spans="1:3" x14ac:dyDescent="0.45">
      <c r="A699" t="s">
        <v>36</v>
      </c>
      <c r="B699">
        <v>198</v>
      </c>
      <c r="C699">
        <v>1</v>
      </c>
    </row>
    <row r="700" spans="1:3" x14ac:dyDescent="0.45">
      <c r="A700" t="s">
        <v>36</v>
      </c>
      <c r="B700">
        <v>199</v>
      </c>
      <c r="C700">
        <v>1</v>
      </c>
    </row>
    <row r="701" spans="1:3" x14ac:dyDescent="0.45">
      <c r="A701" t="s">
        <v>36</v>
      </c>
      <c r="B701">
        <v>200</v>
      </c>
      <c r="C701">
        <v>1</v>
      </c>
    </row>
    <row r="702" spans="1:3" x14ac:dyDescent="0.45">
      <c r="A702" t="s">
        <v>36</v>
      </c>
      <c r="B702">
        <v>201</v>
      </c>
      <c r="C702">
        <v>1</v>
      </c>
    </row>
    <row r="703" spans="1:3" x14ac:dyDescent="0.45">
      <c r="A703" t="s">
        <v>36</v>
      </c>
      <c r="B703">
        <v>202</v>
      </c>
      <c r="C703">
        <v>1</v>
      </c>
    </row>
    <row r="704" spans="1:3" x14ac:dyDescent="0.45">
      <c r="A704" t="s">
        <v>36</v>
      </c>
      <c r="B704">
        <v>203</v>
      </c>
      <c r="C704">
        <v>1</v>
      </c>
    </row>
    <row r="705" spans="1:3" x14ac:dyDescent="0.45">
      <c r="A705" t="s">
        <v>36</v>
      </c>
      <c r="B705">
        <v>204</v>
      </c>
      <c r="C705">
        <v>1</v>
      </c>
    </row>
    <row r="706" spans="1:3" x14ac:dyDescent="0.45">
      <c r="A706" t="s">
        <v>36</v>
      </c>
      <c r="B706">
        <v>205</v>
      </c>
      <c r="C706">
        <v>1</v>
      </c>
    </row>
    <row r="707" spans="1:3" x14ac:dyDescent="0.45">
      <c r="A707" t="s">
        <v>36</v>
      </c>
      <c r="B707">
        <v>206</v>
      </c>
      <c r="C707">
        <v>1</v>
      </c>
    </row>
    <row r="708" spans="1:3" x14ac:dyDescent="0.45">
      <c r="A708" t="s">
        <v>36</v>
      </c>
      <c r="B708">
        <v>207</v>
      </c>
      <c r="C708">
        <v>1</v>
      </c>
    </row>
    <row r="709" spans="1:3" x14ac:dyDescent="0.45">
      <c r="A709" t="s">
        <v>36</v>
      </c>
      <c r="B709">
        <v>208</v>
      </c>
      <c r="C709">
        <v>1</v>
      </c>
    </row>
    <row r="710" spans="1:3" x14ac:dyDescent="0.45">
      <c r="A710" t="s">
        <v>36</v>
      </c>
      <c r="B710">
        <v>209</v>
      </c>
      <c r="C710">
        <v>1</v>
      </c>
    </row>
    <row r="711" spans="1:3" x14ac:dyDescent="0.45">
      <c r="A711" t="s">
        <v>36</v>
      </c>
      <c r="B711">
        <v>210</v>
      </c>
      <c r="C711">
        <v>1</v>
      </c>
    </row>
    <row r="712" spans="1:3" x14ac:dyDescent="0.45">
      <c r="A712" t="s">
        <v>36</v>
      </c>
      <c r="B712">
        <v>211</v>
      </c>
      <c r="C712">
        <v>1</v>
      </c>
    </row>
    <row r="713" spans="1:3" x14ac:dyDescent="0.45">
      <c r="A713" t="s">
        <v>36</v>
      </c>
      <c r="B713">
        <v>212</v>
      </c>
      <c r="C713">
        <v>1</v>
      </c>
    </row>
    <row r="714" spans="1:3" x14ac:dyDescent="0.45">
      <c r="A714" t="s">
        <v>36</v>
      </c>
      <c r="B714">
        <v>213</v>
      </c>
      <c r="C714">
        <v>1</v>
      </c>
    </row>
    <row r="715" spans="1:3" x14ac:dyDescent="0.45">
      <c r="A715" t="s">
        <v>36</v>
      </c>
      <c r="B715">
        <v>214</v>
      </c>
      <c r="C715">
        <v>1</v>
      </c>
    </row>
    <row r="716" spans="1:3" x14ac:dyDescent="0.45">
      <c r="A716" t="s">
        <v>36</v>
      </c>
      <c r="B716">
        <v>215</v>
      </c>
      <c r="C716">
        <v>1</v>
      </c>
    </row>
    <row r="717" spans="1:3" x14ac:dyDescent="0.45">
      <c r="A717" t="s">
        <v>36</v>
      </c>
      <c r="B717">
        <v>216</v>
      </c>
      <c r="C717">
        <v>1</v>
      </c>
    </row>
    <row r="718" spans="1:3" x14ac:dyDescent="0.45">
      <c r="A718" t="s">
        <v>36</v>
      </c>
      <c r="B718">
        <v>217</v>
      </c>
      <c r="C718">
        <v>1</v>
      </c>
    </row>
    <row r="719" spans="1:3" x14ac:dyDescent="0.45">
      <c r="A719" t="s">
        <v>36</v>
      </c>
      <c r="B719">
        <v>218</v>
      </c>
      <c r="C719">
        <v>1</v>
      </c>
    </row>
    <row r="720" spans="1:3" x14ac:dyDescent="0.45">
      <c r="A720" t="s">
        <v>36</v>
      </c>
      <c r="B720">
        <v>219</v>
      </c>
      <c r="C720">
        <v>1</v>
      </c>
    </row>
    <row r="721" spans="1:3" x14ac:dyDescent="0.45">
      <c r="A721" t="s">
        <v>36</v>
      </c>
      <c r="B721">
        <v>220</v>
      </c>
      <c r="C721">
        <v>1</v>
      </c>
    </row>
    <row r="722" spans="1:3" x14ac:dyDescent="0.45">
      <c r="A722" t="s">
        <v>36</v>
      </c>
      <c r="B722">
        <v>221</v>
      </c>
      <c r="C722">
        <v>1</v>
      </c>
    </row>
    <row r="723" spans="1:3" x14ac:dyDescent="0.45">
      <c r="A723" t="s">
        <v>36</v>
      </c>
      <c r="B723">
        <v>222</v>
      </c>
      <c r="C723">
        <v>1</v>
      </c>
    </row>
    <row r="724" spans="1:3" x14ac:dyDescent="0.45">
      <c r="A724" t="s">
        <v>36</v>
      </c>
      <c r="B724">
        <v>223</v>
      </c>
      <c r="C724">
        <v>1</v>
      </c>
    </row>
    <row r="725" spans="1:3" x14ac:dyDescent="0.45">
      <c r="A725" t="s">
        <v>36</v>
      </c>
      <c r="B725">
        <v>224</v>
      </c>
      <c r="C725">
        <v>1</v>
      </c>
    </row>
    <row r="726" spans="1:3" x14ac:dyDescent="0.45">
      <c r="A726" t="s">
        <v>36</v>
      </c>
      <c r="B726">
        <v>225</v>
      </c>
      <c r="C726">
        <v>1</v>
      </c>
    </row>
    <row r="727" spans="1:3" x14ac:dyDescent="0.45">
      <c r="A727" t="s">
        <v>36</v>
      </c>
      <c r="B727">
        <v>226</v>
      </c>
      <c r="C727">
        <v>1</v>
      </c>
    </row>
    <row r="728" spans="1:3" x14ac:dyDescent="0.45">
      <c r="A728" t="s">
        <v>36</v>
      </c>
      <c r="B728">
        <v>227</v>
      </c>
      <c r="C728">
        <v>1</v>
      </c>
    </row>
    <row r="729" spans="1:3" x14ac:dyDescent="0.45">
      <c r="A729" t="s">
        <v>36</v>
      </c>
      <c r="B729">
        <v>228</v>
      </c>
      <c r="C729">
        <v>1</v>
      </c>
    </row>
    <row r="730" spans="1:3" x14ac:dyDescent="0.45">
      <c r="A730" t="s">
        <v>36</v>
      </c>
      <c r="B730">
        <v>229</v>
      </c>
      <c r="C730">
        <v>1</v>
      </c>
    </row>
    <row r="731" spans="1:3" x14ac:dyDescent="0.45">
      <c r="A731" t="s">
        <v>36</v>
      </c>
      <c r="B731">
        <v>230</v>
      </c>
      <c r="C731">
        <v>1</v>
      </c>
    </row>
    <row r="732" spans="1:3" x14ac:dyDescent="0.45">
      <c r="A732" t="s">
        <v>36</v>
      </c>
      <c r="B732">
        <v>231</v>
      </c>
      <c r="C732">
        <v>1</v>
      </c>
    </row>
    <row r="733" spans="1:3" x14ac:dyDescent="0.45">
      <c r="A733" t="s">
        <v>36</v>
      </c>
      <c r="B733">
        <v>232</v>
      </c>
      <c r="C733">
        <v>1</v>
      </c>
    </row>
    <row r="734" spans="1:3" x14ac:dyDescent="0.45">
      <c r="A734" t="s">
        <v>36</v>
      </c>
      <c r="B734">
        <v>233</v>
      </c>
      <c r="C734">
        <v>1</v>
      </c>
    </row>
    <row r="735" spans="1:3" x14ac:dyDescent="0.45">
      <c r="A735" t="s">
        <v>36</v>
      </c>
      <c r="B735">
        <v>234</v>
      </c>
      <c r="C735">
        <v>1</v>
      </c>
    </row>
    <row r="736" spans="1:3" x14ac:dyDescent="0.45">
      <c r="A736" t="s">
        <v>36</v>
      </c>
      <c r="B736">
        <v>235</v>
      </c>
      <c r="C736">
        <v>1</v>
      </c>
    </row>
    <row r="737" spans="1:3" x14ac:dyDescent="0.45">
      <c r="A737" t="s">
        <v>36</v>
      </c>
      <c r="B737">
        <v>236</v>
      </c>
      <c r="C737">
        <v>1</v>
      </c>
    </row>
    <row r="738" spans="1:3" x14ac:dyDescent="0.45">
      <c r="A738" t="s">
        <v>36</v>
      </c>
      <c r="B738">
        <v>237</v>
      </c>
      <c r="C738">
        <v>1</v>
      </c>
    </row>
    <row r="739" spans="1:3" x14ac:dyDescent="0.45">
      <c r="A739" t="s">
        <v>36</v>
      </c>
      <c r="B739">
        <v>238</v>
      </c>
      <c r="C739">
        <v>1</v>
      </c>
    </row>
    <row r="740" spans="1:3" x14ac:dyDescent="0.45">
      <c r="A740" t="s">
        <v>36</v>
      </c>
      <c r="B740">
        <v>239</v>
      </c>
      <c r="C740">
        <v>1</v>
      </c>
    </row>
    <row r="741" spans="1:3" x14ac:dyDescent="0.45">
      <c r="A741" t="s">
        <v>36</v>
      </c>
      <c r="B741">
        <v>240</v>
      </c>
      <c r="C741">
        <v>1</v>
      </c>
    </row>
    <row r="742" spans="1:3" x14ac:dyDescent="0.45">
      <c r="A742" t="s">
        <v>36</v>
      </c>
      <c r="B742">
        <v>241</v>
      </c>
      <c r="C742">
        <v>1</v>
      </c>
    </row>
    <row r="743" spans="1:3" x14ac:dyDescent="0.45">
      <c r="A743" t="s">
        <v>36</v>
      </c>
      <c r="B743">
        <v>242</v>
      </c>
      <c r="C743">
        <v>1</v>
      </c>
    </row>
    <row r="744" spans="1:3" x14ac:dyDescent="0.45">
      <c r="A744" t="s">
        <v>36</v>
      </c>
      <c r="B744">
        <v>243</v>
      </c>
      <c r="C744">
        <v>1</v>
      </c>
    </row>
    <row r="745" spans="1:3" x14ac:dyDescent="0.45">
      <c r="A745" t="s">
        <v>36</v>
      </c>
      <c r="B745">
        <v>244</v>
      </c>
      <c r="C745">
        <v>1</v>
      </c>
    </row>
    <row r="746" spans="1:3" x14ac:dyDescent="0.45">
      <c r="A746" t="s">
        <v>36</v>
      </c>
      <c r="B746">
        <v>245</v>
      </c>
      <c r="C746">
        <v>1</v>
      </c>
    </row>
    <row r="747" spans="1:3" x14ac:dyDescent="0.45">
      <c r="A747" t="s">
        <v>36</v>
      </c>
      <c r="B747">
        <v>246</v>
      </c>
      <c r="C747">
        <v>1</v>
      </c>
    </row>
    <row r="748" spans="1:3" x14ac:dyDescent="0.45">
      <c r="A748" t="s">
        <v>36</v>
      </c>
      <c r="B748">
        <v>247</v>
      </c>
      <c r="C748">
        <v>1</v>
      </c>
    </row>
    <row r="749" spans="1:3" x14ac:dyDescent="0.45">
      <c r="A749" t="s">
        <v>36</v>
      </c>
      <c r="B749">
        <v>248</v>
      </c>
      <c r="C749">
        <v>1</v>
      </c>
    </row>
    <row r="750" spans="1:3" x14ac:dyDescent="0.45">
      <c r="A750" t="s">
        <v>36</v>
      </c>
      <c r="B750">
        <v>249</v>
      </c>
      <c r="C750">
        <v>1</v>
      </c>
    </row>
    <row r="751" spans="1:3" x14ac:dyDescent="0.45">
      <c r="A751" t="s">
        <v>36</v>
      </c>
      <c r="B751">
        <v>250</v>
      </c>
      <c r="C751">
        <v>1</v>
      </c>
    </row>
    <row r="752" spans="1:3" x14ac:dyDescent="0.45">
      <c r="A752" t="s">
        <v>36</v>
      </c>
      <c r="B752">
        <v>251</v>
      </c>
      <c r="C752">
        <v>1</v>
      </c>
    </row>
    <row r="753" spans="1:3" x14ac:dyDescent="0.45">
      <c r="A753" t="s">
        <v>36</v>
      </c>
      <c r="B753">
        <v>252</v>
      </c>
      <c r="C753">
        <v>1</v>
      </c>
    </row>
    <row r="754" spans="1:3" x14ac:dyDescent="0.45">
      <c r="A754" t="s">
        <v>36</v>
      </c>
      <c r="B754">
        <v>253</v>
      </c>
      <c r="C754">
        <v>1</v>
      </c>
    </row>
    <row r="755" spans="1:3" x14ac:dyDescent="0.45">
      <c r="A755" t="s">
        <v>36</v>
      </c>
      <c r="B755">
        <v>254</v>
      </c>
      <c r="C755">
        <v>1</v>
      </c>
    </row>
    <row r="756" spans="1:3" x14ac:dyDescent="0.45">
      <c r="A756" t="s">
        <v>36</v>
      </c>
      <c r="B756">
        <v>255</v>
      </c>
      <c r="C756">
        <v>1</v>
      </c>
    </row>
    <row r="757" spans="1:3" x14ac:dyDescent="0.45">
      <c r="A757" t="s">
        <v>36</v>
      </c>
      <c r="B757">
        <v>256</v>
      </c>
      <c r="C757">
        <v>1</v>
      </c>
    </row>
    <row r="758" spans="1:3" x14ac:dyDescent="0.45">
      <c r="A758" t="s">
        <v>36</v>
      </c>
      <c r="B758">
        <v>257</v>
      </c>
      <c r="C758">
        <v>1</v>
      </c>
    </row>
    <row r="759" spans="1:3" x14ac:dyDescent="0.45">
      <c r="A759" t="s">
        <v>36</v>
      </c>
      <c r="B759">
        <v>258</v>
      </c>
      <c r="C759">
        <v>1</v>
      </c>
    </row>
    <row r="760" spans="1:3" x14ac:dyDescent="0.45">
      <c r="A760" t="s">
        <v>36</v>
      </c>
      <c r="B760">
        <v>259</v>
      </c>
      <c r="C760">
        <v>1</v>
      </c>
    </row>
    <row r="761" spans="1:3" x14ac:dyDescent="0.45">
      <c r="A761" t="s">
        <v>36</v>
      </c>
      <c r="B761">
        <v>260</v>
      </c>
      <c r="C761">
        <v>1</v>
      </c>
    </row>
    <row r="762" spans="1:3" x14ac:dyDescent="0.45">
      <c r="A762" t="s">
        <v>36</v>
      </c>
      <c r="B762">
        <v>261</v>
      </c>
      <c r="C762">
        <v>1</v>
      </c>
    </row>
    <row r="763" spans="1:3" x14ac:dyDescent="0.45">
      <c r="A763" t="s">
        <v>36</v>
      </c>
      <c r="B763">
        <v>262</v>
      </c>
      <c r="C763">
        <v>1</v>
      </c>
    </row>
    <row r="764" spans="1:3" x14ac:dyDescent="0.45">
      <c r="A764" t="s">
        <v>36</v>
      </c>
      <c r="B764">
        <v>263</v>
      </c>
      <c r="C764">
        <v>1</v>
      </c>
    </row>
    <row r="765" spans="1:3" x14ac:dyDescent="0.45">
      <c r="A765" t="s">
        <v>36</v>
      </c>
      <c r="B765">
        <v>264</v>
      </c>
      <c r="C765">
        <v>1</v>
      </c>
    </row>
    <row r="766" spans="1:3" x14ac:dyDescent="0.45">
      <c r="A766" t="s">
        <v>36</v>
      </c>
      <c r="B766">
        <v>265</v>
      </c>
      <c r="C766">
        <v>1</v>
      </c>
    </row>
    <row r="767" spans="1:3" x14ac:dyDescent="0.45">
      <c r="A767" t="s">
        <v>36</v>
      </c>
      <c r="B767">
        <v>266</v>
      </c>
      <c r="C767">
        <v>1</v>
      </c>
    </row>
    <row r="768" spans="1:3" x14ac:dyDescent="0.45">
      <c r="A768" t="s">
        <v>36</v>
      </c>
      <c r="B768">
        <v>267</v>
      </c>
      <c r="C768">
        <v>1</v>
      </c>
    </row>
    <row r="769" spans="1:3" x14ac:dyDescent="0.45">
      <c r="A769" t="s">
        <v>36</v>
      </c>
      <c r="B769">
        <v>268</v>
      </c>
      <c r="C769">
        <v>1</v>
      </c>
    </row>
    <row r="770" spans="1:3" x14ac:dyDescent="0.45">
      <c r="A770" t="s">
        <v>36</v>
      </c>
      <c r="B770">
        <v>269</v>
      </c>
      <c r="C770">
        <v>1</v>
      </c>
    </row>
    <row r="771" spans="1:3" x14ac:dyDescent="0.45">
      <c r="A771" t="s">
        <v>36</v>
      </c>
      <c r="B771">
        <v>270</v>
      </c>
      <c r="C771">
        <v>1</v>
      </c>
    </row>
    <row r="772" spans="1:3" x14ac:dyDescent="0.45">
      <c r="A772" t="s">
        <v>36</v>
      </c>
      <c r="B772">
        <v>271</v>
      </c>
      <c r="C772">
        <v>1</v>
      </c>
    </row>
    <row r="773" spans="1:3" x14ac:dyDescent="0.45">
      <c r="A773" t="s">
        <v>36</v>
      </c>
      <c r="B773">
        <v>272</v>
      </c>
      <c r="C773">
        <v>1</v>
      </c>
    </row>
    <row r="774" spans="1:3" x14ac:dyDescent="0.45">
      <c r="A774" t="s">
        <v>36</v>
      </c>
      <c r="B774">
        <v>273</v>
      </c>
      <c r="C774">
        <v>1</v>
      </c>
    </row>
    <row r="775" spans="1:3" x14ac:dyDescent="0.45">
      <c r="A775" t="s">
        <v>36</v>
      </c>
      <c r="B775">
        <v>274</v>
      </c>
      <c r="C775">
        <v>1</v>
      </c>
    </row>
    <row r="776" spans="1:3" x14ac:dyDescent="0.45">
      <c r="A776" t="s">
        <v>36</v>
      </c>
      <c r="B776">
        <v>275</v>
      </c>
      <c r="C776">
        <v>1</v>
      </c>
    </row>
    <row r="777" spans="1:3" x14ac:dyDescent="0.45">
      <c r="A777" t="s">
        <v>36</v>
      </c>
      <c r="B777">
        <v>276</v>
      </c>
      <c r="C777">
        <v>1</v>
      </c>
    </row>
    <row r="778" spans="1:3" x14ac:dyDescent="0.45">
      <c r="A778" t="s">
        <v>36</v>
      </c>
      <c r="B778">
        <v>277</v>
      </c>
      <c r="C778">
        <v>1</v>
      </c>
    </row>
    <row r="779" spans="1:3" x14ac:dyDescent="0.45">
      <c r="A779" t="s">
        <v>36</v>
      </c>
      <c r="B779">
        <v>278</v>
      </c>
      <c r="C779">
        <v>1</v>
      </c>
    </row>
    <row r="780" spans="1:3" x14ac:dyDescent="0.45">
      <c r="A780" t="s">
        <v>36</v>
      </c>
      <c r="B780">
        <v>279</v>
      </c>
      <c r="C780">
        <v>1</v>
      </c>
    </row>
    <row r="781" spans="1:3" x14ac:dyDescent="0.45">
      <c r="A781" t="s">
        <v>36</v>
      </c>
      <c r="B781">
        <v>280</v>
      </c>
      <c r="C781">
        <v>1</v>
      </c>
    </row>
    <row r="782" spans="1:3" x14ac:dyDescent="0.45">
      <c r="A782" t="s">
        <v>36</v>
      </c>
      <c r="B782">
        <v>281</v>
      </c>
      <c r="C782">
        <v>1</v>
      </c>
    </row>
    <row r="783" spans="1:3" x14ac:dyDescent="0.45">
      <c r="A783" t="s">
        <v>36</v>
      </c>
      <c r="B783">
        <v>282</v>
      </c>
      <c r="C783">
        <v>1</v>
      </c>
    </row>
    <row r="784" spans="1:3" x14ac:dyDescent="0.45">
      <c r="A784" t="s">
        <v>36</v>
      </c>
      <c r="B784">
        <v>283</v>
      </c>
      <c r="C784">
        <v>1</v>
      </c>
    </row>
    <row r="785" spans="1:3" x14ac:dyDescent="0.45">
      <c r="A785" t="s">
        <v>36</v>
      </c>
      <c r="B785">
        <v>284</v>
      </c>
      <c r="C785">
        <v>1</v>
      </c>
    </row>
    <row r="786" spans="1:3" x14ac:dyDescent="0.45">
      <c r="A786" t="s">
        <v>36</v>
      </c>
      <c r="B786">
        <v>285</v>
      </c>
      <c r="C786">
        <v>1</v>
      </c>
    </row>
    <row r="787" spans="1:3" x14ac:dyDescent="0.45">
      <c r="A787" t="s">
        <v>36</v>
      </c>
      <c r="B787">
        <v>286</v>
      </c>
      <c r="C787">
        <v>1</v>
      </c>
    </row>
    <row r="788" spans="1:3" x14ac:dyDescent="0.45">
      <c r="A788" t="s">
        <v>36</v>
      </c>
      <c r="B788">
        <v>287</v>
      </c>
      <c r="C788">
        <v>1</v>
      </c>
    </row>
    <row r="789" spans="1:3" x14ac:dyDescent="0.45">
      <c r="A789" t="s">
        <v>36</v>
      </c>
      <c r="B789">
        <v>288</v>
      </c>
      <c r="C789">
        <v>1</v>
      </c>
    </row>
    <row r="790" spans="1:3" x14ac:dyDescent="0.45">
      <c r="A790" t="s">
        <v>36</v>
      </c>
      <c r="B790">
        <v>289</v>
      </c>
      <c r="C790">
        <v>1</v>
      </c>
    </row>
    <row r="791" spans="1:3" x14ac:dyDescent="0.45">
      <c r="A791" t="s">
        <v>36</v>
      </c>
      <c r="B791">
        <v>290</v>
      </c>
      <c r="C791">
        <v>1</v>
      </c>
    </row>
    <row r="792" spans="1:3" x14ac:dyDescent="0.45">
      <c r="A792" t="s">
        <v>36</v>
      </c>
      <c r="B792">
        <v>291</v>
      </c>
      <c r="C792">
        <v>1</v>
      </c>
    </row>
    <row r="793" spans="1:3" x14ac:dyDescent="0.45">
      <c r="A793" t="s">
        <v>36</v>
      </c>
      <c r="B793">
        <v>292</v>
      </c>
      <c r="C793">
        <v>1</v>
      </c>
    </row>
    <row r="794" spans="1:3" x14ac:dyDescent="0.45">
      <c r="A794" t="s">
        <v>36</v>
      </c>
      <c r="B794">
        <v>293</v>
      </c>
      <c r="C794">
        <v>1</v>
      </c>
    </row>
    <row r="795" spans="1:3" x14ac:dyDescent="0.45">
      <c r="A795" t="s">
        <v>36</v>
      </c>
      <c r="B795">
        <v>294</v>
      </c>
      <c r="C795">
        <v>1</v>
      </c>
    </row>
    <row r="796" spans="1:3" x14ac:dyDescent="0.45">
      <c r="A796" t="s">
        <v>36</v>
      </c>
      <c r="B796">
        <v>295</v>
      </c>
      <c r="C796">
        <v>1</v>
      </c>
    </row>
    <row r="797" spans="1:3" x14ac:dyDescent="0.45">
      <c r="A797" t="s">
        <v>36</v>
      </c>
      <c r="B797">
        <v>296</v>
      </c>
      <c r="C797">
        <v>1</v>
      </c>
    </row>
    <row r="798" spans="1:3" x14ac:dyDescent="0.45">
      <c r="A798" t="s">
        <v>36</v>
      </c>
      <c r="B798">
        <v>297</v>
      </c>
      <c r="C798">
        <v>1</v>
      </c>
    </row>
    <row r="799" spans="1:3" x14ac:dyDescent="0.45">
      <c r="A799" t="s">
        <v>36</v>
      </c>
      <c r="B799">
        <v>298</v>
      </c>
      <c r="C799">
        <v>1</v>
      </c>
    </row>
    <row r="800" spans="1:3" x14ac:dyDescent="0.45">
      <c r="A800" t="s">
        <v>36</v>
      </c>
      <c r="B800">
        <v>299</v>
      </c>
      <c r="C800">
        <v>1</v>
      </c>
    </row>
    <row r="801" spans="1:3" x14ac:dyDescent="0.45">
      <c r="A801" t="s">
        <v>36</v>
      </c>
      <c r="B801">
        <v>300</v>
      </c>
      <c r="C801">
        <v>1</v>
      </c>
    </row>
    <row r="802" spans="1:3" x14ac:dyDescent="0.45">
      <c r="A802" t="s">
        <v>36</v>
      </c>
      <c r="B802">
        <v>301</v>
      </c>
      <c r="C802">
        <v>1</v>
      </c>
    </row>
    <row r="803" spans="1:3" x14ac:dyDescent="0.45">
      <c r="A803" t="s">
        <v>36</v>
      </c>
      <c r="B803">
        <v>302</v>
      </c>
      <c r="C803">
        <v>1</v>
      </c>
    </row>
    <row r="804" spans="1:3" x14ac:dyDescent="0.45">
      <c r="A804" t="s">
        <v>36</v>
      </c>
      <c r="B804">
        <v>303</v>
      </c>
      <c r="C804">
        <v>1</v>
      </c>
    </row>
    <row r="805" spans="1:3" x14ac:dyDescent="0.45">
      <c r="A805" t="s">
        <v>36</v>
      </c>
      <c r="B805">
        <v>304</v>
      </c>
      <c r="C805">
        <v>1</v>
      </c>
    </row>
    <row r="806" spans="1:3" x14ac:dyDescent="0.45">
      <c r="A806" t="s">
        <v>36</v>
      </c>
      <c r="B806">
        <v>305</v>
      </c>
      <c r="C806">
        <v>1</v>
      </c>
    </row>
    <row r="807" spans="1:3" x14ac:dyDescent="0.45">
      <c r="A807" t="s">
        <v>36</v>
      </c>
      <c r="B807">
        <v>306</v>
      </c>
      <c r="C807">
        <v>1</v>
      </c>
    </row>
    <row r="808" spans="1:3" x14ac:dyDescent="0.45">
      <c r="A808" t="s">
        <v>36</v>
      </c>
      <c r="B808">
        <v>307</v>
      </c>
      <c r="C808">
        <v>1</v>
      </c>
    </row>
    <row r="809" spans="1:3" x14ac:dyDescent="0.45">
      <c r="A809" t="s">
        <v>36</v>
      </c>
      <c r="B809">
        <v>308</v>
      </c>
      <c r="C809">
        <v>1</v>
      </c>
    </row>
    <row r="810" spans="1:3" x14ac:dyDescent="0.45">
      <c r="A810" t="s">
        <v>36</v>
      </c>
      <c r="B810">
        <v>309</v>
      </c>
      <c r="C810">
        <v>1</v>
      </c>
    </row>
    <row r="811" spans="1:3" x14ac:dyDescent="0.45">
      <c r="A811" t="s">
        <v>36</v>
      </c>
      <c r="B811">
        <v>310</v>
      </c>
      <c r="C811">
        <v>1</v>
      </c>
    </row>
    <row r="812" spans="1:3" x14ac:dyDescent="0.45">
      <c r="A812" t="s">
        <v>36</v>
      </c>
      <c r="B812">
        <v>311</v>
      </c>
      <c r="C812">
        <v>1</v>
      </c>
    </row>
    <row r="813" spans="1:3" x14ac:dyDescent="0.45">
      <c r="A813" t="s">
        <v>36</v>
      </c>
      <c r="B813">
        <v>312</v>
      </c>
      <c r="C813">
        <v>1</v>
      </c>
    </row>
    <row r="814" spans="1:3" x14ac:dyDescent="0.45">
      <c r="A814" t="s">
        <v>36</v>
      </c>
      <c r="B814">
        <v>313</v>
      </c>
      <c r="C814">
        <v>1</v>
      </c>
    </row>
    <row r="815" spans="1:3" x14ac:dyDescent="0.45">
      <c r="A815" t="s">
        <v>36</v>
      </c>
      <c r="B815">
        <v>314</v>
      </c>
      <c r="C815">
        <v>1</v>
      </c>
    </row>
    <row r="816" spans="1:3" x14ac:dyDescent="0.45">
      <c r="A816" t="s">
        <v>36</v>
      </c>
      <c r="B816">
        <v>315</v>
      </c>
      <c r="C816">
        <v>1</v>
      </c>
    </row>
    <row r="817" spans="1:3" x14ac:dyDescent="0.45">
      <c r="A817" t="s">
        <v>36</v>
      </c>
      <c r="B817">
        <v>316</v>
      </c>
      <c r="C817">
        <v>1</v>
      </c>
    </row>
    <row r="818" spans="1:3" x14ac:dyDescent="0.45">
      <c r="A818" t="s">
        <v>36</v>
      </c>
      <c r="B818">
        <v>317</v>
      </c>
      <c r="C818">
        <v>1</v>
      </c>
    </row>
    <row r="819" spans="1:3" x14ac:dyDescent="0.45">
      <c r="A819" t="s">
        <v>36</v>
      </c>
      <c r="B819">
        <v>318</v>
      </c>
      <c r="C819">
        <v>1</v>
      </c>
    </row>
    <row r="820" spans="1:3" x14ac:dyDescent="0.45">
      <c r="A820" t="s">
        <v>36</v>
      </c>
      <c r="B820">
        <v>319</v>
      </c>
      <c r="C820">
        <v>1</v>
      </c>
    </row>
    <row r="821" spans="1:3" x14ac:dyDescent="0.45">
      <c r="A821" t="s">
        <v>36</v>
      </c>
      <c r="B821">
        <v>320</v>
      </c>
      <c r="C821">
        <v>1</v>
      </c>
    </row>
    <row r="822" spans="1:3" x14ac:dyDescent="0.45">
      <c r="A822" t="s">
        <v>36</v>
      </c>
      <c r="B822">
        <v>321</v>
      </c>
      <c r="C822">
        <v>1</v>
      </c>
    </row>
    <row r="823" spans="1:3" x14ac:dyDescent="0.45">
      <c r="A823" t="s">
        <v>36</v>
      </c>
      <c r="B823">
        <v>322</v>
      </c>
      <c r="C823">
        <v>1</v>
      </c>
    </row>
    <row r="824" spans="1:3" x14ac:dyDescent="0.45">
      <c r="A824" t="s">
        <v>36</v>
      </c>
      <c r="B824">
        <v>323</v>
      </c>
      <c r="C824">
        <v>1</v>
      </c>
    </row>
    <row r="825" spans="1:3" x14ac:dyDescent="0.45">
      <c r="A825" t="s">
        <v>36</v>
      </c>
      <c r="B825">
        <v>324</v>
      </c>
      <c r="C825">
        <v>1</v>
      </c>
    </row>
    <row r="826" spans="1:3" x14ac:dyDescent="0.45">
      <c r="A826" t="s">
        <v>36</v>
      </c>
      <c r="B826">
        <v>325</v>
      </c>
      <c r="C826">
        <v>1</v>
      </c>
    </row>
    <row r="827" spans="1:3" x14ac:dyDescent="0.45">
      <c r="A827" t="s">
        <v>36</v>
      </c>
      <c r="B827">
        <v>326</v>
      </c>
      <c r="C827">
        <v>1</v>
      </c>
    </row>
    <row r="828" spans="1:3" x14ac:dyDescent="0.45">
      <c r="A828" t="s">
        <v>36</v>
      </c>
      <c r="B828">
        <v>327</v>
      </c>
      <c r="C828">
        <v>1</v>
      </c>
    </row>
    <row r="829" spans="1:3" x14ac:dyDescent="0.45">
      <c r="A829" t="s">
        <v>36</v>
      </c>
      <c r="B829">
        <v>328</v>
      </c>
      <c r="C829">
        <v>1</v>
      </c>
    </row>
    <row r="830" spans="1:3" x14ac:dyDescent="0.45">
      <c r="A830" t="s">
        <v>36</v>
      </c>
      <c r="B830">
        <v>329</v>
      </c>
      <c r="C830">
        <v>1</v>
      </c>
    </row>
    <row r="831" spans="1:3" x14ac:dyDescent="0.45">
      <c r="A831" t="s">
        <v>36</v>
      </c>
      <c r="B831">
        <v>330</v>
      </c>
      <c r="C831">
        <v>1</v>
      </c>
    </row>
    <row r="832" spans="1:3" x14ac:dyDescent="0.45">
      <c r="A832" t="s">
        <v>36</v>
      </c>
      <c r="B832">
        <v>331</v>
      </c>
      <c r="C832">
        <v>1</v>
      </c>
    </row>
    <row r="833" spans="1:3" x14ac:dyDescent="0.45">
      <c r="A833" t="s">
        <v>36</v>
      </c>
      <c r="B833">
        <v>332</v>
      </c>
      <c r="C833">
        <v>1</v>
      </c>
    </row>
    <row r="834" spans="1:3" x14ac:dyDescent="0.45">
      <c r="A834" t="s">
        <v>36</v>
      </c>
      <c r="B834">
        <v>333</v>
      </c>
      <c r="C834">
        <v>1</v>
      </c>
    </row>
    <row r="835" spans="1:3" x14ac:dyDescent="0.45">
      <c r="A835" t="s">
        <v>36</v>
      </c>
      <c r="B835">
        <v>334</v>
      </c>
      <c r="C835">
        <v>1</v>
      </c>
    </row>
    <row r="836" spans="1:3" x14ac:dyDescent="0.45">
      <c r="A836" t="s">
        <v>36</v>
      </c>
      <c r="B836">
        <v>335</v>
      </c>
      <c r="C836">
        <v>1</v>
      </c>
    </row>
    <row r="837" spans="1:3" x14ac:dyDescent="0.45">
      <c r="A837" t="s">
        <v>36</v>
      </c>
      <c r="B837">
        <v>336</v>
      </c>
      <c r="C837">
        <v>1</v>
      </c>
    </row>
    <row r="838" spans="1:3" x14ac:dyDescent="0.45">
      <c r="A838" t="s">
        <v>36</v>
      </c>
      <c r="B838">
        <v>337</v>
      </c>
      <c r="C838">
        <v>1</v>
      </c>
    </row>
    <row r="839" spans="1:3" x14ac:dyDescent="0.45">
      <c r="A839" t="s">
        <v>36</v>
      </c>
      <c r="B839">
        <v>338</v>
      </c>
      <c r="C839">
        <v>1</v>
      </c>
    </row>
    <row r="840" spans="1:3" x14ac:dyDescent="0.45">
      <c r="A840" t="s">
        <v>36</v>
      </c>
      <c r="B840">
        <v>339</v>
      </c>
      <c r="C840">
        <v>1</v>
      </c>
    </row>
    <row r="841" spans="1:3" x14ac:dyDescent="0.45">
      <c r="A841" t="s">
        <v>36</v>
      </c>
      <c r="B841">
        <v>340</v>
      </c>
      <c r="C841">
        <v>1</v>
      </c>
    </row>
    <row r="842" spans="1:3" x14ac:dyDescent="0.45">
      <c r="A842" t="s">
        <v>36</v>
      </c>
      <c r="B842">
        <v>341</v>
      </c>
      <c r="C842">
        <v>1</v>
      </c>
    </row>
    <row r="843" spans="1:3" x14ac:dyDescent="0.45">
      <c r="A843" t="s">
        <v>36</v>
      </c>
      <c r="B843">
        <v>342</v>
      </c>
      <c r="C843">
        <v>1</v>
      </c>
    </row>
    <row r="844" spans="1:3" x14ac:dyDescent="0.45">
      <c r="A844" t="s">
        <v>36</v>
      </c>
      <c r="B844">
        <v>343</v>
      </c>
      <c r="C844">
        <v>1</v>
      </c>
    </row>
    <row r="845" spans="1:3" x14ac:dyDescent="0.45">
      <c r="A845" t="s">
        <v>36</v>
      </c>
      <c r="B845">
        <v>344</v>
      </c>
      <c r="C845">
        <v>1</v>
      </c>
    </row>
    <row r="846" spans="1:3" x14ac:dyDescent="0.45">
      <c r="A846" t="s">
        <v>36</v>
      </c>
      <c r="B846">
        <v>345</v>
      </c>
      <c r="C846">
        <v>1</v>
      </c>
    </row>
    <row r="847" spans="1:3" x14ac:dyDescent="0.45">
      <c r="A847" t="s">
        <v>36</v>
      </c>
      <c r="B847">
        <v>346</v>
      </c>
      <c r="C847">
        <v>1</v>
      </c>
    </row>
    <row r="848" spans="1:3" x14ac:dyDescent="0.45">
      <c r="A848" t="s">
        <v>36</v>
      </c>
      <c r="B848">
        <v>347</v>
      </c>
      <c r="C848">
        <v>1</v>
      </c>
    </row>
    <row r="849" spans="1:3" x14ac:dyDescent="0.45">
      <c r="A849" t="s">
        <v>36</v>
      </c>
      <c r="B849">
        <v>348</v>
      </c>
      <c r="C849">
        <v>1</v>
      </c>
    </row>
    <row r="850" spans="1:3" x14ac:dyDescent="0.45">
      <c r="A850" t="s">
        <v>36</v>
      </c>
      <c r="B850">
        <v>349</v>
      </c>
      <c r="C850">
        <v>1</v>
      </c>
    </row>
    <row r="851" spans="1:3" x14ac:dyDescent="0.45">
      <c r="A851" t="s">
        <v>36</v>
      </c>
      <c r="B851">
        <v>350</v>
      </c>
      <c r="C851">
        <v>1</v>
      </c>
    </row>
    <row r="852" spans="1:3" x14ac:dyDescent="0.45">
      <c r="A852" t="s">
        <v>36</v>
      </c>
      <c r="B852">
        <v>351</v>
      </c>
      <c r="C852">
        <v>1</v>
      </c>
    </row>
    <row r="853" spans="1:3" x14ac:dyDescent="0.45">
      <c r="A853" t="s">
        <v>36</v>
      </c>
      <c r="B853">
        <v>352</v>
      </c>
      <c r="C853">
        <v>1</v>
      </c>
    </row>
    <row r="854" spans="1:3" x14ac:dyDescent="0.45">
      <c r="A854" t="s">
        <v>36</v>
      </c>
      <c r="B854">
        <v>353</v>
      </c>
      <c r="C854">
        <v>1</v>
      </c>
    </row>
    <row r="855" spans="1:3" x14ac:dyDescent="0.45">
      <c r="A855" t="s">
        <v>36</v>
      </c>
      <c r="B855">
        <v>354</v>
      </c>
      <c r="C855">
        <v>1</v>
      </c>
    </row>
    <row r="856" spans="1:3" x14ac:dyDescent="0.45">
      <c r="A856" t="s">
        <v>36</v>
      </c>
      <c r="B856">
        <v>355</v>
      </c>
      <c r="C856">
        <v>1</v>
      </c>
    </row>
    <row r="857" spans="1:3" x14ac:dyDescent="0.45">
      <c r="A857" t="s">
        <v>36</v>
      </c>
      <c r="B857">
        <v>356</v>
      </c>
      <c r="C857">
        <v>1</v>
      </c>
    </row>
    <row r="858" spans="1:3" x14ac:dyDescent="0.45">
      <c r="A858" t="s">
        <v>36</v>
      </c>
      <c r="B858">
        <v>357</v>
      </c>
      <c r="C858">
        <v>1</v>
      </c>
    </row>
    <row r="859" spans="1:3" x14ac:dyDescent="0.45">
      <c r="A859" t="s">
        <v>36</v>
      </c>
      <c r="B859">
        <v>358</v>
      </c>
      <c r="C859">
        <v>1</v>
      </c>
    </row>
    <row r="860" spans="1:3" x14ac:dyDescent="0.45">
      <c r="A860" t="s">
        <v>36</v>
      </c>
      <c r="B860">
        <v>359</v>
      </c>
      <c r="C860">
        <v>1</v>
      </c>
    </row>
    <row r="861" spans="1:3" x14ac:dyDescent="0.45">
      <c r="A861" t="s">
        <v>36</v>
      </c>
      <c r="B861">
        <v>360</v>
      </c>
      <c r="C861">
        <v>1</v>
      </c>
    </row>
    <row r="862" spans="1:3" x14ac:dyDescent="0.45">
      <c r="A862" t="s">
        <v>36</v>
      </c>
      <c r="B862">
        <v>361</v>
      </c>
      <c r="C862">
        <v>1</v>
      </c>
    </row>
    <row r="863" spans="1:3" x14ac:dyDescent="0.45">
      <c r="A863" t="s">
        <v>36</v>
      </c>
      <c r="B863">
        <v>362</v>
      </c>
      <c r="C863">
        <v>1</v>
      </c>
    </row>
    <row r="864" spans="1:3" x14ac:dyDescent="0.45">
      <c r="A864" t="s">
        <v>36</v>
      </c>
      <c r="B864">
        <v>363</v>
      </c>
      <c r="C864">
        <v>1</v>
      </c>
    </row>
    <row r="865" spans="1:3" x14ac:dyDescent="0.45">
      <c r="A865" t="s">
        <v>36</v>
      </c>
      <c r="B865">
        <v>364</v>
      </c>
      <c r="C865">
        <v>1</v>
      </c>
    </row>
    <row r="866" spans="1:3" x14ac:dyDescent="0.45">
      <c r="A866" t="s">
        <v>36</v>
      </c>
      <c r="B866">
        <v>365</v>
      </c>
      <c r="C866">
        <v>1</v>
      </c>
    </row>
    <row r="867" spans="1:3" x14ac:dyDescent="0.45">
      <c r="A867" t="s">
        <v>36</v>
      </c>
      <c r="B867">
        <v>366</v>
      </c>
      <c r="C867">
        <v>1</v>
      </c>
    </row>
    <row r="868" spans="1:3" x14ac:dyDescent="0.45">
      <c r="A868" t="s">
        <v>36</v>
      </c>
      <c r="B868">
        <v>367</v>
      </c>
      <c r="C868">
        <v>1</v>
      </c>
    </row>
    <row r="869" spans="1:3" x14ac:dyDescent="0.45">
      <c r="A869" t="s">
        <v>36</v>
      </c>
      <c r="B869">
        <v>368</v>
      </c>
      <c r="C869">
        <v>1</v>
      </c>
    </row>
    <row r="870" spans="1:3" x14ac:dyDescent="0.45">
      <c r="A870" t="s">
        <v>36</v>
      </c>
      <c r="B870">
        <v>369</v>
      </c>
      <c r="C870">
        <v>1</v>
      </c>
    </row>
    <row r="871" spans="1:3" x14ac:dyDescent="0.45">
      <c r="A871" t="s">
        <v>36</v>
      </c>
      <c r="B871">
        <v>370</v>
      </c>
      <c r="C871">
        <v>1</v>
      </c>
    </row>
    <row r="872" spans="1:3" x14ac:dyDescent="0.45">
      <c r="A872" t="s">
        <v>36</v>
      </c>
      <c r="B872">
        <v>371</v>
      </c>
      <c r="C872">
        <v>1</v>
      </c>
    </row>
    <row r="873" spans="1:3" x14ac:dyDescent="0.45">
      <c r="A873" t="s">
        <v>36</v>
      </c>
      <c r="B873">
        <v>372</v>
      </c>
      <c r="C873">
        <v>1</v>
      </c>
    </row>
    <row r="874" spans="1:3" x14ac:dyDescent="0.45">
      <c r="A874" t="s">
        <v>36</v>
      </c>
      <c r="B874">
        <v>373</v>
      </c>
      <c r="C874">
        <v>1</v>
      </c>
    </row>
    <row r="875" spans="1:3" x14ac:dyDescent="0.45">
      <c r="A875" t="s">
        <v>36</v>
      </c>
      <c r="B875">
        <v>374</v>
      </c>
      <c r="C875">
        <v>1</v>
      </c>
    </row>
    <row r="876" spans="1:3" x14ac:dyDescent="0.45">
      <c r="A876" t="s">
        <v>36</v>
      </c>
      <c r="B876">
        <v>375</v>
      </c>
      <c r="C876">
        <v>1</v>
      </c>
    </row>
    <row r="877" spans="1:3" x14ac:dyDescent="0.45">
      <c r="A877" t="s">
        <v>36</v>
      </c>
      <c r="B877">
        <v>376</v>
      </c>
      <c r="C877">
        <v>1</v>
      </c>
    </row>
    <row r="878" spans="1:3" x14ac:dyDescent="0.45">
      <c r="A878" t="s">
        <v>36</v>
      </c>
      <c r="B878">
        <v>377</v>
      </c>
      <c r="C878">
        <v>1</v>
      </c>
    </row>
    <row r="879" spans="1:3" x14ac:dyDescent="0.45">
      <c r="A879" t="s">
        <v>36</v>
      </c>
      <c r="B879">
        <v>378</v>
      </c>
      <c r="C879">
        <v>1</v>
      </c>
    </row>
    <row r="880" spans="1:3" x14ac:dyDescent="0.45">
      <c r="A880" t="s">
        <v>36</v>
      </c>
      <c r="B880">
        <v>379</v>
      </c>
      <c r="C880">
        <v>1</v>
      </c>
    </row>
    <row r="881" spans="1:3" x14ac:dyDescent="0.45">
      <c r="A881" t="s">
        <v>36</v>
      </c>
      <c r="B881">
        <v>380</v>
      </c>
      <c r="C881">
        <v>1</v>
      </c>
    </row>
    <row r="882" spans="1:3" x14ac:dyDescent="0.45">
      <c r="A882" t="s">
        <v>36</v>
      </c>
      <c r="B882">
        <v>381</v>
      </c>
      <c r="C882">
        <v>1</v>
      </c>
    </row>
    <row r="883" spans="1:3" x14ac:dyDescent="0.45">
      <c r="A883" t="s">
        <v>36</v>
      </c>
      <c r="B883">
        <v>382</v>
      </c>
      <c r="C883">
        <v>1</v>
      </c>
    </row>
    <row r="884" spans="1:3" x14ac:dyDescent="0.45">
      <c r="A884" t="s">
        <v>36</v>
      </c>
      <c r="B884">
        <v>383</v>
      </c>
      <c r="C884">
        <v>1</v>
      </c>
    </row>
    <row r="885" spans="1:3" x14ac:dyDescent="0.45">
      <c r="A885" t="s">
        <v>36</v>
      </c>
      <c r="B885">
        <v>384</v>
      </c>
      <c r="C885">
        <v>1</v>
      </c>
    </row>
    <row r="886" spans="1:3" x14ac:dyDescent="0.45">
      <c r="A886" t="s">
        <v>36</v>
      </c>
      <c r="B886">
        <v>385</v>
      </c>
      <c r="C886">
        <v>1</v>
      </c>
    </row>
    <row r="887" spans="1:3" x14ac:dyDescent="0.45">
      <c r="A887" t="s">
        <v>36</v>
      </c>
      <c r="B887">
        <v>386</v>
      </c>
      <c r="C887">
        <v>1</v>
      </c>
    </row>
    <row r="888" spans="1:3" x14ac:dyDescent="0.45">
      <c r="A888" t="s">
        <v>36</v>
      </c>
      <c r="B888">
        <v>387</v>
      </c>
      <c r="C888">
        <v>1</v>
      </c>
    </row>
    <row r="889" spans="1:3" x14ac:dyDescent="0.45">
      <c r="A889" t="s">
        <v>36</v>
      </c>
      <c r="B889">
        <v>388</v>
      </c>
      <c r="C889">
        <v>1</v>
      </c>
    </row>
    <row r="890" spans="1:3" x14ac:dyDescent="0.45">
      <c r="A890" t="s">
        <v>36</v>
      </c>
      <c r="B890">
        <v>389</v>
      </c>
      <c r="C890">
        <v>1</v>
      </c>
    </row>
    <row r="891" spans="1:3" x14ac:dyDescent="0.45">
      <c r="A891" t="s">
        <v>36</v>
      </c>
      <c r="B891">
        <v>390</v>
      </c>
      <c r="C891">
        <v>1</v>
      </c>
    </row>
    <row r="892" spans="1:3" x14ac:dyDescent="0.45">
      <c r="A892" t="s">
        <v>36</v>
      </c>
      <c r="B892">
        <v>391</v>
      </c>
      <c r="C892">
        <v>1</v>
      </c>
    </row>
    <row r="893" spans="1:3" x14ac:dyDescent="0.45">
      <c r="A893" t="s">
        <v>36</v>
      </c>
      <c r="B893">
        <v>392</v>
      </c>
      <c r="C893">
        <v>1</v>
      </c>
    </row>
    <row r="894" spans="1:3" x14ac:dyDescent="0.45">
      <c r="A894" t="s">
        <v>36</v>
      </c>
      <c r="B894">
        <v>393</v>
      </c>
      <c r="C894">
        <v>1</v>
      </c>
    </row>
    <row r="895" spans="1:3" x14ac:dyDescent="0.45">
      <c r="A895" t="s">
        <v>36</v>
      </c>
      <c r="B895">
        <v>394</v>
      </c>
      <c r="C895">
        <v>1</v>
      </c>
    </row>
    <row r="896" spans="1:3" x14ac:dyDescent="0.45">
      <c r="A896" t="s">
        <v>36</v>
      </c>
      <c r="B896">
        <v>395</v>
      </c>
      <c r="C896">
        <v>1</v>
      </c>
    </row>
    <row r="897" spans="1:3" x14ac:dyDescent="0.45">
      <c r="A897" t="s">
        <v>36</v>
      </c>
      <c r="B897">
        <v>396</v>
      </c>
      <c r="C897">
        <v>1</v>
      </c>
    </row>
    <row r="898" spans="1:3" x14ac:dyDescent="0.45">
      <c r="A898" t="s">
        <v>36</v>
      </c>
      <c r="B898">
        <v>397</v>
      </c>
      <c r="C898">
        <v>1</v>
      </c>
    </row>
    <row r="899" spans="1:3" x14ac:dyDescent="0.45">
      <c r="A899" t="s">
        <v>36</v>
      </c>
      <c r="B899">
        <v>398</v>
      </c>
      <c r="C899">
        <v>1</v>
      </c>
    </row>
    <row r="900" spans="1:3" x14ac:dyDescent="0.45">
      <c r="A900" t="s">
        <v>36</v>
      </c>
      <c r="B900">
        <v>399</v>
      </c>
      <c r="C900">
        <v>1</v>
      </c>
    </row>
    <row r="901" spans="1:3" x14ac:dyDescent="0.45">
      <c r="A901" t="s">
        <v>36</v>
      </c>
      <c r="B901">
        <v>400</v>
      </c>
      <c r="C901">
        <v>1</v>
      </c>
    </row>
    <row r="902" spans="1:3" x14ac:dyDescent="0.45">
      <c r="A902" t="s">
        <v>36</v>
      </c>
      <c r="B902">
        <v>401</v>
      </c>
      <c r="C902">
        <v>1</v>
      </c>
    </row>
    <row r="903" spans="1:3" x14ac:dyDescent="0.45">
      <c r="A903" t="s">
        <v>36</v>
      </c>
      <c r="B903">
        <v>402</v>
      </c>
      <c r="C903">
        <v>1</v>
      </c>
    </row>
    <row r="904" spans="1:3" x14ac:dyDescent="0.45">
      <c r="A904" t="s">
        <v>36</v>
      </c>
      <c r="B904">
        <v>403</v>
      </c>
      <c r="C904">
        <v>1</v>
      </c>
    </row>
    <row r="905" spans="1:3" x14ac:dyDescent="0.45">
      <c r="A905" t="s">
        <v>36</v>
      </c>
      <c r="B905">
        <v>404</v>
      </c>
      <c r="C905">
        <v>1</v>
      </c>
    </row>
    <row r="906" spans="1:3" x14ac:dyDescent="0.45">
      <c r="A906" t="s">
        <v>36</v>
      </c>
      <c r="B906">
        <v>405</v>
      </c>
      <c r="C906">
        <v>1</v>
      </c>
    </row>
    <row r="907" spans="1:3" x14ac:dyDescent="0.45">
      <c r="A907" t="s">
        <v>36</v>
      </c>
      <c r="B907">
        <v>406</v>
      </c>
      <c r="C907">
        <v>1</v>
      </c>
    </row>
    <row r="908" spans="1:3" x14ac:dyDescent="0.45">
      <c r="A908" t="s">
        <v>36</v>
      </c>
      <c r="B908">
        <v>407</v>
      </c>
      <c r="C908">
        <v>1</v>
      </c>
    </row>
    <row r="909" spans="1:3" x14ac:dyDescent="0.45">
      <c r="A909" t="s">
        <v>36</v>
      </c>
      <c r="B909">
        <v>408</v>
      </c>
      <c r="C909">
        <v>1</v>
      </c>
    </row>
    <row r="910" spans="1:3" x14ac:dyDescent="0.45">
      <c r="A910" t="s">
        <v>36</v>
      </c>
      <c r="B910">
        <v>409</v>
      </c>
      <c r="C910">
        <v>1</v>
      </c>
    </row>
    <row r="911" spans="1:3" x14ac:dyDescent="0.45">
      <c r="A911" t="s">
        <v>36</v>
      </c>
      <c r="B911">
        <v>410</v>
      </c>
      <c r="C911">
        <v>1</v>
      </c>
    </row>
    <row r="912" spans="1:3" x14ac:dyDescent="0.45">
      <c r="A912" t="s">
        <v>36</v>
      </c>
      <c r="B912">
        <v>411</v>
      </c>
      <c r="C912">
        <v>1</v>
      </c>
    </row>
    <row r="913" spans="1:3" x14ac:dyDescent="0.45">
      <c r="A913" t="s">
        <v>36</v>
      </c>
      <c r="B913">
        <v>412</v>
      </c>
      <c r="C913">
        <v>1</v>
      </c>
    </row>
    <row r="914" spans="1:3" x14ac:dyDescent="0.45">
      <c r="A914" t="s">
        <v>36</v>
      </c>
      <c r="B914">
        <v>413</v>
      </c>
      <c r="C914">
        <v>1</v>
      </c>
    </row>
    <row r="915" spans="1:3" x14ac:dyDescent="0.45">
      <c r="A915" t="s">
        <v>36</v>
      </c>
      <c r="B915">
        <v>414</v>
      </c>
      <c r="C915">
        <v>1</v>
      </c>
    </row>
    <row r="916" spans="1:3" x14ac:dyDescent="0.45">
      <c r="A916" t="s">
        <v>36</v>
      </c>
      <c r="B916">
        <v>415</v>
      </c>
      <c r="C916">
        <v>1</v>
      </c>
    </row>
    <row r="917" spans="1:3" x14ac:dyDescent="0.45">
      <c r="A917" t="s">
        <v>36</v>
      </c>
      <c r="B917">
        <v>416</v>
      </c>
      <c r="C917">
        <v>1</v>
      </c>
    </row>
    <row r="918" spans="1:3" x14ac:dyDescent="0.45">
      <c r="A918" t="s">
        <v>36</v>
      </c>
      <c r="B918">
        <v>417</v>
      </c>
      <c r="C918">
        <v>1</v>
      </c>
    </row>
    <row r="919" spans="1:3" x14ac:dyDescent="0.45">
      <c r="A919" t="s">
        <v>36</v>
      </c>
      <c r="B919">
        <v>418</v>
      </c>
      <c r="C919">
        <v>1</v>
      </c>
    </row>
    <row r="920" spans="1:3" x14ac:dyDescent="0.45">
      <c r="A920" t="s">
        <v>36</v>
      </c>
      <c r="B920">
        <v>419</v>
      </c>
      <c r="C920">
        <v>1</v>
      </c>
    </row>
    <row r="921" spans="1:3" x14ac:dyDescent="0.45">
      <c r="A921" t="s">
        <v>36</v>
      </c>
      <c r="B921">
        <v>420</v>
      </c>
      <c r="C921">
        <v>1</v>
      </c>
    </row>
    <row r="922" spans="1:3" x14ac:dyDescent="0.45">
      <c r="A922" t="s">
        <v>36</v>
      </c>
      <c r="B922">
        <v>421</v>
      </c>
      <c r="C922">
        <v>1</v>
      </c>
    </row>
    <row r="923" spans="1:3" x14ac:dyDescent="0.45">
      <c r="A923" t="s">
        <v>36</v>
      </c>
      <c r="B923">
        <v>422</v>
      </c>
      <c r="C923">
        <v>1</v>
      </c>
    </row>
    <row r="924" spans="1:3" x14ac:dyDescent="0.45">
      <c r="A924" t="s">
        <v>36</v>
      </c>
      <c r="B924">
        <v>423</v>
      </c>
      <c r="C924">
        <v>1</v>
      </c>
    </row>
    <row r="925" spans="1:3" x14ac:dyDescent="0.45">
      <c r="A925" t="s">
        <v>36</v>
      </c>
      <c r="B925">
        <v>424</v>
      </c>
      <c r="C925">
        <v>1</v>
      </c>
    </row>
    <row r="926" spans="1:3" x14ac:dyDescent="0.45">
      <c r="A926" t="s">
        <v>36</v>
      </c>
      <c r="B926">
        <v>425</v>
      </c>
      <c r="C926">
        <v>1</v>
      </c>
    </row>
    <row r="927" spans="1:3" x14ac:dyDescent="0.45">
      <c r="A927" t="s">
        <v>36</v>
      </c>
      <c r="B927">
        <v>426</v>
      </c>
      <c r="C927">
        <v>1</v>
      </c>
    </row>
    <row r="928" spans="1:3" x14ac:dyDescent="0.45">
      <c r="A928" t="s">
        <v>36</v>
      </c>
      <c r="B928">
        <v>427</v>
      </c>
      <c r="C928">
        <v>1</v>
      </c>
    </row>
    <row r="929" spans="1:3" x14ac:dyDescent="0.45">
      <c r="A929" t="s">
        <v>36</v>
      </c>
      <c r="B929">
        <v>428</v>
      </c>
      <c r="C929">
        <v>1</v>
      </c>
    </row>
    <row r="930" spans="1:3" x14ac:dyDescent="0.45">
      <c r="A930" t="s">
        <v>36</v>
      </c>
      <c r="B930">
        <v>429</v>
      </c>
      <c r="C930">
        <v>1</v>
      </c>
    </row>
    <row r="931" spans="1:3" x14ac:dyDescent="0.45">
      <c r="A931" t="s">
        <v>36</v>
      </c>
      <c r="B931">
        <v>430</v>
      </c>
      <c r="C931">
        <v>1</v>
      </c>
    </row>
    <row r="932" spans="1:3" x14ac:dyDescent="0.45">
      <c r="A932" t="s">
        <v>36</v>
      </c>
      <c r="B932">
        <v>431</v>
      </c>
      <c r="C932">
        <v>1</v>
      </c>
    </row>
    <row r="933" spans="1:3" x14ac:dyDescent="0.45">
      <c r="A933" t="s">
        <v>36</v>
      </c>
      <c r="B933">
        <v>432</v>
      </c>
      <c r="C933">
        <v>1</v>
      </c>
    </row>
    <row r="934" spans="1:3" x14ac:dyDescent="0.45">
      <c r="A934" t="s">
        <v>36</v>
      </c>
      <c r="B934">
        <v>433</v>
      </c>
      <c r="C934">
        <v>1</v>
      </c>
    </row>
    <row r="935" spans="1:3" x14ac:dyDescent="0.45">
      <c r="A935" t="s">
        <v>36</v>
      </c>
      <c r="B935">
        <v>434</v>
      </c>
      <c r="C935">
        <v>1</v>
      </c>
    </row>
    <row r="936" spans="1:3" x14ac:dyDescent="0.45">
      <c r="A936" t="s">
        <v>36</v>
      </c>
      <c r="B936">
        <v>435</v>
      </c>
      <c r="C936">
        <v>1</v>
      </c>
    </row>
    <row r="937" spans="1:3" x14ac:dyDescent="0.45">
      <c r="A937" t="s">
        <v>36</v>
      </c>
      <c r="B937">
        <v>436</v>
      </c>
      <c r="C937">
        <v>1</v>
      </c>
    </row>
    <row r="938" spans="1:3" x14ac:dyDescent="0.45">
      <c r="A938" t="s">
        <v>36</v>
      </c>
      <c r="B938">
        <v>437</v>
      </c>
      <c r="C938">
        <v>1</v>
      </c>
    </row>
    <row r="939" spans="1:3" x14ac:dyDescent="0.45">
      <c r="A939" t="s">
        <v>36</v>
      </c>
      <c r="B939">
        <v>438</v>
      </c>
      <c r="C939">
        <v>1</v>
      </c>
    </row>
    <row r="940" spans="1:3" x14ac:dyDescent="0.45">
      <c r="A940" t="s">
        <v>36</v>
      </c>
      <c r="B940">
        <v>439</v>
      </c>
      <c r="C940">
        <v>1</v>
      </c>
    </row>
    <row r="941" spans="1:3" x14ac:dyDescent="0.45">
      <c r="A941" t="s">
        <v>36</v>
      </c>
      <c r="B941">
        <v>440</v>
      </c>
      <c r="C941">
        <v>1</v>
      </c>
    </row>
    <row r="942" spans="1:3" x14ac:dyDescent="0.45">
      <c r="A942" t="s">
        <v>36</v>
      </c>
      <c r="B942">
        <v>441</v>
      </c>
      <c r="C942">
        <v>1</v>
      </c>
    </row>
    <row r="943" spans="1:3" x14ac:dyDescent="0.45">
      <c r="A943" t="s">
        <v>36</v>
      </c>
      <c r="B943">
        <v>442</v>
      </c>
      <c r="C943">
        <v>1</v>
      </c>
    </row>
    <row r="944" spans="1:3" x14ac:dyDescent="0.45">
      <c r="A944" t="s">
        <v>36</v>
      </c>
      <c r="B944">
        <v>443</v>
      </c>
      <c r="C944">
        <v>1</v>
      </c>
    </row>
    <row r="945" spans="1:3" x14ac:dyDescent="0.45">
      <c r="A945" t="s">
        <v>36</v>
      </c>
      <c r="B945">
        <v>444</v>
      </c>
      <c r="C945">
        <v>1</v>
      </c>
    </row>
    <row r="946" spans="1:3" x14ac:dyDescent="0.45">
      <c r="A946" t="s">
        <v>36</v>
      </c>
      <c r="B946">
        <v>445</v>
      </c>
      <c r="C946">
        <v>1</v>
      </c>
    </row>
    <row r="947" spans="1:3" x14ac:dyDescent="0.45">
      <c r="A947" t="s">
        <v>36</v>
      </c>
      <c r="B947">
        <v>446</v>
      </c>
      <c r="C947">
        <v>1</v>
      </c>
    </row>
    <row r="948" spans="1:3" x14ac:dyDescent="0.45">
      <c r="A948" t="s">
        <v>36</v>
      </c>
      <c r="B948">
        <v>447</v>
      </c>
      <c r="C948">
        <v>1</v>
      </c>
    </row>
    <row r="949" spans="1:3" x14ac:dyDescent="0.45">
      <c r="A949" t="s">
        <v>36</v>
      </c>
      <c r="B949">
        <v>448</v>
      </c>
      <c r="C949">
        <v>1</v>
      </c>
    </row>
    <row r="950" spans="1:3" x14ac:dyDescent="0.45">
      <c r="A950" t="s">
        <v>36</v>
      </c>
      <c r="B950">
        <v>449</v>
      </c>
      <c r="C950">
        <v>1</v>
      </c>
    </row>
    <row r="951" spans="1:3" x14ac:dyDescent="0.45">
      <c r="A951" t="s">
        <v>36</v>
      </c>
      <c r="B951">
        <v>450</v>
      </c>
      <c r="C951">
        <v>1</v>
      </c>
    </row>
    <row r="952" spans="1:3" x14ac:dyDescent="0.45">
      <c r="A952" t="s">
        <v>36</v>
      </c>
      <c r="B952">
        <v>451</v>
      </c>
      <c r="C952">
        <v>1</v>
      </c>
    </row>
    <row r="953" spans="1:3" x14ac:dyDescent="0.45">
      <c r="A953" t="s">
        <v>36</v>
      </c>
      <c r="B953">
        <v>452</v>
      </c>
      <c r="C953">
        <v>1</v>
      </c>
    </row>
    <row r="954" spans="1:3" x14ac:dyDescent="0.45">
      <c r="A954" t="s">
        <v>36</v>
      </c>
      <c r="B954">
        <v>453</v>
      </c>
      <c r="C954">
        <v>1</v>
      </c>
    </row>
    <row r="955" spans="1:3" x14ac:dyDescent="0.45">
      <c r="A955" t="s">
        <v>36</v>
      </c>
      <c r="B955">
        <v>454</v>
      </c>
      <c r="C955">
        <v>1</v>
      </c>
    </row>
    <row r="956" spans="1:3" x14ac:dyDescent="0.45">
      <c r="A956" t="s">
        <v>36</v>
      </c>
      <c r="B956">
        <v>455</v>
      </c>
      <c r="C956">
        <v>1</v>
      </c>
    </row>
    <row r="957" spans="1:3" x14ac:dyDescent="0.45">
      <c r="A957" t="s">
        <v>36</v>
      </c>
      <c r="B957">
        <v>456</v>
      </c>
      <c r="C957">
        <v>1</v>
      </c>
    </row>
    <row r="958" spans="1:3" x14ac:dyDescent="0.45">
      <c r="A958" t="s">
        <v>36</v>
      </c>
      <c r="B958">
        <v>457</v>
      </c>
      <c r="C958">
        <v>1</v>
      </c>
    </row>
    <row r="959" spans="1:3" x14ac:dyDescent="0.45">
      <c r="A959" t="s">
        <v>36</v>
      </c>
      <c r="B959">
        <v>458</v>
      </c>
      <c r="C959">
        <v>1</v>
      </c>
    </row>
    <row r="960" spans="1:3" x14ac:dyDescent="0.45">
      <c r="A960" t="s">
        <v>36</v>
      </c>
      <c r="B960">
        <v>459</v>
      </c>
      <c r="C960">
        <v>1</v>
      </c>
    </row>
    <row r="961" spans="1:3" x14ac:dyDescent="0.45">
      <c r="A961" t="s">
        <v>36</v>
      </c>
      <c r="B961">
        <v>460</v>
      </c>
      <c r="C961">
        <v>1</v>
      </c>
    </row>
    <row r="962" spans="1:3" x14ac:dyDescent="0.45">
      <c r="A962" t="s">
        <v>36</v>
      </c>
      <c r="B962">
        <v>461</v>
      </c>
      <c r="C962">
        <v>1</v>
      </c>
    </row>
    <row r="963" spans="1:3" x14ac:dyDescent="0.45">
      <c r="A963" t="s">
        <v>36</v>
      </c>
      <c r="B963">
        <v>462</v>
      </c>
      <c r="C963">
        <v>1</v>
      </c>
    </row>
    <row r="964" spans="1:3" x14ac:dyDescent="0.45">
      <c r="A964" t="s">
        <v>36</v>
      </c>
      <c r="B964">
        <v>463</v>
      </c>
      <c r="C964">
        <v>1</v>
      </c>
    </row>
    <row r="965" spans="1:3" x14ac:dyDescent="0.45">
      <c r="A965" t="s">
        <v>36</v>
      </c>
      <c r="B965">
        <v>464</v>
      </c>
      <c r="C965">
        <v>1</v>
      </c>
    </row>
    <row r="966" spans="1:3" x14ac:dyDescent="0.45">
      <c r="A966" t="s">
        <v>36</v>
      </c>
      <c r="B966">
        <v>465</v>
      </c>
      <c r="C966">
        <v>1</v>
      </c>
    </row>
    <row r="967" spans="1:3" x14ac:dyDescent="0.45">
      <c r="A967" t="s">
        <v>36</v>
      </c>
      <c r="B967">
        <v>466</v>
      </c>
      <c r="C967">
        <v>1</v>
      </c>
    </row>
    <row r="968" spans="1:3" x14ac:dyDescent="0.45">
      <c r="A968" t="s">
        <v>36</v>
      </c>
      <c r="B968">
        <v>467</v>
      </c>
      <c r="C968">
        <v>1</v>
      </c>
    </row>
    <row r="969" spans="1:3" x14ac:dyDescent="0.45">
      <c r="A969" t="s">
        <v>36</v>
      </c>
      <c r="B969">
        <v>468</v>
      </c>
      <c r="C969">
        <v>1</v>
      </c>
    </row>
    <row r="970" spans="1:3" x14ac:dyDescent="0.45">
      <c r="A970" t="s">
        <v>36</v>
      </c>
      <c r="B970">
        <v>469</v>
      </c>
      <c r="C970">
        <v>1</v>
      </c>
    </row>
    <row r="971" spans="1:3" x14ac:dyDescent="0.45">
      <c r="A971" t="s">
        <v>36</v>
      </c>
      <c r="B971">
        <v>470</v>
      </c>
      <c r="C971">
        <v>1</v>
      </c>
    </row>
    <row r="972" spans="1:3" x14ac:dyDescent="0.45">
      <c r="A972" t="s">
        <v>36</v>
      </c>
      <c r="B972">
        <v>471</v>
      </c>
      <c r="C972">
        <v>1</v>
      </c>
    </row>
    <row r="973" spans="1:3" x14ac:dyDescent="0.45">
      <c r="A973" t="s">
        <v>36</v>
      </c>
      <c r="B973">
        <v>472</v>
      </c>
      <c r="C973">
        <v>1</v>
      </c>
    </row>
    <row r="974" spans="1:3" x14ac:dyDescent="0.45">
      <c r="A974" t="s">
        <v>36</v>
      </c>
      <c r="B974">
        <v>473</v>
      </c>
      <c r="C974">
        <v>1</v>
      </c>
    </row>
    <row r="975" spans="1:3" x14ac:dyDescent="0.45">
      <c r="A975" t="s">
        <v>36</v>
      </c>
      <c r="B975">
        <v>474</v>
      </c>
      <c r="C975">
        <v>1</v>
      </c>
    </row>
    <row r="976" spans="1:3" x14ac:dyDescent="0.45">
      <c r="A976" t="s">
        <v>36</v>
      </c>
      <c r="B976">
        <v>475</v>
      </c>
      <c r="C976">
        <v>1</v>
      </c>
    </row>
    <row r="977" spans="1:3" x14ac:dyDescent="0.45">
      <c r="A977" t="s">
        <v>36</v>
      </c>
      <c r="B977">
        <v>476</v>
      </c>
      <c r="C977">
        <v>1</v>
      </c>
    </row>
    <row r="978" spans="1:3" x14ac:dyDescent="0.45">
      <c r="A978" t="s">
        <v>36</v>
      </c>
      <c r="B978">
        <v>477</v>
      </c>
      <c r="C978">
        <v>1</v>
      </c>
    </row>
    <row r="979" spans="1:3" x14ac:dyDescent="0.45">
      <c r="A979" t="s">
        <v>36</v>
      </c>
      <c r="B979">
        <v>478</v>
      </c>
      <c r="C979">
        <v>1</v>
      </c>
    </row>
    <row r="980" spans="1:3" x14ac:dyDescent="0.45">
      <c r="A980" t="s">
        <v>36</v>
      </c>
      <c r="B980">
        <v>479</v>
      </c>
      <c r="C980">
        <v>1</v>
      </c>
    </row>
    <row r="981" spans="1:3" x14ac:dyDescent="0.45">
      <c r="A981" t="s">
        <v>36</v>
      </c>
      <c r="B981">
        <v>480</v>
      </c>
      <c r="C981">
        <v>1</v>
      </c>
    </row>
    <row r="982" spans="1:3" x14ac:dyDescent="0.45">
      <c r="A982" t="s">
        <v>36</v>
      </c>
      <c r="B982">
        <v>481</v>
      </c>
      <c r="C982">
        <v>1</v>
      </c>
    </row>
    <row r="983" spans="1:3" x14ac:dyDescent="0.45">
      <c r="A983" t="s">
        <v>36</v>
      </c>
      <c r="B983">
        <v>482</v>
      </c>
      <c r="C983">
        <v>1</v>
      </c>
    </row>
    <row r="984" spans="1:3" x14ac:dyDescent="0.45">
      <c r="A984" t="s">
        <v>36</v>
      </c>
      <c r="B984">
        <v>483</v>
      </c>
      <c r="C984">
        <v>1</v>
      </c>
    </row>
    <row r="985" spans="1:3" x14ac:dyDescent="0.45">
      <c r="A985" t="s">
        <v>36</v>
      </c>
      <c r="B985">
        <v>484</v>
      </c>
      <c r="C985">
        <v>1</v>
      </c>
    </row>
    <row r="986" spans="1:3" x14ac:dyDescent="0.45">
      <c r="A986" t="s">
        <v>36</v>
      </c>
      <c r="B986">
        <v>485</v>
      </c>
      <c r="C986">
        <v>1</v>
      </c>
    </row>
    <row r="987" spans="1:3" x14ac:dyDescent="0.45">
      <c r="A987" t="s">
        <v>36</v>
      </c>
      <c r="B987">
        <v>486</v>
      </c>
      <c r="C987">
        <v>1</v>
      </c>
    </row>
    <row r="988" spans="1:3" x14ac:dyDescent="0.45">
      <c r="A988" t="s">
        <v>36</v>
      </c>
      <c r="B988">
        <v>487</v>
      </c>
      <c r="C988">
        <v>1</v>
      </c>
    </row>
    <row r="989" spans="1:3" x14ac:dyDescent="0.45">
      <c r="A989" t="s">
        <v>36</v>
      </c>
      <c r="B989">
        <v>488</v>
      </c>
      <c r="C989">
        <v>1</v>
      </c>
    </row>
    <row r="990" spans="1:3" x14ac:dyDescent="0.45">
      <c r="A990" t="s">
        <v>36</v>
      </c>
      <c r="B990">
        <v>489</v>
      </c>
      <c r="C990">
        <v>1</v>
      </c>
    </row>
    <row r="991" spans="1:3" x14ac:dyDescent="0.45">
      <c r="A991" t="s">
        <v>36</v>
      </c>
      <c r="B991">
        <v>490</v>
      </c>
      <c r="C991">
        <v>1</v>
      </c>
    </row>
    <row r="992" spans="1:3" x14ac:dyDescent="0.45">
      <c r="A992" t="s">
        <v>36</v>
      </c>
      <c r="B992">
        <v>491</v>
      </c>
      <c r="C992">
        <v>1</v>
      </c>
    </row>
    <row r="993" spans="1:3" x14ac:dyDescent="0.45">
      <c r="A993" t="s">
        <v>36</v>
      </c>
      <c r="B993">
        <v>492</v>
      </c>
      <c r="C993">
        <v>1</v>
      </c>
    </row>
    <row r="994" spans="1:3" x14ac:dyDescent="0.45">
      <c r="A994" t="s">
        <v>36</v>
      </c>
      <c r="B994">
        <v>493</v>
      </c>
      <c r="C994">
        <v>1</v>
      </c>
    </row>
    <row r="995" spans="1:3" x14ac:dyDescent="0.45">
      <c r="A995" t="s">
        <v>36</v>
      </c>
      <c r="B995">
        <v>494</v>
      </c>
      <c r="C995">
        <v>1</v>
      </c>
    </row>
    <row r="996" spans="1:3" x14ac:dyDescent="0.45">
      <c r="A996" t="s">
        <v>36</v>
      </c>
      <c r="B996">
        <v>495</v>
      </c>
      <c r="C996">
        <v>1</v>
      </c>
    </row>
    <row r="997" spans="1:3" x14ac:dyDescent="0.45">
      <c r="A997" t="s">
        <v>36</v>
      </c>
      <c r="B997">
        <v>496</v>
      </c>
      <c r="C997">
        <v>1</v>
      </c>
    </row>
    <row r="998" spans="1:3" x14ac:dyDescent="0.45">
      <c r="A998" t="s">
        <v>36</v>
      </c>
      <c r="B998">
        <v>497</v>
      </c>
      <c r="C998">
        <v>1</v>
      </c>
    </row>
    <row r="999" spans="1:3" x14ac:dyDescent="0.45">
      <c r="A999" t="s">
        <v>36</v>
      </c>
      <c r="B999">
        <v>498</v>
      </c>
      <c r="C999">
        <v>1</v>
      </c>
    </row>
    <row r="1000" spans="1:3" x14ac:dyDescent="0.45">
      <c r="A1000" t="s">
        <v>36</v>
      </c>
      <c r="B1000">
        <v>499</v>
      </c>
      <c r="C1000">
        <v>1</v>
      </c>
    </row>
    <row r="1001" spans="1:3" x14ac:dyDescent="0.45">
      <c r="A1001" t="s">
        <v>36</v>
      </c>
      <c r="B1001">
        <v>500</v>
      </c>
      <c r="C1001">
        <v>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2D8DF-39FE-4585-BF16-EF1801405836}">
  <dimension ref="A1:B67"/>
  <sheetViews>
    <sheetView workbookViewId="0">
      <selection activeCell="B3" sqref="B3"/>
    </sheetView>
  </sheetViews>
  <sheetFormatPr defaultRowHeight="14.25" x14ac:dyDescent="0.45"/>
  <cols>
    <col min="1" max="1" width="26.06640625" customWidth="1"/>
    <col min="2" max="2" width="12.59765625" customWidth="1"/>
  </cols>
  <sheetData>
    <row r="1" spans="1:2" ht="15.75" x14ac:dyDescent="0.5">
      <c r="A1" s="18" t="s">
        <v>665</v>
      </c>
    </row>
    <row r="2" spans="1:2" x14ac:dyDescent="0.45">
      <c r="A2" t="s">
        <v>664</v>
      </c>
      <c r="B2" t="s">
        <v>595</v>
      </c>
    </row>
    <row r="3" spans="1:2" x14ac:dyDescent="0.45">
      <c r="A3" t="s">
        <v>596</v>
      </c>
      <c r="B3" s="19">
        <f>SUM(fashion_store_salesitems!N:N)</f>
        <v>324236.87000000046</v>
      </c>
    </row>
    <row r="4" spans="1:2" x14ac:dyDescent="0.45">
      <c r="A4" t="s">
        <v>597</v>
      </c>
      <c r="B4">
        <f>COUNTA(_xlfn.UNIQUE(fashion_store_sales!A:A))</f>
        <v>907</v>
      </c>
    </row>
    <row r="5" spans="1:2" x14ac:dyDescent="0.45">
      <c r="A5" t="s">
        <v>662</v>
      </c>
      <c r="B5">
        <f>COUNTA(_xlfn.UNIQUE(sales[customer_id]))</f>
        <v>580</v>
      </c>
    </row>
    <row r="6" spans="1:2" x14ac:dyDescent="0.45">
      <c r="A6" t="s">
        <v>598</v>
      </c>
      <c r="B6">
        <f>SUM(salesitems[quantity])</f>
        <v>6715</v>
      </c>
    </row>
    <row r="7" spans="1:2" x14ac:dyDescent="0.45">
      <c r="A7" t="s">
        <v>599</v>
      </c>
      <c r="B7" s="10">
        <f>B3/B4</f>
        <v>357.48276736493989</v>
      </c>
    </row>
    <row r="8" spans="1:2" x14ac:dyDescent="0.45">
      <c r="A8" t="s">
        <v>600</v>
      </c>
      <c r="B8" s="10">
        <f>B6/B4</f>
        <v>7.4035281146637262</v>
      </c>
    </row>
    <row r="9" spans="1:2" x14ac:dyDescent="0.45">
      <c r="A9" t="s">
        <v>601</v>
      </c>
      <c r="B9" t="s">
        <v>583</v>
      </c>
    </row>
    <row r="10" spans="1:2" x14ac:dyDescent="0.45">
      <c r="A10" t="s">
        <v>602</v>
      </c>
      <c r="B10" t="s">
        <v>590</v>
      </c>
    </row>
    <row r="11" spans="1:2" x14ac:dyDescent="0.45">
      <c r="A11" t="s">
        <v>586</v>
      </c>
      <c r="B11" s="2">
        <f>GETPIVOTDATA("Mom Growth",monthly_revenue_pivot!$A$3,"Months (sale_date)",6)</f>
        <v>-0.63663916518544905</v>
      </c>
    </row>
    <row r="13" spans="1:2" ht="15.75" x14ac:dyDescent="0.5">
      <c r="A13" s="18" t="s">
        <v>666</v>
      </c>
    </row>
    <row r="14" spans="1:2" x14ac:dyDescent="0.45">
      <c r="A14" t="s">
        <v>664</v>
      </c>
      <c r="B14" t="s">
        <v>595</v>
      </c>
    </row>
    <row r="15" spans="1:2" x14ac:dyDescent="0.45">
      <c r="A15" t="s">
        <v>613</v>
      </c>
      <c r="B15">
        <v>798</v>
      </c>
    </row>
    <row r="16" spans="1:2" x14ac:dyDescent="0.45">
      <c r="A16" t="s">
        <v>614</v>
      </c>
      <c r="B16">
        <v>776.8</v>
      </c>
    </row>
    <row r="17" spans="1:2" x14ac:dyDescent="0.45">
      <c r="A17" t="s">
        <v>615</v>
      </c>
      <c r="B17" s="10">
        <v>275.81533333333334</v>
      </c>
    </row>
    <row r="18" spans="1:2" x14ac:dyDescent="0.45">
      <c r="A18" t="s">
        <v>616</v>
      </c>
      <c r="B18" t="s">
        <v>36</v>
      </c>
    </row>
    <row r="19" spans="1:2" x14ac:dyDescent="0.45">
      <c r="A19" t="s">
        <v>617</v>
      </c>
      <c r="B19" t="s">
        <v>21</v>
      </c>
    </row>
    <row r="21" spans="1:2" ht="15.75" x14ac:dyDescent="0.5">
      <c r="A21" s="18" t="s">
        <v>667</v>
      </c>
    </row>
    <row r="22" spans="1:2" x14ac:dyDescent="0.45">
      <c r="A22" t="s">
        <v>664</v>
      </c>
      <c r="B22" t="s">
        <v>595</v>
      </c>
    </row>
    <row r="23" spans="1:2" x14ac:dyDescent="0.45">
      <c r="A23" t="s">
        <v>607</v>
      </c>
      <c r="B23" t="s">
        <v>21</v>
      </c>
    </row>
    <row r="24" spans="1:2" x14ac:dyDescent="0.45">
      <c r="A24" t="s">
        <v>608</v>
      </c>
      <c r="B24" t="s">
        <v>21</v>
      </c>
    </row>
    <row r="26" spans="1:2" ht="15.75" x14ac:dyDescent="0.5">
      <c r="A26" s="18" t="s">
        <v>668</v>
      </c>
    </row>
    <row r="27" spans="1:2" x14ac:dyDescent="0.45">
      <c r="A27" t="s">
        <v>664</v>
      </c>
      <c r="B27" t="s">
        <v>606</v>
      </c>
    </row>
    <row r="28" spans="1:2" x14ac:dyDescent="0.45">
      <c r="A28" s="7" t="s">
        <v>619</v>
      </c>
      <c r="B28" s="8" t="s">
        <v>65</v>
      </c>
    </row>
    <row r="29" spans="1:2" x14ac:dyDescent="0.45">
      <c r="A29" s="9" t="s">
        <v>620</v>
      </c>
      <c r="B29" s="20">
        <v>70074.009999999966</v>
      </c>
    </row>
    <row r="31" spans="1:2" ht="15.75" x14ac:dyDescent="0.5">
      <c r="A31" s="18" t="s">
        <v>669</v>
      </c>
    </row>
    <row r="32" spans="1:2" x14ac:dyDescent="0.45">
      <c r="A32" t="s">
        <v>664</v>
      </c>
      <c r="B32" t="s">
        <v>595</v>
      </c>
    </row>
    <row r="33" spans="1:2" x14ac:dyDescent="0.45">
      <c r="A33" t="s">
        <v>623</v>
      </c>
      <c r="B33" s="19">
        <f>GETPIVOTDATA("Sum of revenue",country_sales_pivot!$A$3,"country","France")</f>
        <v>19498.7</v>
      </c>
    </row>
    <row r="34" spans="1:2" x14ac:dyDescent="0.45">
      <c r="A34" t="s">
        <v>622</v>
      </c>
      <c r="B34" s="19">
        <f>GETPIVOTDATA("Sum of revenue",country_sales_pivot!$A$3,"country","Germany")</f>
        <v>21266.540000000005</v>
      </c>
    </row>
    <row r="35" spans="1:2" x14ac:dyDescent="0.45">
      <c r="A35" t="s">
        <v>624</v>
      </c>
      <c r="B35">
        <f>GETPIVOTDATA("Count of sale_id",country_sales_pivot!$A$3,"country","France")</f>
        <v>199</v>
      </c>
    </row>
    <row r="36" spans="1:2" x14ac:dyDescent="0.45">
      <c r="A36" t="s">
        <v>625</v>
      </c>
      <c r="B36">
        <f>GETPIVOTDATA("Count of sale_id",country_sales_pivot!$A$3,"country","Germany")</f>
        <v>212</v>
      </c>
    </row>
    <row r="37" spans="1:2" x14ac:dyDescent="0.45">
      <c r="A37" t="s">
        <v>626</v>
      </c>
      <c r="B37">
        <f ca="1">country_sales_pivot!D4</f>
        <v>24076</v>
      </c>
    </row>
    <row r="38" spans="1:2" x14ac:dyDescent="0.45">
      <c r="A38" t="s">
        <v>627</v>
      </c>
      <c r="B38">
        <f ca="1">country_sales_pivot!D5</f>
        <v>499</v>
      </c>
    </row>
    <row r="39" spans="1:2" x14ac:dyDescent="0.45">
      <c r="A39" t="s">
        <v>628</v>
      </c>
      <c r="B39" s="10">
        <f ca="1">B33/B37</f>
        <v>0.80988120950323972</v>
      </c>
    </row>
    <row r="40" spans="1:2" x14ac:dyDescent="0.45">
      <c r="A40" t="s">
        <v>629</v>
      </c>
      <c r="B40" s="10">
        <f ca="1">B34/B38</f>
        <v>42.618316633266545</v>
      </c>
    </row>
    <row r="41" spans="1:2" x14ac:dyDescent="0.45">
      <c r="A41" t="s">
        <v>631</v>
      </c>
      <c r="B41" s="21">
        <f ca="1">B35/B37</f>
        <v>8.2654926067453061E-3</v>
      </c>
    </row>
    <row r="42" spans="1:2" x14ac:dyDescent="0.45">
      <c r="A42" t="s">
        <v>630</v>
      </c>
      <c r="B42" s="21">
        <f ca="1">B36/B38</f>
        <v>0.42484969939879758</v>
      </c>
    </row>
    <row r="43" spans="1:2" x14ac:dyDescent="0.45">
      <c r="A43" t="s">
        <v>621</v>
      </c>
      <c r="B43" t="s">
        <v>36</v>
      </c>
    </row>
    <row r="44" spans="1:2" x14ac:dyDescent="0.45">
      <c r="A44" t="s">
        <v>632</v>
      </c>
      <c r="B44" s="2">
        <f>B33/(B33+B34)</f>
        <v>0.47831682089937405</v>
      </c>
    </row>
    <row r="45" spans="1:2" x14ac:dyDescent="0.45">
      <c r="A45" t="s">
        <v>633</v>
      </c>
      <c r="B45" s="2">
        <f>B34/(B33+B34)</f>
        <v>0.521683179100626</v>
      </c>
    </row>
    <row r="47" spans="1:2" ht="15.75" x14ac:dyDescent="0.5">
      <c r="A47" s="18" t="s">
        <v>670</v>
      </c>
    </row>
    <row r="48" spans="1:2" x14ac:dyDescent="0.45">
      <c r="A48" t="s">
        <v>664</v>
      </c>
      <c r="B48" t="s">
        <v>595</v>
      </c>
    </row>
    <row r="49" spans="1:2" x14ac:dyDescent="0.45">
      <c r="A49" t="s">
        <v>637</v>
      </c>
      <c r="B49" s="10">
        <f>'basket Analysis pivot'!D4</f>
        <v>7.4198895027624312</v>
      </c>
    </row>
    <row r="50" spans="1:2" x14ac:dyDescent="0.45">
      <c r="A50" t="s">
        <v>638</v>
      </c>
      <c r="B50" s="10">
        <f>'basket Analysis pivot'!E4</f>
        <v>2.4895027624309392</v>
      </c>
    </row>
    <row r="52" spans="1:2" ht="15.75" x14ac:dyDescent="0.5">
      <c r="A52" s="18" t="s">
        <v>671</v>
      </c>
    </row>
    <row r="53" spans="1:2" x14ac:dyDescent="0.45">
      <c r="A53" t="s">
        <v>664</v>
      </c>
      <c r="B53" t="s">
        <v>595</v>
      </c>
    </row>
    <row r="54" spans="1:2" x14ac:dyDescent="0.45">
      <c r="A54" t="s">
        <v>640</v>
      </c>
      <c r="B54" s="19">
        <f>time_analysis_pivot!D4</f>
        <v>30467.296666666658</v>
      </c>
    </row>
    <row r="55" spans="1:2" x14ac:dyDescent="0.45">
      <c r="A55" t="s">
        <v>641</v>
      </c>
      <c r="B55" t="str">
        <f>time_analysis_pivot!E4</f>
        <v>May</v>
      </c>
    </row>
    <row r="56" spans="1:2" x14ac:dyDescent="0.45">
      <c r="A56" t="s">
        <v>642</v>
      </c>
      <c r="B56" t="str">
        <f>time_analysis_pivot!F4</f>
        <v>May</v>
      </c>
    </row>
    <row r="58" spans="1:2" ht="15.75" x14ac:dyDescent="0.5">
      <c r="A58" s="18" t="s">
        <v>672</v>
      </c>
    </row>
    <row r="59" spans="1:2" x14ac:dyDescent="0.45">
      <c r="A59" t="s">
        <v>664</v>
      </c>
      <c r="B59" t="s">
        <v>595</v>
      </c>
    </row>
    <row r="60" spans="1:2" x14ac:dyDescent="0.45">
      <c r="A60" t="s">
        <v>649</v>
      </c>
      <c r="B60">
        <f>COUNTA(_xlfn.UNIQUE(sales[customer_id]))</f>
        <v>580</v>
      </c>
    </row>
    <row r="61" spans="1:2" x14ac:dyDescent="0.45">
      <c r="A61" t="s">
        <v>650</v>
      </c>
      <c r="B61" s="2">
        <f>1-(B62+B63)</f>
        <v>0.68965517241379315</v>
      </c>
    </row>
    <row r="62" spans="1:2" x14ac:dyDescent="0.45">
      <c r="A62" t="s">
        <v>654</v>
      </c>
      <c r="B62" s="2" cm="1">
        <f t="array" ref="B62">COUNTA(_xlfn.UNIQUE(_xlfn._xlws.FILTER(sales[customer_id],sales[customer_type]="data issue")))/COUNTA(_xlfn.UNIQUE(sales[customer_id]))</f>
        <v>0.10862068965517241</v>
      </c>
    </row>
    <row r="63" spans="1:2" x14ac:dyDescent="0.45">
      <c r="A63" t="s">
        <v>655</v>
      </c>
      <c r="B63" s="2" cm="1">
        <f t="array" ref="B63">COUNTA(_xlfn.UNIQUE(_xlfn._xlws.FILTER(sales[customer_id],sales[customer_type]="existing customer")))/COUNTA(_xlfn.UNIQUE(sales[customer_id]))</f>
        <v>0.20172413793103447</v>
      </c>
    </row>
    <row r="64" spans="1:2" x14ac:dyDescent="0.45">
      <c r="A64" t="s">
        <v>651</v>
      </c>
      <c r="B64" s="2">
        <f>SUMIF(sales[customer_type],"new customer",sales[revenue])/SUM(sales[revenue])</f>
        <v>0.75659354527570466</v>
      </c>
    </row>
    <row r="65" spans="1:2" x14ac:dyDescent="0.45">
      <c r="A65" t="s">
        <v>656</v>
      </c>
      <c r="B65" s="2">
        <f>SUMIF(sales[customer_type],"data issue",sales[revenue])/SUM(sales[revenue])</f>
        <v>7.346740860610218E-2</v>
      </c>
    </row>
    <row r="66" spans="1:2" x14ac:dyDescent="0.45">
      <c r="A66" t="s">
        <v>652</v>
      </c>
      <c r="B66" s="2">
        <f>SUMIF(sales[customer_type],"existing customer",sales[revenue])/SUM(sales[revenue])</f>
        <v>0.16993904611819308</v>
      </c>
    </row>
    <row r="67" spans="1:2" x14ac:dyDescent="0.45">
      <c r="A67" t="s">
        <v>653</v>
      </c>
      <c r="B67" t="str">
        <f>age_range_performance_pivot!A4</f>
        <v>26-35</v>
      </c>
    </row>
  </sheetData>
  <pageMargins left="0.7" right="0.7" top="0.75" bottom="0.75" header="0.3" footer="0.3"/>
  <tableParts count="8">
    <tablePart r:id="rId1"/>
    <tablePart r:id="rId2"/>
    <tablePart r:id="rId3"/>
    <tablePart r:id="rId4"/>
    <tablePart r:id="rId5"/>
    <tablePart r:id="rId6"/>
    <tablePart r:id="rId7"/>
    <tablePart r:id="rId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5FB70-CAA0-4084-8E42-4DEF5C1BB691}">
  <dimension ref="A3:D7"/>
  <sheetViews>
    <sheetView workbookViewId="0">
      <selection activeCell="C6" sqref="C6"/>
    </sheetView>
  </sheetViews>
  <sheetFormatPr defaultRowHeight="14.25" x14ac:dyDescent="0.45"/>
  <cols>
    <col min="1" max="1" width="11.9296875" bestFit="1" customWidth="1"/>
    <col min="2" max="2" width="13.19921875" bestFit="1" customWidth="1"/>
    <col min="3" max="3" width="10.86328125" bestFit="1" customWidth="1"/>
    <col min="4" max="4" width="13.6640625" style="2" customWidth="1"/>
  </cols>
  <sheetData>
    <row r="3" spans="1:4" x14ac:dyDescent="0.45">
      <c r="A3" s="3" t="s">
        <v>580</v>
      </c>
      <c r="B3" t="s">
        <v>585</v>
      </c>
      <c r="C3" t="s">
        <v>586</v>
      </c>
      <c r="D3" s="2" t="s">
        <v>586</v>
      </c>
    </row>
    <row r="4" spans="1:4" x14ac:dyDescent="0.45">
      <c r="A4" s="4" t="s">
        <v>582</v>
      </c>
      <c r="B4">
        <v>132588.00999999986</v>
      </c>
      <c r="C4" s="2"/>
    </row>
    <row r="5" spans="1:4" x14ac:dyDescent="0.45">
      <c r="A5" s="4" t="s">
        <v>583</v>
      </c>
      <c r="B5">
        <v>143471.57000000007</v>
      </c>
      <c r="C5" s="2">
        <v>8.2085552079710772E-2</v>
      </c>
      <c r="D5" s="2">
        <f>(B5-B4)/B4</f>
        <v>8.2085552079710772E-2</v>
      </c>
    </row>
    <row r="6" spans="1:4" x14ac:dyDescent="0.45">
      <c r="A6" s="4" t="s">
        <v>584</v>
      </c>
      <c r="B6">
        <v>48177.289999999979</v>
      </c>
      <c r="C6" s="2">
        <v>-0.63663916518544905</v>
      </c>
      <c r="D6" s="2">
        <f>(B6-B5)/B5</f>
        <v>-0.66420322855601321</v>
      </c>
    </row>
    <row r="7" spans="1:4" x14ac:dyDescent="0.45">
      <c r="A7" s="4" t="s">
        <v>581</v>
      </c>
      <c r="B7">
        <v>324236.86999999994</v>
      </c>
      <c r="C7"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26564-C689-49F7-A969-895FF24F627D}">
  <dimension ref="A3:B11"/>
  <sheetViews>
    <sheetView workbookViewId="0">
      <selection activeCell="I22" sqref="I22"/>
    </sheetView>
  </sheetViews>
  <sheetFormatPr defaultRowHeight="14.25" x14ac:dyDescent="0.45"/>
  <cols>
    <col min="1" max="1" width="11.9296875" bestFit="1" customWidth="1"/>
    <col min="2" max="2" width="13.19921875" bestFit="1" customWidth="1"/>
  </cols>
  <sheetData>
    <row r="3" spans="1:2" x14ac:dyDescent="0.45">
      <c r="A3" s="3" t="s">
        <v>580</v>
      </c>
      <c r="B3" t="s">
        <v>585</v>
      </c>
    </row>
    <row r="4" spans="1:2" x14ac:dyDescent="0.45">
      <c r="A4" s="4" t="s">
        <v>588</v>
      </c>
      <c r="B4">
        <v>13958.400000000003</v>
      </c>
    </row>
    <row r="5" spans="1:2" x14ac:dyDescent="0.45">
      <c r="A5" s="4" t="s">
        <v>589</v>
      </c>
      <c r="B5">
        <v>14271.909999999998</v>
      </c>
    </row>
    <row r="6" spans="1:2" x14ac:dyDescent="0.45">
      <c r="A6" s="4" t="s">
        <v>590</v>
      </c>
      <c r="B6">
        <v>15231.390000000003</v>
      </c>
    </row>
    <row r="7" spans="1:2" x14ac:dyDescent="0.45">
      <c r="A7" s="4" t="s">
        <v>591</v>
      </c>
      <c r="B7">
        <v>10693.990000000003</v>
      </c>
    </row>
    <row r="8" spans="1:2" x14ac:dyDescent="0.45">
      <c r="A8" s="4" t="s">
        <v>592</v>
      </c>
      <c r="B8">
        <v>10932.51</v>
      </c>
    </row>
    <row r="9" spans="1:2" x14ac:dyDescent="0.45">
      <c r="A9" s="4" t="s">
        <v>593</v>
      </c>
      <c r="B9">
        <v>13002.730000000003</v>
      </c>
    </row>
    <row r="10" spans="1:2" x14ac:dyDescent="0.45">
      <c r="A10" s="4" t="s">
        <v>594</v>
      </c>
      <c r="B10">
        <v>13310.960000000003</v>
      </c>
    </row>
    <row r="11" spans="1:2" x14ac:dyDescent="0.45">
      <c r="A11" s="4" t="s">
        <v>581</v>
      </c>
      <c r="B11">
        <v>91401.890000000029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6366C-7609-4BC0-B849-879583A5E552}">
  <dimension ref="A3:C6"/>
  <sheetViews>
    <sheetView workbookViewId="0">
      <selection activeCell="A13" sqref="A13"/>
    </sheetView>
  </sheetViews>
  <sheetFormatPr defaultRowHeight="14.25" x14ac:dyDescent="0.45"/>
  <cols>
    <col min="1" max="1" width="11.9296875" bestFit="1" customWidth="1"/>
    <col min="2" max="2" width="13.19921875" bestFit="1" customWidth="1"/>
    <col min="3" max="3" width="13.46484375" bestFit="1" customWidth="1"/>
  </cols>
  <sheetData>
    <row r="3" spans="1:3" x14ac:dyDescent="0.45">
      <c r="A3" s="3" t="s">
        <v>580</v>
      </c>
      <c r="B3" t="s">
        <v>585</v>
      </c>
      <c r="C3" t="s">
        <v>603</v>
      </c>
    </row>
    <row r="4" spans="1:3" x14ac:dyDescent="0.45">
      <c r="A4" s="4" t="s">
        <v>15</v>
      </c>
      <c r="B4">
        <v>43685.389999999978</v>
      </c>
      <c r="C4">
        <v>432</v>
      </c>
    </row>
    <row r="5" spans="1:3" x14ac:dyDescent="0.45">
      <c r="A5" s="4" t="s">
        <v>21</v>
      </c>
      <c r="B5">
        <v>47716.499999999971</v>
      </c>
      <c r="C5">
        <v>473</v>
      </c>
    </row>
    <row r="6" spans="1:3" x14ac:dyDescent="0.45">
      <c r="A6" s="4" t="s">
        <v>581</v>
      </c>
      <c r="B6">
        <v>91401.889999999941</v>
      </c>
      <c r="C6">
        <v>905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2A95B-BE85-4AD8-8E94-0BD46CC12360}">
  <dimension ref="A3:C8"/>
  <sheetViews>
    <sheetView workbookViewId="0">
      <selection activeCell="D18" sqref="D18"/>
    </sheetView>
  </sheetViews>
  <sheetFormatPr defaultRowHeight="14.25" x14ac:dyDescent="0.45"/>
  <cols>
    <col min="1" max="1" width="13.06640625" bestFit="1" customWidth="1"/>
    <col min="2" max="2" width="17.86328125" bestFit="1" customWidth="1"/>
    <col min="3" max="3" width="21.59765625" bestFit="1" customWidth="1"/>
    <col min="4" max="4" width="19.06640625" bestFit="1" customWidth="1"/>
  </cols>
  <sheetData>
    <row r="3" spans="1:3" x14ac:dyDescent="0.45">
      <c r="A3" s="3" t="s">
        <v>580</v>
      </c>
      <c r="B3" t="s">
        <v>604</v>
      </c>
      <c r="C3" t="s">
        <v>605</v>
      </c>
    </row>
    <row r="4" spans="1:3" x14ac:dyDescent="0.45">
      <c r="A4" s="4" t="s">
        <v>15</v>
      </c>
      <c r="B4">
        <v>1</v>
      </c>
      <c r="C4">
        <v>30</v>
      </c>
    </row>
    <row r="5" spans="1:3" x14ac:dyDescent="0.45">
      <c r="A5" s="4" t="s">
        <v>8</v>
      </c>
      <c r="B5">
        <v>3</v>
      </c>
      <c r="C5">
        <v>15.666666666666666</v>
      </c>
    </row>
    <row r="6" spans="1:3" x14ac:dyDescent="0.45">
      <c r="A6" s="4" t="s">
        <v>11</v>
      </c>
      <c r="B6">
        <v>2</v>
      </c>
      <c r="C6">
        <v>20</v>
      </c>
    </row>
    <row r="7" spans="1:3" x14ac:dyDescent="0.45">
      <c r="A7" s="4" t="s">
        <v>18</v>
      </c>
      <c r="B7">
        <v>1</v>
      </c>
      <c r="C7">
        <v>10</v>
      </c>
    </row>
    <row r="8" spans="1:3" x14ac:dyDescent="0.45">
      <c r="A8" s="4" t="s">
        <v>581</v>
      </c>
      <c r="B8">
        <v>7</v>
      </c>
      <c r="C8">
        <v>18.142857142857142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FC96B-337B-4CA9-B6A8-D4C5C59CFB82}">
  <dimension ref="A3:C6"/>
  <sheetViews>
    <sheetView workbookViewId="0">
      <selection activeCell="I16" sqref="I16"/>
    </sheetView>
  </sheetViews>
  <sheetFormatPr defaultRowHeight="14.25" x14ac:dyDescent="0.45"/>
  <cols>
    <col min="1" max="1" width="11.9296875" bestFit="1" customWidth="1"/>
    <col min="2" max="2" width="13.46484375" bestFit="1" customWidth="1"/>
    <col min="3" max="3" width="13.19921875" bestFit="1" customWidth="1"/>
  </cols>
  <sheetData>
    <row r="3" spans="1:3" x14ac:dyDescent="0.45">
      <c r="A3" s="3" t="s">
        <v>580</v>
      </c>
      <c r="B3" t="s">
        <v>603</v>
      </c>
      <c r="C3" t="s">
        <v>585</v>
      </c>
    </row>
    <row r="4" spans="1:3" x14ac:dyDescent="0.45">
      <c r="A4" s="4" t="s">
        <v>15</v>
      </c>
      <c r="B4">
        <v>432</v>
      </c>
      <c r="C4" s="2">
        <v>0.47794843191973391</v>
      </c>
    </row>
    <row r="5" spans="1:3" x14ac:dyDescent="0.45">
      <c r="A5" s="4" t="s">
        <v>21</v>
      </c>
      <c r="B5">
        <v>473</v>
      </c>
      <c r="C5" s="2">
        <v>0.5220515680802662</v>
      </c>
    </row>
    <row r="6" spans="1:3" x14ac:dyDescent="0.45">
      <c r="A6" s="4" t="s">
        <v>581</v>
      </c>
      <c r="B6">
        <v>905</v>
      </c>
      <c r="C6" s="2">
        <v>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B828B-928A-4AAB-8DC7-83679FE09B4F}">
  <dimension ref="A3:D584"/>
  <sheetViews>
    <sheetView workbookViewId="0">
      <selection activeCell="D4" sqref="D4"/>
    </sheetView>
  </sheetViews>
  <sheetFormatPr defaultRowHeight="14.25" x14ac:dyDescent="0.45"/>
  <cols>
    <col min="1" max="1" width="11.9296875" bestFit="1" customWidth="1"/>
    <col min="2" max="2" width="13.19921875" bestFit="1" customWidth="1"/>
    <col min="3" max="3" width="13.46484375" bestFit="1" customWidth="1"/>
    <col min="4" max="4" width="11.73046875" style="5" bestFit="1" customWidth="1"/>
    <col min="5" max="5" width="7.265625" bestFit="1" customWidth="1"/>
  </cols>
  <sheetData>
    <row r="3" spans="1:4" x14ac:dyDescent="0.45">
      <c r="A3" s="3" t="s">
        <v>580</v>
      </c>
      <c r="B3" t="s">
        <v>585</v>
      </c>
      <c r="C3" t="s">
        <v>603</v>
      </c>
      <c r="D3" t="s">
        <v>657</v>
      </c>
    </row>
    <row r="4" spans="1:4" x14ac:dyDescent="0.45">
      <c r="A4" s="4">
        <v>1</v>
      </c>
      <c r="B4">
        <v>50.04</v>
      </c>
      <c r="C4">
        <v>1</v>
      </c>
      <c r="D4">
        <v>50.04</v>
      </c>
    </row>
    <row r="5" spans="1:4" x14ac:dyDescent="0.45">
      <c r="A5" s="4">
        <v>2</v>
      </c>
      <c r="B5">
        <v>352.32</v>
      </c>
      <c r="C5">
        <v>3</v>
      </c>
      <c r="D5">
        <v>117.44</v>
      </c>
    </row>
    <row r="6" spans="1:4" x14ac:dyDescent="0.45">
      <c r="A6" s="4">
        <v>5</v>
      </c>
      <c r="B6">
        <v>343</v>
      </c>
      <c r="C6">
        <v>2</v>
      </c>
      <c r="D6">
        <v>171.5</v>
      </c>
    </row>
    <row r="7" spans="1:4" x14ac:dyDescent="0.45">
      <c r="A7" s="4">
        <v>9</v>
      </c>
      <c r="B7">
        <v>158.28</v>
      </c>
      <c r="C7">
        <v>2</v>
      </c>
      <c r="D7">
        <v>79.14</v>
      </c>
    </row>
    <row r="8" spans="1:4" x14ac:dyDescent="0.45">
      <c r="A8" s="4">
        <v>12</v>
      </c>
      <c r="B8">
        <v>114.62</v>
      </c>
      <c r="C8">
        <v>1</v>
      </c>
      <c r="D8">
        <v>114.62</v>
      </c>
    </row>
    <row r="9" spans="1:4" x14ac:dyDescent="0.45">
      <c r="A9" s="4">
        <v>14</v>
      </c>
      <c r="B9">
        <v>43.06</v>
      </c>
      <c r="C9">
        <v>1</v>
      </c>
      <c r="D9">
        <v>43.06</v>
      </c>
    </row>
    <row r="10" spans="1:4" x14ac:dyDescent="0.45">
      <c r="A10" s="4">
        <v>15</v>
      </c>
      <c r="B10">
        <v>200.92000000000002</v>
      </c>
      <c r="C10">
        <v>2</v>
      </c>
      <c r="D10">
        <v>100.46000000000001</v>
      </c>
    </row>
    <row r="11" spans="1:4" x14ac:dyDescent="0.45">
      <c r="A11" s="4">
        <v>16</v>
      </c>
      <c r="B11">
        <v>170.68</v>
      </c>
      <c r="C11">
        <v>1</v>
      </c>
      <c r="D11">
        <v>170.68</v>
      </c>
    </row>
    <row r="12" spans="1:4" x14ac:dyDescent="0.45">
      <c r="A12" s="4">
        <v>17</v>
      </c>
      <c r="B12">
        <v>50.55</v>
      </c>
      <c r="C12">
        <v>1</v>
      </c>
      <c r="D12">
        <v>50.55</v>
      </c>
    </row>
    <row r="13" spans="1:4" x14ac:dyDescent="0.45">
      <c r="A13" s="4">
        <v>18</v>
      </c>
      <c r="B13">
        <v>154.89000000000001</v>
      </c>
      <c r="C13">
        <v>1</v>
      </c>
      <c r="D13">
        <v>154.89000000000001</v>
      </c>
    </row>
    <row r="14" spans="1:4" x14ac:dyDescent="0.45">
      <c r="A14" s="4">
        <v>19</v>
      </c>
      <c r="B14">
        <v>224.43</v>
      </c>
      <c r="C14">
        <v>1</v>
      </c>
      <c r="D14">
        <v>224.43</v>
      </c>
    </row>
    <row r="15" spans="1:4" x14ac:dyDescent="0.45">
      <c r="A15" s="4">
        <v>20</v>
      </c>
      <c r="B15">
        <v>245.37</v>
      </c>
      <c r="C15">
        <v>1</v>
      </c>
      <c r="D15">
        <v>245.37</v>
      </c>
    </row>
    <row r="16" spans="1:4" x14ac:dyDescent="0.45">
      <c r="A16" s="4">
        <v>21</v>
      </c>
      <c r="B16">
        <v>253.18</v>
      </c>
      <c r="C16">
        <v>2</v>
      </c>
      <c r="D16">
        <v>126.59</v>
      </c>
    </row>
    <row r="17" spans="1:4" x14ac:dyDescent="0.45">
      <c r="A17" s="4">
        <v>22</v>
      </c>
      <c r="B17">
        <v>307.06</v>
      </c>
      <c r="C17">
        <v>2</v>
      </c>
      <c r="D17">
        <v>153.53</v>
      </c>
    </row>
    <row r="18" spans="1:4" x14ac:dyDescent="0.45">
      <c r="A18" s="4">
        <v>23</v>
      </c>
      <c r="B18">
        <v>26.46</v>
      </c>
      <c r="C18">
        <v>1</v>
      </c>
      <c r="D18">
        <v>26.46</v>
      </c>
    </row>
    <row r="19" spans="1:4" x14ac:dyDescent="0.45">
      <c r="A19" s="4">
        <v>25</v>
      </c>
      <c r="B19">
        <v>129.68</v>
      </c>
      <c r="C19">
        <v>1</v>
      </c>
      <c r="D19">
        <v>129.68</v>
      </c>
    </row>
    <row r="20" spans="1:4" x14ac:dyDescent="0.45">
      <c r="A20" s="4">
        <v>27</v>
      </c>
      <c r="B20">
        <v>116.18</v>
      </c>
      <c r="C20">
        <v>1</v>
      </c>
      <c r="D20">
        <v>116.18</v>
      </c>
    </row>
    <row r="21" spans="1:4" x14ac:dyDescent="0.45">
      <c r="A21" s="4">
        <v>28</v>
      </c>
      <c r="B21">
        <v>177.68</v>
      </c>
      <c r="C21">
        <v>2</v>
      </c>
      <c r="D21">
        <v>88.84</v>
      </c>
    </row>
    <row r="22" spans="1:4" x14ac:dyDescent="0.45">
      <c r="A22" s="4">
        <v>29</v>
      </c>
      <c r="B22">
        <v>243.32</v>
      </c>
      <c r="C22">
        <v>1</v>
      </c>
      <c r="D22">
        <v>243.32</v>
      </c>
    </row>
    <row r="23" spans="1:4" x14ac:dyDescent="0.45">
      <c r="A23" s="4">
        <v>33</v>
      </c>
      <c r="B23">
        <v>236.98</v>
      </c>
      <c r="C23">
        <v>2</v>
      </c>
      <c r="D23">
        <v>118.49</v>
      </c>
    </row>
    <row r="24" spans="1:4" x14ac:dyDescent="0.45">
      <c r="A24" s="4">
        <v>35</v>
      </c>
      <c r="B24">
        <v>141.6</v>
      </c>
      <c r="C24">
        <v>2</v>
      </c>
      <c r="D24">
        <v>70.8</v>
      </c>
    </row>
    <row r="25" spans="1:4" x14ac:dyDescent="0.45">
      <c r="A25" s="4">
        <v>36</v>
      </c>
      <c r="B25">
        <v>209.62</v>
      </c>
      <c r="C25">
        <v>2</v>
      </c>
      <c r="D25">
        <v>104.81</v>
      </c>
    </row>
    <row r="26" spans="1:4" x14ac:dyDescent="0.45">
      <c r="A26" s="4">
        <v>37</v>
      </c>
      <c r="B26">
        <v>437.18</v>
      </c>
      <c r="C26">
        <v>3</v>
      </c>
      <c r="D26">
        <v>145.72666666666666</v>
      </c>
    </row>
    <row r="27" spans="1:4" x14ac:dyDescent="0.45">
      <c r="A27" s="4">
        <v>38</v>
      </c>
      <c r="B27">
        <v>217.74</v>
      </c>
      <c r="C27">
        <v>1</v>
      </c>
      <c r="D27">
        <v>217.74</v>
      </c>
    </row>
    <row r="28" spans="1:4" x14ac:dyDescent="0.45">
      <c r="A28" s="4">
        <v>39</v>
      </c>
      <c r="B28">
        <v>271.07</v>
      </c>
      <c r="C28">
        <v>3</v>
      </c>
      <c r="D28">
        <v>90.356666666666669</v>
      </c>
    </row>
    <row r="29" spans="1:4" x14ac:dyDescent="0.45">
      <c r="A29" s="4">
        <v>41</v>
      </c>
      <c r="B29">
        <v>104</v>
      </c>
      <c r="C29">
        <v>2</v>
      </c>
      <c r="D29">
        <v>52</v>
      </c>
    </row>
    <row r="30" spans="1:4" x14ac:dyDescent="0.45">
      <c r="A30" s="4">
        <v>42</v>
      </c>
      <c r="B30">
        <v>63.68</v>
      </c>
      <c r="C30">
        <v>1</v>
      </c>
      <c r="D30">
        <v>63.68</v>
      </c>
    </row>
    <row r="31" spans="1:4" x14ac:dyDescent="0.45">
      <c r="A31" s="4">
        <v>43</v>
      </c>
      <c r="B31">
        <v>69.28</v>
      </c>
      <c r="C31">
        <v>1</v>
      </c>
      <c r="D31">
        <v>69.28</v>
      </c>
    </row>
    <row r="32" spans="1:4" x14ac:dyDescent="0.45">
      <c r="A32" s="4">
        <v>46</v>
      </c>
      <c r="B32">
        <v>59.58</v>
      </c>
      <c r="C32">
        <v>1</v>
      </c>
      <c r="D32">
        <v>59.58</v>
      </c>
    </row>
    <row r="33" spans="1:4" x14ac:dyDescent="0.45">
      <c r="A33" s="4">
        <v>47</v>
      </c>
      <c r="B33">
        <v>124.49000000000001</v>
      </c>
      <c r="C33">
        <v>2</v>
      </c>
      <c r="D33">
        <v>62.245000000000005</v>
      </c>
    </row>
    <row r="34" spans="1:4" x14ac:dyDescent="0.45">
      <c r="A34" s="4">
        <v>48</v>
      </c>
      <c r="B34">
        <v>42.24</v>
      </c>
      <c r="C34">
        <v>1</v>
      </c>
      <c r="D34">
        <v>42.24</v>
      </c>
    </row>
    <row r="35" spans="1:4" x14ac:dyDescent="0.45">
      <c r="A35" s="4">
        <v>49</v>
      </c>
      <c r="B35">
        <v>52.65</v>
      </c>
      <c r="C35">
        <v>1</v>
      </c>
      <c r="D35">
        <v>52.65</v>
      </c>
    </row>
    <row r="36" spans="1:4" x14ac:dyDescent="0.45">
      <c r="A36" s="4">
        <v>51</v>
      </c>
      <c r="B36">
        <v>101.36</v>
      </c>
      <c r="C36">
        <v>1</v>
      </c>
      <c r="D36">
        <v>101.36</v>
      </c>
    </row>
    <row r="37" spans="1:4" x14ac:dyDescent="0.45">
      <c r="A37" s="4">
        <v>53</v>
      </c>
      <c r="B37">
        <v>356.49</v>
      </c>
      <c r="C37">
        <v>3</v>
      </c>
      <c r="D37">
        <v>118.83</v>
      </c>
    </row>
    <row r="38" spans="1:4" x14ac:dyDescent="0.45">
      <c r="A38" s="4">
        <v>54</v>
      </c>
      <c r="B38">
        <v>111.31</v>
      </c>
      <c r="C38">
        <v>2</v>
      </c>
      <c r="D38">
        <v>55.655000000000001</v>
      </c>
    </row>
    <row r="39" spans="1:4" x14ac:dyDescent="0.45">
      <c r="A39" s="4">
        <v>58</v>
      </c>
      <c r="B39">
        <v>132.30000000000001</v>
      </c>
      <c r="C39">
        <v>3</v>
      </c>
      <c r="D39">
        <v>44.1</v>
      </c>
    </row>
    <row r="40" spans="1:4" x14ac:dyDescent="0.45">
      <c r="A40" s="4">
        <v>59</v>
      </c>
      <c r="B40">
        <v>41.69</v>
      </c>
      <c r="C40">
        <v>1</v>
      </c>
      <c r="D40">
        <v>41.69</v>
      </c>
    </row>
    <row r="41" spans="1:4" x14ac:dyDescent="0.45">
      <c r="A41" s="4">
        <v>62</v>
      </c>
      <c r="B41">
        <v>75.17</v>
      </c>
      <c r="C41">
        <v>1</v>
      </c>
      <c r="D41">
        <v>75.17</v>
      </c>
    </row>
    <row r="42" spans="1:4" x14ac:dyDescent="0.45">
      <c r="A42" s="4">
        <v>63</v>
      </c>
      <c r="B42">
        <v>214.68</v>
      </c>
      <c r="C42">
        <v>1</v>
      </c>
      <c r="D42">
        <v>214.68</v>
      </c>
    </row>
    <row r="43" spans="1:4" x14ac:dyDescent="0.45">
      <c r="A43" s="4">
        <v>65</v>
      </c>
      <c r="B43">
        <v>56.7</v>
      </c>
      <c r="C43">
        <v>1</v>
      </c>
      <c r="D43">
        <v>56.7</v>
      </c>
    </row>
    <row r="44" spans="1:4" x14ac:dyDescent="0.45">
      <c r="A44" s="4">
        <v>69</v>
      </c>
      <c r="B44">
        <v>317.47000000000003</v>
      </c>
      <c r="C44">
        <v>2</v>
      </c>
      <c r="D44">
        <v>158.73500000000001</v>
      </c>
    </row>
    <row r="45" spans="1:4" x14ac:dyDescent="0.45">
      <c r="A45" s="4">
        <v>70</v>
      </c>
      <c r="B45">
        <v>90.78</v>
      </c>
      <c r="C45">
        <v>1</v>
      </c>
      <c r="D45">
        <v>90.78</v>
      </c>
    </row>
    <row r="46" spans="1:4" x14ac:dyDescent="0.45">
      <c r="A46" s="4">
        <v>72</v>
      </c>
      <c r="B46">
        <v>177.99</v>
      </c>
      <c r="C46">
        <v>1</v>
      </c>
      <c r="D46">
        <v>177.99</v>
      </c>
    </row>
    <row r="47" spans="1:4" x14ac:dyDescent="0.45">
      <c r="A47" s="4">
        <v>74</v>
      </c>
      <c r="B47">
        <v>172.05</v>
      </c>
      <c r="C47">
        <v>1</v>
      </c>
      <c r="D47">
        <v>172.05</v>
      </c>
    </row>
    <row r="48" spans="1:4" x14ac:dyDescent="0.45">
      <c r="A48" s="4">
        <v>75</v>
      </c>
      <c r="B48">
        <v>204.66</v>
      </c>
      <c r="C48">
        <v>1</v>
      </c>
      <c r="D48">
        <v>204.66</v>
      </c>
    </row>
    <row r="49" spans="1:4" x14ac:dyDescent="0.45">
      <c r="A49" s="4">
        <v>76</v>
      </c>
      <c r="B49">
        <v>99.610000000000014</v>
      </c>
      <c r="C49">
        <v>2</v>
      </c>
      <c r="D49">
        <v>49.805000000000007</v>
      </c>
    </row>
    <row r="50" spans="1:4" x14ac:dyDescent="0.45">
      <c r="A50" s="4">
        <v>81</v>
      </c>
      <c r="B50">
        <v>217.27999999999997</v>
      </c>
      <c r="C50">
        <v>2</v>
      </c>
      <c r="D50">
        <v>108.63999999999999</v>
      </c>
    </row>
    <row r="51" spans="1:4" x14ac:dyDescent="0.45">
      <c r="A51" s="4">
        <v>86</v>
      </c>
      <c r="B51">
        <v>156.94999999999999</v>
      </c>
      <c r="C51">
        <v>2</v>
      </c>
      <c r="D51">
        <v>78.474999999999994</v>
      </c>
    </row>
    <row r="52" spans="1:4" x14ac:dyDescent="0.45">
      <c r="A52" s="4">
        <v>88</v>
      </c>
      <c r="B52">
        <v>99.96</v>
      </c>
      <c r="C52">
        <v>1</v>
      </c>
      <c r="D52">
        <v>99.96</v>
      </c>
    </row>
    <row r="53" spans="1:4" x14ac:dyDescent="0.45">
      <c r="A53" s="4">
        <v>90</v>
      </c>
      <c r="B53">
        <v>51.4</v>
      </c>
      <c r="C53">
        <v>1</v>
      </c>
      <c r="D53">
        <v>51.4</v>
      </c>
    </row>
    <row r="54" spans="1:4" x14ac:dyDescent="0.45">
      <c r="A54" s="4">
        <v>91</v>
      </c>
      <c r="B54">
        <v>32.21</v>
      </c>
      <c r="C54">
        <v>1</v>
      </c>
      <c r="D54">
        <v>32.21</v>
      </c>
    </row>
    <row r="55" spans="1:4" x14ac:dyDescent="0.45">
      <c r="A55" s="4">
        <v>92</v>
      </c>
      <c r="B55">
        <v>314.96000000000004</v>
      </c>
      <c r="C55">
        <v>2</v>
      </c>
      <c r="D55">
        <v>157.48000000000002</v>
      </c>
    </row>
    <row r="56" spans="1:4" x14ac:dyDescent="0.45">
      <c r="A56" s="4">
        <v>94</v>
      </c>
      <c r="B56">
        <v>75.47</v>
      </c>
      <c r="C56">
        <v>1</v>
      </c>
      <c r="D56">
        <v>75.47</v>
      </c>
    </row>
    <row r="57" spans="1:4" x14ac:dyDescent="0.45">
      <c r="A57" s="4">
        <v>96</v>
      </c>
      <c r="B57">
        <v>262.65999999999997</v>
      </c>
      <c r="C57">
        <v>3</v>
      </c>
      <c r="D57">
        <v>87.553333333333327</v>
      </c>
    </row>
    <row r="58" spans="1:4" x14ac:dyDescent="0.45">
      <c r="A58" s="4">
        <v>99</v>
      </c>
      <c r="B58">
        <v>588.99</v>
      </c>
      <c r="C58">
        <v>7</v>
      </c>
      <c r="D58">
        <v>84.141428571428577</v>
      </c>
    </row>
    <row r="59" spans="1:4" x14ac:dyDescent="0.45">
      <c r="A59" s="4">
        <v>100</v>
      </c>
      <c r="B59">
        <v>228.45999999999998</v>
      </c>
      <c r="C59">
        <v>2</v>
      </c>
      <c r="D59">
        <v>114.22999999999999</v>
      </c>
    </row>
    <row r="60" spans="1:4" x14ac:dyDescent="0.45">
      <c r="A60" s="4">
        <v>103</v>
      </c>
      <c r="B60">
        <v>251.36</v>
      </c>
      <c r="C60">
        <v>2</v>
      </c>
      <c r="D60">
        <v>125.68</v>
      </c>
    </row>
    <row r="61" spans="1:4" x14ac:dyDescent="0.45">
      <c r="A61" s="4">
        <v>104</v>
      </c>
      <c r="B61">
        <v>357.51</v>
      </c>
      <c r="C61">
        <v>2</v>
      </c>
      <c r="D61">
        <v>178.755</v>
      </c>
    </row>
    <row r="62" spans="1:4" x14ac:dyDescent="0.45">
      <c r="A62" s="4">
        <v>106</v>
      </c>
      <c r="B62">
        <v>230.43</v>
      </c>
      <c r="C62">
        <v>2</v>
      </c>
      <c r="D62">
        <v>115.215</v>
      </c>
    </row>
    <row r="63" spans="1:4" x14ac:dyDescent="0.45">
      <c r="A63" s="4">
        <v>107</v>
      </c>
      <c r="B63">
        <v>97.46</v>
      </c>
      <c r="C63">
        <v>1</v>
      </c>
      <c r="D63">
        <v>97.46</v>
      </c>
    </row>
    <row r="64" spans="1:4" x14ac:dyDescent="0.45">
      <c r="A64" s="4">
        <v>109</v>
      </c>
      <c r="B64">
        <v>112.05000000000001</v>
      </c>
      <c r="C64">
        <v>1</v>
      </c>
      <c r="D64">
        <v>112.05000000000001</v>
      </c>
    </row>
    <row r="65" spans="1:4" x14ac:dyDescent="0.45">
      <c r="A65" s="4">
        <v>112</v>
      </c>
      <c r="B65">
        <v>48.64</v>
      </c>
      <c r="C65">
        <v>1</v>
      </c>
      <c r="D65">
        <v>48.64</v>
      </c>
    </row>
    <row r="66" spans="1:4" x14ac:dyDescent="0.45">
      <c r="A66" s="4">
        <v>113</v>
      </c>
      <c r="B66">
        <v>245.86</v>
      </c>
      <c r="C66">
        <v>3</v>
      </c>
      <c r="D66">
        <v>81.953333333333333</v>
      </c>
    </row>
    <row r="67" spans="1:4" x14ac:dyDescent="0.45">
      <c r="A67" s="4">
        <v>115</v>
      </c>
      <c r="B67">
        <v>52.83</v>
      </c>
      <c r="C67">
        <v>1</v>
      </c>
      <c r="D67">
        <v>52.83</v>
      </c>
    </row>
    <row r="68" spans="1:4" x14ac:dyDescent="0.45">
      <c r="A68" s="4">
        <v>116</v>
      </c>
      <c r="B68">
        <v>127.36</v>
      </c>
      <c r="C68">
        <v>1</v>
      </c>
      <c r="D68">
        <v>127.36</v>
      </c>
    </row>
    <row r="69" spans="1:4" x14ac:dyDescent="0.45">
      <c r="A69" s="4">
        <v>117</v>
      </c>
      <c r="B69">
        <v>177.28</v>
      </c>
      <c r="C69">
        <v>1</v>
      </c>
      <c r="D69">
        <v>177.28</v>
      </c>
    </row>
    <row r="70" spans="1:4" x14ac:dyDescent="0.45">
      <c r="A70" s="4">
        <v>118</v>
      </c>
      <c r="B70">
        <v>53.32</v>
      </c>
      <c r="C70">
        <v>1</v>
      </c>
      <c r="D70">
        <v>53.32</v>
      </c>
    </row>
    <row r="71" spans="1:4" x14ac:dyDescent="0.45">
      <c r="A71" s="4">
        <v>120</v>
      </c>
      <c r="B71">
        <v>424.03999999999996</v>
      </c>
      <c r="C71">
        <v>2</v>
      </c>
      <c r="D71">
        <v>212.01999999999998</v>
      </c>
    </row>
    <row r="72" spans="1:4" x14ac:dyDescent="0.45">
      <c r="A72" s="4">
        <v>122</v>
      </c>
      <c r="B72">
        <v>212.08</v>
      </c>
      <c r="C72">
        <v>1</v>
      </c>
      <c r="D72">
        <v>212.08</v>
      </c>
    </row>
    <row r="73" spans="1:4" x14ac:dyDescent="0.45">
      <c r="A73" s="4">
        <v>123</v>
      </c>
      <c r="B73">
        <v>108.03</v>
      </c>
      <c r="C73">
        <v>1</v>
      </c>
      <c r="D73">
        <v>108.03</v>
      </c>
    </row>
    <row r="74" spans="1:4" x14ac:dyDescent="0.45">
      <c r="A74" s="4">
        <v>124</v>
      </c>
      <c r="B74">
        <v>117.53999999999999</v>
      </c>
      <c r="C74">
        <v>1</v>
      </c>
      <c r="D74">
        <v>117.53999999999999</v>
      </c>
    </row>
    <row r="75" spans="1:4" x14ac:dyDescent="0.45">
      <c r="A75" s="4">
        <v>125</v>
      </c>
      <c r="B75">
        <v>69.819999999999993</v>
      </c>
      <c r="C75">
        <v>1</v>
      </c>
      <c r="D75">
        <v>69.819999999999993</v>
      </c>
    </row>
    <row r="76" spans="1:4" x14ac:dyDescent="0.45">
      <c r="A76" s="4">
        <v>126</v>
      </c>
      <c r="B76">
        <v>53.73</v>
      </c>
      <c r="C76">
        <v>1</v>
      </c>
      <c r="D76">
        <v>53.73</v>
      </c>
    </row>
    <row r="77" spans="1:4" x14ac:dyDescent="0.45">
      <c r="A77" s="4">
        <v>127</v>
      </c>
      <c r="B77">
        <v>58.11</v>
      </c>
      <c r="C77">
        <v>1</v>
      </c>
      <c r="D77">
        <v>58.11</v>
      </c>
    </row>
    <row r="78" spans="1:4" x14ac:dyDescent="0.45">
      <c r="A78" s="4">
        <v>128</v>
      </c>
      <c r="B78">
        <v>76.28</v>
      </c>
      <c r="C78">
        <v>1</v>
      </c>
      <c r="D78">
        <v>76.28</v>
      </c>
    </row>
    <row r="79" spans="1:4" x14ac:dyDescent="0.45">
      <c r="A79" s="4">
        <v>129</v>
      </c>
      <c r="B79">
        <v>98.32</v>
      </c>
      <c r="C79">
        <v>1</v>
      </c>
      <c r="D79">
        <v>98.32</v>
      </c>
    </row>
    <row r="80" spans="1:4" x14ac:dyDescent="0.45">
      <c r="A80" s="4">
        <v>130</v>
      </c>
      <c r="B80">
        <v>95.04</v>
      </c>
      <c r="C80">
        <v>1</v>
      </c>
      <c r="D80">
        <v>95.04</v>
      </c>
    </row>
    <row r="81" spans="1:4" x14ac:dyDescent="0.45">
      <c r="A81" s="4">
        <v>131</v>
      </c>
      <c r="B81">
        <v>396.90999999999997</v>
      </c>
      <c r="C81">
        <v>3</v>
      </c>
      <c r="D81">
        <v>132.30333333333331</v>
      </c>
    </row>
    <row r="82" spans="1:4" x14ac:dyDescent="0.45">
      <c r="A82" s="4">
        <v>132</v>
      </c>
      <c r="B82">
        <v>206.8</v>
      </c>
      <c r="C82">
        <v>1</v>
      </c>
      <c r="D82">
        <v>206.8</v>
      </c>
    </row>
    <row r="83" spans="1:4" x14ac:dyDescent="0.45">
      <c r="A83" s="4">
        <v>133</v>
      </c>
      <c r="B83">
        <v>161.22</v>
      </c>
      <c r="C83">
        <v>1</v>
      </c>
      <c r="D83">
        <v>161.22</v>
      </c>
    </row>
    <row r="84" spans="1:4" x14ac:dyDescent="0.45">
      <c r="A84" s="4">
        <v>135</v>
      </c>
      <c r="B84">
        <v>118.04</v>
      </c>
      <c r="C84">
        <v>2</v>
      </c>
      <c r="D84">
        <v>59.02</v>
      </c>
    </row>
    <row r="85" spans="1:4" x14ac:dyDescent="0.45">
      <c r="A85" s="4">
        <v>139</v>
      </c>
      <c r="B85">
        <v>73.8</v>
      </c>
      <c r="C85">
        <v>1</v>
      </c>
      <c r="D85">
        <v>73.8</v>
      </c>
    </row>
    <row r="86" spans="1:4" x14ac:dyDescent="0.45">
      <c r="A86" s="4">
        <v>143</v>
      </c>
      <c r="B86">
        <v>42.66</v>
      </c>
      <c r="C86">
        <v>1</v>
      </c>
      <c r="D86">
        <v>42.66</v>
      </c>
    </row>
    <row r="87" spans="1:4" x14ac:dyDescent="0.45">
      <c r="A87" s="4">
        <v>144</v>
      </c>
      <c r="B87">
        <v>414.53000000000003</v>
      </c>
      <c r="C87">
        <v>4</v>
      </c>
      <c r="D87">
        <v>103.63250000000001</v>
      </c>
    </row>
    <row r="88" spans="1:4" x14ac:dyDescent="0.45">
      <c r="A88" s="4">
        <v>147</v>
      </c>
      <c r="B88">
        <v>198.9</v>
      </c>
      <c r="C88">
        <v>1</v>
      </c>
      <c r="D88">
        <v>198.9</v>
      </c>
    </row>
    <row r="89" spans="1:4" x14ac:dyDescent="0.45">
      <c r="A89" s="4">
        <v>148</v>
      </c>
      <c r="B89">
        <v>169.24</v>
      </c>
      <c r="C89">
        <v>1</v>
      </c>
      <c r="D89">
        <v>169.24</v>
      </c>
    </row>
    <row r="90" spans="1:4" x14ac:dyDescent="0.45">
      <c r="A90" s="4">
        <v>150</v>
      </c>
      <c r="B90">
        <v>69.42</v>
      </c>
      <c r="C90">
        <v>1</v>
      </c>
      <c r="D90">
        <v>69.42</v>
      </c>
    </row>
    <row r="91" spans="1:4" x14ac:dyDescent="0.45">
      <c r="A91" s="4">
        <v>151</v>
      </c>
      <c r="B91">
        <v>339.6</v>
      </c>
      <c r="C91">
        <v>2</v>
      </c>
      <c r="D91">
        <v>169.8</v>
      </c>
    </row>
    <row r="92" spans="1:4" x14ac:dyDescent="0.45">
      <c r="A92" s="4">
        <v>152</v>
      </c>
      <c r="B92">
        <v>160.56</v>
      </c>
      <c r="C92">
        <v>1</v>
      </c>
      <c r="D92">
        <v>160.56</v>
      </c>
    </row>
    <row r="93" spans="1:4" x14ac:dyDescent="0.45">
      <c r="A93" s="4">
        <v>153</v>
      </c>
      <c r="B93">
        <v>78.84</v>
      </c>
      <c r="C93">
        <v>1</v>
      </c>
      <c r="D93">
        <v>78.84</v>
      </c>
    </row>
    <row r="94" spans="1:4" x14ac:dyDescent="0.45">
      <c r="A94" s="4">
        <v>154</v>
      </c>
      <c r="B94">
        <v>55.01</v>
      </c>
      <c r="C94">
        <v>1</v>
      </c>
      <c r="D94">
        <v>55.01</v>
      </c>
    </row>
    <row r="95" spans="1:4" x14ac:dyDescent="0.45">
      <c r="A95" s="4">
        <v>155</v>
      </c>
      <c r="B95">
        <v>67.37</v>
      </c>
      <c r="C95">
        <v>1</v>
      </c>
      <c r="D95">
        <v>67.37</v>
      </c>
    </row>
    <row r="96" spans="1:4" x14ac:dyDescent="0.45">
      <c r="A96" s="4">
        <v>157</v>
      </c>
      <c r="B96">
        <v>162.12</v>
      </c>
      <c r="C96">
        <v>1</v>
      </c>
      <c r="D96">
        <v>162.12</v>
      </c>
    </row>
    <row r="97" spans="1:4" x14ac:dyDescent="0.45">
      <c r="A97" s="4">
        <v>158</v>
      </c>
      <c r="B97">
        <v>150.34</v>
      </c>
      <c r="C97">
        <v>1</v>
      </c>
      <c r="D97">
        <v>150.34</v>
      </c>
    </row>
    <row r="98" spans="1:4" x14ac:dyDescent="0.45">
      <c r="A98" s="4">
        <v>160</v>
      </c>
      <c r="B98">
        <v>193.60000000000002</v>
      </c>
      <c r="C98">
        <v>3</v>
      </c>
      <c r="D98">
        <v>64.533333333333346</v>
      </c>
    </row>
    <row r="99" spans="1:4" x14ac:dyDescent="0.45">
      <c r="A99" s="4">
        <v>161</v>
      </c>
      <c r="B99">
        <v>305.19</v>
      </c>
      <c r="C99">
        <v>3</v>
      </c>
      <c r="D99">
        <v>101.73</v>
      </c>
    </row>
    <row r="100" spans="1:4" x14ac:dyDescent="0.45">
      <c r="A100" s="4">
        <v>162</v>
      </c>
      <c r="B100">
        <v>40.770000000000003</v>
      </c>
      <c r="C100">
        <v>1</v>
      </c>
      <c r="D100">
        <v>40.770000000000003</v>
      </c>
    </row>
    <row r="101" spans="1:4" x14ac:dyDescent="0.45">
      <c r="A101" s="4">
        <v>163</v>
      </c>
      <c r="B101">
        <v>226.56</v>
      </c>
      <c r="C101">
        <v>2</v>
      </c>
      <c r="D101">
        <v>113.28</v>
      </c>
    </row>
    <row r="102" spans="1:4" x14ac:dyDescent="0.45">
      <c r="A102" s="4">
        <v>165</v>
      </c>
      <c r="B102">
        <v>78.319999999999993</v>
      </c>
      <c r="C102">
        <v>1</v>
      </c>
      <c r="D102">
        <v>78.319999999999993</v>
      </c>
    </row>
    <row r="103" spans="1:4" x14ac:dyDescent="0.45">
      <c r="A103" s="4">
        <v>167</v>
      </c>
      <c r="B103">
        <v>251.82999999999998</v>
      </c>
      <c r="C103">
        <v>2</v>
      </c>
      <c r="D103">
        <v>125.91499999999999</v>
      </c>
    </row>
    <row r="104" spans="1:4" x14ac:dyDescent="0.45">
      <c r="A104" s="4">
        <v>168</v>
      </c>
      <c r="B104">
        <v>113.85</v>
      </c>
      <c r="C104">
        <v>2</v>
      </c>
      <c r="D104">
        <v>56.924999999999997</v>
      </c>
    </row>
    <row r="105" spans="1:4" x14ac:dyDescent="0.45">
      <c r="A105" s="4">
        <v>170</v>
      </c>
      <c r="B105">
        <v>187.56</v>
      </c>
      <c r="C105">
        <v>1</v>
      </c>
      <c r="D105">
        <v>187.56</v>
      </c>
    </row>
    <row r="106" spans="1:4" x14ac:dyDescent="0.45">
      <c r="A106" s="4">
        <v>171</v>
      </c>
      <c r="B106">
        <v>60.68</v>
      </c>
      <c r="C106">
        <v>1</v>
      </c>
      <c r="D106">
        <v>60.68</v>
      </c>
    </row>
    <row r="107" spans="1:4" x14ac:dyDescent="0.45">
      <c r="A107" s="4">
        <v>172</v>
      </c>
      <c r="B107">
        <v>99.68</v>
      </c>
      <c r="C107">
        <v>1</v>
      </c>
      <c r="D107">
        <v>99.68</v>
      </c>
    </row>
    <row r="108" spans="1:4" x14ac:dyDescent="0.45">
      <c r="A108" s="4">
        <v>173</v>
      </c>
      <c r="B108">
        <v>45.62</v>
      </c>
      <c r="C108">
        <v>1</v>
      </c>
      <c r="D108">
        <v>45.62</v>
      </c>
    </row>
    <row r="109" spans="1:4" x14ac:dyDescent="0.45">
      <c r="A109" s="4">
        <v>174</v>
      </c>
      <c r="B109">
        <v>45.19</v>
      </c>
      <c r="C109">
        <v>1</v>
      </c>
      <c r="D109">
        <v>45.19</v>
      </c>
    </row>
    <row r="110" spans="1:4" x14ac:dyDescent="0.45">
      <c r="A110" s="4">
        <v>176</v>
      </c>
      <c r="B110">
        <v>30.85</v>
      </c>
      <c r="C110">
        <v>1</v>
      </c>
      <c r="D110">
        <v>30.85</v>
      </c>
    </row>
    <row r="111" spans="1:4" x14ac:dyDescent="0.45">
      <c r="A111" s="4">
        <v>177</v>
      </c>
      <c r="B111">
        <v>75.22</v>
      </c>
      <c r="C111">
        <v>1</v>
      </c>
      <c r="D111">
        <v>75.22</v>
      </c>
    </row>
    <row r="112" spans="1:4" x14ac:dyDescent="0.45">
      <c r="A112" s="4">
        <v>180</v>
      </c>
      <c r="B112">
        <v>39.090000000000003</v>
      </c>
      <c r="C112">
        <v>1</v>
      </c>
      <c r="D112">
        <v>39.090000000000003</v>
      </c>
    </row>
    <row r="113" spans="1:4" x14ac:dyDescent="0.45">
      <c r="A113" s="4">
        <v>181</v>
      </c>
      <c r="B113">
        <v>108.42</v>
      </c>
      <c r="C113">
        <v>1</v>
      </c>
      <c r="D113">
        <v>108.42</v>
      </c>
    </row>
    <row r="114" spans="1:4" x14ac:dyDescent="0.45">
      <c r="A114" s="4">
        <v>182</v>
      </c>
      <c r="B114">
        <v>37.94</v>
      </c>
      <c r="C114">
        <v>1</v>
      </c>
      <c r="D114">
        <v>37.94</v>
      </c>
    </row>
    <row r="115" spans="1:4" x14ac:dyDescent="0.45">
      <c r="A115" s="4">
        <v>184</v>
      </c>
      <c r="B115">
        <v>38.51</v>
      </c>
      <c r="C115">
        <v>1</v>
      </c>
      <c r="D115">
        <v>38.51</v>
      </c>
    </row>
    <row r="116" spans="1:4" x14ac:dyDescent="0.45">
      <c r="A116" s="4">
        <v>186</v>
      </c>
      <c r="B116">
        <v>57.35</v>
      </c>
      <c r="C116">
        <v>1</v>
      </c>
      <c r="D116">
        <v>57.35</v>
      </c>
    </row>
    <row r="117" spans="1:4" x14ac:dyDescent="0.45">
      <c r="A117" s="4">
        <v>187</v>
      </c>
      <c r="B117">
        <v>57.11</v>
      </c>
      <c r="C117">
        <v>1</v>
      </c>
      <c r="D117">
        <v>57.11</v>
      </c>
    </row>
    <row r="118" spans="1:4" x14ac:dyDescent="0.45">
      <c r="A118" s="4">
        <v>188</v>
      </c>
      <c r="B118">
        <v>181.56</v>
      </c>
      <c r="C118">
        <v>1</v>
      </c>
      <c r="D118">
        <v>181.56</v>
      </c>
    </row>
    <row r="119" spans="1:4" x14ac:dyDescent="0.45">
      <c r="A119" s="4">
        <v>189</v>
      </c>
      <c r="B119">
        <v>157.94999999999999</v>
      </c>
      <c r="C119">
        <v>1</v>
      </c>
      <c r="D119">
        <v>157.94999999999999</v>
      </c>
    </row>
    <row r="120" spans="1:4" x14ac:dyDescent="0.45">
      <c r="A120" s="4">
        <v>190</v>
      </c>
      <c r="B120">
        <v>439.99000000000007</v>
      </c>
      <c r="C120">
        <v>5</v>
      </c>
      <c r="D120">
        <v>87.998000000000019</v>
      </c>
    </row>
    <row r="121" spans="1:4" x14ac:dyDescent="0.45">
      <c r="A121" s="4">
        <v>191</v>
      </c>
      <c r="B121">
        <v>369.61</v>
      </c>
      <c r="C121">
        <v>2</v>
      </c>
      <c r="D121">
        <v>184.80500000000001</v>
      </c>
    </row>
    <row r="122" spans="1:4" x14ac:dyDescent="0.45">
      <c r="A122" s="4">
        <v>192</v>
      </c>
      <c r="B122">
        <v>221.32999999999998</v>
      </c>
      <c r="C122">
        <v>3</v>
      </c>
      <c r="D122">
        <v>73.776666666666657</v>
      </c>
    </row>
    <row r="123" spans="1:4" x14ac:dyDescent="0.45">
      <c r="A123" s="4">
        <v>194</v>
      </c>
      <c r="B123">
        <v>59.78</v>
      </c>
      <c r="C123">
        <v>1</v>
      </c>
      <c r="D123">
        <v>59.78</v>
      </c>
    </row>
    <row r="124" spans="1:4" x14ac:dyDescent="0.45">
      <c r="A124" s="4">
        <v>195</v>
      </c>
      <c r="B124">
        <v>59.92</v>
      </c>
      <c r="C124">
        <v>1</v>
      </c>
      <c r="D124">
        <v>59.92</v>
      </c>
    </row>
    <row r="125" spans="1:4" x14ac:dyDescent="0.45">
      <c r="A125" s="4">
        <v>196</v>
      </c>
      <c r="B125">
        <v>250.32</v>
      </c>
      <c r="C125">
        <v>2</v>
      </c>
      <c r="D125">
        <v>125.16</v>
      </c>
    </row>
    <row r="126" spans="1:4" x14ac:dyDescent="0.45">
      <c r="A126" s="4">
        <v>198</v>
      </c>
      <c r="B126">
        <v>232.77</v>
      </c>
      <c r="C126">
        <v>1</v>
      </c>
      <c r="D126">
        <v>232.77</v>
      </c>
    </row>
    <row r="127" spans="1:4" x14ac:dyDescent="0.45">
      <c r="A127" s="4">
        <v>201</v>
      </c>
      <c r="B127">
        <v>161.29</v>
      </c>
      <c r="C127">
        <v>2</v>
      </c>
      <c r="D127">
        <v>80.644999999999996</v>
      </c>
    </row>
    <row r="128" spans="1:4" x14ac:dyDescent="0.45">
      <c r="A128" s="4">
        <v>202</v>
      </c>
      <c r="B128">
        <v>79.38</v>
      </c>
      <c r="C128">
        <v>1</v>
      </c>
      <c r="D128">
        <v>79.38</v>
      </c>
    </row>
    <row r="129" spans="1:4" x14ac:dyDescent="0.45">
      <c r="A129" s="4">
        <v>203</v>
      </c>
      <c r="B129">
        <v>113.16</v>
      </c>
      <c r="C129">
        <v>1</v>
      </c>
      <c r="D129">
        <v>113.16</v>
      </c>
    </row>
    <row r="130" spans="1:4" x14ac:dyDescent="0.45">
      <c r="A130" s="4">
        <v>204</v>
      </c>
      <c r="B130">
        <v>36.47</v>
      </c>
      <c r="C130">
        <v>1</v>
      </c>
      <c r="D130">
        <v>36.47</v>
      </c>
    </row>
    <row r="131" spans="1:4" x14ac:dyDescent="0.45">
      <c r="A131" s="4">
        <v>206</v>
      </c>
      <c r="B131">
        <v>164.73</v>
      </c>
      <c r="C131">
        <v>1</v>
      </c>
      <c r="D131">
        <v>164.73</v>
      </c>
    </row>
    <row r="132" spans="1:4" x14ac:dyDescent="0.45">
      <c r="A132" s="4">
        <v>207</v>
      </c>
      <c r="B132">
        <v>73.92</v>
      </c>
      <c r="C132">
        <v>1</v>
      </c>
      <c r="D132">
        <v>73.92</v>
      </c>
    </row>
    <row r="133" spans="1:4" x14ac:dyDescent="0.45">
      <c r="A133" s="4">
        <v>208</v>
      </c>
      <c r="B133">
        <v>94.54</v>
      </c>
      <c r="C133">
        <v>1</v>
      </c>
      <c r="D133">
        <v>94.54</v>
      </c>
    </row>
    <row r="134" spans="1:4" x14ac:dyDescent="0.45">
      <c r="A134" s="4">
        <v>215</v>
      </c>
      <c r="B134">
        <v>181.39</v>
      </c>
      <c r="C134">
        <v>2</v>
      </c>
      <c r="D134">
        <v>90.694999999999993</v>
      </c>
    </row>
    <row r="135" spans="1:4" x14ac:dyDescent="0.45">
      <c r="A135" s="4">
        <v>217</v>
      </c>
      <c r="B135">
        <v>293.08</v>
      </c>
      <c r="C135">
        <v>3</v>
      </c>
      <c r="D135">
        <v>97.693333333333328</v>
      </c>
    </row>
    <row r="136" spans="1:4" x14ac:dyDescent="0.45">
      <c r="A136" s="4">
        <v>218</v>
      </c>
      <c r="B136">
        <v>160.60000000000002</v>
      </c>
      <c r="C136">
        <v>2</v>
      </c>
      <c r="D136">
        <v>80.300000000000011</v>
      </c>
    </row>
    <row r="137" spans="1:4" x14ac:dyDescent="0.45">
      <c r="A137" s="4">
        <v>220</v>
      </c>
      <c r="B137">
        <v>726.88</v>
      </c>
      <c r="C137">
        <v>4</v>
      </c>
      <c r="D137">
        <v>181.72</v>
      </c>
    </row>
    <row r="138" spans="1:4" x14ac:dyDescent="0.45">
      <c r="A138" s="4">
        <v>223</v>
      </c>
      <c r="B138">
        <v>134.19</v>
      </c>
      <c r="C138">
        <v>2</v>
      </c>
      <c r="D138">
        <v>67.094999999999999</v>
      </c>
    </row>
    <row r="139" spans="1:4" x14ac:dyDescent="0.45">
      <c r="A139" s="4">
        <v>225</v>
      </c>
      <c r="B139">
        <v>200.52999999999997</v>
      </c>
      <c r="C139">
        <v>3</v>
      </c>
      <c r="D139">
        <v>66.84333333333332</v>
      </c>
    </row>
    <row r="140" spans="1:4" x14ac:dyDescent="0.45">
      <c r="A140" s="4">
        <v>226</v>
      </c>
      <c r="B140">
        <v>102.8</v>
      </c>
      <c r="C140">
        <v>1</v>
      </c>
      <c r="D140">
        <v>102.8</v>
      </c>
    </row>
    <row r="141" spans="1:4" x14ac:dyDescent="0.45">
      <c r="A141" s="4">
        <v>227</v>
      </c>
      <c r="B141">
        <v>107.07</v>
      </c>
      <c r="C141">
        <v>1</v>
      </c>
      <c r="D141">
        <v>107.07</v>
      </c>
    </row>
    <row r="142" spans="1:4" x14ac:dyDescent="0.45">
      <c r="A142" s="4">
        <v>230</v>
      </c>
      <c r="B142">
        <v>151.22999999999999</v>
      </c>
      <c r="C142">
        <v>2</v>
      </c>
      <c r="D142">
        <v>75.614999999999995</v>
      </c>
    </row>
    <row r="143" spans="1:4" x14ac:dyDescent="0.45">
      <c r="A143" s="4">
        <v>231</v>
      </c>
      <c r="B143">
        <v>511.06000000000006</v>
      </c>
      <c r="C143">
        <v>3</v>
      </c>
      <c r="D143">
        <v>170.35333333333335</v>
      </c>
    </row>
    <row r="144" spans="1:4" x14ac:dyDescent="0.45">
      <c r="A144" s="4">
        <v>233</v>
      </c>
      <c r="B144">
        <v>227.92000000000002</v>
      </c>
      <c r="C144">
        <v>3</v>
      </c>
      <c r="D144">
        <v>75.973333333333343</v>
      </c>
    </row>
    <row r="145" spans="1:4" x14ac:dyDescent="0.45">
      <c r="A145" s="4">
        <v>234</v>
      </c>
      <c r="B145">
        <v>90.3</v>
      </c>
      <c r="C145">
        <v>1</v>
      </c>
      <c r="D145">
        <v>90.3</v>
      </c>
    </row>
    <row r="146" spans="1:4" x14ac:dyDescent="0.45">
      <c r="A146" s="4">
        <v>235</v>
      </c>
      <c r="B146">
        <v>40.840000000000003</v>
      </c>
      <c r="C146">
        <v>1</v>
      </c>
      <c r="D146">
        <v>40.840000000000003</v>
      </c>
    </row>
    <row r="147" spans="1:4" x14ac:dyDescent="0.45">
      <c r="A147" s="4">
        <v>237</v>
      </c>
      <c r="B147">
        <v>49.92</v>
      </c>
      <c r="C147">
        <v>1</v>
      </c>
      <c r="D147">
        <v>49.92</v>
      </c>
    </row>
    <row r="148" spans="1:4" x14ac:dyDescent="0.45">
      <c r="A148" s="4">
        <v>241</v>
      </c>
      <c r="B148">
        <v>60.89</v>
      </c>
      <c r="C148">
        <v>1</v>
      </c>
      <c r="D148">
        <v>60.89</v>
      </c>
    </row>
    <row r="149" spans="1:4" x14ac:dyDescent="0.45">
      <c r="A149" s="4">
        <v>242</v>
      </c>
      <c r="B149">
        <v>45.27</v>
      </c>
      <c r="C149">
        <v>1</v>
      </c>
      <c r="D149">
        <v>45.27</v>
      </c>
    </row>
    <row r="150" spans="1:4" x14ac:dyDescent="0.45">
      <c r="A150" s="4">
        <v>243</v>
      </c>
      <c r="B150">
        <v>60.34</v>
      </c>
      <c r="C150">
        <v>1</v>
      </c>
      <c r="D150">
        <v>60.34</v>
      </c>
    </row>
    <row r="151" spans="1:4" x14ac:dyDescent="0.45">
      <c r="A151" s="4">
        <v>244</v>
      </c>
      <c r="B151">
        <v>41.84</v>
      </c>
      <c r="C151">
        <v>1</v>
      </c>
      <c r="D151">
        <v>41.84</v>
      </c>
    </row>
    <row r="152" spans="1:4" x14ac:dyDescent="0.45">
      <c r="A152" s="4">
        <v>246</v>
      </c>
      <c r="B152">
        <v>148.02000000000001</v>
      </c>
      <c r="C152">
        <v>1</v>
      </c>
      <c r="D152">
        <v>148.02000000000001</v>
      </c>
    </row>
    <row r="153" spans="1:4" x14ac:dyDescent="0.45">
      <c r="A153" s="4">
        <v>247</v>
      </c>
      <c r="B153">
        <v>178.02</v>
      </c>
      <c r="C153">
        <v>2</v>
      </c>
      <c r="D153">
        <v>89.01</v>
      </c>
    </row>
    <row r="154" spans="1:4" x14ac:dyDescent="0.45">
      <c r="A154" s="4">
        <v>252</v>
      </c>
      <c r="B154">
        <v>233.9</v>
      </c>
      <c r="C154">
        <v>2</v>
      </c>
      <c r="D154">
        <v>116.95</v>
      </c>
    </row>
    <row r="155" spans="1:4" x14ac:dyDescent="0.45">
      <c r="A155" s="4">
        <v>253</v>
      </c>
      <c r="B155">
        <v>607.20000000000005</v>
      </c>
      <c r="C155">
        <v>4</v>
      </c>
      <c r="D155">
        <v>151.80000000000001</v>
      </c>
    </row>
    <row r="156" spans="1:4" x14ac:dyDescent="0.45">
      <c r="A156" s="4">
        <v>254</v>
      </c>
      <c r="B156">
        <v>451.13</v>
      </c>
      <c r="C156">
        <v>3</v>
      </c>
      <c r="D156">
        <v>150.37666666666667</v>
      </c>
    </row>
    <row r="157" spans="1:4" x14ac:dyDescent="0.45">
      <c r="A157" s="4">
        <v>256</v>
      </c>
      <c r="B157">
        <v>47.36</v>
      </c>
      <c r="C157">
        <v>1</v>
      </c>
      <c r="D157">
        <v>47.36</v>
      </c>
    </row>
    <row r="158" spans="1:4" x14ac:dyDescent="0.45">
      <c r="A158" s="4">
        <v>258</v>
      </c>
      <c r="B158">
        <v>98.49</v>
      </c>
      <c r="C158">
        <v>1</v>
      </c>
      <c r="D158">
        <v>98.49</v>
      </c>
    </row>
    <row r="159" spans="1:4" x14ac:dyDescent="0.45">
      <c r="A159" s="4">
        <v>259</v>
      </c>
      <c r="B159">
        <v>48.03</v>
      </c>
      <c r="C159">
        <v>1</v>
      </c>
      <c r="D159">
        <v>48.03</v>
      </c>
    </row>
    <row r="160" spans="1:4" x14ac:dyDescent="0.45">
      <c r="A160" s="4">
        <v>263</v>
      </c>
      <c r="B160">
        <v>95.01</v>
      </c>
      <c r="C160">
        <v>1</v>
      </c>
      <c r="D160">
        <v>95.01</v>
      </c>
    </row>
    <row r="161" spans="1:4" x14ac:dyDescent="0.45">
      <c r="A161" s="4">
        <v>264</v>
      </c>
      <c r="B161">
        <v>114</v>
      </c>
      <c r="C161">
        <v>1</v>
      </c>
      <c r="D161">
        <v>114</v>
      </c>
    </row>
    <row r="162" spans="1:4" x14ac:dyDescent="0.45">
      <c r="A162" s="4">
        <v>265</v>
      </c>
      <c r="B162">
        <v>114.7</v>
      </c>
      <c r="C162">
        <v>1</v>
      </c>
      <c r="D162">
        <v>114.7</v>
      </c>
    </row>
    <row r="163" spans="1:4" x14ac:dyDescent="0.45">
      <c r="A163" s="4">
        <v>268</v>
      </c>
      <c r="B163">
        <v>256.89999999999998</v>
      </c>
      <c r="C163">
        <v>2</v>
      </c>
      <c r="D163">
        <v>128.44999999999999</v>
      </c>
    </row>
    <row r="164" spans="1:4" x14ac:dyDescent="0.45">
      <c r="A164" s="4">
        <v>269</v>
      </c>
      <c r="B164">
        <v>31.86</v>
      </c>
      <c r="C164">
        <v>1</v>
      </c>
      <c r="D164">
        <v>31.86</v>
      </c>
    </row>
    <row r="165" spans="1:4" x14ac:dyDescent="0.45">
      <c r="A165" s="4">
        <v>270</v>
      </c>
      <c r="B165">
        <v>197.82</v>
      </c>
      <c r="C165">
        <v>1</v>
      </c>
      <c r="D165">
        <v>197.82</v>
      </c>
    </row>
    <row r="166" spans="1:4" x14ac:dyDescent="0.45">
      <c r="A166" s="4">
        <v>271</v>
      </c>
      <c r="B166">
        <v>395.59999999999997</v>
      </c>
      <c r="C166">
        <v>2</v>
      </c>
      <c r="D166">
        <v>197.79999999999998</v>
      </c>
    </row>
    <row r="167" spans="1:4" x14ac:dyDescent="0.45">
      <c r="A167" s="4">
        <v>272</v>
      </c>
      <c r="B167">
        <v>70.56</v>
      </c>
      <c r="C167">
        <v>1</v>
      </c>
      <c r="D167">
        <v>70.56</v>
      </c>
    </row>
    <row r="168" spans="1:4" x14ac:dyDescent="0.45">
      <c r="A168" s="4">
        <v>273</v>
      </c>
      <c r="B168">
        <v>40.99</v>
      </c>
      <c r="C168">
        <v>1</v>
      </c>
      <c r="D168">
        <v>40.99</v>
      </c>
    </row>
    <row r="169" spans="1:4" x14ac:dyDescent="0.45">
      <c r="A169" s="4">
        <v>274</v>
      </c>
      <c r="B169">
        <v>66.989999999999995</v>
      </c>
      <c r="C169">
        <v>1</v>
      </c>
      <c r="D169">
        <v>66.989999999999995</v>
      </c>
    </row>
    <row r="170" spans="1:4" x14ac:dyDescent="0.45">
      <c r="A170" s="4">
        <v>277</v>
      </c>
      <c r="B170">
        <v>517.66</v>
      </c>
      <c r="C170">
        <v>4</v>
      </c>
      <c r="D170">
        <v>129.41499999999999</v>
      </c>
    </row>
    <row r="171" spans="1:4" x14ac:dyDescent="0.45">
      <c r="A171" s="4">
        <v>279</v>
      </c>
      <c r="B171">
        <v>200.96999999999997</v>
      </c>
      <c r="C171">
        <v>1</v>
      </c>
      <c r="D171">
        <v>200.96999999999997</v>
      </c>
    </row>
    <row r="172" spans="1:4" x14ac:dyDescent="0.45">
      <c r="A172" s="4">
        <v>280</v>
      </c>
      <c r="B172">
        <v>289.58000000000004</v>
      </c>
      <c r="C172">
        <v>2</v>
      </c>
      <c r="D172">
        <v>144.79000000000002</v>
      </c>
    </row>
    <row r="173" spans="1:4" x14ac:dyDescent="0.45">
      <c r="A173" s="4">
        <v>283</v>
      </c>
      <c r="B173">
        <v>228.24</v>
      </c>
      <c r="C173">
        <v>2</v>
      </c>
      <c r="D173">
        <v>114.12</v>
      </c>
    </row>
    <row r="174" spans="1:4" x14ac:dyDescent="0.45">
      <c r="A174" s="4">
        <v>284</v>
      </c>
      <c r="B174">
        <v>92.72</v>
      </c>
      <c r="C174">
        <v>1</v>
      </c>
      <c r="D174">
        <v>92.72</v>
      </c>
    </row>
    <row r="175" spans="1:4" x14ac:dyDescent="0.45">
      <c r="A175" s="4">
        <v>285</v>
      </c>
      <c r="B175">
        <v>212.53000000000003</v>
      </c>
      <c r="C175">
        <v>2</v>
      </c>
      <c r="D175">
        <v>106.26500000000001</v>
      </c>
    </row>
    <row r="176" spans="1:4" x14ac:dyDescent="0.45">
      <c r="A176" s="4">
        <v>288</v>
      </c>
      <c r="B176">
        <v>73.38</v>
      </c>
      <c r="C176">
        <v>1</v>
      </c>
      <c r="D176">
        <v>73.38</v>
      </c>
    </row>
    <row r="177" spans="1:4" x14ac:dyDescent="0.45">
      <c r="A177" s="4">
        <v>289</v>
      </c>
      <c r="B177">
        <v>222.29999999999998</v>
      </c>
      <c r="C177">
        <v>2</v>
      </c>
      <c r="D177">
        <v>111.14999999999999</v>
      </c>
    </row>
    <row r="178" spans="1:4" x14ac:dyDescent="0.45">
      <c r="A178" s="4">
        <v>294</v>
      </c>
      <c r="B178">
        <v>89.18</v>
      </c>
      <c r="C178">
        <v>1</v>
      </c>
      <c r="D178">
        <v>89.18</v>
      </c>
    </row>
    <row r="179" spans="1:4" x14ac:dyDescent="0.45">
      <c r="A179" s="4">
        <v>296</v>
      </c>
      <c r="B179">
        <v>72.58</v>
      </c>
      <c r="C179">
        <v>1</v>
      </c>
      <c r="D179">
        <v>72.58</v>
      </c>
    </row>
    <row r="180" spans="1:4" x14ac:dyDescent="0.45">
      <c r="A180" s="4">
        <v>298</v>
      </c>
      <c r="B180">
        <v>23.13</v>
      </c>
      <c r="C180">
        <v>1</v>
      </c>
      <c r="D180">
        <v>23.13</v>
      </c>
    </row>
    <row r="181" spans="1:4" x14ac:dyDescent="0.45">
      <c r="A181" s="4">
        <v>301</v>
      </c>
      <c r="B181">
        <v>58.11</v>
      </c>
      <c r="C181">
        <v>1</v>
      </c>
      <c r="D181">
        <v>58.11</v>
      </c>
    </row>
    <row r="182" spans="1:4" x14ac:dyDescent="0.45">
      <c r="A182" s="4">
        <v>302</v>
      </c>
      <c r="B182">
        <v>233.63</v>
      </c>
      <c r="C182">
        <v>2</v>
      </c>
      <c r="D182">
        <v>116.815</v>
      </c>
    </row>
    <row r="183" spans="1:4" x14ac:dyDescent="0.45">
      <c r="A183" s="4">
        <v>304</v>
      </c>
      <c r="B183">
        <v>91.5</v>
      </c>
      <c r="C183">
        <v>1</v>
      </c>
      <c r="D183">
        <v>91.5</v>
      </c>
    </row>
    <row r="184" spans="1:4" x14ac:dyDescent="0.45">
      <c r="A184" s="4">
        <v>305</v>
      </c>
      <c r="B184">
        <v>191.46</v>
      </c>
      <c r="C184">
        <v>1</v>
      </c>
      <c r="D184">
        <v>191.46</v>
      </c>
    </row>
    <row r="185" spans="1:4" x14ac:dyDescent="0.45">
      <c r="A185" s="4">
        <v>309</v>
      </c>
      <c r="B185">
        <v>53.7</v>
      </c>
      <c r="C185">
        <v>1</v>
      </c>
      <c r="D185">
        <v>53.7</v>
      </c>
    </row>
    <row r="186" spans="1:4" x14ac:dyDescent="0.45">
      <c r="A186" s="4">
        <v>314</v>
      </c>
      <c r="B186">
        <v>218.53000000000003</v>
      </c>
      <c r="C186">
        <v>2</v>
      </c>
      <c r="D186">
        <v>109.26500000000001</v>
      </c>
    </row>
    <row r="187" spans="1:4" x14ac:dyDescent="0.45">
      <c r="A187" s="4">
        <v>316</v>
      </c>
      <c r="B187">
        <v>30.41</v>
      </c>
      <c r="C187">
        <v>1</v>
      </c>
      <c r="D187">
        <v>30.41</v>
      </c>
    </row>
    <row r="188" spans="1:4" x14ac:dyDescent="0.45">
      <c r="A188" s="4">
        <v>318</v>
      </c>
      <c r="B188">
        <v>50.55</v>
      </c>
      <c r="C188">
        <v>1</v>
      </c>
      <c r="D188">
        <v>50.55</v>
      </c>
    </row>
    <row r="189" spans="1:4" x14ac:dyDescent="0.45">
      <c r="A189" s="4">
        <v>321</v>
      </c>
      <c r="B189">
        <v>57.17</v>
      </c>
      <c r="C189">
        <v>1</v>
      </c>
      <c r="D189">
        <v>57.17</v>
      </c>
    </row>
    <row r="190" spans="1:4" x14ac:dyDescent="0.45">
      <c r="A190" s="4">
        <v>323</v>
      </c>
      <c r="B190">
        <v>275.55</v>
      </c>
      <c r="C190">
        <v>2</v>
      </c>
      <c r="D190">
        <v>137.77500000000001</v>
      </c>
    </row>
    <row r="191" spans="1:4" x14ac:dyDescent="0.45">
      <c r="A191" s="4">
        <v>325</v>
      </c>
      <c r="B191">
        <v>107.22</v>
      </c>
      <c r="C191">
        <v>1</v>
      </c>
      <c r="D191">
        <v>107.22</v>
      </c>
    </row>
    <row r="192" spans="1:4" x14ac:dyDescent="0.45">
      <c r="A192" s="4">
        <v>326</v>
      </c>
      <c r="B192">
        <v>40.99</v>
      </c>
      <c r="C192">
        <v>1</v>
      </c>
      <c r="D192">
        <v>40.99</v>
      </c>
    </row>
    <row r="193" spans="1:4" x14ac:dyDescent="0.45">
      <c r="A193" s="4">
        <v>327</v>
      </c>
      <c r="B193">
        <v>238.24</v>
      </c>
      <c r="C193">
        <v>1</v>
      </c>
      <c r="D193">
        <v>238.24</v>
      </c>
    </row>
    <row r="194" spans="1:4" x14ac:dyDescent="0.45">
      <c r="A194" s="4">
        <v>331</v>
      </c>
      <c r="B194">
        <v>254.08</v>
      </c>
      <c r="C194">
        <v>2</v>
      </c>
      <c r="D194">
        <v>127.04</v>
      </c>
    </row>
    <row r="195" spans="1:4" x14ac:dyDescent="0.45">
      <c r="A195" s="4">
        <v>336</v>
      </c>
      <c r="B195">
        <v>115.02</v>
      </c>
      <c r="C195">
        <v>1</v>
      </c>
      <c r="D195">
        <v>115.02</v>
      </c>
    </row>
    <row r="196" spans="1:4" x14ac:dyDescent="0.45">
      <c r="A196" s="4">
        <v>338</v>
      </c>
      <c r="B196">
        <v>240.12</v>
      </c>
      <c r="C196">
        <v>3</v>
      </c>
      <c r="D196">
        <v>80.040000000000006</v>
      </c>
    </row>
    <row r="197" spans="1:4" x14ac:dyDescent="0.45">
      <c r="A197" s="4">
        <v>339</v>
      </c>
      <c r="B197">
        <v>133.36000000000001</v>
      </c>
      <c r="C197">
        <v>1</v>
      </c>
      <c r="D197">
        <v>133.36000000000001</v>
      </c>
    </row>
    <row r="198" spans="1:4" x14ac:dyDescent="0.45">
      <c r="A198" s="4">
        <v>340</v>
      </c>
      <c r="B198">
        <v>121.32000000000001</v>
      </c>
      <c r="C198">
        <v>2</v>
      </c>
      <c r="D198">
        <v>60.660000000000004</v>
      </c>
    </row>
    <row r="199" spans="1:4" x14ac:dyDescent="0.45">
      <c r="A199" s="4">
        <v>341</v>
      </c>
      <c r="B199">
        <v>30.26</v>
      </c>
      <c r="C199">
        <v>1</v>
      </c>
      <c r="D199">
        <v>30.26</v>
      </c>
    </row>
    <row r="200" spans="1:4" x14ac:dyDescent="0.45">
      <c r="A200" s="4">
        <v>342</v>
      </c>
      <c r="B200">
        <v>142.72</v>
      </c>
      <c r="C200">
        <v>3</v>
      </c>
      <c r="D200">
        <v>47.573333333333331</v>
      </c>
    </row>
    <row r="201" spans="1:4" x14ac:dyDescent="0.45">
      <c r="A201" s="4">
        <v>344</v>
      </c>
      <c r="B201">
        <v>284.44</v>
      </c>
      <c r="C201">
        <v>2</v>
      </c>
      <c r="D201">
        <v>142.22</v>
      </c>
    </row>
    <row r="202" spans="1:4" x14ac:dyDescent="0.45">
      <c r="A202" s="4">
        <v>346</v>
      </c>
      <c r="B202">
        <v>491.71999999999997</v>
      </c>
      <c r="C202">
        <v>4</v>
      </c>
      <c r="D202">
        <v>122.92999999999999</v>
      </c>
    </row>
    <row r="203" spans="1:4" x14ac:dyDescent="0.45">
      <c r="A203" s="4">
        <v>348</v>
      </c>
      <c r="B203">
        <v>217.37000000000003</v>
      </c>
      <c r="C203">
        <v>2</v>
      </c>
      <c r="D203">
        <v>108.68500000000002</v>
      </c>
    </row>
    <row r="204" spans="1:4" x14ac:dyDescent="0.45">
      <c r="A204" s="4">
        <v>349</v>
      </c>
      <c r="B204">
        <v>238.13</v>
      </c>
      <c r="C204">
        <v>2</v>
      </c>
      <c r="D204">
        <v>119.065</v>
      </c>
    </row>
    <row r="205" spans="1:4" x14ac:dyDescent="0.45">
      <c r="A205" s="4">
        <v>350</v>
      </c>
      <c r="B205">
        <v>313.15000000000003</v>
      </c>
      <c r="C205">
        <v>1</v>
      </c>
      <c r="D205">
        <v>313.15000000000003</v>
      </c>
    </row>
    <row r="206" spans="1:4" x14ac:dyDescent="0.45">
      <c r="A206" s="4">
        <v>354</v>
      </c>
      <c r="B206">
        <v>186.08</v>
      </c>
      <c r="C206">
        <v>1</v>
      </c>
      <c r="D206">
        <v>186.08</v>
      </c>
    </row>
    <row r="207" spans="1:4" x14ac:dyDescent="0.45">
      <c r="A207" s="4">
        <v>357</v>
      </c>
      <c r="B207">
        <v>112.12</v>
      </c>
      <c r="C207">
        <v>1</v>
      </c>
      <c r="D207">
        <v>112.12</v>
      </c>
    </row>
    <row r="208" spans="1:4" x14ac:dyDescent="0.45">
      <c r="A208" s="4">
        <v>359</v>
      </c>
      <c r="B208">
        <v>49.41</v>
      </c>
      <c r="C208">
        <v>1</v>
      </c>
      <c r="D208">
        <v>49.41</v>
      </c>
    </row>
    <row r="209" spans="1:4" x14ac:dyDescent="0.45">
      <c r="A209" s="4">
        <v>361</v>
      </c>
      <c r="B209">
        <v>47.66</v>
      </c>
      <c r="C209">
        <v>1</v>
      </c>
      <c r="D209">
        <v>47.66</v>
      </c>
    </row>
    <row r="210" spans="1:4" x14ac:dyDescent="0.45">
      <c r="A210" s="4">
        <v>365</v>
      </c>
      <c r="B210">
        <v>252.43</v>
      </c>
      <c r="C210">
        <v>2</v>
      </c>
      <c r="D210">
        <v>126.215</v>
      </c>
    </row>
    <row r="211" spans="1:4" x14ac:dyDescent="0.45">
      <c r="A211" s="4">
        <v>367</v>
      </c>
      <c r="B211">
        <v>129.09</v>
      </c>
      <c r="C211">
        <v>2</v>
      </c>
      <c r="D211">
        <v>64.545000000000002</v>
      </c>
    </row>
    <row r="212" spans="1:4" x14ac:dyDescent="0.45">
      <c r="A212" s="4">
        <v>369</v>
      </c>
      <c r="B212">
        <v>60.7</v>
      </c>
      <c r="C212">
        <v>1</v>
      </c>
      <c r="D212">
        <v>60.7</v>
      </c>
    </row>
    <row r="213" spans="1:4" x14ac:dyDescent="0.45">
      <c r="A213" s="4">
        <v>370</v>
      </c>
      <c r="B213">
        <v>148.47999999999999</v>
      </c>
      <c r="C213">
        <v>1</v>
      </c>
      <c r="D213">
        <v>148.47999999999999</v>
      </c>
    </row>
    <row r="214" spans="1:4" x14ac:dyDescent="0.45">
      <c r="A214" s="4">
        <v>373</v>
      </c>
      <c r="B214">
        <v>159.80000000000001</v>
      </c>
      <c r="C214">
        <v>2</v>
      </c>
      <c r="D214">
        <v>79.900000000000006</v>
      </c>
    </row>
    <row r="215" spans="1:4" x14ac:dyDescent="0.45">
      <c r="A215" s="4">
        <v>374</v>
      </c>
      <c r="B215">
        <v>75.400000000000006</v>
      </c>
      <c r="C215">
        <v>1</v>
      </c>
      <c r="D215">
        <v>75.400000000000006</v>
      </c>
    </row>
    <row r="216" spans="1:4" x14ac:dyDescent="0.45">
      <c r="A216" s="4">
        <v>375</v>
      </c>
      <c r="B216">
        <v>46.64</v>
      </c>
      <c r="C216">
        <v>1</v>
      </c>
      <c r="D216">
        <v>46.64</v>
      </c>
    </row>
    <row r="217" spans="1:4" x14ac:dyDescent="0.45">
      <c r="A217" s="4">
        <v>376</v>
      </c>
      <c r="B217">
        <v>61.95</v>
      </c>
      <c r="C217">
        <v>1</v>
      </c>
      <c r="D217">
        <v>61.95</v>
      </c>
    </row>
    <row r="218" spans="1:4" x14ac:dyDescent="0.45">
      <c r="A218" s="4">
        <v>377</v>
      </c>
      <c r="B218">
        <v>161.52000000000001</v>
      </c>
      <c r="C218">
        <v>1</v>
      </c>
      <c r="D218">
        <v>161.52000000000001</v>
      </c>
    </row>
    <row r="219" spans="1:4" x14ac:dyDescent="0.45">
      <c r="A219" s="4">
        <v>379</v>
      </c>
      <c r="B219">
        <v>93.04</v>
      </c>
      <c r="C219">
        <v>1</v>
      </c>
      <c r="D219">
        <v>93.04</v>
      </c>
    </row>
    <row r="220" spans="1:4" x14ac:dyDescent="0.45">
      <c r="A220" s="4">
        <v>380</v>
      </c>
      <c r="B220">
        <v>157.32999999999998</v>
      </c>
      <c r="C220">
        <v>2</v>
      </c>
      <c r="D220">
        <v>78.664999999999992</v>
      </c>
    </row>
    <row r="221" spans="1:4" x14ac:dyDescent="0.45">
      <c r="A221" s="4">
        <v>384</v>
      </c>
      <c r="B221">
        <v>62.17</v>
      </c>
      <c r="C221">
        <v>1</v>
      </c>
      <c r="D221">
        <v>62.17</v>
      </c>
    </row>
    <row r="222" spans="1:4" x14ac:dyDescent="0.45">
      <c r="A222" s="4">
        <v>385</v>
      </c>
      <c r="B222">
        <v>370</v>
      </c>
      <c r="C222">
        <v>2</v>
      </c>
      <c r="D222">
        <v>185</v>
      </c>
    </row>
    <row r="223" spans="1:4" x14ac:dyDescent="0.45">
      <c r="A223" s="4">
        <v>386</v>
      </c>
      <c r="B223">
        <v>289.78999999999996</v>
      </c>
      <c r="C223">
        <v>3</v>
      </c>
      <c r="D223">
        <v>96.59666666666665</v>
      </c>
    </row>
    <row r="224" spans="1:4" x14ac:dyDescent="0.45">
      <c r="A224" s="4">
        <v>387</v>
      </c>
      <c r="B224">
        <v>130.48000000000002</v>
      </c>
      <c r="C224">
        <v>2</v>
      </c>
      <c r="D224">
        <v>65.240000000000009</v>
      </c>
    </row>
    <row r="225" spans="1:4" x14ac:dyDescent="0.45">
      <c r="A225" s="4">
        <v>388</v>
      </c>
      <c r="B225">
        <v>222.75</v>
      </c>
      <c r="C225">
        <v>2</v>
      </c>
      <c r="D225">
        <v>111.375</v>
      </c>
    </row>
    <row r="226" spans="1:4" x14ac:dyDescent="0.45">
      <c r="A226" s="4">
        <v>390</v>
      </c>
      <c r="B226">
        <v>228.44</v>
      </c>
      <c r="C226">
        <v>1</v>
      </c>
      <c r="D226">
        <v>228.44</v>
      </c>
    </row>
    <row r="227" spans="1:4" x14ac:dyDescent="0.45">
      <c r="A227" s="4">
        <v>392</v>
      </c>
      <c r="B227">
        <v>250.39</v>
      </c>
      <c r="C227">
        <v>2</v>
      </c>
      <c r="D227">
        <v>125.19499999999999</v>
      </c>
    </row>
    <row r="228" spans="1:4" x14ac:dyDescent="0.45">
      <c r="A228" s="4">
        <v>393</v>
      </c>
      <c r="B228">
        <v>195.2</v>
      </c>
      <c r="C228">
        <v>4</v>
      </c>
      <c r="D228">
        <v>48.8</v>
      </c>
    </row>
    <row r="229" spans="1:4" x14ac:dyDescent="0.45">
      <c r="A229" s="4">
        <v>394</v>
      </c>
      <c r="B229">
        <v>46.11</v>
      </c>
      <c r="C229">
        <v>1</v>
      </c>
      <c r="D229">
        <v>46.11</v>
      </c>
    </row>
    <row r="230" spans="1:4" x14ac:dyDescent="0.45">
      <c r="A230" s="4">
        <v>396</v>
      </c>
      <c r="B230">
        <v>139.96</v>
      </c>
      <c r="C230">
        <v>2</v>
      </c>
      <c r="D230">
        <v>69.98</v>
      </c>
    </row>
    <row r="231" spans="1:4" x14ac:dyDescent="0.45">
      <c r="A231" s="4">
        <v>397</v>
      </c>
      <c r="B231">
        <v>314.3</v>
      </c>
      <c r="C231">
        <v>2</v>
      </c>
      <c r="D231">
        <v>157.15</v>
      </c>
    </row>
    <row r="232" spans="1:4" x14ac:dyDescent="0.45">
      <c r="A232" s="4">
        <v>398</v>
      </c>
      <c r="B232">
        <v>190.59</v>
      </c>
      <c r="C232">
        <v>3</v>
      </c>
      <c r="D232">
        <v>63.53</v>
      </c>
    </row>
    <row r="233" spans="1:4" x14ac:dyDescent="0.45">
      <c r="A233" s="4">
        <v>400</v>
      </c>
      <c r="B233">
        <v>312.60000000000002</v>
      </c>
      <c r="C233">
        <v>1</v>
      </c>
      <c r="D233">
        <v>312.60000000000002</v>
      </c>
    </row>
    <row r="234" spans="1:4" x14ac:dyDescent="0.45">
      <c r="A234" s="4">
        <v>401</v>
      </c>
      <c r="B234">
        <v>95.12</v>
      </c>
      <c r="C234">
        <v>2</v>
      </c>
      <c r="D234">
        <v>47.56</v>
      </c>
    </row>
    <row r="235" spans="1:4" x14ac:dyDescent="0.45">
      <c r="A235" s="4">
        <v>402</v>
      </c>
      <c r="B235">
        <v>234.6</v>
      </c>
      <c r="C235">
        <v>1</v>
      </c>
      <c r="D235">
        <v>234.6</v>
      </c>
    </row>
    <row r="236" spans="1:4" x14ac:dyDescent="0.45">
      <c r="A236" s="4">
        <v>403</v>
      </c>
      <c r="B236">
        <v>125.74000000000001</v>
      </c>
      <c r="C236">
        <v>2</v>
      </c>
      <c r="D236">
        <v>62.870000000000005</v>
      </c>
    </row>
    <row r="237" spans="1:4" x14ac:dyDescent="0.45">
      <c r="A237" s="4">
        <v>404</v>
      </c>
      <c r="B237">
        <v>95.32</v>
      </c>
      <c r="C237">
        <v>1</v>
      </c>
      <c r="D237">
        <v>95.32</v>
      </c>
    </row>
    <row r="238" spans="1:4" x14ac:dyDescent="0.45">
      <c r="A238" s="4">
        <v>407</v>
      </c>
      <c r="B238">
        <v>196.44</v>
      </c>
      <c r="C238">
        <v>2</v>
      </c>
      <c r="D238">
        <v>98.22</v>
      </c>
    </row>
    <row r="239" spans="1:4" x14ac:dyDescent="0.45">
      <c r="A239" s="4">
        <v>408</v>
      </c>
      <c r="B239">
        <v>27.37</v>
      </c>
      <c r="C239">
        <v>1</v>
      </c>
      <c r="D239">
        <v>27.37</v>
      </c>
    </row>
    <row r="240" spans="1:4" x14ac:dyDescent="0.45">
      <c r="A240" s="4">
        <v>411</v>
      </c>
      <c r="B240">
        <v>48.86</v>
      </c>
      <c r="C240">
        <v>1</v>
      </c>
      <c r="D240">
        <v>48.86</v>
      </c>
    </row>
    <row r="241" spans="1:4" x14ac:dyDescent="0.45">
      <c r="A241" s="4">
        <v>413</v>
      </c>
      <c r="B241">
        <v>192.24</v>
      </c>
      <c r="C241">
        <v>1</v>
      </c>
      <c r="D241">
        <v>192.24</v>
      </c>
    </row>
    <row r="242" spans="1:4" x14ac:dyDescent="0.45">
      <c r="A242" s="4">
        <v>414</v>
      </c>
      <c r="B242">
        <v>276.35000000000002</v>
      </c>
      <c r="C242">
        <v>1</v>
      </c>
      <c r="D242">
        <v>276.35000000000002</v>
      </c>
    </row>
    <row r="243" spans="1:4" x14ac:dyDescent="0.45">
      <c r="A243" s="4">
        <v>415</v>
      </c>
      <c r="B243">
        <v>232.56</v>
      </c>
      <c r="C243">
        <v>2</v>
      </c>
      <c r="D243">
        <v>116.28</v>
      </c>
    </row>
    <row r="244" spans="1:4" x14ac:dyDescent="0.45">
      <c r="A244" s="4">
        <v>416</v>
      </c>
      <c r="B244">
        <v>39.22</v>
      </c>
      <c r="C244">
        <v>1</v>
      </c>
      <c r="D244">
        <v>39.22</v>
      </c>
    </row>
    <row r="245" spans="1:4" x14ac:dyDescent="0.45">
      <c r="A245" s="4">
        <v>417</v>
      </c>
      <c r="B245">
        <v>268.27999999999997</v>
      </c>
      <c r="C245">
        <v>1</v>
      </c>
      <c r="D245">
        <v>268.27999999999997</v>
      </c>
    </row>
    <row r="246" spans="1:4" x14ac:dyDescent="0.45">
      <c r="A246" s="4">
        <v>418</v>
      </c>
      <c r="B246">
        <v>92.2</v>
      </c>
      <c r="C246">
        <v>1</v>
      </c>
      <c r="D246">
        <v>92.2</v>
      </c>
    </row>
    <row r="247" spans="1:4" x14ac:dyDescent="0.45">
      <c r="A247" s="4">
        <v>419</v>
      </c>
      <c r="B247">
        <v>295.35000000000002</v>
      </c>
      <c r="C247">
        <v>1</v>
      </c>
      <c r="D247">
        <v>295.35000000000002</v>
      </c>
    </row>
    <row r="248" spans="1:4" x14ac:dyDescent="0.45">
      <c r="A248" s="4">
        <v>420</v>
      </c>
      <c r="B248">
        <v>186.07999999999998</v>
      </c>
      <c r="C248">
        <v>2</v>
      </c>
      <c r="D248">
        <v>93.039999999999992</v>
      </c>
    </row>
    <row r="249" spans="1:4" x14ac:dyDescent="0.45">
      <c r="A249" s="4">
        <v>422</v>
      </c>
      <c r="B249">
        <v>129.95999999999998</v>
      </c>
      <c r="C249">
        <v>2</v>
      </c>
      <c r="D249">
        <v>64.97999999999999</v>
      </c>
    </row>
    <row r="250" spans="1:4" x14ac:dyDescent="0.45">
      <c r="A250" s="4">
        <v>427</v>
      </c>
      <c r="B250">
        <v>122.52</v>
      </c>
      <c r="C250">
        <v>1</v>
      </c>
      <c r="D250">
        <v>122.52</v>
      </c>
    </row>
    <row r="251" spans="1:4" x14ac:dyDescent="0.45">
      <c r="A251" s="4">
        <v>428</v>
      </c>
      <c r="B251">
        <v>63.03</v>
      </c>
      <c r="C251">
        <v>1</v>
      </c>
      <c r="D251">
        <v>63.03</v>
      </c>
    </row>
    <row r="252" spans="1:4" x14ac:dyDescent="0.45">
      <c r="A252" s="4">
        <v>432</v>
      </c>
      <c r="B252">
        <v>44.08</v>
      </c>
      <c r="C252">
        <v>1</v>
      </c>
      <c r="D252">
        <v>44.08</v>
      </c>
    </row>
    <row r="253" spans="1:4" x14ac:dyDescent="0.45">
      <c r="A253" s="4">
        <v>435</v>
      </c>
      <c r="B253">
        <v>63.22</v>
      </c>
      <c r="C253">
        <v>1</v>
      </c>
      <c r="D253">
        <v>63.22</v>
      </c>
    </row>
    <row r="254" spans="1:4" x14ac:dyDescent="0.45">
      <c r="A254" s="4">
        <v>436</v>
      </c>
      <c r="B254">
        <v>68.47</v>
      </c>
      <c r="C254">
        <v>1</v>
      </c>
      <c r="D254">
        <v>68.47</v>
      </c>
    </row>
    <row r="255" spans="1:4" x14ac:dyDescent="0.45">
      <c r="A255" s="4">
        <v>438</v>
      </c>
      <c r="B255">
        <v>60.68</v>
      </c>
      <c r="C255">
        <v>1</v>
      </c>
      <c r="D255">
        <v>60.68</v>
      </c>
    </row>
    <row r="256" spans="1:4" x14ac:dyDescent="0.45">
      <c r="A256" s="4">
        <v>439</v>
      </c>
      <c r="B256">
        <v>91.5</v>
      </c>
      <c r="C256">
        <v>1</v>
      </c>
      <c r="D256">
        <v>91.5</v>
      </c>
    </row>
    <row r="257" spans="1:4" x14ac:dyDescent="0.45">
      <c r="A257" s="4">
        <v>442</v>
      </c>
      <c r="B257">
        <v>271.93000000000006</v>
      </c>
      <c r="C257">
        <v>2</v>
      </c>
      <c r="D257">
        <v>135.96500000000003</v>
      </c>
    </row>
    <row r="258" spans="1:4" x14ac:dyDescent="0.45">
      <c r="A258" s="4">
        <v>444</v>
      </c>
      <c r="B258">
        <v>92.08</v>
      </c>
      <c r="C258">
        <v>1</v>
      </c>
      <c r="D258">
        <v>92.08</v>
      </c>
    </row>
    <row r="259" spans="1:4" x14ac:dyDescent="0.45">
      <c r="A259" s="4">
        <v>445</v>
      </c>
      <c r="B259">
        <v>108.74000000000001</v>
      </c>
      <c r="C259">
        <v>2</v>
      </c>
      <c r="D259">
        <v>54.370000000000005</v>
      </c>
    </row>
    <row r="260" spans="1:4" x14ac:dyDescent="0.45">
      <c r="A260" s="4">
        <v>447</v>
      </c>
      <c r="B260">
        <v>52.08</v>
      </c>
      <c r="C260">
        <v>1</v>
      </c>
      <c r="D260">
        <v>52.08</v>
      </c>
    </row>
    <row r="261" spans="1:4" x14ac:dyDescent="0.45">
      <c r="A261" s="4">
        <v>451</v>
      </c>
      <c r="B261">
        <v>59.07</v>
      </c>
      <c r="C261">
        <v>1</v>
      </c>
      <c r="D261">
        <v>59.07</v>
      </c>
    </row>
    <row r="262" spans="1:4" x14ac:dyDescent="0.45">
      <c r="A262" s="4">
        <v>453</v>
      </c>
      <c r="B262">
        <v>489.35</v>
      </c>
      <c r="C262">
        <v>3</v>
      </c>
      <c r="D262">
        <v>163.11666666666667</v>
      </c>
    </row>
    <row r="263" spans="1:4" x14ac:dyDescent="0.45">
      <c r="A263" s="4">
        <v>455</v>
      </c>
      <c r="B263">
        <v>377</v>
      </c>
      <c r="C263">
        <v>2</v>
      </c>
      <c r="D263">
        <v>188.5</v>
      </c>
    </row>
    <row r="264" spans="1:4" x14ac:dyDescent="0.45">
      <c r="A264" s="4">
        <v>456</v>
      </c>
      <c r="B264">
        <v>312.99</v>
      </c>
      <c r="C264">
        <v>3</v>
      </c>
      <c r="D264">
        <v>104.33</v>
      </c>
    </row>
    <row r="265" spans="1:4" x14ac:dyDescent="0.45">
      <c r="A265" s="4">
        <v>457</v>
      </c>
      <c r="B265">
        <v>49.76</v>
      </c>
      <c r="C265">
        <v>1</v>
      </c>
      <c r="D265">
        <v>49.76</v>
      </c>
    </row>
    <row r="266" spans="1:4" x14ac:dyDescent="0.45">
      <c r="A266" s="4">
        <v>459</v>
      </c>
      <c r="B266">
        <v>187.6</v>
      </c>
      <c r="C266">
        <v>1</v>
      </c>
      <c r="D266">
        <v>187.6</v>
      </c>
    </row>
    <row r="267" spans="1:4" x14ac:dyDescent="0.45">
      <c r="A267" s="4">
        <v>460</v>
      </c>
      <c r="B267">
        <v>184.18</v>
      </c>
      <c r="C267">
        <v>2</v>
      </c>
      <c r="D267">
        <v>92.09</v>
      </c>
    </row>
    <row r="268" spans="1:4" x14ac:dyDescent="0.45">
      <c r="A268" s="4">
        <v>461</v>
      </c>
      <c r="B268">
        <v>53.35</v>
      </c>
      <c r="C268">
        <v>1</v>
      </c>
      <c r="D268">
        <v>53.35</v>
      </c>
    </row>
    <row r="269" spans="1:4" x14ac:dyDescent="0.45">
      <c r="A269" s="4">
        <v>462</v>
      </c>
      <c r="B269">
        <v>146.02000000000001</v>
      </c>
      <c r="C269">
        <v>2</v>
      </c>
      <c r="D269">
        <v>73.010000000000005</v>
      </c>
    </row>
    <row r="270" spans="1:4" x14ac:dyDescent="0.45">
      <c r="A270" s="4">
        <v>464</v>
      </c>
      <c r="B270">
        <v>80.760000000000005</v>
      </c>
      <c r="C270">
        <v>1</v>
      </c>
      <c r="D270">
        <v>80.760000000000005</v>
      </c>
    </row>
    <row r="271" spans="1:4" x14ac:dyDescent="0.45">
      <c r="A271" s="4">
        <v>467</v>
      </c>
      <c r="B271">
        <v>31.61</v>
      </c>
      <c r="C271">
        <v>1</v>
      </c>
      <c r="D271">
        <v>31.61</v>
      </c>
    </row>
    <row r="272" spans="1:4" x14ac:dyDescent="0.45">
      <c r="A272" s="4">
        <v>469</v>
      </c>
      <c r="B272">
        <v>45.27</v>
      </c>
      <c r="C272">
        <v>1</v>
      </c>
      <c r="D272">
        <v>45.27</v>
      </c>
    </row>
    <row r="273" spans="1:4" x14ac:dyDescent="0.45">
      <c r="A273" s="4">
        <v>470</v>
      </c>
      <c r="B273">
        <v>78.44</v>
      </c>
      <c r="C273">
        <v>1</v>
      </c>
      <c r="D273">
        <v>78.44</v>
      </c>
    </row>
    <row r="274" spans="1:4" x14ac:dyDescent="0.45">
      <c r="A274" s="4">
        <v>471</v>
      </c>
      <c r="B274">
        <v>48.37</v>
      </c>
      <c r="C274">
        <v>1</v>
      </c>
      <c r="D274">
        <v>48.37</v>
      </c>
    </row>
    <row r="275" spans="1:4" x14ac:dyDescent="0.45">
      <c r="A275" s="4">
        <v>472</v>
      </c>
      <c r="B275">
        <v>144.19</v>
      </c>
      <c r="C275">
        <v>2</v>
      </c>
      <c r="D275">
        <v>72.094999999999999</v>
      </c>
    </row>
    <row r="276" spans="1:4" x14ac:dyDescent="0.45">
      <c r="A276" s="4">
        <v>473</v>
      </c>
      <c r="B276">
        <v>320</v>
      </c>
      <c r="C276">
        <v>3</v>
      </c>
      <c r="D276">
        <v>106.66666666666667</v>
      </c>
    </row>
    <row r="277" spans="1:4" x14ac:dyDescent="0.45">
      <c r="A277" s="4">
        <v>474</v>
      </c>
      <c r="B277">
        <v>176.53</v>
      </c>
      <c r="C277">
        <v>2</v>
      </c>
      <c r="D277">
        <v>88.265000000000001</v>
      </c>
    </row>
    <row r="278" spans="1:4" x14ac:dyDescent="0.45">
      <c r="A278" s="4">
        <v>475</v>
      </c>
      <c r="B278">
        <v>188.24</v>
      </c>
      <c r="C278">
        <v>2</v>
      </c>
      <c r="D278">
        <v>94.12</v>
      </c>
    </row>
    <row r="279" spans="1:4" x14ac:dyDescent="0.45">
      <c r="A279" s="4">
        <v>476</v>
      </c>
      <c r="B279">
        <v>116.74000000000001</v>
      </c>
      <c r="C279">
        <v>2</v>
      </c>
      <c r="D279">
        <v>58.370000000000005</v>
      </c>
    </row>
    <row r="280" spans="1:4" x14ac:dyDescent="0.45">
      <c r="A280" s="4">
        <v>477</v>
      </c>
      <c r="B280">
        <v>547.12</v>
      </c>
      <c r="C280">
        <v>3</v>
      </c>
      <c r="D280">
        <v>182.37333333333333</v>
      </c>
    </row>
    <row r="281" spans="1:4" x14ac:dyDescent="0.45">
      <c r="A281" s="4">
        <v>481</v>
      </c>
      <c r="B281">
        <v>62.8</v>
      </c>
      <c r="C281">
        <v>1</v>
      </c>
      <c r="D281">
        <v>62.8</v>
      </c>
    </row>
    <row r="282" spans="1:4" x14ac:dyDescent="0.45">
      <c r="A282" s="4">
        <v>484</v>
      </c>
      <c r="B282">
        <v>134.58000000000001</v>
      </c>
      <c r="C282">
        <v>1</v>
      </c>
      <c r="D282">
        <v>134.58000000000001</v>
      </c>
    </row>
    <row r="283" spans="1:4" x14ac:dyDescent="0.45">
      <c r="A283" s="4">
        <v>485</v>
      </c>
      <c r="B283">
        <v>89.59</v>
      </c>
      <c r="C283">
        <v>2</v>
      </c>
      <c r="D283">
        <v>44.795000000000002</v>
      </c>
    </row>
    <row r="284" spans="1:4" x14ac:dyDescent="0.45">
      <c r="A284" s="4">
        <v>488</v>
      </c>
      <c r="B284">
        <v>101.7</v>
      </c>
      <c r="C284">
        <v>1</v>
      </c>
      <c r="D284">
        <v>101.7</v>
      </c>
    </row>
    <row r="285" spans="1:4" x14ac:dyDescent="0.45">
      <c r="A285" s="4">
        <v>489</v>
      </c>
      <c r="B285">
        <v>57.51</v>
      </c>
      <c r="C285">
        <v>1</v>
      </c>
      <c r="D285">
        <v>57.51</v>
      </c>
    </row>
    <row r="286" spans="1:4" x14ac:dyDescent="0.45">
      <c r="A286" s="4">
        <v>490</v>
      </c>
      <c r="B286">
        <v>115.78</v>
      </c>
      <c r="C286">
        <v>2</v>
      </c>
      <c r="D286">
        <v>57.89</v>
      </c>
    </row>
    <row r="287" spans="1:4" x14ac:dyDescent="0.45">
      <c r="A287" s="4">
        <v>492</v>
      </c>
      <c r="B287">
        <v>310.5</v>
      </c>
      <c r="C287">
        <v>2</v>
      </c>
      <c r="D287">
        <v>155.25</v>
      </c>
    </row>
    <row r="288" spans="1:4" x14ac:dyDescent="0.45">
      <c r="A288" s="4">
        <v>493</v>
      </c>
      <c r="B288">
        <v>175.15</v>
      </c>
      <c r="C288">
        <v>2</v>
      </c>
      <c r="D288">
        <v>87.575000000000003</v>
      </c>
    </row>
    <row r="289" spans="1:4" x14ac:dyDescent="0.45">
      <c r="A289" s="4">
        <v>496</v>
      </c>
      <c r="B289">
        <v>114.74</v>
      </c>
      <c r="C289">
        <v>1</v>
      </c>
      <c r="D289">
        <v>114.74</v>
      </c>
    </row>
    <row r="290" spans="1:4" x14ac:dyDescent="0.45">
      <c r="A290" s="4">
        <v>497</v>
      </c>
      <c r="B290">
        <v>266.90999999999997</v>
      </c>
      <c r="C290">
        <v>3</v>
      </c>
      <c r="D290">
        <v>88.969999999999985</v>
      </c>
    </row>
    <row r="291" spans="1:4" x14ac:dyDescent="0.45">
      <c r="A291" s="4">
        <v>499</v>
      </c>
      <c r="B291">
        <v>401.04</v>
      </c>
      <c r="C291">
        <v>2</v>
      </c>
      <c r="D291">
        <v>200.52</v>
      </c>
    </row>
    <row r="292" spans="1:4" x14ac:dyDescent="0.45">
      <c r="A292" s="4">
        <v>500</v>
      </c>
      <c r="B292">
        <v>125.84</v>
      </c>
      <c r="C292">
        <v>1</v>
      </c>
      <c r="D292">
        <v>125.84</v>
      </c>
    </row>
    <row r="293" spans="1:4" x14ac:dyDescent="0.45">
      <c r="A293" s="4">
        <v>501</v>
      </c>
      <c r="B293">
        <v>231.92</v>
      </c>
      <c r="C293">
        <v>1</v>
      </c>
      <c r="D293">
        <v>231.92</v>
      </c>
    </row>
    <row r="294" spans="1:4" x14ac:dyDescent="0.45">
      <c r="A294" s="4">
        <v>503</v>
      </c>
      <c r="B294">
        <v>187.07</v>
      </c>
      <c r="C294">
        <v>2</v>
      </c>
      <c r="D294">
        <v>93.534999999999997</v>
      </c>
    </row>
    <row r="295" spans="1:4" x14ac:dyDescent="0.45">
      <c r="A295" s="4">
        <v>504</v>
      </c>
      <c r="B295">
        <v>99.62</v>
      </c>
      <c r="C295">
        <v>1</v>
      </c>
      <c r="D295">
        <v>99.62</v>
      </c>
    </row>
    <row r="296" spans="1:4" x14ac:dyDescent="0.45">
      <c r="A296" s="4">
        <v>505</v>
      </c>
      <c r="B296">
        <v>426.02000000000004</v>
      </c>
      <c r="C296">
        <v>2</v>
      </c>
      <c r="D296">
        <v>213.01000000000002</v>
      </c>
    </row>
    <row r="297" spans="1:4" x14ac:dyDescent="0.45">
      <c r="A297" s="4">
        <v>506</v>
      </c>
      <c r="B297">
        <v>382.21999999999997</v>
      </c>
      <c r="C297">
        <v>3</v>
      </c>
      <c r="D297">
        <v>127.40666666666665</v>
      </c>
    </row>
    <row r="298" spans="1:4" x14ac:dyDescent="0.45">
      <c r="A298" s="4">
        <v>508</v>
      </c>
      <c r="B298">
        <v>261.39999999999998</v>
      </c>
      <c r="C298">
        <v>1</v>
      </c>
      <c r="D298">
        <v>261.39999999999998</v>
      </c>
    </row>
    <row r="299" spans="1:4" x14ac:dyDescent="0.45">
      <c r="A299" s="4">
        <v>509</v>
      </c>
      <c r="B299">
        <v>59.38</v>
      </c>
      <c r="C299">
        <v>1</v>
      </c>
      <c r="D299">
        <v>59.38</v>
      </c>
    </row>
    <row r="300" spans="1:4" x14ac:dyDescent="0.45">
      <c r="A300" s="4">
        <v>510</v>
      </c>
      <c r="B300">
        <v>156.58000000000001</v>
      </c>
      <c r="C300">
        <v>2</v>
      </c>
      <c r="D300">
        <v>78.290000000000006</v>
      </c>
    </row>
    <row r="301" spans="1:4" x14ac:dyDescent="0.45">
      <c r="A301" s="4">
        <v>511</v>
      </c>
      <c r="B301">
        <v>226.57000000000002</v>
      </c>
      <c r="C301">
        <v>4</v>
      </c>
      <c r="D301">
        <v>56.642500000000005</v>
      </c>
    </row>
    <row r="302" spans="1:4" x14ac:dyDescent="0.45">
      <c r="A302" s="4">
        <v>512</v>
      </c>
      <c r="B302">
        <v>110.34</v>
      </c>
      <c r="C302">
        <v>2</v>
      </c>
      <c r="D302">
        <v>55.17</v>
      </c>
    </row>
    <row r="303" spans="1:4" x14ac:dyDescent="0.45">
      <c r="A303" s="4">
        <v>513</v>
      </c>
      <c r="B303">
        <v>76.12</v>
      </c>
      <c r="C303">
        <v>1</v>
      </c>
      <c r="D303">
        <v>76.12</v>
      </c>
    </row>
    <row r="304" spans="1:4" x14ac:dyDescent="0.45">
      <c r="A304" s="4">
        <v>516</v>
      </c>
      <c r="B304">
        <v>136.41999999999999</v>
      </c>
      <c r="C304">
        <v>2</v>
      </c>
      <c r="D304">
        <v>68.209999999999994</v>
      </c>
    </row>
    <row r="305" spans="1:4" x14ac:dyDescent="0.45">
      <c r="A305" s="4">
        <v>517</v>
      </c>
      <c r="B305">
        <v>64.5</v>
      </c>
      <c r="C305">
        <v>1</v>
      </c>
      <c r="D305">
        <v>64.5</v>
      </c>
    </row>
    <row r="306" spans="1:4" x14ac:dyDescent="0.45">
      <c r="A306" s="4">
        <v>518</v>
      </c>
      <c r="B306">
        <v>261.39999999999998</v>
      </c>
      <c r="C306">
        <v>1</v>
      </c>
      <c r="D306">
        <v>261.39999999999998</v>
      </c>
    </row>
    <row r="307" spans="1:4" x14ac:dyDescent="0.45">
      <c r="A307" s="4">
        <v>519</v>
      </c>
      <c r="B307">
        <v>235.44</v>
      </c>
      <c r="C307">
        <v>1</v>
      </c>
      <c r="D307">
        <v>235.44</v>
      </c>
    </row>
    <row r="308" spans="1:4" x14ac:dyDescent="0.45">
      <c r="A308" s="4">
        <v>521</v>
      </c>
      <c r="B308">
        <v>122.54</v>
      </c>
      <c r="C308">
        <v>1</v>
      </c>
      <c r="D308">
        <v>122.54</v>
      </c>
    </row>
    <row r="309" spans="1:4" x14ac:dyDescent="0.45">
      <c r="A309" s="4">
        <v>522</v>
      </c>
      <c r="B309">
        <v>86.68</v>
      </c>
      <c r="C309">
        <v>1</v>
      </c>
      <c r="D309">
        <v>86.68</v>
      </c>
    </row>
    <row r="310" spans="1:4" x14ac:dyDescent="0.45">
      <c r="A310" s="4">
        <v>525</v>
      </c>
      <c r="B310">
        <v>207.3</v>
      </c>
      <c r="C310">
        <v>3</v>
      </c>
      <c r="D310">
        <v>69.100000000000009</v>
      </c>
    </row>
    <row r="311" spans="1:4" x14ac:dyDescent="0.45">
      <c r="A311" s="4">
        <v>531</v>
      </c>
      <c r="B311">
        <v>35.69</v>
      </c>
      <c r="C311">
        <v>1</v>
      </c>
      <c r="D311">
        <v>35.69</v>
      </c>
    </row>
    <row r="312" spans="1:4" x14ac:dyDescent="0.45">
      <c r="A312" s="4">
        <v>538</v>
      </c>
      <c r="B312">
        <v>64.11</v>
      </c>
      <c r="C312">
        <v>1</v>
      </c>
      <c r="D312">
        <v>64.11</v>
      </c>
    </row>
    <row r="313" spans="1:4" x14ac:dyDescent="0.45">
      <c r="A313" s="4">
        <v>541</v>
      </c>
      <c r="B313">
        <v>162.12</v>
      </c>
      <c r="C313">
        <v>1</v>
      </c>
      <c r="D313">
        <v>162.12</v>
      </c>
    </row>
    <row r="314" spans="1:4" x14ac:dyDescent="0.45">
      <c r="A314" s="4">
        <v>545</v>
      </c>
      <c r="B314">
        <v>121.04</v>
      </c>
      <c r="C314">
        <v>1</v>
      </c>
      <c r="D314">
        <v>121.04</v>
      </c>
    </row>
    <row r="315" spans="1:4" x14ac:dyDescent="0.45">
      <c r="A315" s="4">
        <v>547</v>
      </c>
      <c r="B315">
        <v>161.6</v>
      </c>
      <c r="C315">
        <v>2</v>
      </c>
      <c r="D315">
        <v>80.8</v>
      </c>
    </row>
    <row r="316" spans="1:4" x14ac:dyDescent="0.45">
      <c r="A316" s="4">
        <v>548</v>
      </c>
      <c r="B316">
        <v>53.46</v>
      </c>
      <c r="C316">
        <v>1</v>
      </c>
      <c r="D316">
        <v>53.46</v>
      </c>
    </row>
    <row r="317" spans="1:4" x14ac:dyDescent="0.45">
      <c r="A317" s="4">
        <v>551</v>
      </c>
      <c r="B317">
        <v>172.44</v>
      </c>
      <c r="C317">
        <v>2</v>
      </c>
      <c r="D317">
        <v>86.22</v>
      </c>
    </row>
    <row r="318" spans="1:4" x14ac:dyDescent="0.45">
      <c r="A318" s="4">
        <v>554</v>
      </c>
      <c r="B318">
        <v>29.81</v>
      </c>
      <c r="C318">
        <v>1</v>
      </c>
      <c r="D318">
        <v>29.81</v>
      </c>
    </row>
    <row r="319" spans="1:4" x14ac:dyDescent="0.45">
      <c r="A319" s="4">
        <v>556</v>
      </c>
      <c r="B319">
        <v>351.39</v>
      </c>
      <c r="C319">
        <v>3</v>
      </c>
      <c r="D319">
        <v>117.13</v>
      </c>
    </row>
    <row r="320" spans="1:4" x14ac:dyDescent="0.45">
      <c r="A320" s="4">
        <v>557</v>
      </c>
      <c r="B320">
        <v>54.83</v>
      </c>
      <c r="C320">
        <v>1</v>
      </c>
      <c r="D320">
        <v>54.83</v>
      </c>
    </row>
    <row r="321" spans="1:4" x14ac:dyDescent="0.45">
      <c r="A321" s="4">
        <v>560</v>
      </c>
      <c r="B321">
        <v>265.32</v>
      </c>
      <c r="C321">
        <v>1</v>
      </c>
      <c r="D321">
        <v>265.32</v>
      </c>
    </row>
    <row r="322" spans="1:4" x14ac:dyDescent="0.45">
      <c r="A322" s="4">
        <v>561</v>
      </c>
      <c r="B322">
        <v>118.26</v>
      </c>
      <c r="C322">
        <v>1</v>
      </c>
      <c r="D322">
        <v>118.26</v>
      </c>
    </row>
    <row r="323" spans="1:4" x14ac:dyDescent="0.45">
      <c r="A323" s="4">
        <v>562</v>
      </c>
      <c r="B323">
        <v>237.15</v>
      </c>
      <c r="C323">
        <v>1</v>
      </c>
      <c r="D323">
        <v>237.15</v>
      </c>
    </row>
    <row r="324" spans="1:4" x14ac:dyDescent="0.45">
      <c r="A324" s="4">
        <v>563</v>
      </c>
      <c r="B324">
        <v>405.35999999999996</v>
      </c>
      <c r="C324">
        <v>2</v>
      </c>
      <c r="D324">
        <v>202.67999999999998</v>
      </c>
    </row>
    <row r="325" spans="1:4" x14ac:dyDescent="0.45">
      <c r="A325" s="4">
        <v>564</v>
      </c>
      <c r="B325">
        <v>398.03</v>
      </c>
      <c r="C325">
        <v>3</v>
      </c>
      <c r="D325">
        <v>132.67666666666665</v>
      </c>
    </row>
    <row r="326" spans="1:4" x14ac:dyDescent="0.45">
      <c r="A326" s="4">
        <v>565</v>
      </c>
      <c r="B326">
        <v>336.58</v>
      </c>
      <c r="C326">
        <v>2</v>
      </c>
      <c r="D326">
        <v>168.29</v>
      </c>
    </row>
    <row r="327" spans="1:4" x14ac:dyDescent="0.45">
      <c r="A327" s="4">
        <v>566</v>
      </c>
      <c r="B327">
        <v>243.79</v>
      </c>
      <c r="C327">
        <v>3</v>
      </c>
      <c r="D327">
        <v>81.263333333333335</v>
      </c>
    </row>
    <row r="328" spans="1:4" x14ac:dyDescent="0.45">
      <c r="A328" s="4">
        <v>567</v>
      </c>
      <c r="B328">
        <v>50.52</v>
      </c>
      <c r="C328">
        <v>1</v>
      </c>
      <c r="D328">
        <v>50.52</v>
      </c>
    </row>
    <row r="329" spans="1:4" x14ac:dyDescent="0.45">
      <c r="A329" s="4">
        <v>569</v>
      </c>
      <c r="B329">
        <v>38.03</v>
      </c>
      <c r="C329">
        <v>1</v>
      </c>
      <c r="D329">
        <v>38.03</v>
      </c>
    </row>
    <row r="330" spans="1:4" x14ac:dyDescent="0.45">
      <c r="A330" s="4">
        <v>570</v>
      </c>
      <c r="B330">
        <v>161.62</v>
      </c>
      <c r="C330">
        <v>2</v>
      </c>
      <c r="D330">
        <v>80.81</v>
      </c>
    </row>
    <row r="331" spans="1:4" x14ac:dyDescent="0.45">
      <c r="A331" s="4">
        <v>572</v>
      </c>
      <c r="B331">
        <v>217.54</v>
      </c>
      <c r="C331">
        <v>2</v>
      </c>
      <c r="D331">
        <v>108.77</v>
      </c>
    </row>
    <row r="332" spans="1:4" x14ac:dyDescent="0.45">
      <c r="A332" s="4">
        <v>574</v>
      </c>
      <c r="B332">
        <v>319.45999999999998</v>
      </c>
      <c r="C332">
        <v>2</v>
      </c>
      <c r="D332">
        <v>159.72999999999999</v>
      </c>
    </row>
    <row r="333" spans="1:4" x14ac:dyDescent="0.45">
      <c r="A333" s="4">
        <v>575</v>
      </c>
      <c r="B333">
        <v>198.47</v>
      </c>
      <c r="C333">
        <v>2</v>
      </c>
      <c r="D333">
        <v>99.234999999999999</v>
      </c>
    </row>
    <row r="334" spans="1:4" x14ac:dyDescent="0.45">
      <c r="A334" s="4">
        <v>577</v>
      </c>
      <c r="B334">
        <v>61.67</v>
      </c>
      <c r="C334">
        <v>1</v>
      </c>
      <c r="D334">
        <v>61.67</v>
      </c>
    </row>
    <row r="335" spans="1:4" x14ac:dyDescent="0.45">
      <c r="A335" s="4">
        <v>578</v>
      </c>
      <c r="B335">
        <v>68.47</v>
      </c>
      <c r="C335">
        <v>1</v>
      </c>
      <c r="D335">
        <v>68.47</v>
      </c>
    </row>
    <row r="336" spans="1:4" x14ac:dyDescent="0.45">
      <c r="A336" s="4">
        <v>580</v>
      </c>
      <c r="B336">
        <v>124.92</v>
      </c>
      <c r="C336">
        <v>1</v>
      </c>
      <c r="D336">
        <v>124.92</v>
      </c>
    </row>
    <row r="337" spans="1:4" x14ac:dyDescent="0.45">
      <c r="A337" s="4">
        <v>581</v>
      </c>
      <c r="B337">
        <v>166.56</v>
      </c>
      <c r="C337">
        <v>1</v>
      </c>
      <c r="D337">
        <v>166.56</v>
      </c>
    </row>
    <row r="338" spans="1:4" x14ac:dyDescent="0.45">
      <c r="A338" s="4">
        <v>587</v>
      </c>
      <c r="B338">
        <v>118.42</v>
      </c>
      <c r="C338">
        <v>1</v>
      </c>
      <c r="D338">
        <v>118.42</v>
      </c>
    </row>
    <row r="339" spans="1:4" x14ac:dyDescent="0.45">
      <c r="A339" s="4">
        <v>588</v>
      </c>
      <c r="B339">
        <v>31.34</v>
      </c>
      <c r="C339">
        <v>1</v>
      </c>
      <c r="D339">
        <v>31.34</v>
      </c>
    </row>
    <row r="340" spans="1:4" x14ac:dyDescent="0.45">
      <c r="A340" s="4">
        <v>593</v>
      </c>
      <c r="B340">
        <v>210.6</v>
      </c>
      <c r="C340">
        <v>1</v>
      </c>
      <c r="D340">
        <v>210.6</v>
      </c>
    </row>
    <row r="341" spans="1:4" x14ac:dyDescent="0.45">
      <c r="A341" s="4">
        <v>596</v>
      </c>
      <c r="B341">
        <v>50.72</v>
      </c>
      <c r="C341">
        <v>1</v>
      </c>
      <c r="D341">
        <v>50.72</v>
      </c>
    </row>
    <row r="342" spans="1:4" x14ac:dyDescent="0.45">
      <c r="A342" s="4">
        <v>601</v>
      </c>
      <c r="B342">
        <v>163.69</v>
      </c>
      <c r="C342">
        <v>2</v>
      </c>
      <c r="D342">
        <v>81.844999999999999</v>
      </c>
    </row>
    <row r="343" spans="1:4" x14ac:dyDescent="0.45">
      <c r="A343" s="4">
        <v>602</v>
      </c>
      <c r="B343">
        <v>52.08</v>
      </c>
      <c r="C343">
        <v>1</v>
      </c>
      <c r="D343">
        <v>52.08</v>
      </c>
    </row>
    <row r="344" spans="1:4" x14ac:dyDescent="0.45">
      <c r="A344" s="4">
        <v>604</v>
      </c>
      <c r="B344">
        <v>104.56</v>
      </c>
      <c r="C344">
        <v>1</v>
      </c>
      <c r="D344">
        <v>104.56</v>
      </c>
    </row>
    <row r="345" spans="1:4" x14ac:dyDescent="0.45">
      <c r="A345" s="4">
        <v>605</v>
      </c>
      <c r="B345">
        <v>87.28</v>
      </c>
      <c r="C345">
        <v>1</v>
      </c>
      <c r="D345">
        <v>87.28</v>
      </c>
    </row>
    <row r="346" spans="1:4" x14ac:dyDescent="0.45">
      <c r="A346" s="4">
        <v>607</v>
      </c>
      <c r="B346">
        <v>204.47000000000003</v>
      </c>
      <c r="C346">
        <v>2</v>
      </c>
      <c r="D346">
        <v>102.23500000000001</v>
      </c>
    </row>
    <row r="347" spans="1:4" x14ac:dyDescent="0.45">
      <c r="A347" s="4">
        <v>608</v>
      </c>
      <c r="B347">
        <v>140.57</v>
      </c>
      <c r="C347">
        <v>2</v>
      </c>
      <c r="D347">
        <v>70.284999999999997</v>
      </c>
    </row>
    <row r="348" spans="1:4" x14ac:dyDescent="0.45">
      <c r="A348" s="4">
        <v>609</v>
      </c>
      <c r="B348">
        <v>250.38</v>
      </c>
      <c r="C348">
        <v>2</v>
      </c>
      <c r="D348">
        <v>125.19</v>
      </c>
    </row>
    <row r="349" spans="1:4" x14ac:dyDescent="0.45">
      <c r="A349" s="4">
        <v>610</v>
      </c>
      <c r="B349">
        <v>104.56</v>
      </c>
      <c r="C349">
        <v>1</v>
      </c>
      <c r="D349">
        <v>104.56</v>
      </c>
    </row>
    <row r="350" spans="1:4" x14ac:dyDescent="0.45">
      <c r="A350" s="4">
        <v>611</v>
      </c>
      <c r="B350">
        <v>26.41</v>
      </c>
      <c r="C350">
        <v>1</v>
      </c>
      <c r="D350">
        <v>26.41</v>
      </c>
    </row>
    <row r="351" spans="1:4" x14ac:dyDescent="0.45">
      <c r="A351" s="4">
        <v>612</v>
      </c>
      <c r="B351">
        <v>155.82</v>
      </c>
      <c r="C351">
        <v>2</v>
      </c>
      <c r="D351">
        <v>77.91</v>
      </c>
    </row>
    <row r="352" spans="1:4" x14ac:dyDescent="0.45">
      <c r="A352" s="4">
        <v>613</v>
      </c>
      <c r="B352">
        <v>474.24</v>
      </c>
      <c r="C352">
        <v>4</v>
      </c>
      <c r="D352">
        <v>118.56</v>
      </c>
    </row>
    <row r="353" spans="1:4" x14ac:dyDescent="0.45">
      <c r="A353" s="4">
        <v>615</v>
      </c>
      <c r="B353">
        <v>50.88</v>
      </c>
      <c r="C353">
        <v>1</v>
      </c>
      <c r="D353">
        <v>50.88</v>
      </c>
    </row>
    <row r="354" spans="1:4" x14ac:dyDescent="0.45">
      <c r="A354" s="4">
        <v>617</v>
      </c>
      <c r="B354">
        <v>105.88</v>
      </c>
      <c r="C354">
        <v>1</v>
      </c>
      <c r="D354">
        <v>105.88</v>
      </c>
    </row>
    <row r="355" spans="1:4" x14ac:dyDescent="0.45">
      <c r="A355" s="4">
        <v>620</v>
      </c>
      <c r="B355">
        <v>189.66000000000003</v>
      </c>
      <c r="C355">
        <v>2</v>
      </c>
      <c r="D355">
        <v>94.830000000000013</v>
      </c>
    </row>
    <row r="356" spans="1:4" x14ac:dyDescent="0.45">
      <c r="A356" s="4">
        <v>624</v>
      </c>
      <c r="B356">
        <v>71.400000000000006</v>
      </c>
      <c r="C356">
        <v>1</v>
      </c>
      <c r="D356">
        <v>71.400000000000006</v>
      </c>
    </row>
    <row r="357" spans="1:4" x14ac:dyDescent="0.45">
      <c r="A357" s="4">
        <v>625</v>
      </c>
      <c r="B357">
        <v>175.96</v>
      </c>
      <c r="C357">
        <v>2</v>
      </c>
      <c r="D357">
        <v>87.98</v>
      </c>
    </row>
    <row r="358" spans="1:4" x14ac:dyDescent="0.45">
      <c r="A358" s="4">
        <v>626</v>
      </c>
      <c r="B358">
        <v>88.360000000000014</v>
      </c>
      <c r="C358">
        <v>2</v>
      </c>
      <c r="D358">
        <v>44.180000000000007</v>
      </c>
    </row>
    <row r="359" spans="1:4" x14ac:dyDescent="0.45">
      <c r="A359" s="4">
        <v>628</v>
      </c>
      <c r="B359">
        <v>270.89999999999998</v>
      </c>
      <c r="C359">
        <v>2</v>
      </c>
      <c r="D359">
        <v>135.44999999999999</v>
      </c>
    </row>
    <row r="360" spans="1:4" x14ac:dyDescent="0.45">
      <c r="A360" s="4">
        <v>633</v>
      </c>
      <c r="B360">
        <v>136.26</v>
      </c>
      <c r="C360">
        <v>1</v>
      </c>
      <c r="D360">
        <v>136.26</v>
      </c>
    </row>
    <row r="361" spans="1:4" x14ac:dyDescent="0.45">
      <c r="A361" s="4">
        <v>634</v>
      </c>
      <c r="B361">
        <v>354.88</v>
      </c>
      <c r="C361">
        <v>3</v>
      </c>
      <c r="D361">
        <v>118.29333333333334</v>
      </c>
    </row>
    <row r="362" spans="1:4" x14ac:dyDescent="0.45">
      <c r="A362" s="4">
        <v>636</v>
      </c>
      <c r="B362">
        <v>31.86</v>
      </c>
      <c r="C362">
        <v>1</v>
      </c>
      <c r="D362">
        <v>31.86</v>
      </c>
    </row>
    <row r="363" spans="1:4" x14ac:dyDescent="0.45">
      <c r="A363" s="4">
        <v>638</v>
      </c>
      <c r="B363">
        <v>436.84000000000003</v>
      </c>
      <c r="C363">
        <v>3</v>
      </c>
      <c r="D363">
        <v>145.61333333333334</v>
      </c>
    </row>
    <row r="364" spans="1:4" x14ac:dyDescent="0.45">
      <c r="A364" s="4">
        <v>639</v>
      </c>
      <c r="B364">
        <v>123.2</v>
      </c>
      <c r="C364">
        <v>1</v>
      </c>
      <c r="D364">
        <v>123.2</v>
      </c>
    </row>
    <row r="365" spans="1:4" x14ac:dyDescent="0.45">
      <c r="A365" s="4">
        <v>640</v>
      </c>
      <c r="B365">
        <v>158.36000000000001</v>
      </c>
      <c r="C365">
        <v>3</v>
      </c>
      <c r="D365">
        <v>52.786666666666669</v>
      </c>
    </row>
    <row r="366" spans="1:4" x14ac:dyDescent="0.45">
      <c r="A366" s="4">
        <v>641</v>
      </c>
      <c r="B366">
        <v>207.38</v>
      </c>
      <c r="C366">
        <v>2</v>
      </c>
      <c r="D366">
        <v>103.69</v>
      </c>
    </row>
    <row r="367" spans="1:4" x14ac:dyDescent="0.45">
      <c r="A367" s="4">
        <v>642</v>
      </c>
      <c r="B367">
        <v>93.8</v>
      </c>
      <c r="C367">
        <v>1</v>
      </c>
      <c r="D367">
        <v>93.8</v>
      </c>
    </row>
    <row r="368" spans="1:4" x14ac:dyDescent="0.45">
      <c r="A368" s="4">
        <v>643</v>
      </c>
      <c r="B368">
        <v>87.92</v>
      </c>
      <c r="C368">
        <v>1</v>
      </c>
      <c r="D368">
        <v>87.92</v>
      </c>
    </row>
    <row r="369" spans="1:4" x14ac:dyDescent="0.45">
      <c r="A369" s="4">
        <v>646</v>
      </c>
      <c r="B369">
        <v>106.54</v>
      </c>
      <c r="C369">
        <v>1</v>
      </c>
      <c r="D369">
        <v>106.54</v>
      </c>
    </row>
    <row r="370" spans="1:4" x14ac:dyDescent="0.45">
      <c r="A370" s="4">
        <v>647</v>
      </c>
      <c r="B370">
        <v>90.84</v>
      </c>
      <c r="C370">
        <v>1</v>
      </c>
      <c r="D370">
        <v>90.84</v>
      </c>
    </row>
    <row r="371" spans="1:4" x14ac:dyDescent="0.45">
      <c r="A371" s="4">
        <v>648</v>
      </c>
      <c r="B371">
        <v>87.66</v>
      </c>
      <c r="C371">
        <v>2</v>
      </c>
      <c r="D371">
        <v>43.83</v>
      </c>
    </row>
    <row r="372" spans="1:4" x14ac:dyDescent="0.45">
      <c r="A372" s="4">
        <v>649</v>
      </c>
      <c r="B372">
        <v>103.6</v>
      </c>
      <c r="C372">
        <v>1</v>
      </c>
      <c r="D372">
        <v>103.6</v>
      </c>
    </row>
    <row r="373" spans="1:4" x14ac:dyDescent="0.45">
      <c r="A373" s="4">
        <v>652</v>
      </c>
      <c r="B373">
        <v>64.099999999999994</v>
      </c>
      <c r="C373">
        <v>1</v>
      </c>
      <c r="D373">
        <v>64.099999999999994</v>
      </c>
    </row>
    <row r="374" spans="1:4" x14ac:dyDescent="0.45">
      <c r="A374" s="4">
        <v>653</v>
      </c>
      <c r="B374">
        <v>83.68</v>
      </c>
      <c r="C374">
        <v>2</v>
      </c>
      <c r="D374">
        <v>41.84</v>
      </c>
    </row>
    <row r="375" spans="1:4" x14ac:dyDescent="0.45">
      <c r="A375" s="4">
        <v>654</v>
      </c>
      <c r="B375">
        <v>55.91</v>
      </c>
      <c r="C375">
        <v>1</v>
      </c>
      <c r="D375">
        <v>55.91</v>
      </c>
    </row>
    <row r="376" spans="1:4" x14ac:dyDescent="0.45">
      <c r="A376" s="4">
        <v>655</v>
      </c>
      <c r="B376">
        <v>103.94</v>
      </c>
      <c r="C376">
        <v>1</v>
      </c>
      <c r="D376">
        <v>103.94</v>
      </c>
    </row>
    <row r="377" spans="1:4" x14ac:dyDescent="0.45">
      <c r="A377" s="4">
        <v>656</v>
      </c>
      <c r="B377">
        <v>200.51</v>
      </c>
      <c r="C377">
        <v>2</v>
      </c>
      <c r="D377">
        <v>100.255</v>
      </c>
    </row>
    <row r="378" spans="1:4" x14ac:dyDescent="0.45">
      <c r="A378" s="4">
        <v>657</v>
      </c>
      <c r="B378">
        <v>223.22000000000003</v>
      </c>
      <c r="C378">
        <v>2</v>
      </c>
      <c r="D378">
        <v>111.61000000000001</v>
      </c>
    </row>
    <row r="379" spans="1:4" x14ac:dyDescent="0.45">
      <c r="A379" s="4">
        <v>658</v>
      </c>
      <c r="B379">
        <v>98.24</v>
      </c>
      <c r="C379">
        <v>1</v>
      </c>
      <c r="D379">
        <v>98.24</v>
      </c>
    </row>
    <row r="380" spans="1:4" x14ac:dyDescent="0.45">
      <c r="A380" s="4">
        <v>659</v>
      </c>
      <c r="B380">
        <v>521.79</v>
      </c>
      <c r="C380">
        <v>4</v>
      </c>
      <c r="D380">
        <v>130.44749999999999</v>
      </c>
    </row>
    <row r="381" spans="1:4" x14ac:dyDescent="0.45">
      <c r="A381" s="4">
        <v>660</v>
      </c>
      <c r="B381">
        <v>234.79</v>
      </c>
      <c r="C381">
        <v>2</v>
      </c>
      <c r="D381">
        <v>117.395</v>
      </c>
    </row>
    <row r="382" spans="1:4" x14ac:dyDescent="0.45">
      <c r="A382" s="4">
        <v>662</v>
      </c>
      <c r="B382">
        <v>50.72</v>
      </c>
      <c r="C382">
        <v>1</v>
      </c>
      <c r="D382">
        <v>50.72</v>
      </c>
    </row>
    <row r="383" spans="1:4" x14ac:dyDescent="0.45">
      <c r="A383" s="4">
        <v>663</v>
      </c>
      <c r="B383">
        <v>131.70999999999998</v>
      </c>
      <c r="C383">
        <v>2</v>
      </c>
      <c r="D383">
        <v>65.85499999999999</v>
      </c>
    </row>
    <row r="384" spans="1:4" x14ac:dyDescent="0.45">
      <c r="A384" s="4">
        <v>664</v>
      </c>
      <c r="B384">
        <v>264.16999999999996</v>
      </c>
      <c r="C384">
        <v>4</v>
      </c>
      <c r="D384">
        <v>66.04249999999999</v>
      </c>
    </row>
    <row r="385" spans="1:4" x14ac:dyDescent="0.45">
      <c r="A385" s="4">
        <v>665</v>
      </c>
      <c r="B385">
        <v>40.770000000000003</v>
      </c>
      <c r="C385">
        <v>1</v>
      </c>
      <c r="D385">
        <v>40.770000000000003</v>
      </c>
    </row>
    <row r="386" spans="1:4" x14ac:dyDescent="0.45">
      <c r="A386" s="4">
        <v>670</v>
      </c>
      <c r="B386">
        <v>185.87</v>
      </c>
      <c r="C386">
        <v>2</v>
      </c>
      <c r="D386">
        <v>92.935000000000002</v>
      </c>
    </row>
    <row r="387" spans="1:4" x14ac:dyDescent="0.45">
      <c r="A387" s="4">
        <v>672</v>
      </c>
      <c r="B387">
        <v>182.57999999999998</v>
      </c>
      <c r="C387">
        <v>2</v>
      </c>
      <c r="D387">
        <v>91.289999999999992</v>
      </c>
    </row>
    <row r="388" spans="1:4" x14ac:dyDescent="0.45">
      <c r="A388" s="4">
        <v>673</v>
      </c>
      <c r="B388">
        <v>44.12</v>
      </c>
      <c r="C388">
        <v>1</v>
      </c>
      <c r="D388">
        <v>44.12</v>
      </c>
    </row>
    <row r="389" spans="1:4" x14ac:dyDescent="0.45">
      <c r="A389" s="4">
        <v>675</v>
      </c>
      <c r="B389">
        <v>326.66999999999996</v>
      </c>
      <c r="C389">
        <v>2</v>
      </c>
      <c r="D389">
        <v>163.33499999999998</v>
      </c>
    </row>
    <row r="390" spans="1:4" x14ac:dyDescent="0.45">
      <c r="A390" s="4">
        <v>676</v>
      </c>
      <c r="B390">
        <v>97.22999999999999</v>
      </c>
      <c r="C390">
        <v>1</v>
      </c>
      <c r="D390">
        <v>97.22999999999999</v>
      </c>
    </row>
    <row r="391" spans="1:4" x14ac:dyDescent="0.45">
      <c r="A391" s="4">
        <v>677</v>
      </c>
      <c r="B391">
        <v>63.68</v>
      </c>
      <c r="C391">
        <v>1</v>
      </c>
      <c r="D391">
        <v>63.68</v>
      </c>
    </row>
    <row r="392" spans="1:4" x14ac:dyDescent="0.45">
      <c r="A392" s="4">
        <v>681</v>
      </c>
      <c r="B392">
        <v>44.06</v>
      </c>
      <c r="C392">
        <v>1</v>
      </c>
      <c r="D392">
        <v>44.06</v>
      </c>
    </row>
    <row r="393" spans="1:4" x14ac:dyDescent="0.45">
      <c r="A393" s="4">
        <v>682</v>
      </c>
      <c r="B393">
        <v>331.34000000000003</v>
      </c>
      <c r="C393">
        <v>4</v>
      </c>
      <c r="D393">
        <v>82.835000000000008</v>
      </c>
    </row>
    <row r="394" spans="1:4" x14ac:dyDescent="0.45">
      <c r="A394" s="4">
        <v>684</v>
      </c>
      <c r="B394">
        <v>498.03</v>
      </c>
      <c r="C394">
        <v>3</v>
      </c>
      <c r="D394">
        <v>166.01</v>
      </c>
    </row>
    <row r="395" spans="1:4" x14ac:dyDescent="0.45">
      <c r="A395" s="4">
        <v>685</v>
      </c>
      <c r="B395">
        <v>130.29</v>
      </c>
      <c r="C395">
        <v>1</v>
      </c>
      <c r="D395">
        <v>130.29</v>
      </c>
    </row>
    <row r="396" spans="1:4" x14ac:dyDescent="0.45">
      <c r="A396" s="4">
        <v>686</v>
      </c>
      <c r="B396">
        <v>42.47</v>
      </c>
      <c r="C396">
        <v>1</v>
      </c>
      <c r="D396">
        <v>42.47</v>
      </c>
    </row>
    <row r="397" spans="1:4" x14ac:dyDescent="0.45">
      <c r="A397" s="4">
        <v>687</v>
      </c>
      <c r="B397">
        <v>79.56</v>
      </c>
      <c r="C397">
        <v>1</v>
      </c>
      <c r="D397">
        <v>79.56</v>
      </c>
    </row>
    <row r="398" spans="1:4" x14ac:dyDescent="0.45">
      <c r="A398" s="4">
        <v>688</v>
      </c>
      <c r="B398">
        <v>58.26</v>
      </c>
      <c r="C398">
        <v>1</v>
      </c>
      <c r="D398">
        <v>58.26</v>
      </c>
    </row>
    <row r="399" spans="1:4" x14ac:dyDescent="0.45">
      <c r="A399" s="4">
        <v>689</v>
      </c>
      <c r="B399">
        <v>40.58</v>
      </c>
      <c r="C399">
        <v>1</v>
      </c>
      <c r="D399">
        <v>40.58</v>
      </c>
    </row>
    <row r="400" spans="1:4" x14ac:dyDescent="0.45">
      <c r="A400" s="4">
        <v>690</v>
      </c>
      <c r="B400">
        <v>119.03999999999999</v>
      </c>
      <c r="C400">
        <v>1</v>
      </c>
      <c r="D400">
        <v>119.03999999999999</v>
      </c>
    </row>
    <row r="401" spans="1:4" x14ac:dyDescent="0.45">
      <c r="A401" s="4">
        <v>691</v>
      </c>
      <c r="B401">
        <v>169.86</v>
      </c>
      <c r="C401">
        <v>2</v>
      </c>
      <c r="D401">
        <v>84.93</v>
      </c>
    </row>
    <row r="402" spans="1:4" x14ac:dyDescent="0.45">
      <c r="A402" s="4">
        <v>692</v>
      </c>
      <c r="B402">
        <v>120.54</v>
      </c>
      <c r="C402">
        <v>2</v>
      </c>
      <c r="D402">
        <v>60.27</v>
      </c>
    </row>
    <row r="403" spans="1:4" x14ac:dyDescent="0.45">
      <c r="A403" s="4">
        <v>693</v>
      </c>
      <c r="B403">
        <v>47.91</v>
      </c>
      <c r="C403">
        <v>1</v>
      </c>
      <c r="D403">
        <v>47.91</v>
      </c>
    </row>
    <row r="404" spans="1:4" x14ac:dyDescent="0.45">
      <c r="A404" s="4">
        <v>695</v>
      </c>
      <c r="B404">
        <v>113.68</v>
      </c>
      <c r="C404">
        <v>1</v>
      </c>
      <c r="D404">
        <v>113.68</v>
      </c>
    </row>
    <row r="405" spans="1:4" x14ac:dyDescent="0.45">
      <c r="A405" s="4">
        <v>697</v>
      </c>
      <c r="B405">
        <v>56.91</v>
      </c>
      <c r="C405">
        <v>1</v>
      </c>
      <c r="D405">
        <v>56.91</v>
      </c>
    </row>
    <row r="406" spans="1:4" x14ac:dyDescent="0.45">
      <c r="A406" s="4">
        <v>698</v>
      </c>
      <c r="B406">
        <v>52.27</v>
      </c>
      <c r="C406">
        <v>1</v>
      </c>
      <c r="D406">
        <v>52.27</v>
      </c>
    </row>
    <row r="407" spans="1:4" x14ac:dyDescent="0.45">
      <c r="A407" s="4">
        <v>699</v>
      </c>
      <c r="B407">
        <v>340.43999999999994</v>
      </c>
      <c r="C407">
        <v>3</v>
      </c>
      <c r="D407">
        <v>113.47999999999998</v>
      </c>
    </row>
    <row r="408" spans="1:4" x14ac:dyDescent="0.45">
      <c r="A408" s="4">
        <v>700</v>
      </c>
      <c r="B408">
        <v>180.67000000000002</v>
      </c>
      <c r="C408">
        <v>2</v>
      </c>
      <c r="D408">
        <v>90.335000000000008</v>
      </c>
    </row>
    <row r="409" spans="1:4" x14ac:dyDescent="0.45">
      <c r="A409" s="4">
        <v>701</v>
      </c>
      <c r="B409">
        <v>158.49</v>
      </c>
      <c r="C409">
        <v>1</v>
      </c>
      <c r="D409">
        <v>158.49</v>
      </c>
    </row>
    <row r="410" spans="1:4" x14ac:dyDescent="0.45">
      <c r="A410" s="4">
        <v>702</v>
      </c>
      <c r="B410">
        <v>43.43</v>
      </c>
      <c r="C410">
        <v>1</v>
      </c>
      <c r="D410">
        <v>43.43</v>
      </c>
    </row>
    <row r="411" spans="1:4" x14ac:dyDescent="0.45">
      <c r="A411" s="4">
        <v>703</v>
      </c>
      <c r="B411">
        <v>179.08</v>
      </c>
      <c r="C411">
        <v>1</v>
      </c>
      <c r="D411">
        <v>179.08</v>
      </c>
    </row>
    <row r="412" spans="1:4" x14ac:dyDescent="0.45">
      <c r="A412" s="4">
        <v>704</v>
      </c>
      <c r="B412">
        <v>106.7</v>
      </c>
      <c r="C412">
        <v>1</v>
      </c>
      <c r="D412">
        <v>106.7</v>
      </c>
    </row>
    <row r="413" spans="1:4" x14ac:dyDescent="0.45">
      <c r="A413" s="4">
        <v>706</v>
      </c>
      <c r="B413">
        <v>54.83</v>
      </c>
      <c r="C413">
        <v>1</v>
      </c>
      <c r="D413">
        <v>54.83</v>
      </c>
    </row>
    <row r="414" spans="1:4" x14ac:dyDescent="0.45">
      <c r="A414" s="4">
        <v>710</v>
      </c>
      <c r="B414">
        <v>184.39</v>
      </c>
      <c r="C414">
        <v>2</v>
      </c>
      <c r="D414">
        <v>92.194999999999993</v>
      </c>
    </row>
    <row r="415" spans="1:4" x14ac:dyDescent="0.45">
      <c r="A415" s="4">
        <v>711</v>
      </c>
      <c r="B415">
        <v>33.590000000000003</v>
      </c>
      <c r="C415">
        <v>1</v>
      </c>
      <c r="D415">
        <v>33.590000000000003</v>
      </c>
    </row>
    <row r="416" spans="1:4" x14ac:dyDescent="0.45">
      <c r="A416" s="4">
        <v>714</v>
      </c>
      <c r="B416">
        <v>217</v>
      </c>
      <c r="C416">
        <v>1</v>
      </c>
      <c r="D416">
        <v>217</v>
      </c>
    </row>
    <row r="417" spans="1:4" x14ac:dyDescent="0.45">
      <c r="A417" s="4">
        <v>718</v>
      </c>
      <c r="B417">
        <v>51.17</v>
      </c>
      <c r="C417">
        <v>1</v>
      </c>
      <c r="D417">
        <v>51.17</v>
      </c>
    </row>
    <row r="418" spans="1:4" x14ac:dyDescent="0.45">
      <c r="A418" s="4">
        <v>720</v>
      </c>
      <c r="B418">
        <v>363.84000000000003</v>
      </c>
      <c r="C418">
        <v>2</v>
      </c>
      <c r="D418">
        <v>181.92000000000002</v>
      </c>
    </row>
    <row r="419" spans="1:4" x14ac:dyDescent="0.45">
      <c r="A419" s="4">
        <v>725</v>
      </c>
      <c r="B419">
        <v>45.42</v>
      </c>
      <c r="C419">
        <v>1</v>
      </c>
      <c r="D419">
        <v>45.42</v>
      </c>
    </row>
    <row r="420" spans="1:4" x14ac:dyDescent="0.45">
      <c r="A420" s="4">
        <v>726</v>
      </c>
      <c r="B420">
        <v>107.19</v>
      </c>
      <c r="C420">
        <v>1</v>
      </c>
      <c r="D420">
        <v>107.19</v>
      </c>
    </row>
    <row r="421" spans="1:4" x14ac:dyDescent="0.45">
      <c r="A421" s="4">
        <v>727</v>
      </c>
      <c r="B421">
        <v>464.98</v>
      </c>
      <c r="C421">
        <v>3</v>
      </c>
      <c r="D421">
        <v>154.99333333333334</v>
      </c>
    </row>
    <row r="422" spans="1:4" x14ac:dyDescent="0.45">
      <c r="A422" s="4">
        <v>728</v>
      </c>
      <c r="B422">
        <v>28.98</v>
      </c>
      <c r="C422">
        <v>1</v>
      </c>
      <c r="D422">
        <v>28.98</v>
      </c>
    </row>
    <row r="423" spans="1:4" x14ac:dyDescent="0.45">
      <c r="A423" s="4">
        <v>729</v>
      </c>
      <c r="B423">
        <v>189.72</v>
      </c>
      <c r="C423">
        <v>2</v>
      </c>
      <c r="D423">
        <v>94.86</v>
      </c>
    </row>
    <row r="424" spans="1:4" x14ac:dyDescent="0.45">
      <c r="A424" s="4">
        <v>730</v>
      </c>
      <c r="B424">
        <v>74.400000000000006</v>
      </c>
      <c r="C424">
        <v>2</v>
      </c>
      <c r="D424">
        <v>37.200000000000003</v>
      </c>
    </row>
    <row r="425" spans="1:4" x14ac:dyDescent="0.45">
      <c r="A425" s="4">
        <v>733</v>
      </c>
      <c r="B425">
        <v>38.03</v>
      </c>
      <c r="C425">
        <v>1</v>
      </c>
      <c r="D425">
        <v>38.03</v>
      </c>
    </row>
    <row r="426" spans="1:4" x14ac:dyDescent="0.45">
      <c r="A426" s="4">
        <v>734</v>
      </c>
      <c r="B426">
        <v>191.36</v>
      </c>
      <c r="C426">
        <v>2</v>
      </c>
      <c r="D426">
        <v>95.68</v>
      </c>
    </row>
    <row r="427" spans="1:4" x14ac:dyDescent="0.45">
      <c r="A427" s="4">
        <v>735</v>
      </c>
      <c r="B427">
        <v>196.87</v>
      </c>
      <c r="C427">
        <v>2</v>
      </c>
      <c r="D427">
        <v>98.435000000000002</v>
      </c>
    </row>
    <row r="428" spans="1:4" x14ac:dyDescent="0.45">
      <c r="A428" s="4">
        <v>736</v>
      </c>
      <c r="B428">
        <v>156.99</v>
      </c>
      <c r="C428">
        <v>2</v>
      </c>
      <c r="D428">
        <v>78.495000000000005</v>
      </c>
    </row>
    <row r="429" spans="1:4" x14ac:dyDescent="0.45">
      <c r="A429" s="4">
        <v>739</v>
      </c>
      <c r="B429">
        <v>234.73000000000002</v>
      </c>
      <c r="C429">
        <v>2</v>
      </c>
      <c r="D429">
        <v>117.36500000000001</v>
      </c>
    </row>
    <row r="430" spans="1:4" x14ac:dyDescent="0.45">
      <c r="A430" s="4">
        <v>741</v>
      </c>
      <c r="B430">
        <v>171.96</v>
      </c>
      <c r="C430">
        <v>1</v>
      </c>
      <c r="D430">
        <v>171.96</v>
      </c>
    </row>
    <row r="431" spans="1:4" x14ac:dyDescent="0.45">
      <c r="A431" s="4">
        <v>743</v>
      </c>
      <c r="B431">
        <v>53.19</v>
      </c>
      <c r="C431">
        <v>1</v>
      </c>
      <c r="D431">
        <v>53.19</v>
      </c>
    </row>
    <row r="432" spans="1:4" x14ac:dyDescent="0.45">
      <c r="A432" s="4">
        <v>745</v>
      </c>
      <c r="B432">
        <v>171.86</v>
      </c>
      <c r="C432">
        <v>2</v>
      </c>
      <c r="D432">
        <v>85.93</v>
      </c>
    </row>
    <row r="433" spans="1:4" x14ac:dyDescent="0.45">
      <c r="A433" s="4">
        <v>748</v>
      </c>
      <c r="B433">
        <v>110.08</v>
      </c>
      <c r="C433">
        <v>1</v>
      </c>
      <c r="D433">
        <v>110.08</v>
      </c>
    </row>
    <row r="434" spans="1:4" x14ac:dyDescent="0.45">
      <c r="A434" s="4">
        <v>749</v>
      </c>
      <c r="B434">
        <v>208.38</v>
      </c>
      <c r="C434">
        <v>2</v>
      </c>
      <c r="D434">
        <v>104.19</v>
      </c>
    </row>
    <row r="435" spans="1:4" x14ac:dyDescent="0.45">
      <c r="A435" s="4">
        <v>750</v>
      </c>
      <c r="B435">
        <v>205.16</v>
      </c>
      <c r="C435">
        <v>2</v>
      </c>
      <c r="D435">
        <v>102.58</v>
      </c>
    </row>
    <row r="436" spans="1:4" x14ac:dyDescent="0.45">
      <c r="A436" s="4">
        <v>751</v>
      </c>
      <c r="B436">
        <v>262.20000000000005</v>
      </c>
      <c r="C436">
        <v>2</v>
      </c>
      <c r="D436">
        <v>131.10000000000002</v>
      </c>
    </row>
    <row r="437" spans="1:4" x14ac:dyDescent="0.45">
      <c r="A437" s="4">
        <v>752</v>
      </c>
      <c r="B437">
        <v>51.38</v>
      </c>
      <c r="C437">
        <v>1</v>
      </c>
      <c r="D437">
        <v>51.38</v>
      </c>
    </row>
    <row r="438" spans="1:4" x14ac:dyDescent="0.45">
      <c r="A438" s="4">
        <v>754</v>
      </c>
      <c r="B438">
        <v>222.16000000000003</v>
      </c>
      <c r="C438">
        <v>2</v>
      </c>
      <c r="D438">
        <v>111.08000000000001</v>
      </c>
    </row>
    <row r="439" spans="1:4" x14ac:dyDescent="0.45">
      <c r="A439" s="4">
        <v>758</v>
      </c>
      <c r="B439">
        <v>50.52</v>
      </c>
      <c r="C439">
        <v>1</v>
      </c>
      <c r="D439">
        <v>50.52</v>
      </c>
    </row>
    <row r="440" spans="1:4" x14ac:dyDescent="0.45">
      <c r="A440" s="4">
        <v>759</v>
      </c>
      <c r="B440">
        <v>114.67</v>
      </c>
      <c r="C440">
        <v>2</v>
      </c>
      <c r="D440">
        <v>57.335000000000001</v>
      </c>
    </row>
    <row r="441" spans="1:4" x14ac:dyDescent="0.45">
      <c r="A441" s="4">
        <v>761</v>
      </c>
      <c r="B441">
        <v>45.27</v>
      </c>
      <c r="C441">
        <v>1</v>
      </c>
      <c r="D441">
        <v>45.27</v>
      </c>
    </row>
    <row r="442" spans="1:4" x14ac:dyDescent="0.45">
      <c r="A442" s="4">
        <v>762</v>
      </c>
      <c r="B442">
        <v>312.92</v>
      </c>
      <c r="C442">
        <v>2</v>
      </c>
      <c r="D442">
        <v>156.46</v>
      </c>
    </row>
    <row r="443" spans="1:4" x14ac:dyDescent="0.45">
      <c r="A443" s="4">
        <v>764</v>
      </c>
      <c r="B443">
        <v>431.98999999999995</v>
      </c>
      <c r="C443">
        <v>3</v>
      </c>
      <c r="D443">
        <v>143.99666666666664</v>
      </c>
    </row>
    <row r="444" spans="1:4" x14ac:dyDescent="0.45">
      <c r="A444" s="4">
        <v>767</v>
      </c>
      <c r="B444">
        <v>199.39999999999998</v>
      </c>
      <c r="C444">
        <v>2</v>
      </c>
      <c r="D444">
        <v>99.699999999999989</v>
      </c>
    </row>
    <row r="445" spans="1:4" x14ac:dyDescent="0.45">
      <c r="A445" s="4">
        <v>769</v>
      </c>
      <c r="B445">
        <v>220.31</v>
      </c>
      <c r="C445">
        <v>2</v>
      </c>
      <c r="D445">
        <v>110.155</v>
      </c>
    </row>
    <row r="446" spans="1:4" x14ac:dyDescent="0.45">
      <c r="A446" s="4">
        <v>770</v>
      </c>
      <c r="B446">
        <v>35.200000000000003</v>
      </c>
      <c r="C446">
        <v>1</v>
      </c>
      <c r="D446">
        <v>35.200000000000003</v>
      </c>
    </row>
    <row r="447" spans="1:4" x14ac:dyDescent="0.45">
      <c r="A447" s="4">
        <v>771</v>
      </c>
      <c r="B447">
        <v>51.17</v>
      </c>
      <c r="C447">
        <v>1</v>
      </c>
      <c r="D447">
        <v>51.17</v>
      </c>
    </row>
    <row r="448" spans="1:4" x14ac:dyDescent="0.45">
      <c r="A448" s="4">
        <v>772</v>
      </c>
      <c r="B448">
        <v>61.6</v>
      </c>
      <c r="C448">
        <v>1</v>
      </c>
      <c r="D448">
        <v>61.6</v>
      </c>
    </row>
    <row r="449" spans="1:4" x14ac:dyDescent="0.45">
      <c r="A449" s="4">
        <v>773</v>
      </c>
      <c r="B449">
        <v>46.52</v>
      </c>
      <c r="C449">
        <v>1</v>
      </c>
      <c r="D449">
        <v>46.52</v>
      </c>
    </row>
    <row r="450" spans="1:4" x14ac:dyDescent="0.45">
      <c r="A450" s="4">
        <v>774</v>
      </c>
      <c r="B450">
        <v>77.900000000000006</v>
      </c>
      <c r="C450">
        <v>1</v>
      </c>
      <c r="D450">
        <v>77.900000000000006</v>
      </c>
    </row>
    <row r="451" spans="1:4" x14ac:dyDescent="0.45">
      <c r="A451" s="4">
        <v>776</v>
      </c>
      <c r="B451">
        <v>514.27</v>
      </c>
      <c r="C451">
        <v>4</v>
      </c>
      <c r="D451">
        <v>128.5675</v>
      </c>
    </row>
    <row r="452" spans="1:4" x14ac:dyDescent="0.45">
      <c r="A452" s="4">
        <v>777</v>
      </c>
      <c r="B452">
        <v>153.63999999999999</v>
      </c>
      <c r="C452">
        <v>1</v>
      </c>
      <c r="D452">
        <v>153.63999999999999</v>
      </c>
    </row>
    <row r="453" spans="1:4" x14ac:dyDescent="0.45">
      <c r="A453" s="4">
        <v>779</v>
      </c>
      <c r="B453">
        <v>75.449999999999989</v>
      </c>
      <c r="C453">
        <v>1</v>
      </c>
      <c r="D453">
        <v>75.449999999999989</v>
      </c>
    </row>
    <row r="454" spans="1:4" x14ac:dyDescent="0.45">
      <c r="A454" s="4">
        <v>780</v>
      </c>
      <c r="B454">
        <v>152.46</v>
      </c>
      <c r="C454">
        <v>2</v>
      </c>
      <c r="D454">
        <v>76.23</v>
      </c>
    </row>
    <row r="455" spans="1:4" x14ac:dyDescent="0.45">
      <c r="A455" s="4">
        <v>783</v>
      </c>
      <c r="B455">
        <v>125.69</v>
      </c>
      <c r="C455">
        <v>2</v>
      </c>
      <c r="D455">
        <v>62.844999999999999</v>
      </c>
    </row>
    <row r="456" spans="1:4" x14ac:dyDescent="0.45">
      <c r="A456" s="4">
        <v>785</v>
      </c>
      <c r="B456">
        <v>60.12</v>
      </c>
      <c r="C456">
        <v>1</v>
      </c>
      <c r="D456">
        <v>60.12</v>
      </c>
    </row>
    <row r="457" spans="1:4" x14ac:dyDescent="0.45">
      <c r="A457" s="4">
        <v>787</v>
      </c>
      <c r="B457">
        <v>215.86</v>
      </c>
      <c r="C457">
        <v>2</v>
      </c>
      <c r="D457">
        <v>107.93</v>
      </c>
    </row>
    <row r="458" spans="1:4" x14ac:dyDescent="0.45">
      <c r="A458" s="4">
        <v>790</v>
      </c>
      <c r="B458">
        <v>81.790000000000006</v>
      </c>
      <c r="C458">
        <v>1</v>
      </c>
      <c r="D458">
        <v>81.790000000000006</v>
      </c>
    </row>
    <row r="459" spans="1:4" x14ac:dyDescent="0.45">
      <c r="A459" s="4">
        <v>791</v>
      </c>
      <c r="B459">
        <v>59.56</v>
      </c>
      <c r="C459">
        <v>1</v>
      </c>
      <c r="D459">
        <v>59.56</v>
      </c>
    </row>
    <row r="460" spans="1:4" x14ac:dyDescent="0.45">
      <c r="A460" s="4">
        <v>792</v>
      </c>
      <c r="B460">
        <v>561.65000000000009</v>
      </c>
      <c r="C460">
        <v>3</v>
      </c>
      <c r="D460">
        <v>187.2166666666667</v>
      </c>
    </row>
    <row r="461" spans="1:4" x14ac:dyDescent="0.45">
      <c r="A461" s="4">
        <v>793</v>
      </c>
      <c r="B461">
        <v>57.19</v>
      </c>
      <c r="C461">
        <v>1</v>
      </c>
      <c r="D461">
        <v>57.19</v>
      </c>
    </row>
    <row r="462" spans="1:4" x14ac:dyDescent="0.45">
      <c r="A462" s="4">
        <v>795</v>
      </c>
      <c r="B462">
        <v>166.5</v>
      </c>
      <c r="C462">
        <v>2</v>
      </c>
      <c r="D462">
        <v>83.25</v>
      </c>
    </row>
    <row r="463" spans="1:4" x14ac:dyDescent="0.45">
      <c r="A463" s="4">
        <v>796</v>
      </c>
      <c r="B463">
        <v>410.68</v>
      </c>
      <c r="C463">
        <v>3</v>
      </c>
      <c r="D463">
        <v>136.89333333333335</v>
      </c>
    </row>
    <row r="464" spans="1:4" x14ac:dyDescent="0.45">
      <c r="A464" s="4">
        <v>798</v>
      </c>
      <c r="B464">
        <v>776.8</v>
      </c>
      <c r="C464">
        <v>3</v>
      </c>
      <c r="D464">
        <v>258.93333333333334</v>
      </c>
    </row>
    <row r="465" spans="1:4" x14ac:dyDescent="0.45">
      <c r="A465" s="4">
        <v>800</v>
      </c>
      <c r="B465">
        <v>130.52000000000001</v>
      </c>
      <c r="C465">
        <v>1</v>
      </c>
      <c r="D465">
        <v>130.52000000000001</v>
      </c>
    </row>
    <row r="466" spans="1:4" x14ac:dyDescent="0.45">
      <c r="A466" s="4">
        <v>801</v>
      </c>
      <c r="B466">
        <v>62.3</v>
      </c>
      <c r="C466">
        <v>1</v>
      </c>
      <c r="D466">
        <v>62.3</v>
      </c>
    </row>
    <row r="467" spans="1:4" x14ac:dyDescent="0.45">
      <c r="A467" s="4">
        <v>802</v>
      </c>
      <c r="B467">
        <v>320.27999999999997</v>
      </c>
      <c r="C467">
        <v>2</v>
      </c>
      <c r="D467">
        <v>160.13999999999999</v>
      </c>
    </row>
    <row r="468" spans="1:4" x14ac:dyDescent="0.45">
      <c r="A468" s="4">
        <v>804</v>
      </c>
      <c r="B468">
        <v>71.7</v>
      </c>
      <c r="C468">
        <v>1</v>
      </c>
      <c r="D468">
        <v>71.7</v>
      </c>
    </row>
    <row r="469" spans="1:4" x14ac:dyDescent="0.45">
      <c r="A469" s="4">
        <v>805</v>
      </c>
      <c r="B469">
        <v>69.540000000000006</v>
      </c>
      <c r="C469">
        <v>1</v>
      </c>
      <c r="D469">
        <v>69.540000000000006</v>
      </c>
    </row>
    <row r="470" spans="1:4" x14ac:dyDescent="0.45">
      <c r="A470" s="4">
        <v>806</v>
      </c>
      <c r="B470">
        <v>156.24</v>
      </c>
      <c r="C470">
        <v>1</v>
      </c>
      <c r="D470">
        <v>156.24</v>
      </c>
    </row>
    <row r="471" spans="1:4" x14ac:dyDescent="0.45">
      <c r="A471" s="4">
        <v>807</v>
      </c>
      <c r="B471">
        <v>146.64000000000001</v>
      </c>
      <c r="C471">
        <v>1</v>
      </c>
      <c r="D471">
        <v>146.64000000000001</v>
      </c>
    </row>
    <row r="472" spans="1:4" x14ac:dyDescent="0.45">
      <c r="A472" s="4">
        <v>811</v>
      </c>
      <c r="B472">
        <v>87.68</v>
      </c>
      <c r="C472">
        <v>1</v>
      </c>
      <c r="D472">
        <v>87.68</v>
      </c>
    </row>
    <row r="473" spans="1:4" x14ac:dyDescent="0.45">
      <c r="A473" s="4">
        <v>813</v>
      </c>
      <c r="B473">
        <v>103.52</v>
      </c>
      <c r="C473">
        <v>1</v>
      </c>
      <c r="D473">
        <v>103.52</v>
      </c>
    </row>
    <row r="474" spans="1:4" x14ac:dyDescent="0.45">
      <c r="A474" s="4">
        <v>816</v>
      </c>
      <c r="B474">
        <v>302.47000000000003</v>
      </c>
      <c r="C474">
        <v>4</v>
      </c>
      <c r="D474">
        <v>75.617500000000007</v>
      </c>
    </row>
    <row r="475" spans="1:4" x14ac:dyDescent="0.45">
      <c r="A475" s="4">
        <v>818</v>
      </c>
      <c r="B475">
        <v>42.72</v>
      </c>
      <c r="C475">
        <v>1</v>
      </c>
      <c r="D475">
        <v>42.72</v>
      </c>
    </row>
    <row r="476" spans="1:4" x14ac:dyDescent="0.45">
      <c r="A476" s="4">
        <v>819</v>
      </c>
      <c r="B476">
        <v>260.58999999999997</v>
      </c>
      <c r="C476">
        <v>2</v>
      </c>
      <c r="D476">
        <v>130.29499999999999</v>
      </c>
    </row>
    <row r="477" spans="1:4" x14ac:dyDescent="0.45">
      <c r="A477" s="4">
        <v>820</v>
      </c>
      <c r="B477">
        <v>140.63</v>
      </c>
      <c r="C477">
        <v>2</v>
      </c>
      <c r="D477">
        <v>70.314999999999998</v>
      </c>
    </row>
    <row r="478" spans="1:4" x14ac:dyDescent="0.45">
      <c r="A478" s="4">
        <v>822</v>
      </c>
      <c r="B478">
        <v>55.519999999999996</v>
      </c>
      <c r="C478">
        <v>2</v>
      </c>
      <c r="D478">
        <v>27.759999999999998</v>
      </c>
    </row>
    <row r="479" spans="1:4" x14ac:dyDescent="0.45">
      <c r="A479" s="4">
        <v>823</v>
      </c>
      <c r="B479">
        <v>32.21</v>
      </c>
      <c r="C479">
        <v>1</v>
      </c>
      <c r="D479">
        <v>32.21</v>
      </c>
    </row>
    <row r="480" spans="1:4" x14ac:dyDescent="0.45">
      <c r="A480" s="4">
        <v>825</v>
      </c>
      <c r="B480">
        <v>85.24</v>
      </c>
      <c r="C480">
        <v>1</v>
      </c>
      <c r="D480">
        <v>85.24</v>
      </c>
    </row>
    <row r="481" spans="1:4" x14ac:dyDescent="0.45">
      <c r="A481" s="4">
        <v>826</v>
      </c>
      <c r="B481">
        <v>126.06</v>
      </c>
      <c r="C481">
        <v>1</v>
      </c>
      <c r="D481">
        <v>126.06</v>
      </c>
    </row>
    <row r="482" spans="1:4" x14ac:dyDescent="0.45">
      <c r="A482" s="4">
        <v>827</v>
      </c>
      <c r="B482">
        <v>39.090000000000003</v>
      </c>
      <c r="C482">
        <v>1</v>
      </c>
      <c r="D482">
        <v>39.090000000000003</v>
      </c>
    </row>
    <row r="483" spans="1:4" x14ac:dyDescent="0.45">
      <c r="A483" s="4">
        <v>828</v>
      </c>
      <c r="B483">
        <v>74.260000000000005</v>
      </c>
      <c r="C483">
        <v>1</v>
      </c>
      <c r="D483">
        <v>74.260000000000005</v>
      </c>
    </row>
    <row r="484" spans="1:4" x14ac:dyDescent="0.45">
      <c r="A484" s="4">
        <v>829</v>
      </c>
      <c r="B484">
        <v>306.35000000000002</v>
      </c>
      <c r="C484">
        <v>2</v>
      </c>
      <c r="D484">
        <v>153.17500000000001</v>
      </c>
    </row>
    <row r="485" spans="1:4" x14ac:dyDescent="0.45">
      <c r="A485" s="4">
        <v>830</v>
      </c>
      <c r="B485">
        <v>487.1</v>
      </c>
      <c r="C485">
        <v>2</v>
      </c>
      <c r="D485">
        <v>243.55</v>
      </c>
    </row>
    <row r="486" spans="1:4" x14ac:dyDescent="0.45">
      <c r="A486" s="4">
        <v>831</v>
      </c>
      <c r="B486">
        <v>178.74</v>
      </c>
      <c r="C486">
        <v>1</v>
      </c>
      <c r="D486">
        <v>178.74</v>
      </c>
    </row>
    <row r="487" spans="1:4" x14ac:dyDescent="0.45">
      <c r="A487" s="4">
        <v>832</v>
      </c>
      <c r="B487">
        <v>34.229999999999997</v>
      </c>
      <c r="C487">
        <v>1</v>
      </c>
      <c r="D487">
        <v>34.229999999999997</v>
      </c>
    </row>
    <row r="488" spans="1:4" x14ac:dyDescent="0.45">
      <c r="A488" s="4">
        <v>833</v>
      </c>
      <c r="B488">
        <v>124.54</v>
      </c>
      <c r="C488">
        <v>1</v>
      </c>
      <c r="D488">
        <v>124.54</v>
      </c>
    </row>
    <row r="489" spans="1:4" x14ac:dyDescent="0.45">
      <c r="A489" s="4">
        <v>834</v>
      </c>
      <c r="B489">
        <v>226.35000000000002</v>
      </c>
      <c r="C489">
        <v>1</v>
      </c>
      <c r="D489">
        <v>226.35000000000002</v>
      </c>
    </row>
    <row r="490" spans="1:4" x14ac:dyDescent="0.45">
      <c r="A490" s="4">
        <v>835</v>
      </c>
      <c r="B490">
        <v>81.8</v>
      </c>
      <c r="C490">
        <v>1</v>
      </c>
      <c r="D490">
        <v>81.8</v>
      </c>
    </row>
    <row r="491" spans="1:4" x14ac:dyDescent="0.45">
      <c r="A491" s="4">
        <v>836</v>
      </c>
      <c r="B491">
        <v>47.66</v>
      </c>
      <c r="C491">
        <v>1</v>
      </c>
      <c r="D491">
        <v>47.66</v>
      </c>
    </row>
    <row r="492" spans="1:4" x14ac:dyDescent="0.45">
      <c r="A492" s="4">
        <v>837</v>
      </c>
      <c r="B492">
        <v>227</v>
      </c>
      <c r="C492">
        <v>2</v>
      </c>
      <c r="D492">
        <v>113.5</v>
      </c>
    </row>
    <row r="493" spans="1:4" x14ac:dyDescent="0.45">
      <c r="A493" s="4">
        <v>838</v>
      </c>
      <c r="B493">
        <v>42.47</v>
      </c>
      <c r="C493">
        <v>1</v>
      </c>
      <c r="D493">
        <v>42.47</v>
      </c>
    </row>
    <row r="494" spans="1:4" x14ac:dyDescent="0.45">
      <c r="A494" s="4">
        <v>839</v>
      </c>
      <c r="B494">
        <v>101.57</v>
      </c>
      <c r="C494">
        <v>2</v>
      </c>
      <c r="D494">
        <v>50.784999999999997</v>
      </c>
    </row>
    <row r="495" spans="1:4" x14ac:dyDescent="0.45">
      <c r="A495" s="4">
        <v>840</v>
      </c>
      <c r="B495">
        <v>100.08</v>
      </c>
      <c r="C495">
        <v>1</v>
      </c>
      <c r="D495">
        <v>100.08</v>
      </c>
    </row>
    <row r="496" spans="1:4" x14ac:dyDescent="0.45">
      <c r="A496" s="4">
        <v>841</v>
      </c>
      <c r="B496">
        <v>219.64</v>
      </c>
      <c r="C496">
        <v>1</v>
      </c>
      <c r="D496">
        <v>219.64</v>
      </c>
    </row>
    <row r="497" spans="1:4" x14ac:dyDescent="0.45">
      <c r="A497" s="4">
        <v>842</v>
      </c>
      <c r="B497">
        <v>109.82</v>
      </c>
      <c r="C497">
        <v>1</v>
      </c>
      <c r="D497">
        <v>109.82</v>
      </c>
    </row>
    <row r="498" spans="1:4" x14ac:dyDescent="0.45">
      <c r="A498" s="4">
        <v>843</v>
      </c>
      <c r="B498">
        <v>106.7</v>
      </c>
      <c r="C498">
        <v>1</v>
      </c>
      <c r="D498">
        <v>106.7</v>
      </c>
    </row>
    <row r="499" spans="1:4" x14ac:dyDescent="0.45">
      <c r="A499" s="4">
        <v>849</v>
      </c>
      <c r="B499">
        <v>55.06</v>
      </c>
      <c r="C499">
        <v>1</v>
      </c>
      <c r="D499">
        <v>55.06</v>
      </c>
    </row>
    <row r="500" spans="1:4" x14ac:dyDescent="0.45">
      <c r="A500" s="4">
        <v>851</v>
      </c>
      <c r="B500">
        <v>109.74</v>
      </c>
      <c r="C500">
        <v>1</v>
      </c>
      <c r="D500">
        <v>109.74</v>
      </c>
    </row>
    <row r="501" spans="1:4" x14ac:dyDescent="0.45">
      <c r="A501" s="4">
        <v>852</v>
      </c>
      <c r="B501">
        <v>101.97</v>
      </c>
      <c r="C501">
        <v>2</v>
      </c>
      <c r="D501">
        <v>50.984999999999999</v>
      </c>
    </row>
    <row r="502" spans="1:4" x14ac:dyDescent="0.45">
      <c r="A502" s="4">
        <v>854</v>
      </c>
      <c r="B502">
        <v>72.47</v>
      </c>
      <c r="C502">
        <v>2</v>
      </c>
      <c r="D502">
        <v>36.234999999999999</v>
      </c>
    </row>
    <row r="503" spans="1:4" x14ac:dyDescent="0.45">
      <c r="A503" s="4">
        <v>855</v>
      </c>
      <c r="B503">
        <v>127.97999999999999</v>
      </c>
      <c r="C503">
        <v>1</v>
      </c>
      <c r="D503">
        <v>127.97999999999999</v>
      </c>
    </row>
    <row r="504" spans="1:4" x14ac:dyDescent="0.45">
      <c r="A504" s="4">
        <v>857</v>
      </c>
      <c r="B504">
        <v>108.36</v>
      </c>
      <c r="C504">
        <v>2</v>
      </c>
      <c r="D504">
        <v>54.18</v>
      </c>
    </row>
    <row r="505" spans="1:4" x14ac:dyDescent="0.45">
      <c r="A505" s="4">
        <v>858</v>
      </c>
      <c r="B505">
        <v>100.02000000000001</v>
      </c>
      <c r="C505">
        <v>2</v>
      </c>
      <c r="D505">
        <v>50.010000000000005</v>
      </c>
    </row>
    <row r="506" spans="1:4" x14ac:dyDescent="0.45">
      <c r="A506" s="4">
        <v>861</v>
      </c>
      <c r="B506">
        <v>274.42</v>
      </c>
      <c r="C506">
        <v>3</v>
      </c>
      <c r="D506">
        <v>91.473333333333343</v>
      </c>
    </row>
    <row r="507" spans="1:4" x14ac:dyDescent="0.45">
      <c r="A507" s="4">
        <v>863</v>
      </c>
      <c r="B507">
        <v>38.74</v>
      </c>
      <c r="C507">
        <v>1</v>
      </c>
      <c r="D507">
        <v>38.74</v>
      </c>
    </row>
    <row r="508" spans="1:4" x14ac:dyDescent="0.45">
      <c r="A508" s="4">
        <v>864</v>
      </c>
      <c r="B508">
        <v>448.68000000000006</v>
      </c>
      <c r="C508">
        <v>2</v>
      </c>
      <c r="D508">
        <v>224.34000000000003</v>
      </c>
    </row>
    <row r="509" spans="1:4" x14ac:dyDescent="0.45">
      <c r="A509" s="4">
        <v>867</v>
      </c>
      <c r="B509">
        <v>230.97</v>
      </c>
      <c r="C509">
        <v>3</v>
      </c>
      <c r="D509">
        <v>76.989999999999995</v>
      </c>
    </row>
    <row r="510" spans="1:4" x14ac:dyDescent="0.45">
      <c r="A510" s="4">
        <v>869</v>
      </c>
      <c r="B510">
        <v>81.34</v>
      </c>
      <c r="C510">
        <v>1</v>
      </c>
      <c r="D510">
        <v>81.34</v>
      </c>
    </row>
    <row r="511" spans="1:4" x14ac:dyDescent="0.45">
      <c r="A511" s="4">
        <v>871</v>
      </c>
      <c r="B511">
        <v>66.33</v>
      </c>
      <c r="C511">
        <v>1</v>
      </c>
      <c r="D511">
        <v>66.33</v>
      </c>
    </row>
    <row r="512" spans="1:4" x14ac:dyDescent="0.45">
      <c r="A512" s="4">
        <v>872</v>
      </c>
      <c r="B512">
        <v>539.49</v>
      </c>
      <c r="C512">
        <v>5</v>
      </c>
      <c r="D512">
        <v>107.898</v>
      </c>
    </row>
    <row r="513" spans="1:4" x14ac:dyDescent="0.45">
      <c r="A513" s="4">
        <v>873</v>
      </c>
      <c r="B513">
        <v>72.099999999999994</v>
      </c>
      <c r="C513">
        <v>1</v>
      </c>
      <c r="D513">
        <v>72.099999999999994</v>
      </c>
    </row>
    <row r="514" spans="1:4" x14ac:dyDescent="0.45">
      <c r="A514" s="4">
        <v>876</v>
      </c>
      <c r="B514">
        <v>352.92</v>
      </c>
      <c r="C514">
        <v>2</v>
      </c>
      <c r="D514">
        <v>176.46</v>
      </c>
    </row>
    <row r="515" spans="1:4" x14ac:dyDescent="0.45">
      <c r="A515" s="4">
        <v>877</v>
      </c>
      <c r="B515">
        <v>107.34</v>
      </c>
      <c r="C515">
        <v>1</v>
      </c>
      <c r="D515">
        <v>107.34</v>
      </c>
    </row>
    <row r="516" spans="1:4" x14ac:dyDescent="0.45">
      <c r="A516" s="4">
        <v>878</v>
      </c>
      <c r="B516">
        <v>182.37</v>
      </c>
      <c r="C516">
        <v>1</v>
      </c>
      <c r="D516">
        <v>182.37</v>
      </c>
    </row>
    <row r="517" spans="1:4" x14ac:dyDescent="0.45">
      <c r="A517" s="4">
        <v>879</v>
      </c>
      <c r="B517">
        <v>160.64999999999998</v>
      </c>
      <c r="C517">
        <v>2</v>
      </c>
      <c r="D517">
        <v>80.324999999999989</v>
      </c>
    </row>
    <row r="518" spans="1:4" x14ac:dyDescent="0.45">
      <c r="A518" s="4">
        <v>880</v>
      </c>
      <c r="B518">
        <v>49.84</v>
      </c>
      <c r="C518">
        <v>1</v>
      </c>
      <c r="D518">
        <v>49.84</v>
      </c>
    </row>
    <row r="519" spans="1:4" x14ac:dyDescent="0.45">
      <c r="A519" s="4">
        <v>881</v>
      </c>
      <c r="B519">
        <v>189.32999999999998</v>
      </c>
      <c r="C519">
        <v>2</v>
      </c>
      <c r="D519">
        <v>94.664999999999992</v>
      </c>
    </row>
    <row r="520" spans="1:4" x14ac:dyDescent="0.45">
      <c r="A520" s="4">
        <v>883</v>
      </c>
      <c r="B520">
        <v>159.74</v>
      </c>
      <c r="C520">
        <v>2</v>
      </c>
      <c r="D520">
        <v>79.87</v>
      </c>
    </row>
    <row r="521" spans="1:4" x14ac:dyDescent="0.45">
      <c r="A521" s="4">
        <v>884</v>
      </c>
      <c r="B521">
        <v>113.83</v>
      </c>
      <c r="C521">
        <v>2</v>
      </c>
      <c r="D521">
        <v>56.914999999999999</v>
      </c>
    </row>
    <row r="522" spans="1:4" x14ac:dyDescent="0.45">
      <c r="A522" s="4">
        <v>885</v>
      </c>
      <c r="B522">
        <v>143.95999999999998</v>
      </c>
      <c r="C522">
        <v>2</v>
      </c>
      <c r="D522">
        <v>71.97999999999999</v>
      </c>
    </row>
    <row r="523" spans="1:4" x14ac:dyDescent="0.45">
      <c r="A523" s="4">
        <v>891</v>
      </c>
      <c r="B523">
        <v>148.44</v>
      </c>
      <c r="C523">
        <v>1</v>
      </c>
      <c r="D523">
        <v>148.44</v>
      </c>
    </row>
    <row r="524" spans="1:4" x14ac:dyDescent="0.45">
      <c r="A524" s="4">
        <v>892</v>
      </c>
      <c r="B524">
        <v>98.97</v>
      </c>
      <c r="C524">
        <v>2</v>
      </c>
      <c r="D524">
        <v>49.484999999999999</v>
      </c>
    </row>
    <row r="525" spans="1:4" x14ac:dyDescent="0.45">
      <c r="A525" s="4">
        <v>895</v>
      </c>
      <c r="B525">
        <v>32.82</v>
      </c>
      <c r="C525">
        <v>1</v>
      </c>
      <c r="D525">
        <v>32.82</v>
      </c>
    </row>
    <row r="526" spans="1:4" x14ac:dyDescent="0.45">
      <c r="A526" s="4">
        <v>896</v>
      </c>
      <c r="B526">
        <v>216.07</v>
      </c>
      <c r="C526">
        <v>3</v>
      </c>
      <c r="D526">
        <v>72.023333333333326</v>
      </c>
    </row>
    <row r="527" spans="1:4" x14ac:dyDescent="0.45">
      <c r="A527" s="4">
        <v>897</v>
      </c>
      <c r="B527">
        <v>151.28</v>
      </c>
      <c r="C527">
        <v>2</v>
      </c>
      <c r="D527">
        <v>75.64</v>
      </c>
    </row>
    <row r="528" spans="1:4" x14ac:dyDescent="0.45">
      <c r="A528" s="4">
        <v>898</v>
      </c>
      <c r="B528">
        <v>70.12</v>
      </c>
      <c r="C528">
        <v>2</v>
      </c>
      <c r="D528">
        <v>35.06</v>
      </c>
    </row>
    <row r="529" spans="1:4" x14ac:dyDescent="0.45">
      <c r="A529" s="4">
        <v>900</v>
      </c>
      <c r="B529">
        <v>55.27</v>
      </c>
      <c r="C529">
        <v>1</v>
      </c>
      <c r="D529">
        <v>55.27</v>
      </c>
    </row>
    <row r="530" spans="1:4" x14ac:dyDescent="0.45">
      <c r="A530" s="4">
        <v>903</v>
      </c>
      <c r="B530">
        <v>157</v>
      </c>
      <c r="C530">
        <v>2</v>
      </c>
      <c r="D530">
        <v>78.5</v>
      </c>
    </row>
    <row r="531" spans="1:4" x14ac:dyDescent="0.45">
      <c r="A531" s="4">
        <v>906</v>
      </c>
      <c r="B531">
        <v>55.06</v>
      </c>
      <c r="C531">
        <v>1</v>
      </c>
      <c r="D531">
        <v>55.06</v>
      </c>
    </row>
    <row r="532" spans="1:4" x14ac:dyDescent="0.45">
      <c r="A532" s="4">
        <v>907</v>
      </c>
      <c r="B532">
        <v>57.48</v>
      </c>
      <c r="C532">
        <v>1</v>
      </c>
      <c r="D532">
        <v>57.48</v>
      </c>
    </row>
    <row r="533" spans="1:4" x14ac:dyDescent="0.45">
      <c r="A533" s="4">
        <v>908</v>
      </c>
      <c r="B533">
        <v>145.12</v>
      </c>
      <c r="C533">
        <v>2</v>
      </c>
      <c r="D533">
        <v>72.56</v>
      </c>
    </row>
    <row r="534" spans="1:4" x14ac:dyDescent="0.45">
      <c r="A534" s="4">
        <v>912</v>
      </c>
      <c r="B534">
        <v>63.22</v>
      </c>
      <c r="C534">
        <v>1</v>
      </c>
      <c r="D534">
        <v>63.22</v>
      </c>
    </row>
    <row r="535" spans="1:4" x14ac:dyDescent="0.45">
      <c r="A535" s="4">
        <v>913</v>
      </c>
      <c r="B535">
        <v>64.819999999999993</v>
      </c>
      <c r="C535">
        <v>1</v>
      </c>
      <c r="D535">
        <v>64.819999999999993</v>
      </c>
    </row>
    <row r="536" spans="1:4" x14ac:dyDescent="0.45">
      <c r="A536" s="4">
        <v>914</v>
      </c>
      <c r="B536">
        <v>26.84</v>
      </c>
      <c r="C536">
        <v>1</v>
      </c>
      <c r="D536">
        <v>26.84</v>
      </c>
    </row>
    <row r="537" spans="1:4" x14ac:dyDescent="0.45">
      <c r="A537" s="4">
        <v>915</v>
      </c>
      <c r="B537">
        <v>31.84</v>
      </c>
      <c r="C537">
        <v>1</v>
      </c>
      <c r="D537">
        <v>31.84</v>
      </c>
    </row>
    <row r="538" spans="1:4" x14ac:dyDescent="0.45">
      <c r="A538" s="4">
        <v>916</v>
      </c>
      <c r="B538">
        <v>168.60000000000002</v>
      </c>
      <c r="C538">
        <v>1</v>
      </c>
      <c r="D538">
        <v>168.60000000000002</v>
      </c>
    </row>
    <row r="539" spans="1:4" x14ac:dyDescent="0.45">
      <c r="A539" s="4">
        <v>920</v>
      </c>
      <c r="B539">
        <v>224.27999999999997</v>
      </c>
      <c r="C539">
        <v>2</v>
      </c>
      <c r="D539">
        <v>112.13999999999999</v>
      </c>
    </row>
    <row r="540" spans="1:4" x14ac:dyDescent="0.45">
      <c r="A540" s="4">
        <v>921</v>
      </c>
      <c r="B540">
        <v>93.78</v>
      </c>
      <c r="C540">
        <v>1</v>
      </c>
      <c r="D540">
        <v>93.78</v>
      </c>
    </row>
    <row r="541" spans="1:4" x14ac:dyDescent="0.45">
      <c r="A541" s="4">
        <v>922</v>
      </c>
      <c r="B541">
        <v>190.48000000000002</v>
      </c>
      <c r="C541">
        <v>2</v>
      </c>
      <c r="D541">
        <v>95.240000000000009</v>
      </c>
    </row>
    <row r="542" spans="1:4" x14ac:dyDescent="0.45">
      <c r="A542" s="4">
        <v>928</v>
      </c>
      <c r="B542">
        <v>99.52</v>
      </c>
      <c r="C542">
        <v>1</v>
      </c>
      <c r="D542">
        <v>99.52</v>
      </c>
    </row>
    <row r="543" spans="1:4" x14ac:dyDescent="0.45">
      <c r="A543" s="4">
        <v>929</v>
      </c>
      <c r="B543">
        <v>256.64999999999998</v>
      </c>
      <c r="C543">
        <v>3</v>
      </c>
      <c r="D543">
        <v>85.55</v>
      </c>
    </row>
    <row r="544" spans="1:4" x14ac:dyDescent="0.45">
      <c r="A544" s="4">
        <v>930</v>
      </c>
      <c r="B544">
        <v>49.84</v>
      </c>
      <c r="C544">
        <v>1</v>
      </c>
      <c r="D544">
        <v>49.84</v>
      </c>
    </row>
    <row r="545" spans="1:4" x14ac:dyDescent="0.45">
      <c r="A545" s="4">
        <v>932</v>
      </c>
      <c r="B545">
        <v>128.65</v>
      </c>
      <c r="C545">
        <v>2</v>
      </c>
      <c r="D545">
        <v>64.325000000000003</v>
      </c>
    </row>
    <row r="546" spans="1:4" x14ac:dyDescent="0.45">
      <c r="A546" s="4">
        <v>935</v>
      </c>
      <c r="B546">
        <v>275.3</v>
      </c>
      <c r="C546">
        <v>2</v>
      </c>
      <c r="D546">
        <v>137.65</v>
      </c>
    </row>
    <row r="547" spans="1:4" x14ac:dyDescent="0.45">
      <c r="A547" s="4">
        <v>936</v>
      </c>
      <c r="B547">
        <v>330.23</v>
      </c>
      <c r="C547">
        <v>2</v>
      </c>
      <c r="D547">
        <v>165.11500000000001</v>
      </c>
    </row>
    <row r="548" spans="1:4" x14ac:dyDescent="0.45">
      <c r="A548" s="4">
        <v>943</v>
      </c>
      <c r="B548">
        <v>277.06</v>
      </c>
      <c r="C548">
        <v>3</v>
      </c>
      <c r="D548">
        <v>92.353333333333339</v>
      </c>
    </row>
    <row r="549" spans="1:4" x14ac:dyDescent="0.45">
      <c r="A549" s="4">
        <v>946</v>
      </c>
      <c r="B549">
        <v>100.31</v>
      </c>
      <c r="C549">
        <v>2</v>
      </c>
      <c r="D549">
        <v>50.155000000000001</v>
      </c>
    </row>
    <row r="550" spans="1:4" x14ac:dyDescent="0.45">
      <c r="A550" s="4">
        <v>948</v>
      </c>
      <c r="B550">
        <v>93.8</v>
      </c>
      <c r="C550">
        <v>1</v>
      </c>
      <c r="D550">
        <v>93.8</v>
      </c>
    </row>
    <row r="551" spans="1:4" x14ac:dyDescent="0.45">
      <c r="A551" s="4">
        <v>951</v>
      </c>
      <c r="B551">
        <v>54.91</v>
      </c>
      <c r="C551">
        <v>1</v>
      </c>
      <c r="D551">
        <v>54.91</v>
      </c>
    </row>
    <row r="552" spans="1:4" x14ac:dyDescent="0.45">
      <c r="A552" s="4">
        <v>952</v>
      </c>
      <c r="B552">
        <v>75.819999999999993</v>
      </c>
      <c r="C552">
        <v>1</v>
      </c>
      <c r="D552">
        <v>75.819999999999993</v>
      </c>
    </row>
    <row r="553" spans="1:4" x14ac:dyDescent="0.45">
      <c r="A553" s="4">
        <v>953</v>
      </c>
      <c r="B553">
        <v>299.26</v>
      </c>
      <c r="C553">
        <v>2</v>
      </c>
      <c r="D553">
        <v>149.63</v>
      </c>
    </row>
    <row r="554" spans="1:4" x14ac:dyDescent="0.45">
      <c r="A554" s="4">
        <v>954</v>
      </c>
      <c r="B554">
        <v>55.03</v>
      </c>
      <c r="C554">
        <v>1</v>
      </c>
      <c r="D554">
        <v>55.03</v>
      </c>
    </row>
    <row r="555" spans="1:4" x14ac:dyDescent="0.45">
      <c r="A555" s="4">
        <v>955</v>
      </c>
      <c r="B555">
        <v>78.930000000000007</v>
      </c>
      <c r="C555">
        <v>2</v>
      </c>
      <c r="D555">
        <v>39.465000000000003</v>
      </c>
    </row>
    <row r="556" spans="1:4" x14ac:dyDescent="0.45">
      <c r="A556" s="4">
        <v>956</v>
      </c>
      <c r="B556">
        <v>113.94</v>
      </c>
      <c r="C556">
        <v>2</v>
      </c>
      <c r="D556">
        <v>56.97</v>
      </c>
    </row>
    <row r="557" spans="1:4" x14ac:dyDescent="0.45">
      <c r="A557" s="4">
        <v>957</v>
      </c>
      <c r="B557">
        <v>119.27</v>
      </c>
      <c r="C557">
        <v>2</v>
      </c>
      <c r="D557">
        <v>59.634999999999998</v>
      </c>
    </row>
    <row r="558" spans="1:4" x14ac:dyDescent="0.45">
      <c r="A558" s="4">
        <v>958</v>
      </c>
      <c r="B558">
        <v>499.48000000000008</v>
      </c>
      <c r="C558">
        <v>6</v>
      </c>
      <c r="D558">
        <v>83.246666666666684</v>
      </c>
    </row>
    <row r="559" spans="1:4" x14ac:dyDescent="0.45">
      <c r="A559" s="4">
        <v>959</v>
      </c>
      <c r="B559">
        <v>50.34</v>
      </c>
      <c r="C559">
        <v>1</v>
      </c>
      <c r="D559">
        <v>50.34</v>
      </c>
    </row>
    <row r="560" spans="1:4" x14ac:dyDescent="0.45">
      <c r="A560" s="4">
        <v>960</v>
      </c>
      <c r="B560">
        <v>227.36</v>
      </c>
      <c r="C560">
        <v>1</v>
      </c>
      <c r="D560">
        <v>227.36</v>
      </c>
    </row>
    <row r="561" spans="1:4" x14ac:dyDescent="0.45">
      <c r="A561" s="4">
        <v>961</v>
      </c>
      <c r="B561">
        <v>54.2</v>
      </c>
      <c r="C561">
        <v>1</v>
      </c>
      <c r="D561">
        <v>54.2</v>
      </c>
    </row>
    <row r="562" spans="1:4" x14ac:dyDescent="0.45">
      <c r="A562" s="4">
        <v>962</v>
      </c>
      <c r="B562">
        <v>159.14999999999998</v>
      </c>
      <c r="C562">
        <v>1</v>
      </c>
      <c r="D562">
        <v>159.14999999999998</v>
      </c>
    </row>
    <row r="563" spans="1:4" x14ac:dyDescent="0.45">
      <c r="A563" s="4">
        <v>963</v>
      </c>
      <c r="B563">
        <v>323.39999999999998</v>
      </c>
      <c r="C563">
        <v>2</v>
      </c>
      <c r="D563">
        <v>161.69999999999999</v>
      </c>
    </row>
    <row r="564" spans="1:4" x14ac:dyDescent="0.45">
      <c r="A564" s="4">
        <v>968</v>
      </c>
      <c r="B564">
        <v>24.8</v>
      </c>
      <c r="C564">
        <v>1</v>
      </c>
      <c r="D564">
        <v>24.8</v>
      </c>
    </row>
    <row r="565" spans="1:4" x14ac:dyDescent="0.45">
      <c r="A565" s="4">
        <v>970</v>
      </c>
      <c r="B565">
        <v>129.68</v>
      </c>
      <c r="C565">
        <v>1</v>
      </c>
      <c r="D565">
        <v>129.68</v>
      </c>
    </row>
    <row r="566" spans="1:4" x14ac:dyDescent="0.45">
      <c r="A566" s="4">
        <v>972</v>
      </c>
      <c r="B566">
        <v>120.66</v>
      </c>
      <c r="C566">
        <v>1</v>
      </c>
      <c r="D566">
        <v>120.66</v>
      </c>
    </row>
    <row r="567" spans="1:4" x14ac:dyDescent="0.45">
      <c r="A567" s="4">
        <v>973</v>
      </c>
      <c r="B567">
        <v>227.68</v>
      </c>
      <c r="C567">
        <v>2</v>
      </c>
      <c r="D567">
        <v>113.84</v>
      </c>
    </row>
    <row r="568" spans="1:4" x14ac:dyDescent="0.45">
      <c r="A568" s="4">
        <v>974</v>
      </c>
      <c r="B568">
        <v>94.94</v>
      </c>
      <c r="C568">
        <v>1</v>
      </c>
      <c r="D568">
        <v>94.94</v>
      </c>
    </row>
    <row r="569" spans="1:4" x14ac:dyDescent="0.45">
      <c r="A569" s="4">
        <v>975</v>
      </c>
      <c r="B569">
        <v>46.9</v>
      </c>
      <c r="C569">
        <v>1</v>
      </c>
      <c r="D569">
        <v>46.9</v>
      </c>
    </row>
    <row r="570" spans="1:4" x14ac:dyDescent="0.45">
      <c r="A570" s="4">
        <v>976</v>
      </c>
      <c r="B570">
        <v>83.12</v>
      </c>
      <c r="C570">
        <v>1</v>
      </c>
      <c r="D570">
        <v>83.12</v>
      </c>
    </row>
    <row r="571" spans="1:4" x14ac:dyDescent="0.45">
      <c r="A571" s="4">
        <v>978</v>
      </c>
      <c r="B571">
        <v>51</v>
      </c>
      <c r="C571">
        <v>1</v>
      </c>
      <c r="D571">
        <v>51</v>
      </c>
    </row>
    <row r="572" spans="1:4" x14ac:dyDescent="0.45">
      <c r="A572" s="4">
        <v>981</v>
      </c>
      <c r="B572">
        <v>63.68</v>
      </c>
      <c r="C572">
        <v>1</v>
      </c>
      <c r="D572">
        <v>63.68</v>
      </c>
    </row>
    <row r="573" spans="1:4" x14ac:dyDescent="0.45">
      <c r="A573" s="4">
        <v>982</v>
      </c>
      <c r="B573">
        <v>141.72</v>
      </c>
      <c r="C573">
        <v>1</v>
      </c>
      <c r="D573">
        <v>141.72</v>
      </c>
    </row>
    <row r="574" spans="1:4" x14ac:dyDescent="0.45">
      <c r="A574" s="4">
        <v>983</v>
      </c>
      <c r="B574">
        <v>53.48</v>
      </c>
      <c r="C574">
        <v>1</v>
      </c>
      <c r="D574">
        <v>53.48</v>
      </c>
    </row>
    <row r="575" spans="1:4" x14ac:dyDescent="0.45">
      <c r="A575" s="4">
        <v>986</v>
      </c>
      <c r="B575">
        <v>127.44</v>
      </c>
      <c r="C575">
        <v>1</v>
      </c>
      <c r="D575">
        <v>127.44</v>
      </c>
    </row>
    <row r="576" spans="1:4" x14ac:dyDescent="0.45">
      <c r="A576" s="4">
        <v>987</v>
      </c>
      <c r="B576">
        <v>55.24</v>
      </c>
      <c r="C576">
        <v>1</v>
      </c>
      <c r="D576">
        <v>55.24</v>
      </c>
    </row>
    <row r="577" spans="1:4" x14ac:dyDescent="0.45">
      <c r="A577" s="4">
        <v>988</v>
      </c>
      <c r="B577">
        <v>201.73</v>
      </c>
      <c r="C577">
        <v>2</v>
      </c>
      <c r="D577">
        <v>100.86499999999999</v>
      </c>
    </row>
    <row r="578" spans="1:4" x14ac:dyDescent="0.45">
      <c r="A578" s="4">
        <v>990</v>
      </c>
      <c r="B578">
        <v>154.74</v>
      </c>
      <c r="C578">
        <v>1</v>
      </c>
      <c r="D578">
        <v>154.74</v>
      </c>
    </row>
    <row r="579" spans="1:4" x14ac:dyDescent="0.45">
      <c r="A579" s="4">
        <v>992</v>
      </c>
      <c r="B579">
        <v>95.18</v>
      </c>
      <c r="C579">
        <v>1</v>
      </c>
      <c r="D579">
        <v>95.18</v>
      </c>
    </row>
    <row r="580" spans="1:4" x14ac:dyDescent="0.45">
      <c r="A580" s="4">
        <v>993</v>
      </c>
      <c r="B580">
        <v>83.17</v>
      </c>
      <c r="C580">
        <v>2</v>
      </c>
      <c r="D580">
        <v>41.585000000000001</v>
      </c>
    </row>
    <row r="581" spans="1:4" x14ac:dyDescent="0.45">
      <c r="A581" s="4">
        <v>996</v>
      </c>
      <c r="B581">
        <v>256.59000000000003</v>
      </c>
      <c r="C581">
        <v>2</v>
      </c>
      <c r="D581">
        <v>128.29500000000002</v>
      </c>
    </row>
    <row r="582" spans="1:4" x14ac:dyDescent="0.45">
      <c r="A582" s="4">
        <v>997</v>
      </c>
      <c r="B582">
        <v>79.88</v>
      </c>
      <c r="C582">
        <v>2</v>
      </c>
      <c r="D582">
        <v>39.94</v>
      </c>
    </row>
    <row r="583" spans="1:4" x14ac:dyDescent="0.45">
      <c r="A583" s="4">
        <v>999</v>
      </c>
      <c r="B583">
        <v>224.16</v>
      </c>
      <c r="C583">
        <v>2</v>
      </c>
      <c r="D583">
        <v>112.08</v>
      </c>
    </row>
    <row r="584" spans="1:4" x14ac:dyDescent="0.45">
      <c r="A584" s="4" t="s">
        <v>581</v>
      </c>
      <c r="B584">
        <v>91401.889999999985</v>
      </c>
      <c r="C584">
        <v>905</v>
      </c>
      <c r="D584">
        <v>100.99656353591159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B7473-D494-4DDF-BE6A-FA9FBB25C07B}">
  <dimension ref="A3:C10"/>
  <sheetViews>
    <sheetView workbookViewId="0">
      <selection activeCell="B4" sqref="B4"/>
    </sheetView>
  </sheetViews>
  <sheetFormatPr defaultRowHeight="14.25" x14ac:dyDescent="0.45"/>
  <cols>
    <col min="1" max="1" width="11.9296875" bestFit="1" customWidth="1"/>
    <col min="2" max="2" width="13.19921875" bestFit="1" customWidth="1"/>
    <col min="3" max="3" width="13.46484375" bestFit="1" customWidth="1"/>
  </cols>
  <sheetData>
    <row r="3" spans="1:3" x14ac:dyDescent="0.45">
      <c r="A3" s="3" t="s">
        <v>580</v>
      </c>
      <c r="B3" t="s">
        <v>585</v>
      </c>
      <c r="C3" t="s">
        <v>603</v>
      </c>
    </row>
    <row r="4" spans="1:3" x14ac:dyDescent="0.45">
      <c r="A4" s="4" t="s">
        <v>36</v>
      </c>
      <c r="B4">
        <v>21266.54</v>
      </c>
      <c r="C4">
        <v>212</v>
      </c>
    </row>
    <row r="5" spans="1:3" x14ac:dyDescent="0.45">
      <c r="A5" s="4" t="s">
        <v>28</v>
      </c>
      <c r="B5">
        <v>19498.699999999993</v>
      </c>
      <c r="C5">
        <v>199</v>
      </c>
    </row>
    <row r="6" spans="1:3" x14ac:dyDescent="0.45">
      <c r="A6" s="4" t="s">
        <v>33</v>
      </c>
      <c r="B6">
        <v>17869.260000000013</v>
      </c>
      <c r="C6">
        <v>170</v>
      </c>
    </row>
    <row r="7" spans="1:3" x14ac:dyDescent="0.45">
      <c r="A7" s="4" t="s">
        <v>31</v>
      </c>
      <c r="B7">
        <v>13299.839999999997</v>
      </c>
      <c r="C7">
        <v>131</v>
      </c>
    </row>
    <row r="8" spans="1:3" x14ac:dyDescent="0.45">
      <c r="A8" s="4" t="s">
        <v>34</v>
      </c>
      <c r="B8">
        <v>11734.520000000002</v>
      </c>
      <c r="C8">
        <v>113</v>
      </c>
    </row>
    <row r="9" spans="1:3" x14ac:dyDescent="0.45">
      <c r="A9" s="4" t="s">
        <v>38</v>
      </c>
      <c r="B9">
        <v>7733.0299999999988</v>
      </c>
      <c r="C9">
        <v>80</v>
      </c>
    </row>
    <row r="10" spans="1:3" x14ac:dyDescent="0.45">
      <c r="A10" s="4" t="s">
        <v>581</v>
      </c>
      <c r="B10">
        <v>91401.889999999912</v>
      </c>
      <c r="C10">
        <v>905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36915-C1CB-4B8B-983E-614976D459AE}">
  <dimension ref="A3:C6"/>
  <sheetViews>
    <sheetView workbookViewId="0">
      <selection activeCell="B4" sqref="B4"/>
    </sheetView>
  </sheetViews>
  <sheetFormatPr defaultRowHeight="14.25" x14ac:dyDescent="0.45"/>
  <cols>
    <col min="1" max="1" width="11.9296875" bestFit="1" customWidth="1"/>
    <col min="2" max="2" width="13.19921875" bestFit="1" customWidth="1"/>
    <col min="3" max="3" width="13.46484375" bestFit="1" customWidth="1"/>
  </cols>
  <sheetData>
    <row r="3" spans="1:3" x14ac:dyDescent="0.45">
      <c r="A3" s="3" t="s">
        <v>580</v>
      </c>
      <c r="B3" t="s">
        <v>585</v>
      </c>
      <c r="C3" t="s">
        <v>603</v>
      </c>
    </row>
    <row r="4" spans="1:3" x14ac:dyDescent="0.45">
      <c r="A4" s="4" t="s">
        <v>21</v>
      </c>
      <c r="B4">
        <v>47716.499999999971</v>
      </c>
      <c r="C4">
        <v>473</v>
      </c>
    </row>
    <row r="5" spans="1:3" x14ac:dyDescent="0.45">
      <c r="A5" s="4" t="s">
        <v>15</v>
      </c>
      <c r="B5">
        <v>43685.389999999978</v>
      </c>
      <c r="C5">
        <v>432</v>
      </c>
    </row>
    <row r="6" spans="1:3" x14ac:dyDescent="0.45">
      <c r="A6" s="4" t="s">
        <v>581</v>
      </c>
      <c r="B6">
        <v>91401.889999999941</v>
      </c>
      <c r="C6">
        <v>905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7322A-0DD2-40CC-AD6D-881EAE82D387}">
  <dimension ref="A3:E584"/>
  <sheetViews>
    <sheetView workbookViewId="0">
      <selection activeCell="E4" sqref="E4"/>
    </sheetView>
  </sheetViews>
  <sheetFormatPr defaultRowHeight="14.25" x14ac:dyDescent="0.45"/>
  <cols>
    <col min="1" max="1" width="12.796875" bestFit="1" customWidth="1"/>
    <col min="2" max="2" width="16.265625" bestFit="1" customWidth="1"/>
    <col min="3" max="3" width="8.73046875" bestFit="1" customWidth="1"/>
    <col min="4" max="4" width="9.1328125" bestFit="1" customWidth="1"/>
  </cols>
  <sheetData>
    <row r="3" spans="1:5" x14ac:dyDescent="0.45">
      <c r="A3" s="3" t="s">
        <v>24</v>
      </c>
      <c r="B3" t="s">
        <v>610</v>
      </c>
      <c r="C3" t="s">
        <v>611</v>
      </c>
      <c r="D3" t="s">
        <v>612</v>
      </c>
      <c r="E3" t="s">
        <v>609</v>
      </c>
    </row>
    <row r="4" spans="1:5" x14ac:dyDescent="0.45">
      <c r="A4" s="4">
        <v>1</v>
      </c>
      <c r="B4" s="1">
        <v>45772</v>
      </c>
      <c r="C4">
        <v>50.04</v>
      </c>
      <c r="D4">
        <v>1</v>
      </c>
      <c r="E4">
        <f ca="1">TODAY()-B4</f>
        <v>269</v>
      </c>
    </row>
    <row r="5" spans="1:5" x14ac:dyDescent="0.45">
      <c r="A5" s="4">
        <v>2</v>
      </c>
      <c r="B5" s="1">
        <v>45803</v>
      </c>
      <c r="C5">
        <v>352.32</v>
      </c>
      <c r="D5">
        <v>3</v>
      </c>
      <c r="E5">
        <f t="shared" ref="E5:E68" ca="1" si="0">TODAY()-B5</f>
        <v>238</v>
      </c>
    </row>
    <row r="6" spans="1:5" x14ac:dyDescent="0.45">
      <c r="A6" s="4">
        <v>5</v>
      </c>
      <c r="B6" s="1">
        <v>45799</v>
      </c>
      <c r="C6">
        <v>343</v>
      </c>
      <c r="D6">
        <v>2</v>
      </c>
      <c r="E6">
        <f t="shared" ca="1" si="0"/>
        <v>242</v>
      </c>
    </row>
    <row r="7" spans="1:5" x14ac:dyDescent="0.45">
      <c r="A7" s="4">
        <v>9</v>
      </c>
      <c r="B7" s="1">
        <v>45802</v>
      </c>
      <c r="C7">
        <v>158.28</v>
      </c>
      <c r="D7">
        <v>2</v>
      </c>
      <c r="E7">
        <f t="shared" ca="1" si="0"/>
        <v>239</v>
      </c>
    </row>
    <row r="8" spans="1:5" x14ac:dyDescent="0.45">
      <c r="A8" s="4">
        <v>12</v>
      </c>
      <c r="B8" s="1">
        <v>45768</v>
      </c>
      <c r="C8">
        <v>114.62</v>
      </c>
      <c r="D8">
        <v>1</v>
      </c>
      <c r="E8">
        <f t="shared" ca="1" si="0"/>
        <v>273</v>
      </c>
    </row>
    <row r="9" spans="1:5" x14ac:dyDescent="0.45">
      <c r="A9" s="4">
        <v>14</v>
      </c>
      <c r="B9" s="1">
        <v>45776</v>
      </c>
      <c r="C9">
        <v>43.06</v>
      </c>
      <c r="D9">
        <v>1</v>
      </c>
      <c r="E9">
        <f t="shared" ca="1" si="0"/>
        <v>265</v>
      </c>
    </row>
    <row r="10" spans="1:5" x14ac:dyDescent="0.45">
      <c r="A10" s="4">
        <v>15</v>
      </c>
      <c r="B10" s="1">
        <v>45801</v>
      </c>
      <c r="C10">
        <v>200.92000000000002</v>
      </c>
      <c r="D10">
        <v>2</v>
      </c>
      <c r="E10">
        <f t="shared" ca="1" si="0"/>
        <v>240</v>
      </c>
    </row>
    <row r="11" spans="1:5" x14ac:dyDescent="0.45">
      <c r="A11" s="4">
        <v>16</v>
      </c>
      <c r="B11" s="1">
        <v>45771</v>
      </c>
      <c r="C11">
        <v>170.68</v>
      </c>
      <c r="D11">
        <v>1</v>
      </c>
      <c r="E11">
        <f t="shared" ca="1" si="0"/>
        <v>270</v>
      </c>
    </row>
    <row r="12" spans="1:5" x14ac:dyDescent="0.45">
      <c r="A12" s="4">
        <v>17</v>
      </c>
      <c r="B12" s="1">
        <v>45776</v>
      </c>
      <c r="C12">
        <v>50.55</v>
      </c>
      <c r="D12">
        <v>1</v>
      </c>
      <c r="E12">
        <f t="shared" ca="1" si="0"/>
        <v>265</v>
      </c>
    </row>
    <row r="13" spans="1:5" x14ac:dyDescent="0.45">
      <c r="A13" s="4">
        <v>18</v>
      </c>
      <c r="B13" s="1">
        <v>45804</v>
      </c>
      <c r="C13">
        <v>154.89000000000001</v>
      </c>
      <c r="D13">
        <v>1</v>
      </c>
      <c r="E13">
        <f t="shared" ca="1" si="0"/>
        <v>237</v>
      </c>
    </row>
    <row r="14" spans="1:5" x14ac:dyDescent="0.45">
      <c r="A14" s="4">
        <v>19</v>
      </c>
      <c r="B14" s="1">
        <v>45760</v>
      </c>
      <c r="C14">
        <v>224.43</v>
      </c>
      <c r="D14">
        <v>1</v>
      </c>
      <c r="E14">
        <f t="shared" ca="1" si="0"/>
        <v>281</v>
      </c>
    </row>
    <row r="15" spans="1:5" x14ac:dyDescent="0.45">
      <c r="A15" s="4">
        <v>20</v>
      </c>
      <c r="B15" s="1">
        <v>45821</v>
      </c>
      <c r="C15">
        <v>245.37</v>
      </c>
      <c r="D15">
        <v>1</v>
      </c>
      <c r="E15">
        <f t="shared" ca="1" si="0"/>
        <v>220</v>
      </c>
    </row>
    <row r="16" spans="1:5" x14ac:dyDescent="0.45">
      <c r="A16" s="4">
        <v>21</v>
      </c>
      <c r="B16" s="1">
        <v>45772</v>
      </c>
      <c r="C16">
        <v>253.18</v>
      </c>
      <c r="D16">
        <v>2</v>
      </c>
      <c r="E16">
        <f t="shared" ca="1" si="0"/>
        <v>269</v>
      </c>
    </row>
    <row r="17" spans="1:5" x14ac:dyDescent="0.45">
      <c r="A17" s="4">
        <v>22</v>
      </c>
      <c r="B17" s="1">
        <v>45804</v>
      </c>
      <c r="C17">
        <v>307.06</v>
      </c>
      <c r="D17">
        <v>2</v>
      </c>
      <c r="E17">
        <f t="shared" ca="1" si="0"/>
        <v>237</v>
      </c>
    </row>
    <row r="18" spans="1:5" x14ac:dyDescent="0.45">
      <c r="A18" s="4">
        <v>23</v>
      </c>
      <c r="B18" s="1">
        <v>45793</v>
      </c>
      <c r="C18">
        <v>26.46</v>
      </c>
      <c r="D18">
        <v>1</v>
      </c>
      <c r="E18">
        <f t="shared" ca="1" si="0"/>
        <v>248</v>
      </c>
    </row>
    <row r="19" spans="1:5" x14ac:dyDescent="0.45">
      <c r="A19" s="4">
        <v>25</v>
      </c>
      <c r="B19" s="1">
        <v>45807</v>
      </c>
      <c r="C19">
        <v>129.68</v>
      </c>
      <c r="D19">
        <v>1</v>
      </c>
      <c r="E19">
        <f t="shared" ca="1" si="0"/>
        <v>234</v>
      </c>
    </row>
    <row r="20" spans="1:5" x14ac:dyDescent="0.45">
      <c r="A20" s="4">
        <v>27</v>
      </c>
      <c r="B20" s="1">
        <v>45804</v>
      </c>
      <c r="C20">
        <v>116.18</v>
      </c>
      <c r="D20">
        <v>1</v>
      </c>
      <c r="E20">
        <f t="shared" ca="1" si="0"/>
        <v>237</v>
      </c>
    </row>
    <row r="21" spans="1:5" x14ac:dyDescent="0.45">
      <c r="A21" s="4">
        <v>28</v>
      </c>
      <c r="B21" s="1">
        <v>45776</v>
      </c>
      <c r="C21">
        <v>177.68</v>
      </c>
      <c r="D21">
        <v>2</v>
      </c>
      <c r="E21">
        <f t="shared" ca="1" si="0"/>
        <v>265</v>
      </c>
    </row>
    <row r="22" spans="1:5" x14ac:dyDescent="0.45">
      <c r="A22" s="4">
        <v>29</v>
      </c>
      <c r="B22" s="1">
        <v>45774</v>
      </c>
      <c r="C22">
        <v>243.32</v>
      </c>
      <c r="D22">
        <v>1</v>
      </c>
      <c r="E22">
        <f t="shared" ca="1" si="0"/>
        <v>267</v>
      </c>
    </row>
    <row r="23" spans="1:5" x14ac:dyDescent="0.45">
      <c r="A23" s="4">
        <v>33</v>
      </c>
      <c r="B23" s="1">
        <v>45825</v>
      </c>
      <c r="C23">
        <v>236.98</v>
      </c>
      <c r="D23">
        <v>2</v>
      </c>
      <c r="E23">
        <f t="shared" ca="1" si="0"/>
        <v>216</v>
      </c>
    </row>
    <row r="24" spans="1:5" x14ac:dyDescent="0.45">
      <c r="A24" s="4">
        <v>35</v>
      </c>
      <c r="B24" s="1">
        <v>45813</v>
      </c>
      <c r="C24">
        <v>141.6</v>
      </c>
      <c r="D24">
        <v>2</v>
      </c>
      <c r="E24">
        <f t="shared" ca="1" si="0"/>
        <v>228</v>
      </c>
    </row>
    <row r="25" spans="1:5" x14ac:dyDescent="0.45">
      <c r="A25" s="4">
        <v>36</v>
      </c>
      <c r="B25" s="1">
        <v>45800</v>
      </c>
      <c r="C25">
        <v>209.62</v>
      </c>
      <c r="D25">
        <v>2</v>
      </c>
      <c r="E25">
        <f t="shared" ca="1" si="0"/>
        <v>241</v>
      </c>
    </row>
    <row r="26" spans="1:5" x14ac:dyDescent="0.45">
      <c r="A26" s="4">
        <v>37</v>
      </c>
      <c r="B26" s="1">
        <v>45804</v>
      </c>
      <c r="C26">
        <v>437.18</v>
      </c>
      <c r="D26">
        <v>3</v>
      </c>
      <c r="E26">
        <f t="shared" ca="1" si="0"/>
        <v>237</v>
      </c>
    </row>
    <row r="27" spans="1:5" x14ac:dyDescent="0.45">
      <c r="A27" s="4">
        <v>38</v>
      </c>
      <c r="B27" s="1">
        <v>45823</v>
      </c>
      <c r="C27">
        <v>217.74</v>
      </c>
      <c r="D27">
        <v>1</v>
      </c>
      <c r="E27">
        <f t="shared" ca="1" si="0"/>
        <v>218</v>
      </c>
    </row>
    <row r="28" spans="1:5" x14ac:dyDescent="0.45">
      <c r="A28" s="4">
        <v>39</v>
      </c>
      <c r="B28" s="1">
        <v>45799</v>
      </c>
      <c r="C28">
        <v>271.07</v>
      </c>
      <c r="D28">
        <v>3</v>
      </c>
      <c r="E28">
        <f t="shared" ca="1" si="0"/>
        <v>242</v>
      </c>
    </row>
    <row r="29" spans="1:5" x14ac:dyDescent="0.45">
      <c r="A29" s="4">
        <v>41</v>
      </c>
      <c r="B29" s="1">
        <v>45793</v>
      </c>
      <c r="C29">
        <v>104</v>
      </c>
      <c r="D29">
        <v>2</v>
      </c>
      <c r="E29">
        <f t="shared" ca="1" si="0"/>
        <v>248</v>
      </c>
    </row>
    <row r="30" spans="1:5" x14ac:dyDescent="0.45">
      <c r="A30" s="4">
        <v>42</v>
      </c>
      <c r="B30" s="1">
        <v>45796</v>
      </c>
      <c r="C30">
        <v>63.68</v>
      </c>
      <c r="D30">
        <v>1</v>
      </c>
      <c r="E30">
        <f t="shared" ca="1" si="0"/>
        <v>245</v>
      </c>
    </row>
    <row r="31" spans="1:5" x14ac:dyDescent="0.45">
      <c r="A31" s="4">
        <v>43</v>
      </c>
      <c r="B31" s="1">
        <v>45783</v>
      </c>
      <c r="C31">
        <v>69.28</v>
      </c>
      <c r="D31">
        <v>1</v>
      </c>
      <c r="E31">
        <f t="shared" ca="1" si="0"/>
        <v>258</v>
      </c>
    </row>
    <row r="32" spans="1:5" x14ac:dyDescent="0.45">
      <c r="A32" s="4">
        <v>46</v>
      </c>
      <c r="B32" s="1">
        <v>45772</v>
      </c>
      <c r="C32">
        <v>59.58</v>
      </c>
      <c r="D32">
        <v>1</v>
      </c>
      <c r="E32">
        <f t="shared" ca="1" si="0"/>
        <v>269</v>
      </c>
    </row>
    <row r="33" spans="1:5" x14ac:dyDescent="0.45">
      <c r="A33" s="4">
        <v>47</v>
      </c>
      <c r="B33" s="1">
        <v>45813</v>
      </c>
      <c r="C33">
        <v>124.49000000000001</v>
      </c>
      <c r="D33">
        <v>2</v>
      </c>
      <c r="E33">
        <f t="shared" ca="1" si="0"/>
        <v>228</v>
      </c>
    </row>
    <row r="34" spans="1:5" x14ac:dyDescent="0.45">
      <c r="A34" s="4">
        <v>48</v>
      </c>
      <c r="B34" s="1">
        <v>45796</v>
      </c>
      <c r="C34">
        <v>42.24</v>
      </c>
      <c r="D34">
        <v>1</v>
      </c>
      <c r="E34">
        <f t="shared" ca="1" si="0"/>
        <v>245</v>
      </c>
    </row>
    <row r="35" spans="1:5" x14ac:dyDescent="0.45">
      <c r="A35" s="4">
        <v>49</v>
      </c>
      <c r="B35" s="1">
        <v>45824</v>
      </c>
      <c r="C35">
        <v>52.65</v>
      </c>
      <c r="D35">
        <v>1</v>
      </c>
      <c r="E35">
        <f t="shared" ca="1" si="0"/>
        <v>217</v>
      </c>
    </row>
    <row r="36" spans="1:5" x14ac:dyDescent="0.45">
      <c r="A36" s="4">
        <v>51</v>
      </c>
      <c r="B36" s="1">
        <v>45791</v>
      </c>
      <c r="C36">
        <v>101.36</v>
      </c>
      <c r="D36">
        <v>1</v>
      </c>
      <c r="E36">
        <f t="shared" ca="1" si="0"/>
        <v>250</v>
      </c>
    </row>
    <row r="37" spans="1:5" x14ac:dyDescent="0.45">
      <c r="A37" s="4">
        <v>53</v>
      </c>
      <c r="B37" s="1">
        <v>45802</v>
      </c>
      <c r="C37">
        <v>356.49</v>
      </c>
      <c r="D37">
        <v>3</v>
      </c>
      <c r="E37">
        <f t="shared" ca="1" si="0"/>
        <v>239</v>
      </c>
    </row>
    <row r="38" spans="1:5" x14ac:dyDescent="0.45">
      <c r="A38" s="4">
        <v>54</v>
      </c>
      <c r="B38" s="1">
        <v>45794</v>
      </c>
      <c r="C38">
        <v>111.31</v>
      </c>
      <c r="D38">
        <v>2</v>
      </c>
      <c r="E38">
        <f t="shared" ca="1" si="0"/>
        <v>247</v>
      </c>
    </row>
    <row r="39" spans="1:5" x14ac:dyDescent="0.45">
      <c r="A39" s="4">
        <v>58</v>
      </c>
      <c r="B39" s="1">
        <v>45804</v>
      </c>
      <c r="C39">
        <v>132.30000000000001</v>
      </c>
      <c r="D39">
        <v>3</v>
      </c>
      <c r="E39">
        <f t="shared" ca="1" si="0"/>
        <v>237</v>
      </c>
    </row>
    <row r="40" spans="1:5" x14ac:dyDescent="0.45">
      <c r="A40" s="4">
        <v>59</v>
      </c>
      <c r="B40" s="1">
        <v>45790</v>
      </c>
      <c r="C40">
        <v>41.69</v>
      </c>
      <c r="D40">
        <v>1</v>
      </c>
      <c r="E40">
        <f t="shared" ca="1" si="0"/>
        <v>251</v>
      </c>
    </row>
    <row r="41" spans="1:5" x14ac:dyDescent="0.45">
      <c r="A41" s="4">
        <v>62</v>
      </c>
      <c r="B41" s="1">
        <v>45795</v>
      </c>
      <c r="C41">
        <v>75.17</v>
      </c>
      <c r="D41">
        <v>1</v>
      </c>
      <c r="E41">
        <f t="shared" ca="1" si="0"/>
        <v>246</v>
      </c>
    </row>
    <row r="42" spans="1:5" x14ac:dyDescent="0.45">
      <c r="A42" s="4">
        <v>63</v>
      </c>
      <c r="B42" s="1">
        <v>45808</v>
      </c>
      <c r="C42">
        <v>214.68</v>
      </c>
      <c r="D42">
        <v>1</v>
      </c>
      <c r="E42">
        <f t="shared" ca="1" si="0"/>
        <v>233</v>
      </c>
    </row>
    <row r="43" spans="1:5" x14ac:dyDescent="0.45">
      <c r="A43" s="4">
        <v>65</v>
      </c>
      <c r="B43" s="1">
        <v>45797</v>
      </c>
      <c r="C43">
        <v>56.7</v>
      </c>
      <c r="D43">
        <v>1</v>
      </c>
      <c r="E43">
        <f t="shared" ca="1" si="0"/>
        <v>244</v>
      </c>
    </row>
    <row r="44" spans="1:5" x14ac:dyDescent="0.45">
      <c r="A44" s="4">
        <v>69</v>
      </c>
      <c r="B44" s="1">
        <v>45825</v>
      </c>
      <c r="C44">
        <v>317.47000000000003</v>
      </c>
      <c r="D44">
        <v>2</v>
      </c>
      <c r="E44">
        <f t="shared" ca="1" si="0"/>
        <v>216</v>
      </c>
    </row>
    <row r="45" spans="1:5" x14ac:dyDescent="0.45">
      <c r="A45" s="4">
        <v>70</v>
      </c>
      <c r="B45" s="1">
        <v>45796</v>
      </c>
      <c r="C45">
        <v>90.78</v>
      </c>
      <c r="D45">
        <v>1</v>
      </c>
      <c r="E45">
        <f t="shared" ca="1" si="0"/>
        <v>245</v>
      </c>
    </row>
    <row r="46" spans="1:5" x14ac:dyDescent="0.45">
      <c r="A46" s="4">
        <v>72</v>
      </c>
      <c r="B46" s="1">
        <v>45808</v>
      </c>
      <c r="C46">
        <v>177.99</v>
      </c>
      <c r="D46">
        <v>1</v>
      </c>
      <c r="E46">
        <f t="shared" ca="1" si="0"/>
        <v>233</v>
      </c>
    </row>
    <row r="47" spans="1:5" x14ac:dyDescent="0.45">
      <c r="A47" s="4">
        <v>74</v>
      </c>
      <c r="B47" s="1">
        <v>45781</v>
      </c>
      <c r="C47">
        <v>172.05</v>
      </c>
      <c r="D47">
        <v>1</v>
      </c>
      <c r="E47">
        <f t="shared" ca="1" si="0"/>
        <v>260</v>
      </c>
    </row>
    <row r="48" spans="1:5" x14ac:dyDescent="0.45">
      <c r="A48" s="4">
        <v>75</v>
      </c>
      <c r="B48" s="1">
        <v>45776</v>
      </c>
      <c r="C48">
        <v>204.66</v>
      </c>
      <c r="D48">
        <v>1</v>
      </c>
      <c r="E48">
        <f t="shared" ca="1" si="0"/>
        <v>265</v>
      </c>
    </row>
    <row r="49" spans="1:5" x14ac:dyDescent="0.45">
      <c r="A49" s="4">
        <v>76</v>
      </c>
      <c r="B49" s="1">
        <v>45821</v>
      </c>
      <c r="C49">
        <v>99.610000000000014</v>
      </c>
      <c r="D49">
        <v>2</v>
      </c>
      <c r="E49">
        <f t="shared" ca="1" si="0"/>
        <v>220</v>
      </c>
    </row>
    <row r="50" spans="1:5" x14ac:dyDescent="0.45">
      <c r="A50" s="4">
        <v>81</v>
      </c>
      <c r="B50" s="1">
        <v>45803</v>
      </c>
      <c r="C50">
        <v>217.27999999999997</v>
      </c>
      <c r="D50">
        <v>2</v>
      </c>
      <c r="E50">
        <f t="shared" ca="1" si="0"/>
        <v>238</v>
      </c>
    </row>
    <row r="51" spans="1:5" x14ac:dyDescent="0.45">
      <c r="A51" s="4">
        <v>86</v>
      </c>
      <c r="B51" s="1">
        <v>45822</v>
      </c>
      <c r="C51">
        <v>156.94999999999999</v>
      </c>
      <c r="D51">
        <v>2</v>
      </c>
      <c r="E51">
        <f t="shared" ca="1" si="0"/>
        <v>219</v>
      </c>
    </row>
    <row r="52" spans="1:5" x14ac:dyDescent="0.45">
      <c r="A52" s="4">
        <v>88</v>
      </c>
      <c r="B52" s="1">
        <v>45805</v>
      </c>
      <c r="C52">
        <v>99.96</v>
      </c>
      <c r="D52">
        <v>1</v>
      </c>
      <c r="E52">
        <f t="shared" ca="1" si="0"/>
        <v>236</v>
      </c>
    </row>
    <row r="53" spans="1:5" x14ac:dyDescent="0.45">
      <c r="A53" s="4">
        <v>90</v>
      </c>
      <c r="B53" s="1">
        <v>45767</v>
      </c>
      <c r="C53">
        <v>51.4</v>
      </c>
      <c r="D53">
        <v>1</v>
      </c>
      <c r="E53">
        <f t="shared" ca="1" si="0"/>
        <v>274</v>
      </c>
    </row>
    <row r="54" spans="1:5" x14ac:dyDescent="0.45">
      <c r="A54" s="4">
        <v>91</v>
      </c>
      <c r="B54" s="1">
        <v>45807</v>
      </c>
      <c r="C54">
        <v>32.21</v>
      </c>
      <c r="D54">
        <v>1</v>
      </c>
      <c r="E54">
        <f t="shared" ca="1" si="0"/>
        <v>234</v>
      </c>
    </row>
    <row r="55" spans="1:5" x14ac:dyDescent="0.45">
      <c r="A55" s="4">
        <v>92</v>
      </c>
      <c r="B55" s="1">
        <v>45795</v>
      </c>
      <c r="C55">
        <v>314.96000000000004</v>
      </c>
      <c r="D55">
        <v>2</v>
      </c>
      <c r="E55">
        <f t="shared" ca="1" si="0"/>
        <v>246</v>
      </c>
    </row>
    <row r="56" spans="1:5" x14ac:dyDescent="0.45">
      <c r="A56" s="4">
        <v>94</v>
      </c>
      <c r="B56" s="1">
        <v>45806</v>
      </c>
      <c r="C56">
        <v>75.47</v>
      </c>
      <c r="D56">
        <v>1</v>
      </c>
      <c r="E56">
        <f t="shared" ca="1" si="0"/>
        <v>235</v>
      </c>
    </row>
    <row r="57" spans="1:5" x14ac:dyDescent="0.45">
      <c r="A57" s="4">
        <v>96</v>
      </c>
      <c r="B57" s="1">
        <v>45801</v>
      </c>
      <c r="C57">
        <v>262.65999999999997</v>
      </c>
      <c r="D57">
        <v>3</v>
      </c>
      <c r="E57">
        <f t="shared" ca="1" si="0"/>
        <v>240</v>
      </c>
    </row>
    <row r="58" spans="1:5" x14ac:dyDescent="0.45">
      <c r="A58" s="4">
        <v>99</v>
      </c>
      <c r="B58" s="1">
        <v>45773</v>
      </c>
      <c r="C58">
        <v>588.99</v>
      </c>
      <c r="D58">
        <v>7</v>
      </c>
      <c r="E58">
        <f t="shared" ca="1" si="0"/>
        <v>268</v>
      </c>
    </row>
    <row r="59" spans="1:5" x14ac:dyDescent="0.45">
      <c r="A59" s="4">
        <v>100</v>
      </c>
      <c r="B59" s="1">
        <v>45813</v>
      </c>
      <c r="C59">
        <v>228.45999999999998</v>
      </c>
      <c r="D59">
        <v>2</v>
      </c>
      <c r="E59">
        <f t="shared" ca="1" si="0"/>
        <v>228</v>
      </c>
    </row>
    <row r="60" spans="1:5" x14ac:dyDescent="0.45">
      <c r="A60" s="4">
        <v>103</v>
      </c>
      <c r="B60" s="1">
        <v>45803</v>
      </c>
      <c r="C60">
        <v>251.36</v>
      </c>
      <c r="D60">
        <v>2</v>
      </c>
      <c r="E60">
        <f t="shared" ca="1" si="0"/>
        <v>238</v>
      </c>
    </row>
    <row r="61" spans="1:5" x14ac:dyDescent="0.45">
      <c r="A61" s="4">
        <v>104</v>
      </c>
      <c r="B61" s="1">
        <v>45796</v>
      </c>
      <c r="C61">
        <v>357.51</v>
      </c>
      <c r="D61">
        <v>2</v>
      </c>
      <c r="E61">
        <f t="shared" ca="1" si="0"/>
        <v>245</v>
      </c>
    </row>
    <row r="62" spans="1:5" x14ac:dyDescent="0.45">
      <c r="A62" s="4">
        <v>106</v>
      </c>
      <c r="B62" s="1">
        <v>45822</v>
      </c>
      <c r="C62">
        <v>230.43</v>
      </c>
      <c r="D62">
        <v>2</v>
      </c>
      <c r="E62">
        <f t="shared" ca="1" si="0"/>
        <v>219</v>
      </c>
    </row>
    <row r="63" spans="1:5" x14ac:dyDescent="0.45">
      <c r="A63" s="4">
        <v>107</v>
      </c>
      <c r="B63" s="1">
        <v>45793</v>
      </c>
      <c r="C63">
        <v>97.46</v>
      </c>
      <c r="D63">
        <v>1</v>
      </c>
      <c r="E63">
        <f t="shared" ca="1" si="0"/>
        <v>248</v>
      </c>
    </row>
    <row r="64" spans="1:5" x14ac:dyDescent="0.45">
      <c r="A64" s="4">
        <v>109</v>
      </c>
      <c r="B64" s="1">
        <v>45824</v>
      </c>
      <c r="C64">
        <v>112.05000000000001</v>
      </c>
      <c r="D64">
        <v>1</v>
      </c>
      <c r="E64">
        <f t="shared" ca="1" si="0"/>
        <v>217</v>
      </c>
    </row>
    <row r="65" spans="1:5" x14ac:dyDescent="0.45">
      <c r="A65" s="4">
        <v>112</v>
      </c>
      <c r="B65" s="1">
        <v>45823</v>
      </c>
      <c r="C65">
        <v>48.64</v>
      </c>
      <c r="D65">
        <v>1</v>
      </c>
      <c r="E65">
        <f t="shared" ca="1" si="0"/>
        <v>218</v>
      </c>
    </row>
    <row r="66" spans="1:5" x14ac:dyDescent="0.45">
      <c r="A66" s="4">
        <v>113</v>
      </c>
      <c r="B66" s="1">
        <v>45791</v>
      </c>
      <c r="C66">
        <v>245.86</v>
      </c>
      <c r="D66">
        <v>3</v>
      </c>
      <c r="E66">
        <f t="shared" ca="1" si="0"/>
        <v>250</v>
      </c>
    </row>
    <row r="67" spans="1:5" x14ac:dyDescent="0.45">
      <c r="A67" s="4">
        <v>115</v>
      </c>
      <c r="B67" s="1">
        <v>45766</v>
      </c>
      <c r="C67">
        <v>52.83</v>
      </c>
      <c r="D67">
        <v>1</v>
      </c>
      <c r="E67">
        <f t="shared" ca="1" si="0"/>
        <v>275</v>
      </c>
    </row>
    <row r="68" spans="1:5" x14ac:dyDescent="0.45">
      <c r="A68" s="4">
        <v>116</v>
      </c>
      <c r="B68" s="1">
        <v>45798</v>
      </c>
      <c r="C68">
        <v>127.36</v>
      </c>
      <c r="D68">
        <v>1</v>
      </c>
      <c r="E68">
        <f t="shared" ca="1" si="0"/>
        <v>243</v>
      </c>
    </row>
    <row r="69" spans="1:5" x14ac:dyDescent="0.45">
      <c r="A69" s="4">
        <v>117</v>
      </c>
      <c r="B69" s="1">
        <v>45806</v>
      </c>
      <c r="C69">
        <v>177.28</v>
      </c>
      <c r="D69">
        <v>1</v>
      </c>
      <c r="E69">
        <f t="shared" ref="E69:E132" ca="1" si="1">TODAY()-B69</f>
        <v>235</v>
      </c>
    </row>
    <row r="70" spans="1:5" x14ac:dyDescent="0.45">
      <c r="A70" s="4">
        <v>118</v>
      </c>
      <c r="B70" s="1">
        <v>45812</v>
      </c>
      <c r="C70">
        <v>53.32</v>
      </c>
      <c r="D70">
        <v>1</v>
      </c>
      <c r="E70">
        <f t="shared" ca="1" si="1"/>
        <v>229</v>
      </c>
    </row>
    <row r="71" spans="1:5" x14ac:dyDescent="0.45">
      <c r="A71" s="4">
        <v>120</v>
      </c>
      <c r="B71" s="1">
        <v>45806</v>
      </c>
      <c r="C71">
        <v>424.03999999999996</v>
      </c>
      <c r="D71">
        <v>2</v>
      </c>
      <c r="E71">
        <f t="shared" ca="1" si="1"/>
        <v>235</v>
      </c>
    </row>
    <row r="72" spans="1:5" x14ac:dyDescent="0.45">
      <c r="A72" s="4">
        <v>122</v>
      </c>
      <c r="B72" s="1">
        <v>45753</v>
      </c>
      <c r="C72">
        <v>212.08</v>
      </c>
      <c r="D72">
        <v>1</v>
      </c>
      <c r="E72">
        <f t="shared" ca="1" si="1"/>
        <v>288</v>
      </c>
    </row>
    <row r="73" spans="1:5" x14ac:dyDescent="0.45">
      <c r="A73" s="4">
        <v>123</v>
      </c>
      <c r="B73" s="1">
        <v>45767</v>
      </c>
      <c r="C73">
        <v>108.03</v>
      </c>
      <c r="D73">
        <v>1</v>
      </c>
      <c r="E73">
        <f t="shared" ca="1" si="1"/>
        <v>274</v>
      </c>
    </row>
    <row r="74" spans="1:5" x14ac:dyDescent="0.45">
      <c r="A74" s="4">
        <v>124</v>
      </c>
      <c r="B74" s="1">
        <v>45763</v>
      </c>
      <c r="C74">
        <v>117.53999999999999</v>
      </c>
      <c r="D74">
        <v>1</v>
      </c>
      <c r="E74">
        <f t="shared" ca="1" si="1"/>
        <v>278</v>
      </c>
    </row>
    <row r="75" spans="1:5" x14ac:dyDescent="0.45">
      <c r="A75" s="4">
        <v>125</v>
      </c>
      <c r="B75" s="1">
        <v>45808</v>
      </c>
      <c r="C75">
        <v>69.819999999999993</v>
      </c>
      <c r="D75">
        <v>1</v>
      </c>
      <c r="E75">
        <f t="shared" ca="1" si="1"/>
        <v>233</v>
      </c>
    </row>
    <row r="76" spans="1:5" x14ac:dyDescent="0.45">
      <c r="A76" s="4">
        <v>126</v>
      </c>
      <c r="B76" s="1">
        <v>45800</v>
      </c>
      <c r="C76">
        <v>53.73</v>
      </c>
      <c r="D76">
        <v>1</v>
      </c>
      <c r="E76">
        <f t="shared" ca="1" si="1"/>
        <v>241</v>
      </c>
    </row>
    <row r="77" spans="1:5" x14ac:dyDescent="0.45">
      <c r="A77" s="4">
        <v>127</v>
      </c>
      <c r="B77" s="1">
        <v>45824</v>
      </c>
      <c r="C77">
        <v>58.11</v>
      </c>
      <c r="D77">
        <v>1</v>
      </c>
      <c r="E77">
        <f t="shared" ca="1" si="1"/>
        <v>217</v>
      </c>
    </row>
    <row r="78" spans="1:5" x14ac:dyDescent="0.45">
      <c r="A78" s="4">
        <v>128</v>
      </c>
      <c r="B78" s="1">
        <v>45751</v>
      </c>
      <c r="C78">
        <v>76.28</v>
      </c>
      <c r="D78">
        <v>1</v>
      </c>
      <c r="E78">
        <f t="shared" ca="1" si="1"/>
        <v>290</v>
      </c>
    </row>
    <row r="79" spans="1:5" x14ac:dyDescent="0.45">
      <c r="A79" s="4">
        <v>129</v>
      </c>
      <c r="B79" s="1">
        <v>45766</v>
      </c>
      <c r="C79">
        <v>98.32</v>
      </c>
      <c r="D79">
        <v>1</v>
      </c>
      <c r="E79">
        <f t="shared" ca="1" si="1"/>
        <v>275</v>
      </c>
    </row>
    <row r="80" spans="1:5" x14ac:dyDescent="0.45">
      <c r="A80" s="4">
        <v>130</v>
      </c>
      <c r="B80" s="1">
        <v>45795</v>
      </c>
      <c r="C80">
        <v>95.04</v>
      </c>
      <c r="D80">
        <v>1</v>
      </c>
      <c r="E80">
        <f t="shared" ca="1" si="1"/>
        <v>246</v>
      </c>
    </row>
    <row r="81" spans="1:5" x14ac:dyDescent="0.45">
      <c r="A81" s="4">
        <v>131</v>
      </c>
      <c r="B81" s="1">
        <v>45808</v>
      </c>
      <c r="C81">
        <v>396.90999999999997</v>
      </c>
      <c r="D81">
        <v>3</v>
      </c>
      <c r="E81">
        <f t="shared" ca="1" si="1"/>
        <v>233</v>
      </c>
    </row>
    <row r="82" spans="1:5" x14ac:dyDescent="0.45">
      <c r="A82" s="4">
        <v>132</v>
      </c>
      <c r="B82" s="1">
        <v>45765</v>
      </c>
      <c r="C82">
        <v>206.8</v>
      </c>
      <c r="D82">
        <v>1</v>
      </c>
      <c r="E82">
        <f t="shared" ca="1" si="1"/>
        <v>276</v>
      </c>
    </row>
    <row r="83" spans="1:5" x14ac:dyDescent="0.45">
      <c r="A83" s="4">
        <v>133</v>
      </c>
      <c r="B83" s="1">
        <v>45763</v>
      </c>
      <c r="C83">
        <v>161.22</v>
      </c>
      <c r="D83">
        <v>1</v>
      </c>
      <c r="E83">
        <f t="shared" ca="1" si="1"/>
        <v>278</v>
      </c>
    </row>
    <row r="84" spans="1:5" x14ac:dyDescent="0.45">
      <c r="A84" s="4">
        <v>135</v>
      </c>
      <c r="B84" s="1">
        <v>45797</v>
      </c>
      <c r="C84">
        <v>118.04</v>
      </c>
      <c r="D84">
        <v>2</v>
      </c>
      <c r="E84">
        <f t="shared" ca="1" si="1"/>
        <v>244</v>
      </c>
    </row>
    <row r="85" spans="1:5" x14ac:dyDescent="0.45">
      <c r="A85" s="4">
        <v>139</v>
      </c>
      <c r="B85" s="1">
        <v>45769</v>
      </c>
      <c r="C85">
        <v>73.8</v>
      </c>
      <c r="D85">
        <v>1</v>
      </c>
      <c r="E85">
        <f t="shared" ca="1" si="1"/>
        <v>272</v>
      </c>
    </row>
    <row r="86" spans="1:5" x14ac:dyDescent="0.45">
      <c r="A86" s="4">
        <v>143</v>
      </c>
      <c r="B86" s="1">
        <v>45776</v>
      </c>
      <c r="C86">
        <v>42.66</v>
      </c>
      <c r="D86">
        <v>1</v>
      </c>
      <c r="E86">
        <f t="shared" ca="1" si="1"/>
        <v>265</v>
      </c>
    </row>
    <row r="87" spans="1:5" x14ac:dyDescent="0.45">
      <c r="A87" s="4">
        <v>144</v>
      </c>
      <c r="B87" s="1">
        <v>45794</v>
      </c>
      <c r="C87">
        <v>414.53000000000003</v>
      </c>
      <c r="D87">
        <v>4</v>
      </c>
      <c r="E87">
        <f t="shared" ca="1" si="1"/>
        <v>247</v>
      </c>
    </row>
    <row r="88" spans="1:5" x14ac:dyDescent="0.45">
      <c r="A88" s="4">
        <v>147</v>
      </c>
      <c r="B88" s="1">
        <v>45762</v>
      </c>
      <c r="C88">
        <v>198.9</v>
      </c>
      <c r="D88">
        <v>1</v>
      </c>
      <c r="E88">
        <f t="shared" ca="1" si="1"/>
        <v>279</v>
      </c>
    </row>
    <row r="89" spans="1:5" x14ac:dyDescent="0.45">
      <c r="A89" s="4">
        <v>148</v>
      </c>
      <c r="B89" s="1">
        <v>45799</v>
      </c>
      <c r="C89">
        <v>169.24</v>
      </c>
      <c r="D89">
        <v>1</v>
      </c>
      <c r="E89">
        <f t="shared" ca="1" si="1"/>
        <v>242</v>
      </c>
    </row>
    <row r="90" spans="1:5" x14ac:dyDescent="0.45">
      <c r="A90" s="4">
        <v>150</v>
      </c>
      <c r="B90" s="1">
        <v>45798</v>
      </c>
      <c r="C90">
        <v>69.42</v>
      </c>
      <c r="D90">
        <v>1</v>
      </c>
      <c r="E90">
        <f t="shared" ca="1" si="1"/>
        <v>243</v>
      </c>
    </row>
    <row r="91" spans="1:5" x14ac:dyDescent="0.45">
      <c r="A91" s="4">
        <v>151</v>
      </c>
      <c r="B91" s="1">
        <v>45804</v>
      </c>
      <c r="C91">
        <v>339.6</v>
      </c>
      <c r="D91">
        <v>2</v>
      </c>
      <c r="E91">
        <f t="shared" ca="1" si="1"/>
        <v>237</v>
      </c>
    </row>
    <row r="92" spans="1:5" x14ac:dyDescent="0.45">
      <c r="A92" s="4">
        <v>152</v>
      </c>
      <c r="B92" s="1">
        <v>45773</v>
      </c>
      <c r="C92">
        <v>160.56</v>
      </c>
      <c r="D92">
        <v>1</v>
      </c>
      <c r="E92">
        <f t="shared" ca="1" si="1"/>
        <v>268</v>
      </c>
    </row>
    <row r="93" spans="1:5" x14ac:dyDescent="0.45">
      <c r="A93" s="4">
        <v>153</v>
      </c>
      <c r="B93" s="1">
        <v>45774</v>
      </c>
      <c r="C93">
        <v>78.84</v>
      </c>
      <c r="D93">
        <v>1</v>
      </c>
      <c r="E93">
        <f t="shared" ca="1" si="1"/>
        <v>267</v>
      </c>
    </row>
    <row r="94" spans="1:5" x14ac:dyDescent="0.45">
      <c r="A94" s="4">
        <v>154</v>
      </c>
      <c r="B94" s="1">
        <v>45800</v>
      </c>
      <c r="C94">
        <v>55.01</v>
      </c>
      <c r="D94">
        <v>1</v>
      </c>
      <c r="E94">
        <f t="shared" ca="1" si="1"/>
        <v>241</v>
      </c>
    </row>
    <row r="95" spans="1:5" x14ac:dyDescent="0.45">
      <c r="A95" s="4">
        <v>155</v>
      </c>
      <c r="B95" s="1">
        <v>45793</v>
      </c>
      <c r="C95">
        <v>67.37</v>
      </c>
      <c r="D95">
        <v>1</v>
      </c>
      <c r="E95">
        <f t="shared" ca="1" si="1"/>
        <v>248</v>
      </c>
    </row>
    <row r="96" spans="1:5" x14ac:dyDescent="0.45">
      <c r="A96" s="4">
        <v>157</v>
      </c>
      <c r="B96" s="1">
        <v>45769</v>
      </c>
      <c r="C96">
        <v>162.12</v>
      </c>
      <c r="D96">
        <v>1</v>
      </c>
      <c r="E96">
        <f t="shared" ca="1" si="1"/>
        <v>272</v>
      </c>
    </row>
    <row r="97" spans="1:5" x14ac:dyDescent="0.45">
      <c r="A97" s="4">
        <v>158</v>
      </c>
      <c r="B97" s="1">
        <v>45762</v>
      </c>
      <c r="C97">
        <v>150.34</v>
      </c>
      <c r="D97">
        <v>1</v>
      </c>
      <c r="E97">
        <f t="shared" ca="1" si="1"/>
        <v>279</v>
      </c>
    </row>
    <row r="98" spans="1:5" x14ac:dyDescent="0.45">
      <c r="A98" s="4">
        <v>160</v>
      </c>
      <c r="B98" s="1">
        <v>45825</v>
      </c>
      <c r="C98">
        <v>193.60000000000002</v>
      </c>
      <c r="D98">
        <v>3</v>
      </c>
      <c r="E98">
        <f t="shared" ca="1" si="1"/>
        <v>216</v>
      </c>
    </row>
    <row r="99" spans="1:5" x14ac:dyDescent="0.45">
      <c r="A99" s="4">
        <v>161</v>
      </c>
      <c r="B99" s="1">
        <v>45773</v>
      </c>
      <c r="C99">
        <v>305.19</v>
      </c>
      <c r="D99">
        <v>3</v>
      </c>
      <c r="E99">
        <f t="shared" ca="1" si="1"/>
        <v>268</v>
      </c>
    </row>
    <row r="100" spans="1:5" x14ac:dyDescent="0.45">
      <c r="A100" s="4">
        <v>162</v>
      </c>
      <c r="B100" s="1">
        <v>45752</v>
      </c>
      <c r="C100">
        <v>40.770000000000003</v>
      </c>
      <c r="D100">
        <v>1</v>
      </c>
      <c r="E100">
        <f t="shared" ca="1" si="1"/>
        <v>289</v>
      </c>
    </row>
    <row r="101" spans="1:5" x14ac:dyDescent="0.45">
      <c r="A101" s="4">
        <v>163</v>
      </c>
      <c r="B101" s="1">
        <v>45813</v>
      </c>
      <c r="C101">
        <v>226.56</v>
      </c>
      <c r="D101">
        <v>2</v>
      </c>
      <c r="E101">
        <f t="shared" ca="1" si="1"/>
        <v>228</v>
      </c>
    </row>
    <row r="102" spans="1:5" x14ac:dyDescent="0.45">
      <c r="A102" s="4">
        <v>165</v>
      </c>
      <c r="B102" s="1">
        <v>45760</v>
      </c>
      <c r="C102">
        <v>78.319999999999993</v>
      </c>
      <c r="D102">
        <v>1</v>
      </c>
      <c r="E102">
        <f t="shared" ca="1" si="1"/>
        <v>281</v>
      </c>
    </row>
    <row r="103" spans="1:5" x14ac:dyDescent="0.45">
      <c r="A103" s="4">
        <v>167</v>
      </c>
      <c r="B103" s="1">
        <v>45793</v>
      </c>
      <c r="C103">
        <v>251.82999999999998</v>
      </c>
      <c r="D103">
        <v>2</v>
      </c>
      <c r="E103">
        <f t="shared" ca="1" si="1"/>
        <v>248</v>
      </c>
    </row>
    <row r="104" spans="1:5" x14ac:dyDescent="0.45">
      <c r="A104" s="4">
        <v>168</v>
      </c>
      <c r="B104" s="1">
        <v>45813</v>
      </c>
      <c r="C104">
        <v>113.85</v>
      </c>
      <c r="D104">
        <v>2</v>
      </c>
      <c r="E104">
        <f t="shared" ca="1" si="1"/>
        <v>228</v>
      </c>
    </row>
    <row r="105" spans="1:5" x14ac:dyDescent="0.45">
      <c r="A105" s="4">
        <v>170</v>
      </c>
      <c r="B105" s="1">
        <v>45825</v>
      </c>
      <c r="C105">
        <v>187.56</v>
      </c>
      <c r="D105">
        <v>1</v>
      </c>
      <c r="E105">
        <f t="shared" ca="1" si="1"/>
        <v>216</v>
      </c>
    </row>
    <row r="106" spans="1:5" x14ac:dyDescent="0.45">
      <c r="A106" s="4">
        <v>171</v>
      </c>
      <c r="B106" s="1">
        <v>45793</v>
      </c>
      <c r="C106">
        <v>60.68</v>
      </c>
      <c r="D106">
        <v>1</v>
      </c>
      <c r="E106">
        <f t="shared" ca="1" si="1"/>
        <v>248</v>
      </c>
    </row>
    <row r="107" spans="1:5" x14ac:dyDescent="0.45">
      <c r="A107" s="4">
        <v>172</v>
      </c>
      <c r="B107" s="1">
        <v>45751</v>
      </c>
      <c r="C107">
        <v>99.68</v>
      </c>
      <c r="D107">
        <v>1</v>
      </c>
      <c r="E107">
        <f t="shared" ca="1" si="1"/>
        <v>290</v>
      </c>
    </row>
    <row r="108" spans="1:5" x14ac:dyDescent="0.45">
      <c r="A108" s="4">
        <v>173</v>
      </c>
      <c r="B108" s="1">
        <v>45822</v>
      </c>
      <c r="C108">
        <v>45.62</v>
      </c>
      <c r="D108">
        <v>1</v>
      </c>
      <c r="E108">
        <f t="shared" ca="1" si="1"/>
        <v>219</v>
      </c>
    </row>
    <row r="109" spans="1:5" x14ac:dyDescent="0.45">
      <c r="A109" s="4">
        <v>174</v>
      </c>
      <c r="B109" s="1">
        <v>45808</v>
      </c>
      <c r="C109">
        <v>45.19</v>
      </c>
      <c r="D109">
        <v>1</v>
      </c>
      <c r="E109">
        <f t="shared" ca="1" si="1"/>
        <v>233</v>
      </c>
    </row>
    <row r="110" spans="1:5" x14ac:dyDescent="0.45">
      <c r="A110" s="4">
        <v>176</v>
      </c>
      <c r="B110" s="1">
        <v>45807</v>
      </c>
      <c r="C110">
        <v>30.85</v>
      </c>
      <c r="D110">
        <v>1</v>
      </c>
      <c r="E110">
        <f t="shared" ca="1" si="1"/>
        <v>234</v>
      </c>
    </row>
    <row r="111" spans="1:5" x14ac:dyDescent="0.45">
      <c r="A111" s="4">
        <v>177</v>
      </c>
      <c r="B111" s="1">
        <v>45794</v>
      </c>
      <c r="C111">
        <v>75.22</v>
      </c>
      <c r="D111">
        <v>1</v>
      </c>
      <c r="E111">
        <f t="shared" ca="1" si="1"/>
        <v>247</v>
      </c>
    </row>
    <row r="112" spans="1:5" x14ac:dyDescent="0.45">
      <c r="A112" s="4">
        <v>180</v>
      </c>
      <c r="B112" s="1">
        <v>45802</v>
      </c>
      <c r="C112">
        <v>39.090000000000003</v>
      </c>
      <c r="D112">
        <v>1</v>
      </c>
      <c r="E112">
        <f t="shared" ca="1" si="1"/>
        <v>239</v>
      </c>
    </row>
    <row r="113" spans="1:5" x14ac:dyDescent="0.45">
      <c r="A113" s="4">
        <v>181</v>
      </c>
      <c r="B113" s="1">
        <v>45792</v>
      </c>
      <c r="C113">
        <v>108.42</v>
      </c>
      <c r="D113">
        <v>1</v>
      </c>
      <c r="E113">
        <f t="shared" ca="1" si="1"/>
        <v>249</v>
      </c>
    </row>
    <row r="114" spans="1:5" x14ac:dyDescent="0.45">
      <c r="A114" s="4">
        <v>182</v>
      </c>
      <c r="B114" s="1">
        <v>45808</v>
      </c>
      <c r="C114">
        <v>37.94</v>
      </c>
      <c r="D114">
        <v>1</v>
      </c>
      <c r="E114">
        <f t="shared" ca="1" si="1"/>
        <v>233</v>
      </c>
    </row>
    <row r="115" spans="1:5" x14ac:dyDescent="0.45">
      <c r="A115" s="4">
        <v>184</v>
      </c>
      <c r="B115" s="1">
        <v>45795</v>
      </c>
      <c r="C115">
        <v>38.51</v>
      </c>
      <c r="D115">
        <v>1</v>
      </c>
      <c r="E115">
        <f t="shared" ca="1" si="1"/>
        <v>246</v>
      </c>
    </row>
    <row r="116" spans="1:5" x14ac:dyDescent="0.45">
      <c r="A116" s="4">
        <v>186</v>
      </c>
      <c r="B116" s="1">
        <v>45803</v>
      </c>
      <c r="C116">
        <v>57.35</v>
      </c>
      <c r="D116">
        <v>1</v>
      </c>
      <c r="E116">
        <f t="shared" ca="1" si="1"/>
        <v>238</v>
      </c>
    </row>
    <row r="117" spans="1:5" x14ac:dyDescent="0.45">
      <c r="A117" s="4">
        <v>187</v>
      </c>
      <c r="B117" s="1">
        <v>45797</v>
      </c>
      <c r="C117">
        <v>57.11</v>
      </c>
      <c r="D117">
        <v>1</v>
      </c>
      <c r="E117">
        <f t="shared" ca="1" si="1"/>
        <v>244</v>
      </c>
    </row>
    <row r="118" spans="1:5" x14ac:dyDescent="0.45">
      <c r="A118" s="4">
        <v>188</v>
      </c>
      <c r="B118" s="1">
        <v>45823</v>
      </c>
      <c r="C118">
        <v>181.56</v>
      </c>
      <c r="D118">
        <v>1</v>
      </c>
      <c r="E118">
        <f t="shared" ca="1" si="1"/>
        <v>218</v>
      </c>
    </row>
    <row r="119" spans="1:5" x14ac:dyDescent="0.45">
      <c r="A119" s="4">
        <v>189</v>
      </c>
      <c r="B119" s="1">
        <v>45797</v>
      </c>
      <c r="C119">
        <v>157.94999999999999</v>
      </c>
      <c r="D119">
        <v>1</v>
      </c>
      <c r="E119">
        <f t="shared" ca="1" si="1"/>
        <v>244</v>
      </c>
    </row>
    <row r="120" spans="1:5" x14ac:dyDescent="0.45">
      <c r="A120" s="4">
        <v>190</v>
      </c>
      <c r="B120" s="1">
        <v>45796</v>
      </c>
      <c r="C120">
        <v>439.99000000000007</v>
      </c>
      <c r="D120">
        <v>5</v>
      </c>
      <c r="E120">
        <f t="shared" ca="1" si="1"/>
        <v>245</v>
      </c>
    </row>
    <row r="121" spans="1:5" x14ac:dyDescent="0.45">
      <c r="A121" s="4">
        <v>191</v>
      </c>
      <c r="B121" s="1">
        <v>45808</v>
      </c>
      <c r="C121">
        <v>369.61</v>
      </c>
      <c r="D121">
        <v>2</v>
      </c>
      <c r="E121">
        <f t="shared" ca="1" si="1"/>
        <v>233</v>
      </c>
    </row>
    <row r="122" spans="1:5" x14ac:dyDescent="0.45">
      <c r="A122" s="4">
        <v>192</v>
      </c>
      <c r="B122" s="1">
        <v>45765</v>
      </c>
      <c r="C122">
        <v>221.32999999999998</v>
      </c>
      <c r="D122">
        <v>3</v>
      </c>
      <c r="E122">
        <f t="shared" ca="1" si="1"/>
        <v>276</v>
      </c>
    </row>
    <row r="123" spans="1:5" x14ac:dyDescent="0.45">
      <c r="A123" s="4">
        <v>194</v>
      </c>
      <c r="B123" s="1">
        <v>45772</v>
      </c>
      <c r="C123">
        <v>59.78</v>
      </c>
      <c r="D123">
        <v>1</v>
      </c>
      <c r="E123">
        <f t="shared" ca="1" si="1"/>
        <v>269</v>
      </c>
    </row>
    <row r="124" spans="1:5" x14ac:dyDescent="0.45">
      <c r="A124" s="4">
        <v>195</v>
      </c>
      <c r="B124" s="1">
        <v>45798</v>
      </c>
      <c r="C124">
        <v>59.92</v>
      </c>
      <c r="D124">
        <v>1</v>
      </c>
      <c r="E124">
        <f t="shared" ca="1" si="1"/>
        <v>243</v>
      </c>
    </row>
    <row r="125" spans="1:5" x14ac:dyDescent="0.45">
      <c r="A125" s="4">
        <v>196</v>
      </c>
      <c r="B125" s="1">
        <v>45773</v>
      </c>
      <c r="C125">
        <v>250.32</v>
      </c>
      <c r="D125">
        <v>2</v>
      </c>
      <c r="E125">
        <f t="shared" ca="1" si="1"/>
        <v>268</v>
      </c>
    </row>
    <row r="126" spans="1:5" x14ac:dyDescent="0.45">
      <c r="A126" s="4">
        <v>198</v>
      </c>
      <c r="B126" s="1">
        <v>45797</v>
      </c>
      <c r="C126">
        <v>232.77</v>
      </c>
      <c r="D126">
        <v>1</v>
      </c>
      <c r="E126">
        <f t="shared" ca="1" si="1"/>
        <v>244</v>
      </c>
    </row>
    <row r="127" spans="1:5" x14ac:dyDescent="0.45">
      <c r="A127" s="4">
        <v>201</v>
      </c>
      <c r="B127" s="1">
        <v>45824</v>
      </c>
      <c r="C127">
        <v>161.29</v>
      </c>
      <c r="D127">
        <v>2</v>
      </c>
      <c r="E127">
        <f t="shared" ca="1" si="1"/>
        <v>217</v>
      </c>
    </row>
    <row r="128" spans="1:5" x14ac:dyDescent="0.45">
      <c r="A128" s="4">
        <v>202</v>
      </c>
      <c r="B128" s="1">
        <v>45752</v>
      </c>
      <c r="C128">
        <v>79.38</v>
      </c>
      <c r="D128">
        <v>1</v>
      </c>
      <c r="E128">
        <f t="shared" ca="1" si="1"/>
        <v>289</v>
      </c>
    </row>
    <row r="129" spans="1:5" x14ac:dyDescent="0.45">
      <c r="A129" s="4">
        <v>203</v>
      </c>
      <c r="B129" s="1">
        <v>45781</v>
      </c>
      <c r="C129">
        <v>113.16</v>
      </c>
      <c r="D129">
        <v>1</v>
      </c>
      <c r="E129">
        <f t="shared" ca="1" si="1"/>
        <v>260</v>
      </c>
    </row>
    <row r="130" spans="1:5" x14ac:dyDescent="0.45">
      <c r="A130" s="4">
        <v>204</v>
      </c>
      <c r="B130" s="1">
        <v>45774</v>
      </c>
      <c r="C130">
        <v>36.47</v>
      </c>
      <c r="D130">
        <v>1</v>
      </c>
      <c r="E130">
        <f t="shared" ca="1" si="1"/>
        <v>267</v>
      </c>
    </row>
    <row r="131" spans="1:5" x14ac:dyDescent="0.45">
      <c r="A131" s="4">
        <v>206</v>
      </c>
      <c r="B131" s="1">
        <v>45822</v>
      </c>
      <c r="C131">
        <v>164.73</v>
      </c>
      <c r="D131">
        <v>1</v>
      </c>
      <c r="E131">
        <f t="shared" ca="1" si="1"/>
        <v>219</v>
      </c>
    </row>
    <row r="132" spans="1:5" x14ac:dyDescent="0.45">
      <c r="A132" s="4">
        <v>207</v>
      </c>
      <c r="B132" s="1">
        <v>45790</v>
      </c>
      <c r="C132">
        <v>73.92</v>
      </c>
      <c r="D132">
        <v>1</v>
      </c>
      <c r="E132">
        <f t="shared" ca="1" si="1"/>
        <v>251</v>
      </c>
    </row>
    <row r="133" spans="1:5" x14ac:dyDescent="0.45">
      <c r="A133" s="4">
        <v>208</v>
      </c>
      <c r="B133" s="1">
        <v>45772</v>
      </c>
      <c r="C133">
        <v>94.54</v>
      </c>
      <c r="D133">
        <v>1</v>
      </c>
      <c r="E133">
        <f t="shared" ref="E133:E196" ca="1" si="2">TODAY()-B133</f>
        <v>269</v>
      </c>
    </row>
    <row r="134" spans="1:5" x14ac:dyDescent="0.45">
      <c r="A134" s="4">
        <v>215</v>
      </c>
      <c r="B134" s="1">
        <v>45801</v>
      </c>
      <c r="C134">
        <v>181.39</v>
      </c>
      <c r="D134">
        <v>2</v>
      </c>
      <c r="E134">
        <f t="shared" ca="1" si="2"/>
        <v>240</v>
      </c>
    </row>
    <row r="135" spans="1:5" x14ac:dyDescent="0.45">
      <c r="A135" s="4">
        <v>217</v>
      </c>
      <c r="B135" s="1">
        <v>45822</v>
      </c>
      <c r="C135">
        <v>293.08</v>
      </c>
      <c r="D135">
        <v>3</v>
      </c>
      <c r="E135">
        <f t="shared" ca="1" si="2"/>
        <v>219</v>
      </c>
    </row>
    <row r="136" spans="1:5" x14ac:dyDescent="0.45">
      <c r="A136" s="4">
        <v>218</v>
      </c>
      <c r="B136" s="1">
        <v>45773</v>
      </c>
      <c r="C136">
        <v>160.60000000000002</v>
      </c>
      <c r="D136">
        <v>2</v>
      </c>
      <c r="E136">
        <f t="shared" ca="1" si="2"/>
        <v>268</v>
      </c>
    </row>
    <row r="137" spans="1:5" x14ac:dyDescent="0.45">
      <c r="A137" s="4">
        <v>220</v>
      </c>
      <c r="B137" s="1">
        <v>45813</v>
      </c>
      <c r="C137">
        <v>726.88</v>
      </c>
      <c r="D137">
        <v>4</v>
      </c>
      <c r="E137">
        <f t="shared" ca="1" si="2"/>
        <v>228</v>
      </c>
    </row>
    <row r="138" spans="1:5" x14ac:dyDescent="0.45">
      <c r="A138" s="4">
        <v>223</v>
      </c>
      <c r="B138" s="1">
        <v>45806</v>
      </c>
      <c r="C138">
        <v>134.19</v>
      </c>
      <c r="D138">
        <v>2</v>
      </c>
      <c r="E138">
        <f t="shared" ca="1" si="2"/>
        <v>235</v>
      </c>
    </row>
    <row r="139" spans="1:5" x14ac:dyDescent="0.45">
      <c r="A139" s="4">
        <v>225</v>
      </c>
      <c r="B139" s="1">
        <v>45768</v>
      </c>
      <c r="C139">
        <v>200.52999999999997</v>
      </c>
      <c r="D139">
        <v>3</v>
      </c>
      <c r="E139">
        <f t="shared" ca="1" si="2"/>
        <v>273</v>
      </c>
    </row>
    <row r="140" spans="1:5" x14ac:dyDescent="0.45">
      <c r="A140" s="4">
        <v>226</v>
      </c>
      <c r="B140" s="1">
        <v>45762</v>
      </c>
      <c r="C140">
        <v>102.8</v>
      </c>
      <c r="D140">
        <v>1</v>
      </c>
      <c r="E140">
        <f t="shared" ca="1" si="2"/>
        <v>279</v>
      </c>
    </row>
    <row r="141" spans="1:5" x14ac:dyDescent="0.45">
      <c r="A141" s="4">
        <v>227</v>
      </c>
      <c r="B141" s="1">
        <v>45807</v>
      </c>
      <c r="C141">
        <v>107.07</v>
      </c>
      <c r="D141">
        <v>1</v>
      </c>
      <c r="E141">
        <f t="shared" ca="1" si="2"/>
        <v>234</v>
      </c>
    </row>
    <row r="142" spans="1:5" x14ac:dyDescent="0.45">
      <c r="A142" s="4">
        <v>230</v>
      </c>
      <c r="B142" s="1">
        <v>45796</v>
      </c>
      <c r="C142">
        <v>151.22999999999999</v>
      </c>
      <c r="D142">
        <v>2</v>
      </c>
      <c r="E142">
        <f t="shared" ca="1" si="2"/>
        <v>245</v>
      </c>
    </row>
    <row r="143" spans="1:5" x14ac:dyDescent="0.45">
      <c r="A143" s="4">
        <v>231</v>
      </c>
      <c r="B143" s="1">
        <v>45803</v>
      </c>
      <c r="C143">
        <v>511.06000000000006</v>
      </c>
      <c r="D143">
        <v>3</v>
      </c>
      <c r="E143">
        <f t="shared" ca="1" si="2"/>
        <v>238</v>
      </c>
    </row>
    <row r="144" spans="1:5" x14ac:dyDescent="0.45">
      <c r="A144" s="4">
        <v>233</v>
      </c>
      <c r="B144" s="1">
        <v>45823</v>
      </c>
      <c r="C144">
        <v>227.92000000000002</v>
      </c>
      <c r="D144">
        <v>3</v>
      </c>
      <c r="E144">
        <f t="shared" ca="1" si="2"/>
        <v>218</v>
      </c>
    </row>
    <row r="145" spans="1:5" x14ac:dyDescent="0.45">
      <c r="A145" s="4">
        <v>234</v>
      </c>
      <c r="B145" s="1">
        <v>45791</v>
      </c>
      <c r="C145">
        <v>90.3</v>
      </c>
      <c r="D145">
        <v>1</v>
      </c>
      <c r="E145">
        <f t="shared" ca="1" si="2"/>
        <v>250</v>
      </c>
    </row>
    <row r="146" spans="1:5" x14ac:dyDescent="0.45">
      <c r="A146" s="4">
        <v>235</v>
      </c>
      <c r="B146" s="1">
        <v>45794</v>
      </c>
      <c r="C146">
        <v>40.840000000000003</v>
      </c>
      <c r="D146">
        <v>1</v>
      </c>
      <c r="E146">
        <f t="shared" ca="1" si="2"/>
        <v>247</v>
      </c>
    </row>
    <row r="147" spans="1:5" x14ac:dyDescent="0.45">
      <c r="A147" s="4">
        <v>237</v>
      </c>
      <c r="B147" s="1">
        <v>45805</v>
      </c>
      <c r="C147">
        <v>49.92</v>
      </c>
      <c r="D147">
        <v>1</v>
      </c>
      <c r="E147">
        <f t="shared" ca="1" si="2"/>
        <v>236</v>
      </c>
    </row>
    <row r="148" spans="1:5" x14ac:dyDescent="0.45">
      <c r="A148" s="4">
        <v>241</v>
      </c>
      <c r="B148" s="1">
        <v>45766</v>
      </c>
      <c r="C148">
        <v>60.89</v>
      </c>
      <c r="D148">
        <v>1</v>
      </c>
      <c r="E148">
        <f t="shared" ca="1" si="2"/>
        <v>275</v>
      </c>
    </row>
    <row r="149" spans="1:5" x14ac:dyDescent="0.45">
      <c r="A149" s="4">
        <v>242</v>
      </c>
      <c r="B149" s="1">
        <v>45774</v>
      </c>
      <c r="C149">
        <v>45.27</v>
      </c>
      <c r="D149">
        <v>1</v>
      </c>
      <c r="E149">
        <f t="shared" ca="1" si="2"/>
        <v>267</v>
      </c>
    </row>
    <row r="150" spans="1:5" x14ac:dyDescent="0.45">
      <c r="A150" s="4">
        <v>243</v>
      </c>
      <c r="B150" s="1">
        <v>45794</v>
      </c>
      <c r="C150">
        <v>60.34</v>
      </c>
      <c r="D150">
        <v>1</v>
      </c>
      <c r="E150">
        <f t="shared" ca="1" si="2"/>
        <v>247</v>
      </c>
    </row>
    <row r="151" spans="1:5" x14ac:dyDescent="0.45">
      <c r="A151" s="4">
        <v>244</v>
      </c>
      <c r="B151" s="1">
        <v>45777</v>
      </c>
      <c r="C151">
        <v>41.84</v>
      </c>
      <c r="D151">
        <v>1</v>
      </c>
      <c r="E151">
        <f t="shared" ca="1" si="2"/>
        <v>264</v>
      </c>
    </row>
    <row r="152" spans="1:5" x14ac:dyDescent="0.45">
      <c r="A152" s="4">
        <v>246</v>
      </c>
      <c r="B152" s="1">
        <v>45800</v>
      </c>
      <c r="C152">
        <v>148.02000000000001</v>
      </c>
      <c r="D152">
        <v>1</v>
      </c>
      <c r="E152">
        <f t="shared" ca="1" si="2"/>
        <v>241</v>
      </c>
    </row>
    <row r="153" spans="1:5" x14ac:dyDescent="0.45">
      <c r="A153" s="4">
        <v>247</v>
      </c>
      <c r="B153" s="1">
        <v>45825</v>
      </c>
      <c r="C153">
        <v>178.02</v>
      </c>
      <c r="D153">
        <v>2</v>
      </c>
      <c r="E153">
        <f t="shared" ca="1" si="2"/>
        <v>216</v>
      </c>
    </row>
    <row r="154" spans="1:5" x14ac:dyDescent="0.45">
      <c r="A154" s="4">
        <v>252</v>
      </c>
      <c r="B154" s="1">
        <v>45783</v>
      </c>
      <c r="C154">
        <v>233.9</v>
      </c>
      <c r="D154">
        <v>2</v>
      </c>
      <c r="E154">
        <f t="shared" ca="1" si="2"/>
        <v>258</v>
      </c>
    </row>
    <row r="155" spans="1:5" x14ac:dyDescent="0.45">
      <c r="A155" s="4">
        <v>253</v>
      </c>
      <c r="B155" s="1">
        <v>45822</v>
      </c>
      <c r="C155">
        <v>607.20000000000005</v>
      </c>
      <c r="D155">
        <v>4</v>
      </c>
      <c r="E155">
        <f t="shared" ca="1" si="2"/>
        <v>219</v>
      </c>
    </row>
    <row r="156" spans="1:5" x14ac:dyDescent="0.45">
      <c r="A156" s="4">
        <v>254</v>
      </c>
      <c r="B156" s="1">
        <v>45797</v>
      </c>
      <c r="C156">
        <v>451.13</v>
      </c>
      <c r="D156">
        <v>3</v>
      </c>
      <c r="E156">
        <f t="shared" ca="1" si="2"/>
        <v>244</v>
      </c>
    </row>
    <row r="157" spans="1:5" x14ac:dyDescent="0.45">
      <c r="A157" s="4">
        <v>256</v>
      </c>
      <c r="B157" s="1">
        <v>45768</v>
      </c>
      <c r="C157">
        <v>47.36</v>
      </c>
      <c r="D157">
        <v>1</v>
      </c>
      <c r="E157">
        <f t="shared" ca="1" si="2"/>
        <v>273</v>
      </c>
    </row>
    <row r="158" spans="1:5" x14ac:dyDescent="0.45">
      <c r="A158" s="4">
        <v>258</v>
      </c>
      <c r="B158" s="1">
        <v>45795</v>
      </c>
      <c r="C158">
        <v>98.49</v>
      </c>
      <c r="D158">
        <v>1</v>
      </c>
      <c r="E158">
        <f t="shared" ca="1" si="2"/>
        <v>246</v>
      </c>
    </row>
    <row r="159" spans="1:5" x14ac:dyDescent="0.45">
      <c r="A159" s="4">
        <v>259</v>
      </c>
      <c r="B159" s="1">
        <v>45771</v>
      </c>
      <c r="C159">
        <v>48.03</v>
      </c>
      <c r="D159">
        <v>1</v>
      </c>
      <c r="E159">
        <f t="shared" ca="1" si="2"/>
        <v>270</v>
      </c>
    </row>
    <row r="160" spans="1:5" x14ac:dyDescent="0.45">
      <c r="A160" s="4">
        <v>263</v>
      </c>
      <c r="B160" s="1">
        <v>45796</v>
      </c>
      <c r="C160">
        <v>95.01</v>
      </c>
      <c r="D160">
        <v>1</v>
      </c>
      <c r="E160">
        <f t="shared" ca="1" si="2"/>
        <v>245</v>
      </c>
    </row>
    <row r="161" spans="1:5" x14ac:dyDescent="0.45">
      <c r="A161" s="4">
        <v>264</v>
      </c>
      <c r="B161" s="1">
        <v>45766</v>
      </c>
      <c r="C161">
        <v>114</v>
      </c>
      <c r="D161">
        <v>1</v>
      </c>
      <c r="E161">
        <f t="shared" ca="1" si="2"/>
        <v>275</v>
      </c>
    </row>
    <row r="162" spans="1:5" x14ac:dyDescent="0.45">
      <c r="A162" s="4">
        <v>265</v>
      </c>
      <c r="B162" s="1">
        <v>45795</v>
      </c>
      <c r="C162">
        <v>114.7</v>
      </c>
      <c r="D162">
        <v>1</v>
      </c>
      <c r="E162">
        <f t="shared" ca="1" si="2"/>
        <v>246</v>
      </c>
    </row>
    <row r="163" spans="1:5" x14ac:dyDescent="0.45">
      <c r="A163" s="4">
        <v>268</v>
      </c>
      <c r="B163" s="1">
        <v>45782</v>
      </c>
      <c r="C163">
        <v>256.89999999999998</v>
      </c>
      <c r="D163">
        <v>2</v>
      </c>
      <c r="E163">
        <f t="shared" ca="1" si="2"/>
        <v>259</v>
      </c>
    </row>
    <row r="164" spans="1:5" x14ac:dyDescent="0.45">
      <c r="A164" s="4">
        <v>269</v>
      </c>
      <c r="B164" s="1">
        <v>45825</v>
      </c>
      <c r="C164">
        <v>31.86</v>
      </c>
      <c r="D164">
        <v>1</v>
      </c>
      <c r="E164">
        <f t="shared" ca="1" si="2"/>
        <v>216</v>
      </c>
    </row>
    <row r="165" spans="1:5" x14ac:dyDescent="0.45">
      <c r="A165" s="4">
        <v>270</v>
      </c>
      <c r="B165" s="1">
        <v>45808</v>
      </c>
      <c r="C165">
        <v>197.82</v>
      </c>
      <c r="D165">
        <v>1</v>
      </c>
      <c r="E165">
        <f t="shared" ca="1" si="2"/>
        <v>233</v>
      </c>
    </row>
    <row r="166" spans="1:5" x14ac:dyDescent="0.45">
      <c r="A166" s="4">
        <v>271</v>
      </c>
      <c r="B166" s="1">
        <v>45823</v>
      </c>
      <c r="C166">
        <v>395.59999999999997</v>
      </c>
      <c r="D166">
        <v>2</v>
      </c>
      <c r="E166">
        <f t="shared" ca="1" si="2"/>
        <v>218</v>
      </c>
    </row>
    <row r="167" spans="1:5" x14ac:dyDescent="0.45">
      <c r="A167" s="4">
        <v>272</v>
      </c>
      <c r="B167" s="1">
        <v>45801</v>
      </c>
      <c r="C167">
        <v>70.56</v>
      </c>
      <c r="D167">
        <v>1</v>
      </c>
      <c r="E167">
        <f t="shared" ca="1" si="2"/>
        <v>240</v>
      </c>
    </row>
    <row r="168" spans="1:5" x14ac:dyDescent="0.45">
      <c r="A168" s="4">
        <v>273</v>
      </c>
      <c r="B168" s="1">
        <v>45782</v>
      </c>
      <c r="C168">
        <v>40.99</v>
      </c>
      <c r="D168">
        <v>1</v>
      </c>
      <c r="E168">
        <f t="shared" ca="1" si="2"/>
        <v>259</v>
      </c>
    </row>
    <row r="169" spans="1:5" x14ac:dyDescent="0.45">
      <c r="A169" s="4">
        <v>274</v>
      </c>
      <c r="B169" s="1">
        <v>45762</v>
      </c>
      <c r="C169">
        <v>66.989999999999995</v>
      </c>
      <c r="D169">
        <v>1</v>
      </c>
      <c r="E169">
        <f t="shared" ca="1" si="2"/>
        <v>279</v>
      </c>
    </row>
    <row r="170" spans="1:5" x14ac:dyDescent="0.45">
      <c r="A170" s="4">
        <v>277</v>
      </c>
      <c r="B170" s="1">
        <v>45813</v>
      </c>
      <c r="C170">
        <v>517.66</v>
      </c>
      <c r="D170">
        <v>4</v>
      </c>
      <c r="E170">
        <f t="shared" ca="1" si="2"/>
        <v>228</v>
      </c>
    </row>
    <row r="171" spans="1:5" x14ac:dyDescent="0.45">
      <c r="A171" s="4">
        <v>279</v>
      </c>
      <c r="B171" s="1">
        <v>45792</v>
      </c>
      <c r="C171">
        <v>200.96999999999997</v>
      </c>
      <c r="D171">
        <v>1</v>
      </c>
      <c r="E171">
        <f t="shared" ca="1" si="2"/>
        <v>249</v>
      </c>
    </row>
    <row r="172" spans="1:5" x14ac:dyDescent="0.45">
      <c r="A172" s="4">
        <v>280</v>
      </c>
      <c r="B172" s="1">
        <v>45814</v>
      </c>
      <c r="C172">
        <v>289.58000000000004</v>
      </c>
      <c r="D172">
        <v>2</v>
      </c>
      <c r="E172">
        <f t="shared" ca="1" si="2"/>
        <v>227</v>
      </c>
    </row>
    <row r="173" spans="1:5" x14ac:dyDescent="0.45">
      <c r="A173" s="4">
        <v>283</v>
      </c>
      <c r="B173" s="1">
        <v>45797</v>
      </c>
      <c r="C173">
        <v>228.24</v>
      </c>
      <c r="D173">
        <v>2</v>
      </c>
      <c r="E173">
        <f t="shared" ca="1" si="2"/>
        <v>244</v>
      </c>
    </row>
    <row r="174" spans="1:5" x14ac:dyDescent="0.45">
      <c r="A174" s="4">
        <v>284</v>
      </c>
      <c r="B174" s="1">
        <v>45775</v>
      </c>
      <c r="C174">
        <v>92.72</v>
      </c>
      <c r="D174">
        <v>1</v>
      </c>
      <c r="E174">
        <f t="shared" ca="1" si="2"/>
        <v>266</v>
      </c>
    </row>
    <row r="175" spans="1:5" x14ac:dyDescent="0.45">
      <c r="A175" s="4">
        <v>285</v>
      </c>
      <c r="B175" s="1">
        <v>45812</v>
      </c>
      <c r="C175">
        <v>212.53000000000003</v>
      </c>
      <c r="D175">
        <v>2</v>
      </c>
      <c r="E175">
        <f t="shared" ca="1" si="2"/>
        <v>229</v>
      </c>
    </row>
    <row r="176" spans="1:5" x14ac:dyDescent="0.45">
      <c r="A176" s="4">
        <v>288</v>
      </c>
      <c r="B176" s="1">
        <v>45798</v>
      </c>
      <c r="C176">
        <v>73.38</v>
      </c>
      <c r="D176">
        <v>1</v>
      </c>
      <c r="E176">
        <f t="shared" ca="1" si="2"/>
        <v>243</v>
      </c>
    </row>
    <row r="177" spans="1:5" x14ac:dyDescent="0.45">
      <c r="A177" s="4">
        <v>289</v>
      </c>
      <c r="B177" s="1">
        <v>45782</v>
      </c>
      <c r="C177">
        <v>222.29999999999998</v>
      </c>
      <c r="D177">
        <v>2</v>
      </c>
      <c r="E177">
        <f t="shared" ca="1" si="2"/>
        <v>259</v>
      </c>
    </row>
    <row r="178" spans="1:5" x14ac:dyDescent="0.45">
      <c r="A178" s="4">
        <v>294</v>
      </c>
      <c r="B178" s="1">
        <v>45766</v>
      </c>
      <c r="C178">
        <v>89.18</v>
      </c>
      <c r="D178">
        <v>1</v>
      </c>
      <c r="E178">
        <f t="shared" ca="1" si="2"/>
        <v>275</v>
      </c>
    </row>
    <row r="179" spans="1:5" x14ac:dyDescent="0.45">
      <c r="A179" s="4">
        <v>296</v>
      </c>
      <c r="B179" s="1">
        <v>45777</v>
      </c>
      <c r="C179">
        <v>72.58</v>
      </c>
      <c r="D179">
        <v>1</v>
      </c>
      <c r="E179">
        <f t="shared" ca="1" si="2"/>
        <v>264</v>
      </c>
    </row>
    <row r="180" spans="1:5" x14ac:dyDescent="0.45">
      <c r="A180" s="4">
        <v>298</v>
      </c>
      <c r="B180" s="1">
        <v>45801</v>
      </c>
      <c r="C180">
        <v>23.13</v>
      </c>
      <c r="D180">
        <v>1</v>
      </c>
      <c r="E180">
        <f t="shared" ca="1" si="2"/>
        <v>240</v>
      </c>
    </row>
    <row r="181" spans="1:5" x14ac:dyDescent="0.45">
      <c r="A181" s="4">
        <v>301</v>
      </c>
      <c r="B181" s="1">
        <v>45790</v>
      </c>
      <c r="C181">
        <v>58.11</v>
      </c>
      <c r="D181">
        <v>1</v>
      </c>
      <c r="E181">
        <f t="shared" ca="1" si="2"/>
        <v>251</v>
      </c>
    </row>
    <row r="182" spans="1:5" x14ac:dyDescent="0.45">
      <c r="A182" s="4">
        <v>302</v>
      </c>
      <c r="B182" s="1">
        <v>45782</v>
      </c>
      <c r="C182">
        <v>233.63</v>
      </c>
      <c r="D182">
        <v>2</v>
      </c>
      <c r="E182">
        <f t="shared" ca="1" si="2"/>
        <v>259</v>
      </c>
    </row>
    <row r="183" spans="1:5" x14ac:dyDescent="0.45">
      <c r="A183" s="4">
        <v>304</v>
      </c>
      <c r="B183" s="1">
        <v>45764</v>
      </c>
      <c r="C183">
        <v>91.5</v>
      </c>
      <c r="D183">
        <v>1</v>
      </c>
      <c r="E183">
        <f t="shared" ca="1" si="2"/>
        <v>277</v>
      </c>
    </row>
    <row r="184" spans="1:5" x14ac:dyDescent="0.45">
      <c r="A184" s="4">
        <v>305</v>
      </c>
      <c r="B184" s="1">
        <v>45775</v>
      </c>
      <c r="C184">
        <v>191.46</v>
      </c>
      <c r="D184">
        <v>1</v>
      </c>
      <c r="E184">
        <f t="shared" ca="1" si="2"/>
        <v>266</v>
      </c>
    </row>
    <row r="185" spans="1:5" x14ac:dyDescent="0.45">
      <c r="A185" s="4">
        <v>309</v>
      </c>
      <c r="B185" s="1">
        <v>45782</v>
      </c>
      <c r="C185">
        <v>53.7</v>
      </c>
      <c r="D185">
        <v>1</v>
      </c>
      <c r="E185">
        <f t="shared" ca="1" si="2"/>
        <v>259</v>
      </c>
    </row>
    <row r="186" spans="1:5" x14ac:dyDescent="0.45">
      <c r="A186" s="4">
        <v>314</v>
      </c>
      <c r="B186" s="1">
        <v>45782</v>
      </c>
      <c r="C186">
        <v>218.53000000000003</v>
      </c>
      <c r="D186">
        <v>2</v>
      </c>
      <c r="E186">
        <f t="shared" ca="1" si="2"/>
        <v>259</v>
      </c>
    </row>
    <row r="187" spans="1:5" x14ac:dyDescent="0.45">
      <c r="A187" s="4">
        <v>316</v>
      </c>
      <c r="B187" s="1">
        <v>45790</v>
      </c>
      <c r="C187">
        <v>30.41</v>
      </c>
      <c r="D187">
        <v>1</v>
      </c>
      <c r="E187">
        <f t="shared" ca="1" si="2"/>
        <v>251</v>
      </c>
    </row>
    <row r="188" spans="1:5" x14ac:dyDescent="0.45">
      <c r="A188" s="4">
        <v>318</v>
      </c>
      <c r="B188" s="1">
        <v>45806</v>
      </c>
      <c r="C188">
        <v>50.55</v>
      </c>
      <c r="D188">
        <v>1</v>
      </c>
      <c r="E188">
        <f t="shared" ca="1" si="2"/>
        <v>235</v>
      </c>
    </row>
    <row r="189" spans="1:5" x14ac:dyDescent="0.45">
      <c r="A189" s="4">
        <v>321</v>
      </c>
      <c r="B189" s="1">
        <v>45795</v>
      </c>
      <c r="C189">
        <v>57.17</v>
      </c>
      <c r="D189">
        <v>1</v>
      </c>
      <c r="E189">
        <f t="shared" ca="1" si="2"/>
        <v>246</v>
      </c>
    </row>
    <row r="190" spans="1:5" x14ac:dyDescent="0.45">
      <c r="A190" s="4">
        <v>323</v>
      </c>
      <c r="B190" s="1">
        <v>45822</v>
      </c>
      <c r="C190">
        <v>275.55</v>
      </c>
      <c r="D190">
        <v>2</v>
      </c>
      <c r="E190">
        <f t="shared" ca="1" si="2"/>
        <v>219</v>
      </c>
    </row>
    <row r="191" spans="1:5" x14ac:dyDescent="0.45">
      <c r="A191" s="4">
        <v>325</v>
      </c>
      <c r="B191" s="1">
        <v>45768</v>
      </c>
      <c r="C191">
        <v>107.22</v>
      </c>
      <c r="D191">
        <v>1</v>
      </c>
      <c r="E191">
        <f t="shared" ca="1" si="2"/>
        <v>273</v>
      </c>
    </row>
    <row r="192" spans="1:5" x14ac:dyDescent="0.45">
      <c r="A192" s="4">
        <v>326</v>
      </c>
      <c r="B192" s="1">
        <v>45794</v>
      </c>
      <c r="C192">
        <v>40.99</v>
      </c>
      <c r="D192">
        <v>1</v>
      </c>
      <c r="E192">
        <f t="shared" ca="1" si="2"/>
        <v>247</v>
      </c>
    </row>
    <row r="193" spans="1:5" x14ac:dyDescent="0.45">
      <c r="A193" s="4">
        <v>327</v>
      </c>
      <c r="B193" s="1">
        <v>45764</v>
      </c>
      <c r="C193">
        <v>238.24</v>
      </c>
      <c r="D193">
        <v>1</v>
      </c>
      <c r="E193">
        <f t="shared" ca="1" si="2"/>
        <v>277</v>
      </c>
    </row>
    <row r="194" spans="1:5" x14ac:dyDescent="0.45">
      <c r="A194" s="4">
        <v>331</v>
      </c>
      <c r="B194" s="1">
        <v>45795</v>
      </c>
      <c r="C194">
        <v>254.08</v>
      </c>
      <c r="D194">
        <v>2</v>
      </c>
      <c r="E194">
        <f t="shared" ca="1" si="2"/>
        <v>246</v>
      </c>
    </row>
    <row r="195" spans="1:5" x14ac:dyDescent="0.45">
      <c r="A195" s="4">
        <v>336</v>
      </c>
      <c r="B195" s="1">
        <v>45753</v>
      </c>
      <c r="C195">
        <v>115.02</v>
      </c>
      <c r="D195">
        <v>1</v>
      </c>
      <c r="E195">
        <f t="shared" ca="1" si="2"/>
        <v>288</v>
      </c>
    </row>
    <row r="196" spans="1:5" x14ac:dyDescent="0.45">
      <c r="A196" s="4">
        <v>338</v>
      </c>
      <c r="B196" s="1">
        <v>45813</v>
      </c>
      <c r="C196">
        <v>240.12</v>
      </c>
      <c r="D196">
        <v>3</v>
      </c>
      <c r="E196">
        <f t="shared" ca="1" si="2"/>
        <v>228</v>
      </c>
    </row>
    <row r="197" spans="1:5" x14ac:dyDescent="0.45">
      <c r="A197" s="4">
        <v>339</v>
      </c>
      <c r="B197" s="1">
        <v>45801</v>
      </c>
      <c r="C197">
        <v>133.36000000000001</v>
      </c>
      <c r="D197">
        <v>1</v>
      </c>
      <c r="E197">
        <f t="shared" ref="E197:E260" ca="1" si="3">TODAY()-B197</f>
        <v>240</v>
      </c>
    </row>
    <row r="198" spans="1:5" x14ac:dyDescent="0.45">
      <c r="A198" s="4">
        <v>340</v>
      </c>
      <c r="B198" s="1">
        <v>45792</v>
      </c>
      <c r="C198">
        <v>121.32000000000001</v>
      </c>
      <c r="D198">
        <v>2</v>
      </c>
      <c r="E198">
        <f t="shared" ca="1" si="3"/>
        <v>249</v>
      </c>
    </row>
    <row r="199" spans="1:5" x14ac:dyDescent="0.45">
      <c r="A199" s="4">
        <v>341</v>
      </c>
      <c r="B199" s="1">
        <v>45799</v>
      </c>
      <c r="C199">
        <v>30.26</v>
      </c>
      <c r="D199">
        <v>1</v>
      </c>
      <c r="E199">
        <f t="shared" ca="1" si="3"/>
        <v>242</v>
      </c>
    </row>
    <row r="200" spans="1:5" x14ac:dyDescent="0.45">
      <c r="A200" s="4">
        <v>342</v>
      </c>
      <c r="B200" s="1">
        <v>45812</v>
      </c>
      <c r="C200">
        <v>142.72</v>
      </c>
      <c r="D200">
        <v>3</v>
      </c>
      <c r="E200">
        <f t="shared" ca="1" si="3"/>
        <v>229</v>
      </c>
    </row>
    <row r="201" spans="1:5" x14ac:dyDescent="0.45">
      <c r="A201" s="4">
        <v>344</v>
      </c>
      <c r="B201" s="1">
        <v>45792</v>
      </c>
      <c r="C201">
        <v>284.44</v>
      </c>
      <c r="D201">
        <v>2</v>
      </c>
      <c r="E201">
        <f t="shared" ca="1" si="3"/>
        <v>249</v>
      </c>
    </row>
    <row r="202" spans="1:5" x14ac:dyDescent="0.45">
      <c r="A202" s="4">
        <v>346</v>
      </c>
      <c r="B202" s="1">
        <v>45803</v>
      </c>
      <c r="C202">
        <v>491.71999999999997</v>
      </c>
      <c r="D202">
        <v>4</v>
      </c>
      <c r="E202">
        <f t="shared" ca="1" si="3"/>
        <v>238</v>
      </c>
    </row>
    <row r="203" spans="1:5" x14ac:dyDescent="0.45">
      <c r="A203" s="4">
        <v>348</v>
      </c>
      <c r="B203" s="1">
        <v>45794</v>
      </c>
      <c r="C203">
        <v>217.37000000000003</v>
      </c>
      <c r="D203">
        <v>2</v>
      </c>
      <c r="E203">
        <f t="shared" ca="1" si="3"/>
        <v>247</v>
      </c>
    </row>
    <row r="204" spans="1:5" x14ac:dyDescent="0.45">
      <c r="A204" s="4">
        <v>349</v>
      </c>
      <c r="B204" s="1">
        <v>45766</v>
      </c>
      <c r="C204">
        <v>238.13</v>
      </c>
      <c r="D204">
        <v>2</v>
      </c>
      <c r="E204">
        <f t="shared" ca="1" si="3"/>
        <v>275</v>
      </c>
    </row>
    <row r="205" spans="1:5" x14ac:dyDescent="0.45">
      <c r="A205" s="4">
        <v>350</v>
      </c>
      <c r="B205" s="1">
        <v>45821</v>
      </c>
      <c r="C205">
        <v>313.15000000000003</v>
      </c>
      <c r="D205">
        <v>1</v>
      </c>
      <c r="E205">
        <f t="shared" ca="1" si="3"/>
        <v>220</v>
      </c>
    </row>
    <row r="206" spans="1:5" x14ac:dyDescent="0.45">
      <c r="A206" s="4">
        <v>354</v>
      </c>
      <c r="B206" s="1">
        <v>45813</v>
      </c>
      <c r="C206">
        <v>186.08</v>
      </c>
      <c r="D206">
        <v>1</v>
      </c>
      <c r="E206">
        <f t="shared" ca="1" si="3"/>
        <v>228</v>
      </c>
    </row>
    <row r="207" spans="1:5" x14ac:dyDescent="0.45">
      <c r="A207" s="4">
        <v>357</v>
      </c>
      <c r="B207" s="1">
        <v>45812</v>
      </c>
      <c r="C207">
        <v>112.12</v>
      </c>
      <c r="D207">
        <v>1</v>
      </c>
      <c r="E207">
        <f t="shared" ca="1" si="3"/>
        <v>229</v>
      </c>
    </row>
    <row r="208" spans="1:5" x14ac:dyDescent="0.45">
      <c r="A208" s="4">
        <v>359</v>
      </c>
      <c r="B208" s="1">
        <v>45804</v>
      </c>
      <c r="C208">
        <v>49.41</v>
      </c>
      <c r="D208">
        <v>1</v>
      </c>
      <c r="E208">
        <f t="shared" ca="1" si="3"/>
        <v>237</v>
      </c>
    </row>
    <row r="209" spans="1:5" x14ac:dyDescent="0.45">
      <c r="A209" s="4">
        <v>361</v>
      </c>
      <c r="B209" s="1">
        <v>45795</v>
      </c>
      <c r="C209">
        <v>47.66</v>
      </c>
      <c r="D209">
        <v>1</v>
      </c>
      <c r="E209">
        <f t="shared" ca="1" si="3"/>
        <v>246</v>
      </c>
    </row>
    <row r="210" spans="1:5" x14ac:dyDescent="0.45">
      <c r="A210" s="4">
        <v>365</v>
      </c>
      <c r="B210" s="1">
        <v>45802</v>
      </c>
      <c r="C210">
        <v>252.43</v>
      </c>
      <c r="D210">
        <v>2</v>
      </c>
      <c r="E210">
        <f t="shared" ca="1" si="3"/>
        <v>239</v>
      </c>
    </row>
    <row r="211" spans="1:5" x14ac:dyDescent="0.45">
      <c r="A211" s="4">
        <v>367</v>
      </c>
      <c r="B211" s="1">
        <v>45800</v>
      </c>
      <c r="C211">
        <v>129.09</v>
      </c>
      <c r="D211">
        <v>2</v>
      </c>
      <c r="E211">
        <f t="shared" ca="1" si="3"/>
        <v>241</v>
      </c>
    </row>
    <row r="212" spans="1:5" x14ac:dyDescent="0.45">
      <c r="A212" s="4">
        <v>369</v>
      </c>
      <c r="B212" s="1">
        <v>45822</v>
      </c>
      <c r="C212">
        <v>60.7</v>
      </c>
      <c r="D212">
        <v>1</v>
      </c>
      <c r="E212">
        <f t="shared" ca="1" si="3"/>
        <v>219</v>
      </c>
    </row>
    <row r="213" spans="1:5" x14ac:dyDescent="0.45">
      <c r="A213" s="4">
        <v>370</v>
      </c>
      <c r="B213" s="1">
        <v>45776</v>
      </c>
      <c r="C213">
        <v>148.47999999999999</v>
      </c>
      <c r="D213">
        <v>1</v>
      </c>
      <c r="E213">
        <f t="shared" ca="1" si="3"/>
        <v>265</v>
      </c>
    </row>
    <row r="214" spans="1:5" x14ac:dyDescent="0.45">
      <c r="A214" s="4">
        <v>373</v>
      </c>
      <c r="B214" s="1">
        <v>45767</v>
      </c>
      <c r="C214">
        <v>159.80000000000001</v>
      </c>
      <c r="D214">
        <v>2</v>
      </c>
      <c r="E214">
        <f t="shared" ca="1" si="3"/>
        <v>274</v>
      </c>
    </row>
    <row r="215" spans="1:5" x14ac:dyDescent="0.45">
      <c r="A215" s="4">
        <v>374</v>
      </c>
      <c r="B215" s="1">
        <v>45751</v>
      </c>
      <c r="C215">
        <v>75.400000000000006</v>
      </c>
      <c r="D215">
        <v>1</v>
      </c>
      <c r="E215">
        <f t="shared" ca="1" si="3"/>
        <v>290</v>
      </c>
    </row>
    <row r="216" spans="1:5" x14ac:dyDescent="0.45">
      <c r="A216" s="4">
        <v>375</v>
      </c>
      <c r="B216" s="1">
        <v>45790</v>
      </c>
      <c r="C216">
        <v>46.64</v>
      </c>
      <c r="D216">
        <v>1</v>
      </c>
      <c r="E216">
        <f t="shared" ca="1" si="3"/>
        <v>251</v>
      </c>
    </row>
    <row r="217" spans="1:5" x14ac:dyDescent="0.45">
      <c r="A217" s="4">
        <v>376</v>
      </c>
      <c r="B217" s="1">
        <v>45771</v>
      </c>
      <c r="C217">
        <v>61.95</v>
      </c>
      <c r="D217">
        <v>1</v>
      </c>
      <c r="E217">
        <f t="shared" ca="1" si="3"/>
        <v>270</v>
      </c>
    </row>
    <row r="218" spans="1:5" x14ac:dyDescent="0.45">
      <c r="A218" s="4">
        <v>377</v>
      </c>
      <c r="B218" s="1">
        <v>45795</v>
      </c>
      <c r="C218">
        <v>161.52000000000001</v>
      </c>
      <c r="D218">
        <v>1</v>
      </c>
      <c r="E218">
        <f t="shared" ca="1" si="3"/>
        <v>246</v>
      </c>
    </row>
    <row r="219" spans="1:5" x14ac:dyDescent="0.45">
      <c r="A219" s="4">
        <v>379</v>
      </c>
      <c r="B219" s="1">
        <v>45777</v>
      </c>
      <c r="C219">
        <v>93.04</v>
      </c>
      <c r="D219">
        <v>1</v>
      </c>
      <c r="E219">
        <f t="shared" ca="1" si="3"/>
        <v>264</v>
      </c>
    </row>
    <row r="220" spans="1:5" x14ac:dyDescent="0.45">
      <c r="A220" s="4">
        <v>380</v>
      </c>
      <c r="B220" s="1">
        <v>45794</v>
      </c>
      <c r="C220">
        <v>157.32999999999998</v>
      </c>
      <c r="D220">
        <v>2</v>
      </c>
      <c r="E220">
        <f t="shared" ca="1" si="3"/>
        <v>247</v>
      </c>
    </row>
    <row r="221" spans="1:5" x14ac:dyDescent="0.45">
      <c r="A221" s="4">
        <v>384</v>
      </c>
      <c r="B221" s="1">
        <v>45783</v>
      </c>
      <c r="C221">
        <v>62.17</v>
      </c>
      <c r="D221">
        <v>1</v>
      </c>
      <c r="E221">
        <f t="shared" ca="1" si="3"/>
        <v>258</v>
      </c>
    </row>
    <row r="222" spans="1:5" x14ac:dyDescent="0.45">
      <c r="A222" s="4">
        <v>385</v>
      </c>
      <c r="B222" s="1">
        <v>45803</v>
      </c>
      <c r="C222">
        <v>370</v>
      </c>
      <c r="D222">
        <v>2</v>
      </c>
      <c r="E222">
        <f t="shared" ca="1" si="3"/>
        <v>238</v>
      </c>
    </row>
    <row r="223" spans="1:5" x14ac:dyDescent="0.45">
      <c r="A223" s="4">
        <v>386</v>
      </c>
      <c r="B223" s="1">
        <v>45822</v>
      </c>
      <c r="C223">
        <v>289.78999999999996</v>
      </c>
      <c r="D223">
        <v>3</v>
      </c>
      <c r="E223">
        <f t="shared" ca="1" si="3"/>
        <v>219</v>
      </c>
    </row>
    <row r="224" spans="1:5" x14ac:dyDescent="0.45">
      <c r="A224" s="4">
        <v>387</v>
      </c>
      <c r="B224" s="1">
        <v>45808</v>
      </c>
      <c r="C224">
        <v>130.48000000000002</v>
      </c>
      <c r="D224">
        <v>2</v>
      </c>
      <c r="E224">
        <f t="shared" ca="1" si="3"/>
        <v>233</v>
      </c>
    </row>
    <row r="225" spans="1:5" x14ac:dyDescent="0.45">
      <c r="A225" s="4">
        <v>388</v>
      </c>
      <c r="B225" s="1">
        <v>45814</v>
      </c>
      <c r="C225">
        <v>222.75</v>
      </c>
      <c r="D225">
        <v>2</v>
      </c>
      <c r="E225">
        <f t="shared" ca="1" si="3"/>
        <v>227</v>
      </c>
    </row>
    <row r="226" spans="1:5" x14ac:dyDescent="0.45">
      <c r="A226" s="4">
        <v>390</v>
      </c>
      <c r="B226" s="1">
        <v>45799</v>
      </c>
      <c r="C226">
        <v>228.44</v>
      </c>
      <c r="D226">
        <v>1</v>
      </c>
      <c r="E226">
        <f t="shared" ca="1" si="3"/>
        <v>242</v>
      </c>
    </row>
    <row r="227" spans="1:5" x14ac:dyDescent="0.45">
      <c r="A227" s="4">
        <v>392</v>
      </c>
      <c r="B227" s="1">
        <v>45799</v>
      </c>
      <c r="C227">
        <v>250.39</v>
      </c>
      <c r="D227">
        <v>2</v>
      </c>
      <c r="E227">
        <f t="shared" ca="1" si="3"/>
        <v>242</v>
      </c>
    </row>
    <row r="228" spans="1:5" x14ac:dyDescent="0.45">
      <c r="A228" s="4">
        <v>393</v>
      </c>
      <c r="B228" s="1">
        <v>45808</v>
      </c>
      <c r="C228">
        <v>195.2</v>
      </c>
      <c r="D228">
        <v>4</v>
      </c>
      <c r="E228">
        <f t="shared" ca="1" si="3"/>
        <v>233</v>
      </c>
    </row>
    <row r="229" spans="1:5" x14ac:dyDescent="0.45">
      <c r="A229" s="4">
        <v>394</v>
      </c>
      <c r="B229" s="1">
        <v>45801</v>
      </c>
      <c r="C229">
        <v>46.11</v>
      </c>
      <c r="D229">
        <v>1</v>
      </c>
      <c r="E229">
        <f t="shared" ca="1" si="3"/>
        <v>240</v>
      </c>
    </row>
    <row r="230" spans="1:5" x14ac:dyDescent="0.45">
      <c r="A230" s="4">
        <v>396</v>
      </c>
      <c r="B230" s="1">
        <v>45791</v>
      </c>
      <c r="C230">
        <v>139.96</v>
      </c>
      <c r="D230">
        <v>2</v>
      </c>
      <c r="E230">
        <f t="shared" ca="1" si="3"/>
        <v>250</v>
      </c>
    </row>
    <row r="231" spans="1:5" x14ac:dyDescent="0.45">
      <c r="A231" s="4">
        <v>397</v>
      </c>
      <c r="B231" s="1">
        <v>45825</v>
      </c>
      <c r="C231">
        <v>314.3</v>
      </c>
      <c r="D231">
        <v>2</v>
      </c>
      <c r="E231">
        <f t="shared" ca="1" si="3"/>
        <v>216</v>
      </c>
    </row>
    <row r="232" spans="1:5" x14ac:dyDescent="0.45">
      <c r="A232" s="4">
        <v>398</v>
      </c>
      <c r="B232" s="1">
        <v>45808</v>
      </c>
      <c r="C232">
        <v>190.59</v>
      </c>
      <c r="D232">
        <v>3</v>
      </c>
      <c r="E232">
        <f t="shared" ca="1" si="3"/>
        <v>233</v>
      </c>
    </row>
    <row r="233" spans="1:5" x14ac:dyDescent="0.45">
      <c r="A233" s="4">
        <v>400</v>
      </c>
      <c r="B233" s="1">
        <v>45763</v>
      </c>
      <c r="C233">
        <v>312.60000000000002</v>
      </c>
      <c r="D233">
        <v>1</v>
      </c>
      <c r="E233">
        <f t="shared" ca="1" si="3"/>
        <v>278</v>
      </c>
    </row>
    <row r="234" spans="1:5" x14ac:dyDescent="0.45">
      <c r="A234" s="4">
        <v>401</v>
      </c>
      <c r="B234" s="1">
        <v>45825</v>
      </c>
      <c r="C234">
        <v>95.12</v>
      </c>
      <c r="D234">
        <v>2</v>
      </c>
      <c r="E234">
        <f t="shared" ca="1" si="3"/>
        <v>216</v>
      </c>
    </row>
    <row r="235" spans="1:5" x14ac:dyDescent="0.45">
      <c r="A235" s="4">
        <v>402</v>
      </c>
      <c r="B235" s="1">
        <v>45814</v>
      </c>
      <c r="C235">
        <v>234.6</v>
      </c>
      <c r="D235">
        <v>1</v>
      </c>
      <c r="E235">
        <f t="shared" ca="1" si="3"/>
        <v>227</v>
      </c>
    </row>
    <row r="236" spans="1:5" x14ac:dyDescent="0.45">
      <c r="A236" s="4">
        <v>403</v>
      </c>
      <c r="B236" s="1">
        <v>45790</v>
      </c>
      <c r="C236">
        <v>125.74000000000001</v>
      </c>
      <c r="D236">
        <v>2</v>
      </c>
      <c r="E236">
        <f t="shared" ca="1" si="3"/>
        <v>251</v>
      </c>
    </row>
    <row r="237" spans="1:5" x14ac:dyDescent="0.45">
      <c r="A237" s="4">
        <v>404</v>
      </c>
      <c r="B237" s="1">
        <v>45822</v>
      </c>
      <c r="C237">
        <v>95.32</v>
      </c>
      <c r="D237">
        <v>1</v>
      </c>
      <c r="E237">
        <f t="shared" ca="1" si="3"/>
        <v>219</v>
      </c>
    </row>
    <row r="238" spans="1:5" x14ac:dyDescent="0.45">
      <c r="A238" s="4">
        <v>407</v>
      </c>
      <c r="B238" s="1">
        <v>45769</v>
      </c>
      <c r="C238">
        <v>196.44</v>
      </c>
      <c r="D238">
        <v>2</v>
      </c>
      <c r="E238">
        <f t="shared" ca="1" si="3"/>
        <v>272</v>
      </c>
    </row>
    <row r="239" spans="1:5" x14ac:dyDescent="0.45">
      <c r="A239" s="4">
        <v>408</v>
      </c>
      <c r="B239" s="1">
        <v>45814</v>
      </c>
      <c r="C239">
        <v>27.37</v>
      </c>
      <c r="D239">
        <v>1</v>
      </c>
      <c r="E239">
        <f t="shared" ca="1" si="3"/>
        <v>227</v>
      </c>
    </row>
    <row r="240" spans="1:5" x14ac:dyDescent="0.45">
      <c r="A240" s="4">
        <v>411</v>
      </c>
      <c r="B240" s="1">
        <v>45812</v>
      </c>
      <c r="C240">
        <v>48.86</v>
      </c>
      <c r="D240">
        <v>1</v>
      </c>
      <c r="E240">
        <f t="shared" ca="1" si="3"/>
        <v>229</v>
      </c>
    </row>
    <row r="241" spans="1:5" x14ac:dyDescent="0.45">
      <c r="A241" s="4">
        <v>413</v>
      </c>
      <c r="B241" s="1">
        <v>45800</v>
      </c>
      <c r="C241">
        <v>192.24</v>
      </c>
      <c r="D241">
        <v>1</v>
      </c>
      <c r="E241">
        <f t="shared" ca="1" si="3"/>
        <v>241</v>
      </c>
    </row>
    <row r="242" spans="1:5" x14ac:dyDescent="0.45">
      <c r="A242" s="4">
        <v>414</v>
      </c>
      <c r="B242" s="1">
        <v>45796</v>
      </c>
      <c r="C242">
        <v>276.35000000000002</v>
      </c>
      <c r="D242">
        <v>1</v>
      </c>
      <c r="E242">
        <f t="shared" ca="1" si="3"/>
        <v>245</v>
      </c>
    </row>
    <row r="243" spans="1:5" x14ac:dyDescent="0.45">
      <c r="A243" s="4">
        <v>415</v>
      </c>
      <c r="B243" s="1">
        <v>45806</v>
      </c>
      <c r="C243">
        <v>232.56</v>
      </c>
      <c r="D243">
        <v>2</v>
      </c>
      <c r="E243">
        <f t="shared" ca="1" si="3"/>
        <v>235</v>
      </c>
    </row>
    <row r="244" spans="1:5" x14ac:dyDescent="0.45">
      <c r="A244" s="4">
        <v>416</v>
      </c>
      <c r="B244" s="1">
        <v>45824</v>
      </c>
      <c r="C244">
        <v>39.22</v>
      </c>
      <c r="D244">
        <v>1</v>
      </c>
      <c r="E244">
        <f t="shared" ca="1" si="3"/>
        <v>217</v>
      </c>
    </row>
    <row r="245" spans="1:5" x14ac:dyDescent="0.45">
      <c r="A245" s="4">
        <v>417</v>
      </c>
      <c r="B245" s="1">
        <v>45767</v>
      </c>
      <c r="C245">
        <v>268.27999999999997</v>
      </c>
      <c r="D245">
        <v>1</v>
      </c>
      <c r="E245">
        <f t="shared" ca="1" si="3"/>
        <v>274</v>
      </c>
    </row>
    <row r="246" spans="1:5" x14ac:dyDescent="0.45">
      <c r="A246" s="4">
        <v>418</v>
      </c>
      <c r="B246" s="1">
        <v>45795</v>
      </c>
      <c r="C246">
        <v>92.2</v>
      </c>
      <c r="D246">
        <v>1</v>
      </c>
      <c r="E246">
        <f t="shared" ca="1" si="3"/>
        <v>246</v>
      </c>
    </row>
    <row r="247" spans="1:5" x14ac:dyDescent="0.45">
      <c r="A247" s="4">
        <v>419</v>
      </c>
      <c r="B247" s="1">
        <v>45800</v>
      </c>
      <c r="C247">
        <v>295.35000000000002</v>
      </c>
      <c r="D247">
        <v>1</v>
      </c>
      <c r="E247">
        <f t="shared" ca="1" si="3"/>
        <v>241</v>
      </c>
    </row>
    <row r="248" spans="1:5" x14ac:dyDescent="0.45">
      <c r="A248" s="4">
        <v>420</v>
      </c>
      <c r="B248" s="1">
        <v>45812</v>
      </c>
      <c r="C248">
        <v>186.07999999999998</v>
      </c>
      <c r="D248">
        <v>2</v>
      </c>
      <c r="E248">
        <f t="shared" ca="1" si="3"/>
        <v>229</v>
      </c>
    </row>
    <row r="249" spans="1:5" x14ac:dyDescent="0.45">
      <c r="A249" s="4">
        <v>422</v>
      </c>
      <c r="B249" s="1">
        <v>45807</v>
      </c>
      <c r="C249">
        <v>129.95999999999998</v>
      </c>
      <c r="D249">
        <v>2</v>
      </c>
      <c r="E249">
        <f t="shared" ca="1" si="3"/>
        <v>234</v>
      </c>
    </row>
    <row r="250" spans="1:5" x14ac:dyDescent="0.45">
      <c r="A250" s="4">
        <v>427</v>
      </c>
      <c r="B250" s="1">
        <v>45766</v>
      </c>
      <c r="C250">
        <v>122.52</v>
      </c>
      <c r="D250">
        <v>1</v>
      </c>
      <c r="E250">
        <f t="shared" ca="1" si="3"/>
        <v>275</v>
      </c>
    </row>
    <row r="251" spans="1:5" x14ac:dyDescent="0.45">
      <c r="A251" s="4">
        <v>428</v>
      </c>
      <c r="B251" s="1">
        <v>45768</v>
      </c>
      <c r="C251">
        <v>63.03</v>
      </c>
      <c r="D251">
        <v>1</v>
      </c>
      <c r="E251">
        <f t="shared" ca="1" si="3"/>
        <v>273</v>
      </c>
    </row>
    <row r="252" spans="1:5" x14ac:dyDescent="0.45">
      <c r="A252" s="4">
        <v>432</v>
      </c>
      <c r="B252" s="1">
        <v>45767</v>
      </c>
      <c r="C252">
        <v>44.08</v>
      </c>
      <c r="D252">
        <v>1</v>
      </c>
      <c r="E252">
        <f t="shared" ca="1" si="3"/>
        <v>274</v>
      </c>
    </row>
    <row r="253" spans="1:5" x14ac:dyDescent="0.45">
      <c r="A253" s="4">
        <v>435</v>
      </c>
      <c r="B253" s="1">
        <v>45823</v>
      </c>
      <c r="C253">
        <v>63.22</v>
      </c>
      <c r="D253">
        <v>1</v>
      </c>
      <c r="E253">
        <f t="shared" ca="1" si="3"/>
        <v>218</v>
      </c>
    </row>
    <row r="254" spans="1:5" x14ac:dyDescent="0.45">
      <c r="A254" s="4">
        <v>436</v>
      </c>
      <c r="B254" s="1">
        <v>45808</v>
      </c>
      <c r="C254">
        <v>68.47</v>
      </c>
      <c r="D254">
        <v>1</v>
      </c>
      <c r="E254">
        <f t="shared" ca="1" si="3"/>
        <v>233</v>
      </c>
    </row>
    <row r="255" spans="1:5" x14ac:dyDescent="0.45">
      <c r="A255" s="4">
        <v>438</v>
      </c>
      <c r="B255" s="1">
        <v>45798</v>
      </c>
      <c r="C255">
        <v>60.68</v>
      </c>
      <c r="D255">
        <v>1</v>
      </c>
      <c r="E255">
        <f t="shared" ca="1" si="3"/>
        <v>243</v>
      </c>
    </row>
    <row r="256" spans="1:5" x14ac:dyDescent="0.45">
      <c r="A256" s="4">
        <v>439</v>
      </c>
      <c r="B256" s="1">
        <v>45797</v>
      </c>
      <c r="C256">
        <v>91.5</v>
      </c>
      <c r="D256">
        <v>1</v>
      </c>
      <c r="E256">
        <f t="shared" ca="1" si="3"/>
        <v>244</v>
      </c>
    </row>
    <row r="257" spans="1:5" x14ac:dyDescent="0.45">
      <c r="A257" s="4">
        <v>442</v>
      </c>
      <c r="B257" s="1">
        <v>45768</v>
      </c>
      <c r="C257">
        <v>271.93000000000006</v>
      </c>
      <c r="D257">
        <v>2</v>
      </c>
      <c r="E257">
        <f t="shared" ca="1" si="3"/>
        <v>273</v>
      </c>
    </row>
    <row r="258" spans="1:5" x14ac:dyDescent="0.45">
      <c r="A258" s="4">
        <v>444</v>
      </c>
      <c r="B258" s="1">
        <v>45803</v>
      </c>
      <c r="C258">
        <v>92.08</v>
      </c>
      <c r="D258">
        <v>1</v>
      </c>
      <c r="E258">
        <f t="shared" ca="1" si="3"/>
        <v>238</v>
      </c>
    </row>
    <row r="259" spans="1:5" x14ac:dyDescent="0.45">
      <c r="A259" s="4">
        <v>445</v>
      </c>
      <c r="B259" s="1">
        <v>45823</v>
      </c>
      <c r="C259">
        <v>108.74000000000001</v>
      </c>
      <c r="D259">
        <v>2</v>
      </c>
      <c r="E259">
        <f t="shared" ca="1" si="3"/>
        <v>218</v>
      </c>
    </row>
    <row r="260" spans="1:5" x14ac:dyDescent="0.45">
      <c r="A260" s="4">
        <v>447</v>
      </c>
      <c r="B260" s="1">
        <v>45773</v>
      </c>
      <c r="C260">
        <v>52.08</v>
      </c>
      <c r="D260">
        <v>1</v>
      </c>
      <c r="E260">
        <f t="shared" ca="1" si="3"/>
        <v>268</v>
      </c>
    </row>
    <row r="261" spans="1:5" x14ac:dyDescent="0.45">
      <c r="A261" s="4">
        <v>451</v>
      </c>
      <c r="B261" s="1">
        <v>45762</v>
      </c>
      <c r="C261">
        <v>59.07</v>
      </c>
      <c r="D261">
        <v>1</v>
      </c>
      <c r="E261">
        <f t="shared" ref="E261:E324" ca="1" si="4">TODAY()-B261</f>
        <v>279</v>
      </c>
    </row>
    <row r="262" spans="1:5" x14ac:dyDescent="0.45">
      <c r="A262" s="4">
        <v>453</v>
      </c>
      <c r="B262" s="1">
        <v>45823</v>
      </c>
      <c r="C262">
        <v>489.35</v>
      </c>
      <c r="D262">
        <v>3</v>
      </c>
      <c r="E262">
        <f t="shared" ca="1" si="4"/>
        <v>218</v>
      </c>
    </row>
    <row r="263" spans="1:5" x14ac:dyDescent="0.45">
      <c r="A263" s="4">
        <v>455</v>
      </c>
      <c r="B263" s="1">
        <v>45781</v>
      </c>
      <c r="C263">
        <v>377</v>
      </c>
      <c r="D263">
        <v>2</v>
      </c>
      <c r="E263">
        <f t="shared" ca="1" si="4"/>
        <v>260</v>
      </c>
    </row>
    <row r="264" spans="1:5" x14ac:dyDescent="0.45">
      <c r="A264" s="4">
        <v>456</v>
      </c>
      <c r="B264" s="1">
        <v>45808</v>
      </c>
      <c r="C264">
        <v>312.99</v>
      </c>
      <c r="D264">
        <v>3</v>
      </c>
      <c r="E264">
        <f t="shared" ca="1" si="4"/>
        <v>233</v>
      </c>
    </row>
    <row r="265" spans="1:5" x14ac:dyDescent="0.45">
      <c r="A265" s="4">
        <v>457</v>
      </c>
      <c r="B265" s="1">
        <v>45765</v>
      </c>
      <c r="C265">
        <v>49.76</v>
      </c>
      <c r="D265">
        <v>1</v>
      </c>
      <c r="E265">
        <f t="shared" ca="1" si="4"/>
        <v>276</v>
      </c>
    </row>
    <row r="266" spans="1:5" x14ac:dyDescent="0.45">
      <c r="A266" s="4">
        <v>459</v>
      </c>
      <c r="B266" s="1">
        <v>45771</v>
      </c>
      <c r="C266">
        <v>187.6</v>
      </c>
      <c r="D266">
        <v>1</v>
      </c>
      <c r="E266">
        <f t="shared" ca="1" si="4"/>
        <v>270</v>
      </c>
    </row>
    <row r="267" spans="1:5" x14ac:dyDescent="0.45">
      <c r="A267" s="4">
        <v>460</v>
      </c>
      <c r="B267" s="1">
        <v>45822</v>
      </c>
      <c r="C267">
        <v>184.18</v>
      </c>
      <c r="D267">
        <v>2</v>
      </c>
      <c r="E267">
        <f t="shared" ca="1" si="4"/>
        <v>219</v>
      </c>
    </row>
    <row r="268" spans="1:5" x14ac:dyDescent="0.45">
      <c r="A268" s="4">
        <v>461</v>
      </c>
      <c r="B268" s="1">
        <v>45766</v>
      </c>
      <c r="C268">
        <v>53.35</v>
      </c>
      <c r="D268">
        <v>1</v>
      </c>
      <c r="E268">
        <f t="shared" ca="1" si="4"/>
        <v>275</v>
      </c>
    </row>
    <row r="269" spans="1:5" x14ac:dyDescent="0.45">
      <c r="A269" s="4">
        <v>462</v>
      </c>
      <c r="B269" s="1">
        <v>45793</v>
      </c>
      <c r="C269">
        <v>146.02000000000001</v>
      </c>
      <c r="D269">
        <v>2</v>
      </c>
      <c r="E269">
        <f t="shared" ca="1" si="4"/>
        <v>248</v>
      </c>
    </row>
    <row r="270" spans="1:5" x14ac:dyDescent="0.45">
      <c r="A270" s="4">
        <v>464</v>
      </c>
      <c r="B270" s="1">
        <v>45763</v>
      </c>
      <c r="C270">
        <v>80.760000000000005</v>
      </c>
      <c r="D270">
        <v>1</v>
      </c>
      <c r="E270">
        <f t="shared" ca="1" si="4"/>
        <v>278</v>
      </c>
    </row>
    <row r="271" spans="1:5" x14ac:dyDescent="0.45">
      <c r="A271" s="4">
        <v>467</v>
      </c>
      <c r="B271" s="1">
        <v>45821</v>
      </c>
      <c r="C271">
        <v>31.61</v>
      </c>
      <c r="D271">
        <v>1</v>
      </c>
      <c r="E271">
        <f t="shared" ca="1" si="4"/>
        <v>220</v>
      </c>
    </row>
    <row r="272" spans="1:5" x14ac:dyDescent="0.45">
      <c r="A272" s="4">
        <v>469</v>
      </c>
      <c r="B272" s="1">
        <v>45799</v>
      </c>
      <c r="C272">
        <v>45.27</v>
      </c>
      <c r="D272">
        <v>1</v>
      </c>
      <c r="E272">
        <f t="shared" ca="1" si="4"/>
        <v>242</v>
      </c>
    </row>
    <row r="273" spans="1:5" x14ac:dyDescent="0.45">
      <c r="A273" s="4">
        <v>470</v>
      </c>
      <c r="B273" s="1">
        <v>45767</v>
      </c>
      <c r="C273">
        <v>78.44</v>
      </c>
      <c r="D273">
        <v>1</v>
      </c>
      <c r="E273">
        <f t="shared" ca="1" si="4"/>
        <v>274</v>
      </c>
    </row>
    <row r="274" spans="1:5" x14ac:dyDescent="0.45">
      <c r="A274" s="4">
        <v>471</v>
      </c>
      <c r="B274" s="1">
        <v>45753</v>
      </c>
      <c r="C274">
        <v>48.37</v>
      </c>
      <c r="D274">
        <v>1</v>
      </c>
      <c r="E274">
        <f t="shared" ca="1" si="4"/>
        <v>288</v>
      </c>
    </row>
    <row r="275" spans="1:5" x14ac:dyDescent="0.45">
      <c r="A275" s="4">
        <v>472</v>
      </c>
      <c r="B275" s="1">
        <v>45766</v>
      </c>
      <c r="C275">
        <v>144.19</v>
      </c>
      <c r="D275">
        <v>2</v>
      </c>
      <c r="E275">
        <f t="shared" ca="1" si="4"/>
        <v>275</v>
      </c>
    </row>
    <row r="276" spans="1:5" x14ac:dyDescent="0.45">
      <c r="A276" s="4">
        <v>473</v>
      </c>
      <c r="B276" s="1">
        <v>45824</v>
      </c>
      <c r="C276">
        <v>320</v>
      </c>
      <c r="D276">
        <v>3</v>
      </c>
      <c r="E276">
        <f t="shared" ca="1" si="4"/>
        <v>217</v>
      </c>
    </row>
    <row r="277" spans="1:5" x14ac:dyDescent="0.45">
      <c r="A277" s="4">
        <v>474</v>
      </c>
      <c r="B277" s="1">
        <v>45822</v>
      </c>
      <c r="C277">
        <v>176.53</v>
      </c>
      <c r="D277">
        <v>2</v>
      </c>
      <c r="E277">
        <f t="shared" ca="1" si="4"/>
        <v>219</v>
      </c>
    </row>
    <row r="278" spans="1:5" x14ac:dyDescent="0.45">
      <c r="A278" s="4">
        <v>475</v>
      </c>
      <c r="B278" s="1">
        <v>45805</v>
      </c>
      <c r="C278">
        <v>188.24</v>
      </c>
      <c r="D278">
        <v>2</v>
      </c>
      <c r="E278">
        <f t="shared" ca="1" si="4"/>
        <v>236</v>
      </c>
    </row>
    <row r="279" spans="1:5" x14ac:dyDescent="0.45">
      <c r="A279" s="4">
        <v>476</v>
      </c>
      <c r="B279" s="1">
        <v>45792</v>
      </c>
      <c r="C279">
        <v>116.74000000000001</v>
      </c>
      <c r="D279">
        <v>2</v>
      </c>
      <c r="E279">
        <f t="shared" ca="1" si="4"/>
        <v>249</v>
      </c>
    </row>
    <row r="280" spans="1:5" x14ac:dyDescent="0.45">
      <c r="A280" s="4">
        <v>477</v>
      </c>
      <c r="B280" s="1">
        <v>45796</v>
      </c>
      <c r="C280">
        <v>547.12</v>
      </c>
      <c r="D280">
        <v>3</v>
      </c>
      <c r="E280">
        <f t="shared" ca="1" si="4"/>
        <v>245</v>
      </c>
    </row>
    <row r="281" spans="1:5" x14ac:dyDescent="0.45">
      <c r="A281" s="4">
        <v>481</v>
      </c>
      <c r="B281" s="1">
        <v>45775</v>
      </c>
      <c r="C281">
        <v>62.8</v>
      </c>
      <c r="D281">
        <v>1</v>
      </c>
      <c r="E281">
        <f t="shared" ca="1" si="4"/>
        <v>266</v>
      </c>
    </row>
    <row r="282" spans="1:5" x14ac:dyDescent="0.45">
      <c r="A282" s="4">
        <v>484</v>
      </c>
      <c r="B282" s="1">
        <v>45803</v>
      </c>
      <c r="C282">
        <v>134.58000000000001</v>
      </c>
      <c r="D282">
        <v>1</v>
      </c>
      <c r="E282">
        <f t="shared" ca="1" si="4"/>
        <v>238</v>
      </c>
    </row>
    <row r="283" spans="1:5" x14ac:dyDescent="0.45">
      <c r="A283" s="4">
        <v>485</v>
      </c>
      <c r="B283" s="1">
        <v>45822</v>
      </c>
      <c r="C283">
        <v>89.59</v>
      </c>
      <c r="D283">
        <v>2</v>
      </c>
      <c r="E283">
        <f t="shared" ca="1" si="4"/>
        <v>219</v>
      </c>
    </row>
    <row r="284" spans="1:5" x14ac:dyDescent="0.45">
      <c r="A284" s="4">
        <v>488</v>
      </c>
      <c r="B284" s="1">
        <v>45802</v>
      </c>
      <c r="C284">
        <v>101.7</v>
      </c>
      <c r="D284">
        <v>1</v>
      </c>
      <c r="E284">
        <f t="shared" ca="1" si="4"/>
        <v>239</v>
      </c>
    </row>
    <row r="285" spans="1:5" x14ac:dyDescent="0.45">
      <c r="A285" s="4">
        <v>489</v>
      </c>
      <c r="B285" s="1">
        <v>45825</v>
      </c>
      <c r="C285">
        <v>57.51</v>
      </c>
      <c r="D285">
        <v>1</v>
      </c>
      <c r="E285">
        <f t="shared" ca="1" si="4"/>
        <v>216</v>
      </c>
    </row>
    <row r="286" spans="1:5" x14ac:dyDescent="0.45">
      <c r="A286" s="4">
        <v>490</v>
      </c>
      <c r="B286" s="1">
        <v>45793</v>
      </c>
      <c r="C286">
        <v>115.78</v>
      </c>
      <c r="D286">
        <v>2</v>
      </c>
      <c r="E286">
        <f t="shared" ca="1" si="4"/>
        <v>248</v>
      </c>
    </row>
    <row r="287" spans="1:5" x14ac:dyDescent="0.45">
      <c r="A287" s="4">
        <v>492</v>
      </c>
      <c r="B287" s="1">
        <v>45821</v>
      </c>
      <c r="C287">
        <v>310.5</v>
      </c>
      <c r="D287">
        <v>2</v>
      </c>
      <c r="E287">
        <f t="shared" ca="1" si="4"/>
        <v>220</v>
      </c>
    </row>
    <row r="288" spans="1:5" x14ac:dyDescent="0.45">
      <c r="A288" s="4">
        <v>493</v>
      </c>
      <c r="B288" s="1">
        <v>45822</v>
      </c>
      <c r="C288">
        <v>175.15</v>
      </c>
      <c r="D288">
        <v>2</v>
      </c>
      <c r="E288">
        <f t="shared" ca="1" si="4"/>
        <v>219</v>
      </c>
    </row>
    <row r="289" spans="1:5" x14ac:dyDescent="0.45">
      <c r="A289" s="4">
        <v>496</v>
      </c>
      <c r="B289" s="1">
        <v>45773</v>
      </c>
      <c r="C289">
        <v>114.74</v>
      </c>
      <c r="D289">
        <v>1</v>
      </c>
      <c r="E289">
        <f t="shared" ca="1" si="4"/>
        <v>268</v>
      </c>
    </row>
    <row r="290" spans="1:5" x14ac:dyDescent="0.45">
      <c r="A290" s="4">
        <v>497</v>
      </c>
      <c r="B290" s="1">
        <v>45821</v>
      </c>
      <c r="C290">
        <v>266.90999999999997</v>
      </c>
      <c r="D290">
        <v>3</v>
      </c>
      <c r="E290">
        <f t="shared" ca="1" si="4"/>
        <v>220</v>
      </c>
    </row>
    <row r="291" spans="1:5" x14ac:dyDescent="0.45">
      <c r="A291" s="4">
        <v>499</v>
      </c>
      <c r="B291" s="1">
        <v>45821</v>
      </c>
      <c r="C291">
        <v>401.04</v>
      </c>
      <c r="D291">
        <v>2</v>
      </c>
      <c r="E291">
        <f t="shared" ca="1" si="4"/>
        <v>220</v>
      </c>
    </row>
    <row r="292" spans="1:5" x14ac:dyDescent="0.45">
      <c r="A292" s="4">
        <v>500</v>
      </c>
      <c r="B292" s="1">
        <v>45814</v>
      </c>
      <c r="C292">
        <v>125.84</v>
      </c>
      <c r="D292">
        <v>1</v>
      </c>
      <c r="E292">
        <f t="shared" ca="1" si="4"/>
        <v>227</v>
      </c>
    </row>
    <row r="293" spans="1:5" x14ac:dyDescent="0.45">
      <c r="A293" s="4">
        <v>501</v>
      </c>
      <c r="B293" s="1">
        <v>45782</v>
      </c>
      <c r="C293">
        <v>231.92</v>
      </c>
      <c r="D293">
        <v>1</v>
      </c>
      <c r="E293">
        <f t="shared" ca="1" si="4"/>
        <v>259</v>
      </c>
    </row>
    <row r="294" spans="1:5" x14ac:dyDescent="0.45">
      <c r="A294" s="4">
        <v>503</v>
      </c>
      <c r="B294" s="1">
        <v>45806</v>
      </c>
      <c r="C294">
        <v>187.07</v>
      </c>
      <c r="D294">
        <v>2</v>
      </c>
      <c r="E294">
        <f t="shared" ca="1" si="4"/>
        <v>235</v>
      </c>
    </row>
    <row r="295" spans="1:5" x14ac:dyDescent="0.45">
      <c r="A295" s="4">
        <v>504</v>
      </c>
      <c r="B295" s="1">
        <v>45807</v>
      </c>
      <c r="C295">
        <v>99.62</v>
      </c>
      <c r="D295">
        <v>1</v>
      </c>
      <c r="E295">
        <f t="shared" ca="1" si="4"/>
        <v>234</v>
      </c>
    </row>
    <row r="296" spans="1:5" x14ac:dyDescent="0.45">
      <c r="A296" s="4">
        <v>505</v>
      </c>
      <c r="B296" s="1">
        <v>45794</v>
      </c>
      <c r="C296">
        <v>426.02000000000004</v>
      </c>
      <c r="D296">
        <v>2</v>
      </c>
      <c r="E296">
        <f t="shared" ca="1" si="4"/>
        <v>247</v>
      </c>
    </row>
    <row r="297" spans="1:5" x14ac:dyDescent="0.45">
      <c r="A297" s="4">
        <v>506</v>
      </c>
      <c r="B297" s="1">
        <v>45793</v>
      </c>
      <c r="C297">
        <v>382.21999999999997</v>
      </c>
      <c r="D297">
        <v>3</v>
      </c>
      <c r="E297">
        <f t="shared" ca="1" si="4"/>
        <v>248</v>
      </c>
    </row>
    <row r="298" spans="1:5" x14ac:dyDescent="0.45">
      <c r="A298" s="4">
        <v>508</v>
      </c>
      <c r="B298" s="1">
        <v>45766</v>
      </c>
      <c r="C298">
        <v>261.39999999999998</v>
      </c>
      <c r="D298">
        <v>1</v>
      </c>
      <c r="E298">
        <f t="shared" ca="1" si="4"/>
        <v>275</v>
      </c>
    </row>
    <row r="299" spans="1:5" x14ac:dyDescent="0.45">
      <c r="A299" s="4">
        <v>509</v>
      </c>
      <c r="B299" s="1">
        <v>45777</v>
      </c>
      <c r="C299">
        <v>59.38</v>
      </c>
      <c r="D299">
        <v>1</v>
      </c>
      <c r="E299">
        <f t="shared" ca="1" si="4"/>
        <v>264</v>
      </c>
    </row>
    <row r="300" spans="1:5" x14ac:dyDescent="0.45">
      <c r="A300" s="4">
        <v>510</v>
      </c>
      <c r="B300" s="1">
        <v>45804</v>
      </c>
      <c r="C300">
        <v>156.58000000000001</v>
      </c>
      <c r="D300">
        <v>2</v>
      </c>
      <c r="E300">
        <f t="shared" ca="1" si="4"/>
        <v>237</v>
      </c>
    </row>
    <row r="301" spans="1:5" x14ac:dyDescent="0.45">
      <c r="A301" s="4">
        <v>511</v>
      </c>
      <c r="B301" s="1">
        <v>45805</v>
      </c>
      <c r="C301">
        <v>226.57000000000002</v>
      </c>
      <c r="D301">
        <v>4</v>
      </c>
      <c r="E301">
        <f t="shared" ca="1" si="4"/>
        <v>236</v>
      </c>
    </row>
    <row r="302" spans="1:5" x14ac:dyDescent="0.45">
      <c r="A302" s="4">
        <v>512</v>
      </c>
      <c r="B302" s="1">
        <v>45813</v>
      </c>
      <c r="C302">
        <v>110.34</v>
      </c>
      <c r="D302">
        <v>2</v>
      </c>
      <c r="E302">
        <f t="shared" ca="1" si="4"/>
        <v>228</v>
      </c>
    </row>
    <row r="303" spans="1:5" x14ac:dyDescent="0.45">
      <c r="A303" s="4">
        <v>513</v>
      </c>
      <c r="B303" s="1">
        <v>45770</v>
      </c>
      <c r="C303">
        <v>76.12</v>
      </c>
      <c r="D303">
        <v>1</v>
      </c>
      <c r="E303">
        <f t="shared" ca="1" si="4"/>
        <v>271</v>
      </c>
    </row>
    <row r="304" spans="1:5" x14ac:dyDescent="0.45">
      <c r="A304" s="4">
        <v>516</v>
      </c>
      <c r="B304" s="1">
        <v>45776</v>
      </c>
      <c r="C304">
        <v>136.41999999999999</v>
      </c>
      <c r="D304">
        <v>2</v>
      </c>
      <c r="E304">
        <f t="shared" ca="1" si="4"/>
        <v>265</v>
      </c>
    </row>
    <row r="305" spans="1:5" x14ac:dyDescent="0.45">
      <c r="A305" s="4">
        <v>517</v>
      </c>
      <c r="B305" s="1">
        <v>45805</v>
      </c>
      <c r="C305">
        <v>64.5</v>
      </c>
      <c r="D305">
        <v>1</v>
      </c>
      <c r="E305">
        <f t="shared" ca="1" si="4"/>
        <v>236</v>
      </c>
    </row>
    <row r="306" spans="1:5" x14ac:dyDescent="0.45">
      <c r="A306" s="4">
        <v>518</v>
      </c>
      <c r="B306" s="1">
        <v>45768</v>
      </c>
      <c r="C306">
        <v>261.39999999999998</v>
      </c>
      <c r="D306">
        <v>1</v>
      </c>
      <c r="E306">
        <f t="shared" ca="1" si="4"/>
        <v>273</v>
      </c>
    </row>
    <row r="307" spans="1:5" x14ac:dyDescent="0.45">
      <c r="A307" s="4">
        <v>519</v>
      </c>
      <c r="B307" s="1">
        <v>45773</v>
      </c>
      <c r="C307">
        <v>235.44</v>
      </c>
      <c r="D307">
        <v>1</v>
      </c>
      <c r="E307">
        <f t="shared" ca="1" si="4"/>
        <v>268</v>
      </c>
    </row>
    <row r="308" spans="1:5" x14ac:dyDescent="0.45">
      <c r="A308" s="4">
        <v>521</v>
      </c>
      <c r="B308" s="1">
        <v>45824</v>
      </c>
      <c r="C308">
        <v>122.54</v>
      </c>
      <c r="D308">
        <v>1</v>
      </c>
      <c r="E308">
        <f t="shared" ca="1" si="4"/>
        <v>217</v>
      </c>
    </row>
    <row r="309" spans="1:5" x14ac:dyDescent="0.45">
      <c r="A309" s="4">
        <v>522</v>
      </c>
      <c r="B309" s="1">
        <v>45793</v>
      </c>
      <c r="C309">
        <v>86.68</v>
      </c>
      <c r="D309">
        <v>1</v>
      </c>
      <c r="E309">
        <f t="shared" ca="1" si="4"/>
        <v>248</v>
      </c>
    </row>
    <row r="310" spans="1:5" x14ac:dyDescent="0.45">
      <c r="A310" s="4">
        <v>525</v>
      </c>
      <c r="B310" s="1">
        <v>45813</v>
      </c>
      <c r="C310">
        <v>207.3</v>
      </c>
      <c r="D310">
        <v>3</v>
      </c>
      <c r="E310">
        <f t="shared" ca="1" si="4"/>
        <v>228</v>
      </c>
    </row>
    <row r="311" spans="1:5" x14ac:dyDescent="0.45">
      <c r="A311" s="4">
        <v>531</v>
      </c>
      <c r="B311" s="1">
        <v>45824</v>
      </c>
      <c r="C311">
        <v>35.69</v>
      </c>
      <c r="D311">
        <v>1</v>
      </c>
      <c r="E311">
        <f t="shared" ca="1" si="4"/>
        <v>217</v>
      </c>
    </row>
    <row r="312" spans="1:5" x14ac:dyDescent="0.45">
      <c r="A312" s="4">
        <v>538</v>
      </c>
      <c r="B312" s="1">
        <v>45764</v>
      </c>
      <c r="C312">
        <v>64.11</v>
      </c>
      <c r="D312">
        <v>1</v>
      </c>
      <c r="E312">
        <f t="shared" ca="1" si="4"/>
        <v>277</v>
      </c>
    </row>
    <row r="313" spans="1:5" x14ac:dyDescent="0.45">
      <c r="A313" s="4">
        <v>541</v>
      </c>
      <c r="B313" s="1">
        <v>45764</v>
      </c>
      <c r="C313">
        <v>162.12</v>
      </c>
      <c r="D313">
        <v>1</v>
      </c>
      <c r="E313">
        <f t="shared" ca="1" si="4"/>
        <v>277</v>
      </c>
    </row>
    <row r="314" spans="1:5" x14ac:dyDescent="0.45">
      <c r="A314" s="4">
        <v>545</v>
      </c>
      <c r="B314" s="1">
        <v>45751</v>
      </c>
      <c r="C314">
        <v>121.04</v>
      </c>
      <c r="D314">
        <v>1</v>
      </c>
      <c r="E314">
        <f t="shared" ca="1" si="4"/>
        <v>290</v>
      </c>
    </row>
    <row r="315" spans="1:5" x14ac:dyDescent="0.45">
      <c r="A315" s="4">
        <v>547</v>
      </c>
      <c r="B315" s="1">
        <v>45814</v>
      </c>
      <c r="C315">
        <v>161.6</v>
      </c>
      <c r="D315">
        <v>2</v>
      </c>
      <c r="E315">
        <f t="shared" ca="1" si="4"/>
        <v>227</v>
      </c>
    </row>
    <row r="316" spans="1:5" x14ac:dyDescent="0.45">
      <c r="A316" s="4">
        <v>548</v>
      </c>
      <c r="B316" s="1">
        <v>45760</v>
      </c>
      <c r="C316">
        <v>53.46</v>
      </c>
      <c r="D316">
        <v>1</v>
      </c>
      <c r="E316">
        <f t="shared" ca="1" si="4"/>
        <v>281</v>
      </c>
    </row>
    <row r="317" spans="1:5" x14ac:dyDescent="0.45">
      <c r="A317" s="4">
        <v>551</v>
      </c>
      <c r="B317" s="1">
        <v>45814</v>
      </c>
      <c r="C317">
        <v>172.44</v>
      </c>
      <c r="D317">
        <v>2</v>
      </c>
      <c r="E317">
        <f t="shared" ca="1" si="4"/>
        <v>227</v>
      </c>
    </row>
    <row r="318" spans="1:5" x14ac:dyDescent="0.45">
      <c r="A318" s="4">
        <v>554</v>
      </c>
      <c r="B318" s="1">
        <v>45764</v>
      </c>
      <c r="C318">
        <v>29.81</v>
      </c>
      <c r="D318">
        <v>1</v>
      </c>
      <c r="E318">
        <f t="shared" ca="1" si="4"/>
        <v>277</v>
      </c>
    </row>
    <row r="319" spans="1:5" x14ac:dyDescent="0.45">
      <c r="A319" s="4">
        <v>556</v>
      </c>
      <c r="B319" s="1">
        <v>45792</v>
      </c>
      <c r="C319">
        <v>351.39</v>
      </c>
      <c r="D319">
        <v>3</v>
      </c>
      <c r="E319">
        <f t="shared" ca="1" si="4"/>
        <v>249</v>
      </c>
    </row>
    <row r="320" spans="1:5" x14ac:dyDescent="0.45">
      <c r="A320" s="4">
        <v>557</v>
      </c>
      <c r="B320" s="1">
        <v>45751</v>
      </c>
      <c r="C320">
        <v>54.83</v>
      </c>
      <c r="D320">
        <v>1</v>
      </c>
      <c r="E320">
        <f t="shared" ca="1" si="4"/>
        <v>290</v>
      </c>
    </row>
    <row r="321" spans="1:5" x14ac:dyDescent="0.45">
      <c r="A321" s="4">
        <v>560</v>
      </c>
      <c r="B321" s="1">
        <v>45761</v>
      </c>
      <c r="C321">
        <v>265.32</v>
      </c>
      <c r="D321">
        <v>1</v>
      </c>
      <c r="E321">
        <f t="shared" ca="1" si="4"/>
        <v>280</v>
      </c>
    </row>
    <row r="322" spans="1:5" x14ac:dyDescent="0.45">
      <c r="A322" s="4">
        <v>561</v>
      </c>
      <c r="B322" s="1">
        <v>45764</v>
      </c>
      <c r="C322">
        <v>118.26</v>
      </c>
      <c r="D322">
        <v>1</v>
      </c>
      <c r="E322">
        <f t="shared" ca="1" si="4"/>
        <v>277</v>
      </c>
    </row>
    <row r="323" spans="1:5" x14ac:dyDescent="0.45">
      <c r="A323" s="4">
        <v>562</v>
      </c>
      <c r="B323" s="1">
        <v>45790</v>
      </c>
      <c r="C323">
        <v>237.15</v>
      </c>
      <c r="D323">
        <v>1</v>
      </c>
      <c r="E323">
        <f t="shared" ca="1" si="4"/>
        <v>251</v>
      </c>
    </row>
    <row r="324" spans="1:5" x14ac:dyDescent="0.45">
      <c r="A324" s="4">
        <v>563</v>
      </c>
      <c r="B324" s="1">
        <v>45771</v>
      </c>
      <c r="C324">
        <v>405.35999999999996</v>
      </c>
      <c r="D324">
        <v>2</v>
      </c>
      <c r="E324">
        <f t="shared" ca="1" si="4"/>
        <v>270</v>
      </c>
    </row>
    <row r="325" spans="1:5" x14ac:dyDescent="0.45">
      <c r="A325" s="4">
        <v>564</v>
      </c>
      <c r="B325" s="1">
        <v>45804</v>
      </c>
      <c r="C325">
        <v>398.03</v>
      </c>
      <c r="D325">
        <v>3</v>
      </c>
      <c r="E325">
        <f t="shared" ref="E325:E388" ca="1" si="5">TODAY()-B325</f>
        <v>237</v>
      </c>
    </row>
    <row r="326" spans="1:5" x14ac:dyDescent="0.45">
      <c r="A326" s="4">
        <v>565</v>
      </c>
      <c r="B326" s="1">
        <v>45796</v>
      </c>
      <c r="C326">
        <v>336.58</v>
      </c>
      <c r="D326">
        <v>2</v>
      </c>
      <c r="E326">
        <f t="shared" ca="1" si="5"/>
        <v>245</v>
      </c>
    </row>
    <row r="327" spans="1:5" x14ac:dyDescent="0.45">
      <c r="A327" s="4">
        <v>566</v>
      </c>
      <c r="B327" s="1">
        <v>45773</v>
      </c>
      <c r="C327">
        <v>243.79</v>
      </c>
      <c r="D327">
        <v>3</v>
      </c>
      <c r="E327">
        <f t="shared" ca="1" si="5"/>
        <v>268</v>
      </c>
    </row>
    <row r="328" spans="1:5" x14ac:dyDescent="0.45">
      <c r="A328" s="4">
        <v>567</v>
      </c>
      <c r="B328" s="1">
        <v>45798</v>
      </c>
      <c r="C328">
        <v>50.52</v>
      </c>
      <c r="D328">
        <v>1</v>
      </c>
      <c r="E328">
        <f t="shared" ca="1" si="5"/>
        <v>243</v>
      </c>
    </row>
    <row r="329" spans="1:5" x14ac:dyDescent="0.45">
      <c r="A329" s="4">
        <v>569</v>
      </c>
      <c r="B329" s="1">
        <v>45760</v>
      </c>
      <c r="C329">
        <v>38.03</v>
      </c>
      <c r="D329">
        <v>1</v>
      </c>
      <c r="E329">
        <f t="shared" ca="1" si="5"/>
        <v>281</v>
      </c>
    </row>
    <row r="330" spans="1:5" x14ac:dyDescent="0.45">
      <c r="A330" s="4">
        <v>570</v>
      </c>
      <c r="B330" s="1">
        <v>45822</v>
      </c>
      <c r="C330">
        <v>161.62</v>
      </c>
      <c r="D330">
        <v>2</v>
      </c>
      <c r="E330">
        <f t="shared" ca="1" si="5"/>
        <v>219</v>
      </c>
    </row>
    <row r="331" spans="1:5" x14ac:dyDescent="0.45">
      <c r="A331" s="4">
        <v>572</v>
      </c>
      <c r="B331" s="1">
        <v>45805</v>
      </c>
      <c r="C331">
        <v>217.54</v>
      </c>
      <c r="D331">
        <v>2</v>
      </c>
      <c r="E331">
        <f t="shared" ca="1" si="5"/>
        <v>236</v>
      </c>
    </row>
    <row r="332" spans="1:5" x14ac:dyDescent="0.45">
      <c r="A332" s="4">
        <v>574</v>
      </c>
      <c r="B332" s="1">
        <v>45799</v>
      </c>
      <c r="C332">
        <v>319.45999999999998</v>
      </c>
      <c r="D332">
        <v>2</v>
      </c>
      <c r="E332">
        <f t="shared" ca="1" si="5"/>
        <v>242</v>
      </c>
    </row>
    <row r="333" spans="1:5" x14ac:dyDescent="0.45">
      <c r="A333" s="4">
        <v>575</v>
      </c>
      <c r="B333" s="1">
        <v>45824</v>
      </c>
      <c r="C333">
        <v>198.47</v>
      </c>
      <c r="D333">
        <v>2</v>
      </c>
      <c r="E333">
        <f t="shared" ca="1" si="5"/>
        <v>217</v>
      </c>
    </row>
    <row r="334" spans="1:5" x14ac:dyDescent="0.45">
      <c r="A334" s="4">
        <v>577</v>
      </c>
      <c r="B334" s="1">
        <v>45764</v>
      </c>
      <c r="C334">
        <v>61.67</v>
      </c>
      <c r="D334">
        <v>1</v>
      </c>
      <c r="E334">
        <f t="shared" ca="1" si="5"/>
        <v>277</v>
      </c>
    </row>
    <row r="335" spans="1:5" x14ac:dyDescent="0.45">
      <c r="A335" s="4">
        <v>578</v>
      </c>
      <c r="B335" s="1">
        <v>45793</v>
      </c>
      <c r="C335">
        <v>68.47</v>
      </c>
      <c r="D335">
        <v>1</v>
      </c>
      <c r="E335">
        <f t="shared" ca="1" si="5"/>
        <v>248</v>
      </c>
    </row>
    <row r="336" spans="1:5" x14ac:dyDescent="0.45">
      <c r="A336" s="4">
        <v>580</v>
      </c>
      <c r="B336" s="1">
        <v>45805</v>
      </c>
      <c r="C336">
        <v>124.92</v>
      </c>
      <c r="D336">
        <v>1</v>
      </c>
      <c r="E336">
        <f t="shared" ca="1" si="5"/>
        <v>236</v>
      </c>
    </row>
    <row r="337" spans="1:5" x14ac:dyDescent="0.45">
      <c r="A337" s="4">
        <v>581</v>
      </c>
      <c r="B337" s="1">
        <v>45808</v>
      </c>
      <c r="C337">
        <v>166.56</v>
      </c>
      <c r="D337">
        <v>1</v>
      </c>
      <c r="E337">
        <f t="shared" ca="1" si="5"/>
        <v>233</v>
      </c>
    </row>
    <row r="338" spans="1:5" x14ac:dyDescent="0.45">
      <c r="A338" s="4">
        <v>587</v>
      </c>
      <c r="B338" s="1">
        <v>45753</v>
      </c>
      <c r="C338">
        <v>118.42</v>
      </c>
      <c r="D338">
        <v>1</v>
      </c>
      <c r="E338">
        <f t="shared" ca="1" si="5"/>
        <v>288</v>
      </c>
    </row>
    <row r="339" spans="1:5" x14ac:dyDescent="0.45">
      <c r="A339" s="4">
        <v>588</v>
      </c>
      <c r="B339" s="1">
        <v>45790</v>
      </c>
      <c r="C339">
        <v>31.34</v>
      </c>
      <c r="D339">
        <v>1</v>
      </c>
      <c r="E339">
        <f t="shared" ca="1" si="5"/>
        <v>251</v>
      </c>
    </row>
    <row r="340" spans="1:5" x14ac:dyDescent="0.45">
      <c r="A340" s="4">
        <v>593</v>
      </c>
      <c r="B340" s="1">
        <v>45801</v>
      </c>
      <c r="C340">
        <v>210.6</v>
      </c>
      <c r="D340">
        <v>1</v>
      </c>
      <c r="E340">
        <f t="shared" ca="1" si="5"/>
        <v>240</v>
      </c>
    </row>
    <row r="341" spans="1:5" x14ac:dyDescent="0.45">
      <c r="A341" s="4">
        <v>596</v>
      </c>
      <c r="B341" s="1">
        <v>45775</v>
      </c>
      <c r="C341">
        <v>50.72</v>
      </c>
      <c r="D341">
        <v>1</v>
      </c>
      <c r="E341">
        <f t="shared" ca="1" si="5"/>
        <v>266</v>
      </c>
    </row>
    <row r="342" spans="1:5" x14ac:dyDescent="0.45">
      <c r="A342" s="4">
        <v>601</v>
      </c>
      <c r="B342" s="1">
        <v>45801</v>
      </c>
      <c r="C342">
        <v>163.69</v>
      </c>
      <c r="D342">
        <v>2</v>
      </c>
      <c r="E342">
        <f t="shared" ca="1" si="5"/>
        <v>240</v>
      </c>
    </row>
    <row r="343" spans="1:5" x14ac:dyDescent="0.45">
      <c r="A343" s="4">
        <v>602</v>
      </c>
      <c r="B343" s="1">
        <v>45768</v>
      </c>
      <c r="C343">
        <v>52.08</v>
      </c>
      <c r="D343">
        <v>1</v>
      </c>
      <c r="E343">
        <f t="shared" ca="1" si="5"/>
        <v>273</v>
      </c>
    </row>
    <row r="344" spans="1:5" x14ac:dyDescent="0.45">
      <c r="A344" s="4">
        <v>604</v>
      </c>
      <c r="B344" s="1">
        <v>45782</v>
      </c>
      <c r="C344">
        <v>104.56</v>
      </c>
      <c r="D344">
        <v>1</v>
      </c>
      <c r="E344">
        <f t="shared" ca="1" si="5"/>
        <v>259</v>
      </c>
    </row>
    <row r="345" spans="1:5" x14ac:dyDescent="0.45">
      <c r="A345" s="4">
        <v>605</v>
      </c>
      <c r="B345" s="1">
        <v>45772</v>
      </c>
      <c r="C345">
        <v>87.28</v>
      </c>
      <c r="D345">
        <v>1</v>
      </c>
      <c r="E345">
        <f t="shared" ca="1" si="5"/>
        <v>269</v>
      </c>
    </row>
    <row r="346" spans="1:5" x14ac:dyDescent="0.45">
      <c r="A346" s="4">
        <v>607</v>
      </c>
      <c r="B346" s="1">
        <v>45804</v>
      </c>
      <c r="C346">
        <v>204.47000000000003</v>
      </c>
      <c r="D346">
        <v>2</v>
      </c>
      <c r="E346">
        <f t="shared" ca="1" si="5"/>
        <v>237</v>
      </c>
    </row>
    <row r="347" spans="1:5" x14ac:dyDescent="0.45">
      <c r="A347" s="4">
        <v>608</v>
      </c>
      <c r="B347" s="1">
        <v>45807</v>
      </c>
      <c r="C347">
        <v>140.57</v>
      </c>
      <c r="D347">
        <v>2</v>
      </c>
      <c r="E347">
        <f t="shared" ca="1" si="5"/>
        <v>234</v>
      </c>
    </row>
    <row r="348" spans="1:5" x14ac:dyDescent="0.45">
      <c r="A348" s="4">
        <v>609</v>
      </c>
      <c r="B348" s="1">
        <v>45824</v>
      </c>
      <c r="C348">
        <v>250.38</v>
      </c>
      <c r="D348">
        <v>2</v>
      </c>
      <c r="E348">
        <f t="shared" ca="1" si="5"/>
        <v>217</v>
      </c>
    </row>
    <row r="349" spans="1:5" x14ac:dyDescent="0.45">
      <c r="A349" s="4">
        <v>610</v>
      </c>
      <c r="B349" s="1">
        <v>45825</v>
      </c>
      <c r="C349">
        <v>104.56</v>
      </c>
      <c r="D349">
        <v>1</v>
      </c>
      <c r="E349">
        <f t="shared" ca="1" si="5"/>
        <v>216</v>
      </c>
    </row>
    <row r="350" spans="1:5" x14ac:dyDescent="0.45">
      <c r="A350" s="4">
        <v>611</v>
      </c>
      <c r="B350" s="1">
        <v>45771</v>
      </c>
      <c r="C350">
        <v>26.41</v>
      </c>
      <c r="D350">
        <v>1</v>
      </c>
      <c r="E350">
        <f t="shared" ca="1" si="5"/>
        <v>270</v>
      </c>
    </row>
    <row r="351" spans="1:5" x14ac:dyDescent="0.45">
      <c r="A351" s="4">
        <v>612</v>
      </c>
      <c r="B351" s="1">
        <v>45805</v>
      </c>
      <c r="C351">
        <v>155.82</v>
      </c>
      <c r="D351">
        <v>2</v>
      </c>
      <c r="E351">
        <f t="shared" ca="1" si="5"/>
        <v>236</v>
      </c>
    </row>
    <row r="352" spans="1:5" x14ac:dyDescent="0.45">
      <c r="A352" s="4">
        <v>613</v>
      </c>
      <c r="B352" s="1">
        <v>45825</v>
      </c>
      <c r="C352">
        <v>474.24</v>
      </c>
      <c r="D352">
        <v>4</v>
      </c>
      <c r="E352">
        <f t="shared" ca="1" si="5"/>
        <v>216</v>
      </c>
    </row>
    <row r="353" spans="1:5" x14ac:dyDescent="0.45">
      <c r="A353" s="4">
        <v>615</v>
      </c>
      <c r="B353" s="1">
        <v>45796</v>
      </c>
      <c r="C353">
        <v>50.88</v>
      </c>
      <c r="D353">
        <v>1</v>
      </c>
      <c r="E353">
        <f t="shared" ca="1" si="5"/>
        <v>245</v>
      </c>
    </row>
    <row r="354" spans="1:5" x14ac:dyDescent="0.45">
      <c r="A354" s="4">
        <v>617</v>
      </c>
      <c r="B354" s="1">
        <v>45781</v>
      </c>
      <c r="C354">
        <v>105.88</v>
      </c>
      <c r="D354">
        <v>1</v>
      </c>
      <c r="E354">
        <f t="shared" ca="1" si="5"/>
        <v>260</v>
      </c>
    </row>
    <row r="355" spans="1:5" x14ac:dyDescent="0.45">
      <c r="A355" s="4">
        <v>620</v>
      </c>
      <c r="B355" s="1">
        <v>45781</v>
      </c>
      <c r="C355">
        <v>189.66000000000003</v>
      </c>
      <c r="D355">
        <v>2</v>
      </c>
      <c r="E355">
        <f t="shared" ca="1" si="5"/>
        <v>260</v>
      </c>
    </row>
    <row r="356" spans="1:5" x14ac:dyDescent="0.45">
      <c r="A356" s="4">
        <v>624</v>
      </c>
      <c r="B356" s="1">
        <v>45791</v>
      </c>
      <c r="C356">
        <v>71.400000000000006</v>
      </c>
      <c r="D356">
        <v>1</v>
      </c>
      <c r="E356">
        <f t="shared" ca="1" si="5"/>
        <v>250</v>
      </c>
    </row>
    <row r="357" spans="1:5" x14ac:dyDescent="0.45">
      <c r="A357" s="4">
        <v>625</v>
      </c>
      <c r="B357" s="1">
        <v>45765</v>
      </c>
      <c r="C357">
        <v>175.96</v>
      </c>
      <c r="D357">
        <v>2</v>
      </c>
      <c r="E357">
        <f t="shared" ca="1" si="5"/>
        <v>276</v>
      </c>
    </row>
    <row r="358" spans="1:5" x14ac:dyDescent="0.45">
      <c r="A358" s="4">
        <v>626</v>
      </c>
      <c r="B358" s="1">
        <v>45825</v>
      </c>
      <c r="C358">
        <v>88.360000000000014</v>
      </c>
      <c r="D358">
        <v>2</v>
      </c>
      <c r="E358">
        <f t="shared" ca="1" si="5"/>
        <v>216</v>
      </c>
    </row>
    <row r="359" spans="1:5" x14ac:dyDescent="0.45">
      <c r="A359" s="4">
        <v>628</v>
      </c>
      <c r="B359" s="1">
        <v>45814</v>
      </c>
      <c r="C359">
        <v>270.89999999999998</v>
      </c>
      <c r="D359">
        <v>2</v>
      </c>
      <c r="E359">
        <f t="shared" ca="1" si="5"/>
        <v>227</v>
      </c>
    </row>
    <row r="360" spans="1:5" x14ac:dyDescent="0.45">
      <c r="A360" s="4">
        <v>633</v>
      </c>
      <c r="B360" s="1">
        <v>45781</v>
      </c>
      <c r="C360">
        <v>136.26</v>
      </c>
      <c r="D360">
        <v>1</v>
      </c>
      <c r="E360">
        <f t="shared" ca="1" si="5"/>
        <v>260</v>
      </c>
    </row>
    <row r="361" spans="1:5" x14ac:dyDescent="0.45">
      <c r="A361" s="4">
        <v>634</v>
      </c>
      <c r="B361" s="1">
        <v>45823</v>
      </c>
      <c r="C361">
        <v>354.88</v>
      </c>
      <c r="D361">
        <v>3</v>
      </c>
      <c r="E361">
        <f t="shared" ca="1" si="5"/>
        <v>218</v>
      </c>
    </row>
    <row r="362" spans="1:5" x14ac:dyDescent="0.45">
      <c r="A362" s="4">
        <v>636</v>
      </c>
      <c r="B362" s="1">
        <v>45768</v>
      </c>
      <c r="C362">
        <v>31.86</v>
      </c>
      <c r="D362">
        <v>1</v>
      </c>
      <c r="E362">
        <f t="shared" ca="1" si="5"/>
        <v>273</v>
      </c>
    </row>
    <row r="363" spans="1:5" x14ac:dyDescent="0.45">
      <c r="A363" s="4">
        <v>638</v>
      </c>
      <c r="B363" s="1">
        <v>45769</v>
      </c>
      <c r="C363">
        <v>436.84000000000003</v>
      </c>
      <c r="D363">
        <v>3</v>
      </c>
      <c r="E363">
        <f t="shared" ca="1" si="5"/>
        <v>272</v>
      </c>
    </row>
    <row r="364" spans="1:5" x14ac:dyDescent="0.45">
      <c r="A364" s="4">
        <v>639</v>
      </c>
      <c r="B364" s="1">
        <v>45770</v>
      </c>
      <c r="C364">
        <v>123.2</v>
      </c>
      <c r="D364">
        <v>1</v>
      </c>
      <c r="E364">
        <f t="shared" ca="1" si="5"/>
        <v>271</v>
      </c>
    </row>
    <row r="365" spans="1:5" x14ac:dyDescent="0.45">
      <c r="A365" s="4">
        <v>640</v>
      </c>
      <c r="B365" s="1">
        <v>45798</v>
      </c>
      <c r="C365">
        <v>158.36000000000001</v>
      </c>
      <c r="D365">
        <v>3</v>
      </c>
      <c r="E365">
        <f t="shared" ca="1" si="5"/>
        <v>243</v>
      </c>
    </row>
    <row r="366" spans="1:5" x14ac:dyDescent="0.45">
      <c r="A366" s="4">
        <v>641</v>
      </c>
      <c r="B366" s="1">
        <v>45821</v>
      </c>
      <c r="C366">
        <v>207.38</v>
      </c>
      <c r="D366">
        <v>2</v>
      </c>
      <c r="E366">
        <f t="shared" ca="1" si="5"/>
        <v>220</v>
      </c>
    </row>
    <row r="367" spans="1:5" x14ac:dyDescent="0.45">
      <c r="A367" s="4">
        <v>642</v>
      </c>
      <c r="B367" s="1">
        <v>45762</v>
      </c>
      <c r="C367">
        <v>93.8</v>
      </c>
      <c r="D367">
        <v>1</v>
      </c>
      <c r="E367">
        <f t="shared" ca="1" si="5"/>
        <v>279</v>
      </c>
    </row>
    <row r="368" spans="1:5" x14ac:dyDescent="0.45">
      <c r="A368" s="4">
        <v>643</v>
      </c>
      <c r="B368" s="1">
        <v>45790</v>
      </c>
      <c r="C368">
        <v>87.92</v>
      </c>
      <c r="D368">
        <v>1</v>
      </c>
      <c r="E368">
        <f t="shared" ca="1" si="5"/>
        <v>251</v>
      </c>
    </row>
    <row r="369" spans="1:5" x14ac:dyDescent="0.45">
      <c r="A369" s="4">
        <v>646</v>
      </c>
      <c r="B369" s="1">
        <v>45812</v>
      </c>
      <c r="C369">
        <v>106.54</v>
      </c>
      <c r="D369">
        <v>1</v>
      </c>
      <c r="E369">
        <f t="shared" ca="1" si="5"/>
        <v>229</v>
      </c>
    </row>
    <row r="370" spans="1:5" x14ac:dyDescent="0.45">
      <c r="A370" s="4">
        <v>647</v>
      </c>
      <c r="B370" s="1">
        <v>45770</v>
      </c>
      <c r="C370">
        <v>90.84</v>
      </c>
      <c r="D370">
        <v>1</v>
      </c>
      <c r="E370">
        <f t="shared" ca="1" si="5"/>
        <v>271</v>
      </c>
    </row>
    <row r="371" spans="1:5" x14ac:dyDescent="0.45">
      <c r="A371" s="4">
        <v>648</v>
      </c>
      <c r="B371" s="1">
        <v>45795</v>
      </c>
      <c r="C371">
        <v>87.66</v>
      </c>
      <c r="D371">
        <v>2</v>
      </c>
      <c r="E371">
        <f t="shared" ca="1" si="5"/>
        <v>246</v>
      </c>
    </row>
    <row r="372" spans="1:5" x14ac:dyDescent="0.45">
      <c r="A372" s="4">
        <v>649</v>
      </c>
      <c r="B372" s="1">
        <v>45824</v>
      </c>
      <c r="C372">
        <v>103.6</v>
      </c>
      <c r="D372">
        <v>1</v>
      </c>
      <c r="E372">
        <f t="shared" ca="1" si="5"/>
        <v>217</v>
      </c>
    </row>
    <row r="373" spans="1:5" x14ac:dyDescent="0.45">
      <c r="A373" s="4">
        <v>652</v>
      </c>
      <c r="B373" s="1">
        <v>45769</v>
      </c>
      <c r="C373">
        <v>64.099999999999994</v>
      </c>
      <c r="D373">
        <v>1</v>
      </c>
      <c r="E373">
        <f t="shared" ca="1" si="5"/>
        <v>272</v>
      </c>
    </row>
    <row r="374" spans="1:5" x14ac:dyDescent="0.45">
      <c r="A374" s="4">
        <v>653</v>
      </c>
      <c r="B374" s="1">
        <v>45773</v>
      </c>
      <c r="C374">
        <v>83.68</v>
      </c>
      <c r="D374">
        <v>2</v>
      </c>
      <c r="E374">
        <f t="shared" ca="1" si="5"/>
        <v>268</v>
      </c>
    </row>
    <row r="375" spans="1:5" x14ac:dyDescent="0.45">
      <c r="A375" s="4">
        <v>654</v>
      </c>
      <c r="B375" s="1">
        <v>45765</v>
      </c>
      <c r="C375">
        <v>55.91</v>
      </c>
      <c r="D375">
        <v>1</v>
      </c>
      <c r="E375">
        <f t="shared" ca="1" si="5"/>
        <v>276</v>
      </c>
    </row>
    <row r="376" spans="1:5" x14ac:dyDescent="0.45">
      <c r="A376" s="4">
        <v>655</v>
      </c>
      <c r="B376" s="1">
        <v>45751</v>
      </c>
      <c r="C376">
        <v>103.94</v>
      </c>
      <c r="D376">
        <v>1</v>
      </c>
      <c r="E376">
        <f t="shared" ca="1" si="5"/>
        <v>290</v>
      </c>
    </row>
    <row r="377" spans="1:5" x14ac:dyDescent="0.45">
      <c r="A377" s="4">
        <v>656</v>
      </c>
      <c r="B377" s="1">
        <v>45806</v>
      </c>
      <c r="C377">
        <v>200.51</v>
      </c>
      <c r="D377">
        <v>2</v>
      </c>
      <c r="E377">
        <f t="shared" ca="1" si="5"/>
        <v>235</v>
      </c>
    </row>
    <row r="378" spans="1:5" x14ac:dyDescent="0.45">
      <c r="A378" s="4">
        <v>657</v>
      </c>
      <c r="B378" s="1">
        <v>45798</v>
      </c>
      <c r="C378">
        <v>223.22000000000003</v>
      </c>
      <c r="D378">
        <v>2</v>
      </c>
      <c r="E378">
        <f t="shared" ca="1" si="5"/>
        <v>243</v>
      </c>
    </row>
    <row r="379" spans="1:5" x14ac:dyDescent="0.45">
      <c r="A379" s="4">
        <v>658</v>
      </c>
      <c r="B379" s="1">
        <v>45766</v>
      </c>
      <c r="C379">
        <v>98.24</v>
      </c>
      <c r="D379">
        <v>1</v>
      </c>
      <c r="E379">
        <f t="shared" ca="1" si="5"/>
        <v>275</v>
      </c>
    </row>
    <row r="380" spans="1:5" x14ac:dyDescent="0.45">
      <c r="A380" s="4">
        <v>659</v>
      </c>
      <c r="B380" s="1">
        <v>45822</v>
      </c>
      <c r="C380">
        <v>521.79</v>
      </c>
      <c r="D380">
        <v>4</v>
      </c>
      <c r="E380">
        <f t="shared" ca="1" si="5"/>
        <v>219</v>
      </c>
    </row>
    <row r="381" spans="1:5" x14ac:dyDescent="0.45">
      <c r="A381" s="4">
        <v>660</v>
      </c>
      <c r="B381" s="1">
        <v>45823</v>
      </c>
      <c r="C381">
        <v>234.79</v>
      </c>
      <c r="D381">
        <v>2</v>
      </c>
      <c r="E381">
        <f t="shared" ca="1" si="5"/>
        <v>218</v>
      </c>
    </row>
    <row r="382" spans="1:5" x14ac:dyDescent="0.45">
      <c r="A382" s="4">
        <v>662</v>
      </c>
      <c r="B382" s="1">
        <v>45777</v>
      </c>
      <c r="C382">
        <v>50.72</v>
      </c>
      <c r="D382">
        <v>1</v>
      </c>
      <c r="E382">
        <f t="shared" ca="1" si="5"/>
        <v>264</v>
      </c>
    </row>
    <row r="383" spans="1:5" x14ac:dyDescent="0.45">
      <c r="A383" s="4">
        <v>663</v>
      </c>
      <c r="B383" s="1">
        <v>45806</v>
      </c>
      <c r="C383">
        <v>131.70999999999998</v>
      </c>
      <c r="D383">
        <v>2</v>
      </c>
      <c r="E383">
        <f t="shared" ca="1" si="5"/>
        <v>235</v>
      </c>
    </row>
    <row r="384" spans="1:5" x14ac:dyDescent="0.45">
      <c r="A384" s="4">
        <v>664</v>
      </c>
      <c r="B384" s="1">
        <v>45782</v>
      </c>
      <c r="C384">
        <v>264.16999999999996</v>
      </c>
      <c r="D384">
        <v>4</v>
      </c>
      <c r="E384">
        <f t="shared" ca="1" si="5"/>
        <v>259</v>
      </c>
    </row>
    <row r="385" spans="1:5" x14ac:dyDescent="0.45">
      <c r="A385" s="4">
        <v>665</v>
      </c>
      <c r="B385" s="1">
        <v>45763</v>
      </c>
      <c r="C385">
        <v>40.770000000000003</v>
      </c>
      <c r="D385">
        <v>1</v>
      </c>
      <c r="E385">
        <f t="shared" ca="1" si="5"/>
        <v>278</v>
      </c>
    </row>
    <row r="386" spans="1:5" x14ac:dyDescent="0.45">
      <c r="A386" s="4">
        <v>670</v>
      </c>
      <c r="B386" s="1">
        <v>45768</v>
      </c>
      <c r="C386">
        <v>185.87</v>
      </c>
      <c r="D386">
        <v>2</v>
      </c>
      <c r="E386">
        <f t="shared" ca="1" si="5"/>
        <v>273</v>
      </c>
    </row>
    <row r="387" spans="1:5" x14ac:dyDescent="0.45">
      <c r="A387" s="4">
        <v>672</v>
      </c>
      <c r="B387" s="1">
        <v>45767</v>
      </c>
      <c r="C387">
        <v>182.57999999999998</v>
      </c>
      <c r="D387">
        <v>2</v>
      </c>
      <c r="E387">
        <f t="shared" ca="1" si="5"/>
        <v>274</v>
      </c>
    </row>
    <row r="388" spans="1:5" x14ac:dyDescent="0.45">
      <c r="A388" s="4">
        <v>673</v>
      </c>
      <c r="B388" s="1">
        <v>45806</v>
      </c>
      <c r="C388">
        <v>44.12</v>
      </c>
      <c r="D388">
        <v>1</v>
      </c>
      <c r="E388">
        <f t="shared" ca="1" si="5"/>
        <v>235</v>
      </c>
    </row>
    <row r="389" spans="1:5" x14ac:dyDescent="0.45">
      <c r="A389" s="4">
        <v>675</v>
      </c>
      <c r="B389" s="1">
        <v>45806</v>
      </c>
      <c r="C389">
        <v>326.66999999999996</v>
      </c>
      <c r="D389">
        <v>2</v>
      </c>
      <c r="E389">
        <f t="shared" ref="E389:E452" ca="1" si="6">TODAY()-B389</f>
        <v>235</v>
      </c>
    </row>
    <row r="390" spans="1:5" x14ac:dyDescent="0.45">
      <c r="A390" s="4">
        <v>676</v>
      </c>
      <c r="B390" s="1">
        <v>45783</v>
      </c>
      <c r="C390">
        <v>97.22999999999999</v>
      </c>
      <c r="D390">
        <v>1</v>
      </c>
      <c r="E390">
        <f t="shared" ca="1" si="6"/>
        <v>258</v>
      </c>
    </row>
    <row r="391" spans="1:5" x14ac:dyDescent="0.45">
      <c r="A391" s="4">
        <v>677</v>
      </c>
      <c r="B391" s="1">
        <v>45791</v>
      </c>
      <c r="C391">
        <v>63.68</v>
      </c>
      <c r="D391">
        <v>1</v>
      </c>
      <c r="E391">
        <f t="shared" ca="1" si="6"/>
        <v>250</v>
      </c>
    </row>
    <row r="392" spans="1:5" x14ac:dyDescent="0.45">
      <c r="A392" s="4">
        <v>681</v>
      </c>
      <c r="B392" s="1">
        <v>45764</v>
      </c>
      <c r="C392">
        <v>44.06</v>
      </c>
      <c r="D392">
        <v>1</v>
      </c>
      <c r="E392">
        <f t="shared" ca="1" si="6"/>
        <v>277</v>
      </c>
    </row>
    <row r="393" spans="1:5" x14ac:dyDescent="0.45">
      <c r="A393" s="4">
        <v>682</v>
      </c>
      <c r="B393" s="1">
        <v>45824</v>
      </c>
      <c r="C393">
        <v>331.34000000000003</v>
      </c>
      <c r="D393">
        <v>4</v>
      </c>
      <c r="E393">
        <f t="shared" ca="1" si="6"/>
        <v>217</v>
      </c>
    </row>
    <row r="394" spans="1:5" x14ac:dyDescent="0.45">
      <c r="A394" s="4">
        <v>684</v>
      </c>
      <c r="B394" s="1">
        <v>45802</v>
      </c>
      <c r="C394">
        <v>498.03</v>
      </c>
      <c r="D394">
        <v>3</v>
      </c>
      <c r="E394">
        <f t="shared" ca="1" si="6"/>
        <v>239</v>
      </c>
    </row>
    <row r="395" spans="1:5" x14ac:dyDescent="0.45">
      <c r="A395" s="4">
        <v>685</v>
      </c>
      <c r="B395" s="1">
        <v>45822</v>
      </c>
      <c r="C395">
        <v>130.29</v>
      </c>
      <c r="D395">
        <v>1</v>
      </c>
      <c r="E395">
        <f t="shared" ca="1" si="6"/>
        <v>219</v>
      </c>
    </row>
    <row r="396" spans="1:5" x14ac:dyDescent="0.45">
      <c r="A396" s="4">
        <v>686</v>
      </c>
      <c r="B396" s="1">
        <v>45794</v>
      </c>
      <c r="C396">
        <v>42.47</v>
      </c>
      <c r="D396">
        <v>1</v>
      </c>
      <c r="E396">
        <f t="shared" ca="1" si="6"/>
        <v>247</v>
      </c>
    </row>
    <row r="397" spans="1:5" x14ac:dyDescent="0.45">
      <c r="A397" s="4">
        <v>687</v>
      </c>
      <c r="B397" s="1">
        <v>45765</v>
      </c>
      <c r="C397">
        <v>79.56</v>
      </c>
      <c r="D397">
        <v>1</v>
      </c>
      <c r="E397">
        <f t="shared" ca="1" si="6"/>
        <v>276</v>
      </c>
    </row>
    <row r="398" spans="1:5" x14ac:dyDescent="0.45">
      <c r="A398" s="4">
        <v>688</v>
      </c>
      <c r="B398" s="1">
        <v>45777</v>
      </c>
      <c r="C398">
        <v>58.26</v>
      </c>
      <c r="D398">
        <v>1</v>
      </c>
      <c r="E398">
        <f t="shared" ca="1" si="6"/>
        <v>264</v>
      </c>
    </row>
    <row r="399" spans="1:5" x14ac:dyDescent="0.45">
      <c r="A399" s="4">
        <v>689</v>
      </c>
      <c r="B399" s="1">
        <v>45793</v>
      </c>
      <c r="C399">
        <v>40.58</v>
      </c>
      <c r="D399">
        <v>1</v>
      </c>
      <c r="E399">
        <f t="shared" ca="1" si="6"/>
        <v>248</v>
      </c>
    </row>
    <row r="400" spans="1:5" x14ac:dyDescent="0.45">
      <c r="A400" s="4">
        <v>690</v>
      </c>
      <c r="B400" s="1">
        <v>45795</v>
      </c>
      <c r="C400">
        <v>119.03999999999999</v>
      </c>
      <c r="D400">
        <v>1</v>
      </c>
      <c r="E400">
        <f t="shared" ca="1" si="6"/>
        <v>246</v>
      </c>
    </row>
    <row r="401" spans="1:5" x14ac:dyDescent="0.45">
      <c r="A401" s="4">
        <v>691</v>
      </c>
      <c r="B401" s="1">
        <v>45807</v>
      </c>
      <c r="C401">
        <v>169.86</v>
      </c>
      <c r="D401">
        <v>2</v>
      </c>
      <c r="E401">
        <f t="shared" ca="1" si="6"/>
        <v>234</v>
      </c>
    </row>
    <row r="402" spans="1:5" x14ac:dyDescent="0.45">
      <c r="A402" s="4">
        <v>692</v>
      </c>
      <c r="B402" s="1">
        <v>45822</v>
      </c>
      <c r="C402">
        <v>120.54</v>
      </c>
      <c r="D402">
        <v>2</v>
      </c>
      <c r="E402">
        <f t="shared" ca="1" si="6"/>
        <v>219</v>
      </c>
    </row>
    <row r="403" spans="1:5" x14ac:dyDescent="0.45">
      <c r="A403" s="4">
        <v>693</v>
      </c>
      <c r="B403" s="1">
        <v>45821</v>
      </c>
      <c r="C403">
        <v>47.91</v>
      </c>
      <c r="D403">
        <v>1</v>
      </c>
      <c r="E403">
        <f t="shared" ca="1" si="6"/>
        <v>220</v>
      </c>
    </row>
    <row r="404" spans="1:5" x14ac:dyDescent="0.45">
      <c r="A404" s="4">
        <v>695</v>
      </c>
      <c r="B404" s="1">
        <v>45801</v>
      </c>
      <c r="C404">
        <v>113.68</v>
      </c>
      <c r="D404">
        <v>1</v>
      </c>
      <c r="E404">
        <f t="shared" ca="1" si="6"/>
        <v>240</v>
      </c>
    </row>
    <row r="405" spans="1:5" x14ac:dyDescent="0.45">
      <c r="A405" s="4">
        <v>697</v>
      </c>
      <c r="B405" s="1">
        <v>45752</v>
      </c>
      <c r="C405">
        <v>56.91</v>
      </c>
      <c r="D405">
        <v>1</v>
      </c>
      <c r="E405">
        <f t="shared" ca="1" si="6"/>
        <v>289</v>
      </c>
    </row>
    <row r="406" spans="1:5" x14ac:dyDescent="0.45">
      <c r="A406" s="4">
        <v>698</v>
      </c>
      <c r="B406" s="1">
        <v>45792</v>
      </c>
      <c r="C406">
        <v>52.27</v>
      </c>
      <c r="D406">
        <v>1</v>
      </c>
      <c r="E406">
        <f t="shared" ca="1" si="6"/>
        <v>249</v>
      </c>
    </row>
    <row r="407" spans="1:5" x14ac:dyDescent="0.45">
      <c r="A407" s="4">
        <v>699</v>
      </c>
      <c r="B407" s="1">
        <v>45824</v>
      </c>
      <c r="C407">
        <v>340.43999999999994</v>
      </c>
      <c r="D407">
        <v>3</v>
      </c>
      <c r="E407">
        <f t="shared" ca="1" si="6"/>
        <v>217</v>
      </c>
    </row>
    <row r="408" spans="1:5" x14ac:dyDescent="0.45">
      <c r="A408" s="4">
        <v>700</v>
      </c>
      <c r="B408" s="1">
        <v>45797</v>
      </c>
      <c r="C408">
        <v>180.67000000000002</v>
      </c>
      <c r="D408">
        <v>2</v>
      </c>
      <c r="E408">
        <f t="shared" ca="1" si="6"/>
        <v>244</v>
      </c>
    </row>
    <row r="409" spans="1:5" x14ac:dyDescent="0.45">
      <c r="A409" s="4">
        <v>701</v>
      </c>
      <c r="B409" s="1">
        <v>45766</v>
      </c>
      <c r="C409">
        <v>158.49</v>
      </c>
      <c r="D409">
        <v>1</v>
      </c>
      <c r="E409">
        <f t="shared" ca="1" si="6"/>
        <v>275</v>
      </c>
    </row>
    <row r="410" spans="1:5" x14ac:dyDescent="0.45">
      <c r="A410" s="4">
        <v>702</v>
      </c>
      <c r="B410" s="1">
        <v>45799</v>
      </c>
      <c r="C410">
        <v>43.43</v>
      </c>
      <c r="D410">
        <v>1</v>
      </c>
      <c r="E410">
        <f t="shared" ca="1" si="6"/>
        <v>242</v>
      </c>
    </row>
    <row r="411" spans="1:5" x14ac:dyDescent="0.45">
      <c r="A411" s="4">
        <v>703</v>
      </c>
      <c r="B411" s="1">
        <v>45773</v>
      </c>
      <c r="C411">
        <v>179.08</v>
      </c>
      <c r="D411">
        <v>1</v>
      </c>
      <c r="E411">
        <f t="shared" ca="1" si="6"/>
        <v>268</v>
      </c>
    </row>
    <row r="412" spans="1:5" x14ac:dyDescent="0.45">
      <c r="A412" s="4">
        <v>704</v>
      </c>
      <c r="B412" s="1">
        <v>45813</v>
      </c>
      <c r="C412">
        <v>106.7</v>
      </c>
      <c r="D412">
        <v>1</v>
      </c>
      <c r="E412">
        <f t="shared" ca="1" si="6"/>
        <v>228</v>
      </c>
    </row>
    <row r="413" spans="1:5" x14ac:dyDescent="0.45">
      <c r="A413" s="4">
        <v>706</v>
      </c>
      <c r="B413" s="1">
        <v>45752</v>
      </c>
      <c r="C413">
        <v>54.83</v>
      </c>
      <c r="D413">
        <v>1</v>
      </c>
      <c r="E413">
        <f t="shared" ca="1" si="6"/>
        <v>289</v>
      </c>
    </row>
    <row r="414" spans="1:5" x14ac:dyDescent="0.45">
      <c r="A414" s="4">
        <v>710</v>
      </c>
      <c r="B414" s="1">
        <v>45798</v>
      </c>
      <c r="C414">
        <v>184.39</v>
      </c>
      <c r="D414">
        <v>2</v>
      </c>
      <c r="E414">
        <f t="shared" ca="1" si="6"/>
        <v>243</v>
      </c>
    </row>
    <row r="415" spans="1:5" x14ac:dyDescent="0.45">
      <c r="A415" s="4">
        <v>711</v>
      </c>
      <c r="B415" s="1">
        <v>45808</v>
      </c>
      <c r="C415">
        <v>33.590000000000003</v>
      </c>
      <c r="D415">
        <v>1</v>
      </c>
      <c r="E415">
        <f t="shared" ca="1" si="6"/>
        <v>233</v>
      </c>
    </row>
    <row r="416" spans="1:5" x14ac:dyDescent="0.45">
      <c r="A416" s="4">
        <v>714</v>
      </c>
      <c r="B416" s="1">
        <v>45775</v>
      </c>
      <c r="C416">
        <v>217</v>
      </c>
      <c r="D416">
        <v>1</v>
      </c>
      <c r="E416">
        <f t="shared" ca="1" si="6"/>
        <v>266</v>
      </c>
    </row>
    <row r="417" spans="1:5" x14ac:dyDescent="0.45">
      <c r="A417" s="4">
        <v>718</v>
      </c>
      <c r="B417" s="1">
        <v>45782</v>
      </c>
      <c r="C417">
        <v>51.17</v>
      </c>
      <c r="D417">
        <v>1</v>
      </c>
      <c r="E417">
        <f t="shared" ca="1" si="6"/>
        <v>259</v>
      </c>
    </row>
    <row r="418" spans="1:5" x14ac:dyDescent="0.45">
      <c r="A418" s="4">
        <v>720</v>
      </c>
      <c r="B418" s="1">
        <v>45790</v>
      </c>
      <c r="C418">
        <v>363.84000000000003</v>
      </c>
      <c r="D418">
        <v>2</v>
      </c>
      <c r="E418">
        <f t="shared" ca="1" si="6"/>
        <v>251</v>
      </c>
    </row>
    <row r="419" spans="1:5" x14ac:dyDescent="0.45">
      <c r="A419" s="4">
        <v>725</v>
      </c>
      <c r="B419" s="1">
        <v>45814</v>
      </c>
      <c r="C419">
        <v>45.42</v>
      </c>
      <c r="D419">
        <v>1</v>
      </c>
      <c r="E419">
        <f t="shared" ca="1" si="6"/>
        <v>227</v>
      </c>
    </row>
    <row r="420" spans="1:5" x14ac:dyDescent="0.45">
      <c r="A420" s="4">
        <v>726</v>
      </c>
      <c r="B420" s="1">
        <v>45765</v>
      </c>
      <c r="C420">
        <v>107.19</v>
      </c>
      <c r="D420">
        <v>1</v>
      </c>
      <c r="E420">
        <f t="shared" ca="1" si="6"/>
        <v>276</v>
      </c>
    </row>
    <row r="421" spans="1:5" x14ac:dyDescent="0.45">
      <c r="A421" s="4">
        <v>727</v>
      </c>
      <c r="B421" s="1">
        <v>45814</v>
      </c>
      <c r="C421">
        <v>464.98</v>
      </c>
      <c r="D421">
        <v>3</v>
      </c>
      <c r="E421">
        <f t="shared" ca="1" si="6"/>
        <v>227</v>
      </c>
    </row>
    <row r="422" spans="1:5" x14ac:dyDescent="0.45">
      <c r="A422" s="4">
        <v>728</v>
      </c>
      <c r="B422" s="1">
        <v>45808</v>
      </c>
      <c r="C422">
        <v>28.98</v>
      </c>
      <c r="D422">
        <v>1</v>
      </c>
      <c r="E422">
        <f t="shared" ca="1" si="6"/>
        <v>233</v>
      </c>
    </row>
    <row r="423" spans="1:5" x14ac:dyDescent="0.45">
      <c r="A423" s="4">
        <v>729</v>
      </c>
      <c r="B423" s="1">
        <v>45804</v>
      </c>
      <c r="C423">
        <v>189.72</v>
      </c>
      <c r="D423">
        <v>2</v>
      </c>
      <c r="E423">
        <f t="shared" ca="1" si="6"/>
        <v>237</v>
      </c>
    </row>
    <row r="424" spans="1:5" x14ac:dyDescent="0.45">
      <c r="A424" s="4">
        <v>730</v>
      </c>
      <c r="B424" s="1">
        <v>45794</v>
      </c>
      <c r="C424">
        <v>74.400000000000006</v>
      </c>
      <c r="D424">
        <v>2</v>
      </c>
      <c r="E424">
        <f t="shared" ca="1" si="6"/>
        <v>247</v>
      </c>
    </row>
    <row r="425" spans="1:5" x14ac:dyDescent="0.45">
      <c r="A425" s="4">
        <v>733</v>
      </c>
      <c r="B425" s="1">
        <v>45762</v>
      </c>
      <c r="C425">
        <v>38.03</v>
      </c>
      <c r="D425">
        <v>1</v>
      </c>
      <c r="E425">
        <f t="shared" ca="1" si="6"/>
        <v>279</v>
      </c>
    </row>
    <row r="426" spans="1:5" x14ac:dyDescent="0.45">
      <c r="A426" s="4">
        <v>734</v>
      </c>
      <c r="B426" s="1">
        <v>45796</v>
      </c>
      <c r="C426">
        <v>191.36</v>
      </c>
      <c r="D426">
        <v>2</v>
      </c>
      <c r="E426">
        <f t="shared" ca="1" si="6"/>
        <v>245</v>
      </c>
    </row>
    <row r="427" spans="1:5" x14ac:dyDescent="0.45">
      <c r="A427" s="4">
        <v>735</v>
      </c>
      <c r="B427" s="1">
        <v>45802</v>
      </c>
      <c r="C427">
        <v>196.87</v>
      </c>
      <c r="D427">
        <v>2</v>
      </c>
      <c r="E427">
        <f t="shared" ca="1" si="6"/>
        <v>239</v>
      </c>
    </row>
    <row r="428" spans="1:5" x14ac:dyDescent="0.45">
      <c r="A428" s="4">
        <v>736</v>
      </c>
      <c r="B428" s="1">
        <v>45814</v>
      </c>
      <c r="C428">
        <v>156.99</v>
      </c>
      <c r="D428">
        <v>2</v>
      </c>
      <c r="E428">
        <f t="shared" ca="1" si="6"/>
        <v>227</v>
      </c>
    </row>
    <row r="429" spans="1:5" x14ac:dyDescent="0.45">
      <c r="A429" s="4">
        <v>739</v>
      </c>
      <c r="B429" s="1">
        <v>45813</v>
      </c>
      <c r="C429">
        <v>234.73000000000002</v>
      </c>
      <c r="D429">
        <v>2</v>
      </c>
      <c r="E429">
        <f t="shared" ca="1" si="6"/>
        <v>228</v>
      </c>
    </row>
    <row r="430" spans="1:5" x14ac:dyDescent="0.45">
      <c r="A430" s="4">
        <v>741</v>
      </c>
      <c r="B430" s="1">
        <v>45768</v>
      </c>
      <c r="C430">
        <v>171.96</v>
      </c>
      <c r="D430">
        <v>1</v>
      </c>
      <c r="E430">
        <f t="shared" ca="1" si="6"/>
        <v>273</v>
      </c>
    </row>
    <row r="431" spans="1:5" x14ac:dyDescent="0.45">
      <c r="A431" s="4">
        <v>743</v>
      </c>
      <c r="B431" s="1">
        <v>45801</v>
      </c>
      <c r="C431">
        <v>53.19</v>
      </c>
      <c r="D431">
        <v>1</v>
      </c>
      <c r="E431">
        <f t="shared" ca="1" si="6"/>
        <v>240</v>
      </c>
    </row>
    <row r="432" spans="1:5" x14ac:dyDescent="0.45">
      <c r="A432" s="4">
        <v>745</v>
      </c>
      <c r="B432" s="1">
        <v>45772</v>
      </c>
      <c r="C432">
        <v>171.86</v>
      </c>
      <c r="D432">
        <v>2</v>
      </c>
      <c r="E432">
        <f t="shared" ca="1" si="6"/>
        <v>269</v>
      </c>
    </row>
    <row r="433" spans="1:5" x14ac:dyDescent="0.45">
      <c r="A433" s="4">
        <v>748</v>
      </c>
      <c r="B433" s="1">
        <v>45805</v>
      </c>
      <c r="C433">
        <v>110.08</v>
      </c>
      <c r="D433">
        <v>1</v>
      </c>
      <c r="E433">
        <f t="shared" ca="1" si="6"/>
        <v>236</v>
      </c>
    </row>
    <row r="434" spans="1:5" x14ac:dyDescent="0.45">
      <c r="A434" s="4">
        <v>749</v>
      </c>
      <c r="B434" s="1">
        <v>45800</v>
      </c>
      <c r="C434">
        <v>208.38</v>
      </c>
      <c r="D434">
        <v>2</v>
      </c>
      <c r="E434">
        <f t="shared" ca="1" si="6"/>
        <v>241</v>
      </c>
    </row>
    <row r="435" spans="1:5" x14ac:dyDescent="0.45">
      <c r="A435" s="4">
        <v>750</v>
      </c>
      <c r="B435" s="1">
        <v>45790</v>
      </c>
      <c r="C435">
        <v>205.16</v>
      </c>
      <c r="D435">
        <v>2</v>
      </c>
      <c r="E435">
        <f t="shared" ca="1" si="6"/>
        <v>251</v>
      </c>
    </row>
    <row r="436" spans="1:5" x14ac:dyDescent="0.45">
      <c r="A436" s="4">
        <v>751</v>
      </c>
      <c r="B436" s="1">
        <v>45781</v>
      </c>
      <c r="C436">
        <v>262.20000000000005</v>
      </c>
      <c r="D436">
        <v>2</v>
      </c>
      <c r="E436">
        <f t="shared" ca="1" si="6"/>
        <v>260</v>
      </c>
    </row>
    <row r="437" spans="1:5" x14ac:dyDescent="0.45">
      <c r="A437" s="4">
        <v>752</v>
      </c>
      <c r="B437" s="1">
        <v>45772</v>
      </c>
      <c r="C437">
        <v>51.38</v>
      </c>
      <c r="D437">
        <v>1</v>
      </c>
      <c r="E437">
        <f t="shared" ca="1" si="6"/>
        <v>269</v>
      </c>
    </row>
    <row r="438" spans="1:5" x14ac:dyDescent="0.45">
      <c r="A438" s="4">
        <v>754</v>
      </c>
      <c r="B438" s="1">
        <v>45781</v>
      </c>
      <c r="C438">
        <v>222.16000000000003</v>
      </c>
      <c r="D438">
        <v>2</v>
      </c>
      <c r="E438">
        <f t="shared" ca="1" si="6"/>
        <v>260</v>
      </c>
    </row>
    <row r="439" spans="1:5" x14ac:dyDescent="0.45">
      <c r="A439" s="4">
        <v>758</v>
      </c>
      <c r="B439" s="1">
        <v>45824</v>
      </c>
      <c r="C439">
        <v>50.52</v>
      </c>
      <c r="D439">
        <v>1</v>
      </c>
      <c r="E439">
        <f t="shared" ca="1" si="6"/>
        <v>217</v>
      </c>
    </row>
    <row r="440" spans="1:5" x14ac:dyDescent="0.45">
      <c r="A440" s="4">
        <v>759</v>
      </c>
      <c r="B440" s="1">
        <v>45808</v>
      </c>
      <c r="C440">
        <v>114.67</v>
      </c>
      <c r="D440">
        <v>2</v>
      </c>
      <c r="E440">
        <f t="shared" ca="1" si="6"/>
        <v>233</v>
      </c>
    </row>
    <row r="441" spans="1:5" x14ac:dyDescent="0.45">
      <c r="A441" s="4">
        <v>761</v>
      </c>
      <c r="B441" s="1">
        <v>45806</v>
      </c>
      <c r="C441">
        <v>45.27</v>
      </c>
      <c r="D441">
        <v>1</v>
      </c>
      <c r="E441">
        <f t="shared" ca="1" si="6"/>
        <v>235</v>
      </c>
    </row>
    <row r="442" spans="1:5" x14ac:dyDescent="0.45">
      <c r="A442" s="4">
        <v>762</v>
      </c>
      <c r="B442" s="1">
        <v>45776</v>
      </c>
      <c r="C442">
        <v>312.92</v>
      </c>
      <c r="D442">
        <v>2</v>
      </c>
      <c r="E442">
        <f t="shared" ca="1" si="6"/>
        <v>265</v>
      </c>
    </row>
    <row r="443" spans="1:5" x14ac:dyDescent="0.45">
      <c r="A443" s="4">
        <v>764</v>
      </c>
      <c r="B443" s="1">
        <v>45806</v>
      </c>
      <c r="C443">
        <v>431.98999999999995</v>
      </c>
      <c r="D443">
        <v>3</v>
      </c>
      <c r="E443">
        <f t="shared" ca="1" si="6"/>
        <v>235</v>
      </c>
    </row>
    <row r="444" spans="1:5" x14ac:dyDescent="0.45">
      <c r="A444" s="4">
        <v>767</v>
      </c>
      <c r="B444" s="1">
        <v>45805</v>
      </c>
      <c r="C444">
        <v>199.39999999999998</v>
      </c>
      <c r="D444">
        <v>2</v>
      </c>
      <c r="E444">
        <f t="shared" ca="1" si="6"/>
        <v>236</v>
      </c>
    </row>
    <row r="445" spans="1:5" x14ac:dyDescent="0.45">
      <c r="A445" s="4">
        <v>769</v>
      </c>
      <c r="B445" s="1">
        <v>45798</v>
      </c>
      <c r="C445">
        <v>220.31</v>
      </c>
      <c r="D445">
        <v>2</v>
      </c>
      <c r="E445">
        <f t="shared" ca="1" si="6"/>
        <v>243</v>
      </c>
    </row>
    <row r="446" spans="1:5" x14ac:dyDescent="0.45">
      <c r="A446" s="4">
        <v>770</v>
      </c>
      <c r="B446" s="1">
        <v>45766</v>
      </c>
      <c r="C446">
        <v>35.200000000000003</v>
      </c>
      <c r="D446">
        <v>1</v>
      </c>
      <c r="E446">
        <f t="shared" ca="1" si="6"/>
        <v>275</v>
      </c>
    </row>
    <row r="447" spans="1:5" x14ac:dyDescent="0.45">
      <c r="A447" s="4">
        <v>771</v>
      </c>
      <c r="B447" s="1">
        <v>45801</v>
      </c>
      <c r="C447">
        <v>51.17</v>
      </c>
      <c r="D447">
        <v>1</v>
      </c>
      <c r="E447">
        <f t="shared" ca="1" si="6"/>
        <v>240</v>
      </c>
    </row>
    <row r="448" spans="1:5" x14ac:dyDescent="0.45">
      <c r="A448" s="4">
        <v>772</v>
      </c>
      <c r="B448" s="1">
        <v>45753</v>
      </c>
      <c r="C448">
        <v>61.6</v>
      </c>
      <c r="D448">
        <v>1</v>
      </c>
      <c r="E448">
        <f t="shared" ca="1" si="6"/>
        <v>288</v>
      </c>
    </row>
    <row r="449" spans="1:5" x14ac:dyDescent="0.45">
      <c r="A449" s="4">
        <v>773</v>
      </c>
      <c r="B449" s="1">
        <v>45772</v>
      </c>
      <c r="C449">
        <v>46.52</v>
      </c>
      <c r="D449">
        <v>1</v>
      </c>
      <c r="E449">
        <f t="shared" ca="1" si="6"/>
        <v>269</v>
      </c>
    </row>
    <row r="450" spans="1:5" x14ac:dyDescent="0.45">
      <c r="A450" s="4">
        <v>774</v>
      </c>
      <c r="B450" s="1">
        <v>45812</v>
      </c>
      <c r="C450">
        <v>77.900000000000006</v>
      </c>
      <c r="D450">
        <v>1</v>
      </c>
      <c r="E450">
        <f t="shared" ca="1" si="6"/>
        <v>229</v>
      </c>
    </row>
    <row r="451" spans="1:5" x14ac:dyDescent="0.45">
      <c r="A451" s="4">
        <v>776</v>
      </c>
      <c r="B451" s="1">
        <v>45807</v>
      </c>
      <c r="C451">
        <v>514.27</v>
      </c>
      <c r="D451">
        <v>4</v>
      </c>
      <c r="E451">
        <f t="shared" ca="1" si="6"/>
        <v>234</v>
      </c>
    </row>
    <row r="452" spans="1:5" x14ac:dyDescent="0.45">
      <c r="A452" s="4">
        <v>777</v>
      </c>
      <c r="B452" s="1">
        <v>45803</v>
      </c>
      <c r="C452">
        <v>153.63999999999999</v>
      </c>
      <c r="D452">
        <v>1</v>
      </c>
      <c r="E452">
        <f t="shared" ca="1" si="6"/>
        <v>238</v>
      </c>
    </row>
    <row r="453" spans="1:5" x14ac:dyDescent="0.45">
      <c r="A453" s="4">
        <v>779</v>
      </c>
      <c r="B453" s="1">
        <v>45808</v>
      </c>
      <c r="C453">
        <v>75.449999999999989</v>
      </c>
      <c r="D453">
        <v>1</v>
      </c>
      <c r="E453">
        <f t="shared" ref="E453:E516" ca="1" si="7">TODAY()-B453</f>
        <v>233</v>
      </c>
    </row>
    <row r="454" spans="1:5" x14ac:dyDescent="0.45">
      <c r="A454" s="4">
        <v>780</v>
      </c>
      <c r="B454" s="1">
        <v>45812</v>
      </c>
      <c r="C454">
        <v>152.46</v>
      </c>
      <c r="D454">
        <v>2</v>
      </c>
      <c r="E454">
        <f t="shared" ca="1" si="7"/>
        <v>229</v>
      </c>
    </row>
    <row r="455" spans="1:5" x14ac:dyDescent="0.45">
      <c r="A455" s="4">
        <v>783</v>
      </c>
      <c r="B455" s="1">
        <v>45822</v>
      </c>
      <c r="C455">
        <v>125.69</v>
      </c>
      <c r="D455">
        <v>2</v>
      </c>
      <c r="E455">
        <f t="shared" ca="1" si="7"/>
        <v>219</v>
      </c>
    </row>
    <row r="456" spans="1:5" x14ac:dyDescent="0.45">
      <c r="A456" s="4">
        <v>785</v>
      </c>
      <c r="B456" s="1">
        <v>45777</v>
      </c>
      <c r="C456">
        <v>60.12</v>
      </c>
      <c r="D456">
        <v>1</v>
      </c>
      <c r="E456">
        <f t="shared" ca="1" si="7"/>
        <v>264</v>
      </c>
    </row>
    <row r="457" spans="1:5" x14ac:dyDescent="0.45">
      <c r="A457" s="4">
        <v>787</v>
      </c>
      <c r="B457" s="1">
        <v>45791</v>
      </c>
      <c r="C457">
        <v>215.86</v>
      </c>
      <c r="D457">
        <v>2</v>
      </c>
      <c r="E457">
        <f t="shared" ca="1" si="7"/>
        <v>250</v>
      </c>
    </row>
    <row r="458" spans="1:5" x14ac:dyDescent="0.45">
      <c r="A458" s="4">
        <v>790</v>
      </c>
      <c r="B458" s="1">
        <v>45825</v>
      </c>
      <c r="C458">
        <v>81.790000000000006</v>
      </c>
      <c r="D458">
        <v>1</v>
      </c>
      <c r="E458">
        <f t="shared" ca="1" si="7"/>
        <v>216</v>
      </c>
    </row>
    <row r="459" spans="1:5" x14ac:dyDescent="0.45">
      <c r="A459" s="4">
        <v>791</v>
      </c>
      <c r="B459" s="1">
        <v>45803</v>
      </c>
      <c r="C459">
        <v>59.56</v>
      </c>
      <c r="D459">
        <v>1</v>
      </c>
      <c r="E459">
        <f t="shared" ca="1" si="7"/>
        <v>238</v>
      </c>
    </row>
    <row r="460" spans="1:5" x14ac:dyDescent="0.45">
      <c r="A460" s="4">
        <v>792</v>
      </c>
      <c r="B460" s="1">
        <v>45813</v>
      </c>
      <c r="C460">
        <v>561.65000000000009</v>
      </c>
      <c r="D460">
        <v>3</v>
      </c>
      <c r="E460">
        <f t="shared" ca="1" si="7"/>
        <v>228</v>
      </c>
    </row>
    <row r="461" spans="1:5" x14ac:dyDescent="0.45">
      <c r="A461" s="4">
        <v>793</v>
      </c>
      <c r="B461" s="1">
        <v>45821</v>
      </c>
      <c r="C461">
        <v>57.19</v>
      </c>
      <c r="D461">
        <v>1</v>
      </c>
      <c r="E461">
        <f t="shared" ca="1" si="7"/>
        <v>220</v>
      </c>
    </row>
    <row r="462" spans="1:5" x14ac:dyDescent="0.45">
      <c r="A462" s="4">
        <v>795</v>
      </c>
      <c r="B462" s="1">
        <v>45812</v>
      </c>
      <c r="C462">
        <v>166.5</v>
      </c>
      <c r="D462">
        <v>2</v>
      </c>
      <c r="E462">
        <f t="shared" ca="1" si="7"/>
        <v>229</v>
      </c>
    </row>
    <row r="463" spans="1:5" x14ac:dyDescent="0.45">
      <c r="A463" s="4">
        <v>796</v>
      </c>
      <c r="B463" s="1">
        <v>45796</v>
      </c>
      <c r="C463">
        <v>410.68</v>
      </c>
      <c r="D463">
        <v>3</v>
      </c>
      <c r="E463">
        <f t="shared" ca="1" si="7"/>
        <v>245</v>
      </c>
    </row>
    <row r="464" spans="1:5" x14ac:dyDescent="0.45">
      <c r="A464" s="4">
        <v>798</v>
      </c>
      <c r="B464" s="1">
        <v>45799</v>
      </c>
      <c r="C464">
        <v>776.8</v>
      </c>
      <c r="D464">
        <v>3</v>
      </c>
      <c r="E464">
        <f t="shared" ca="1" si="7"/>
        <v>242</v>
      </c>
    </row>
    <row r="465" spans="1:5" x14ac:dyDescent="0.45">
      <c r="A465" s="4">
        <v>800</v>
      </c>
      <c r="B465" s="1">
        <v>45763</v>
      </c>
      <c r="C465">
        <v>130.52000000000001</v>
      </c>
      <c r="D465">
        <v>1</v>
      </c>
      <c r="E465">
        <f t="shared" ca="1" si="7"/>
        <v>278</v>
      </c>
    </row>
    <row r="466" spans="1:5" x14ac:dyDescent="0.45">
      <c r="A466" s="4">
        <v>801</v>
      </c>
      <c r="B466" s="1">
        <v>45803</v>
      </c>
      <c r="C466">
        <v>62.3</v>
      </c>
      <c r="D466">
        <v>1</v>
      </c>
      <c r="E466">
        <f t="shared" ca="1" si="7"/>
        <v>238</v>
      </c>
    </row>
    <row r="467" spans="1:5" x14ac:dyDescent="0.45">
      <c r="A467" s="4">
        <v>802</v>
      </c>
      <c r="B467" s="1">
        <v>45802</v>
      </c>
      <c r="C467">
        <v>320.27999999999997</v>
      </c>
      <c r="D467">
        <v>2</v>
      </c>
      <c r="E467">
        <f t="shared" ca="1" si="7"/>
        <v>239</v>
      </c>
    </row>
    <row r="468" spans="1:5" x14ac:dyDescent="0.45">
      <c r="A468" s="4">
        <v>804</v>
      </c>
      <c r="B468" s="1">
        <v>45795</v>
      </c>
      <c r="C468">
        <v>71.7</v>
      </c>
      <c r="D468">
        <v>1</v>
      </c>
      <c r="E468">
        <f t="shared" ca="1" si="7"/>
        <v>246</v>
      </c>
    </row>
    <row r="469" spans="1:5" x14ac:dyDescent="0.45">
      <c r="A469" s="4">
        <v>805</v>
      </c>
      <c r="B469" s="1">
        <v>45770</v>
      </c>
      <c r="C469">
        <v>69.540000000000006</v>
      </c>
      <c r="D469">
        <v>1</v>
      </c>
      <c r="E469">
        <f t="shared" ca="1" si="7"/>
        <v>271</v>
      </c>
    </row>
    <row r="470" spans="1:5" x14ac:dyDescent="0.45">
      <c r="A470" s="4">
        <v>806</v>
      </c>
      <c r="B470" s="1">
        <v>45797</v>
      </c>
      <c r="C470">
        <v>156.24</v>
      </c>
      <c r="D470">
        <v>1</v>
      </c>
      <c r="E470">
        <f t="shared" ca="1" si="7"/>
        <v>244</v>
      </c>
    </row>
    <row r="471" spans="1:5" x14ac:dyDescent="0.45">
      <c r="A471" s="4">
        <v>807</v>
      </c>
      <c r="B471" s="1">
        <v>45772</v>
      </c>
      <c r="C471">
        <v>146.64000000000001</v>
      </c>
      <c r="D471">
        <v>1</v>
      </c>
      <c r="E471">
        <f t="shared" ca="1" si="7"/>
        <v>269</v>
      </c>
    </row>
    <row r="472" spans="1:5" x14ac:dyDescent="0.45">
      <c r="A472" s="4">
        <v>811</v>
      </c>
      <c r="B472" s="1">
        <v>45824</v>
      </c>
      <c r="C472">
        <v>87.68</v>
      </c>
      <c r="D472">
        <v>1</v>
      </c>
      <c r="E472">
        <f t="shared" ca="1" si="7"/>
        <v>217</v>
      </c>
    </row>
    <row r="473" spans="1:5" x14ac:dyDescent="0.45">
      <c r="A473" s="4">
        <v>813</v>
      </c>
      <c r="B473" s="1">
        <v>45760</v>
      </c>
      <c r="C473">
        <v>103.52</v>
      </c>
      <c r="D473">
        <v>1</v>
      </c>
      <c r="E473">
        <f t="shared" ca="1" si="7"/>
        <v>281</v>
      </c>
    </row>
    <row r="474" spans="1:5" x14ac:dyDescent="0.45">
      <c r="A474" s="4">
        <v>816</v>
      </c>
      <c r="B474" s="1">
        <v>45808</v>
      </c>
      <c r="C474">
        <v>302.47000000000003</v>
      </c>
      <c r="D474">
        <v>4</v>
      </c>
      <c r="E474">
        <f t="shared" ca="1" si="7"/>
        <v>233</v>
      </c>
    </row>
    <row r="475" spans="1:5" x14ac:dyDescent="0.45">
      <c r="A475" s="4">
        <v>818</v>
      </c>
      <c r="B475" s="1">
        <v>45761</v>
      </c>
      <c r="C475">
        <v>42.72</v>
      </c>
      <c r="D475">
        <v>1</v>
      </c>
      <c r="E475">
        <f t="shared" ca="1" si="7"/>
        <v>280</v>
      </c>
    </row>
    <row r="476" spans="1:5" x14ac:dyDescent="0.45">
      <c r="A476" s="4">
        <v>819</v>
      </c>
      <c r="B476" s="1">
        <v>45801</v>
      </c>
      <c r="C476">
        <v>260.58999999999997</v>
      </c>
      <c r="D476">
        <v>2</v>
      </c>
      <c r="E476">
        <f t="shared" ca="1" si="7"/>
        <v>240</v>
      </c>
    </row>
    <row r="477" spans="1:5" x14ac:dyDescent="0.45">
      <c r="A477" s="4">
        <v>820</v>
      </c>
      <c r="B477" s="1">
        <v>45804</v>
      </c>
      <c r="C477">
        <v>140.63</v>
      </c>
      <c r="D477">
        <v>2</v>
      </c>
      <c r="E477">
        <f t="shared" ca="1" si="7"/>
        <v>237</v>
      </c>
    </row>
    <row r="478" spans="1:5" x14ac:dyDescent="0.45">
      <c r="A478" s="4">
        <v>822</v>
      </c>
      <c r="B478" s="1">
        <v>45821</v>
      </c>
      <c r="C478">
        <v>55.519999999999996</v>
      </c>
      <c r="D478">
        <v>2</v>
      </c>
      <c r="E478">
        <f t="shared" ca="1" si="7"/>
        <v>220</v>
      </c>
    </row>
    <row r="479" spans="1:5" x14ac:dyDescent="0.45">
      <c r="A479" s="4">
        <v>823</v>
      </c>
      <c r="B479" s="1">
        <v>45791</v>
      </c>
      <c r="C479">
        <v>32.21</v>
      </c>
      <c r="D479">
        <v>1</v>
      </c>
      <c r="E479">
        <f t="shared" ca="1" si="7"/>
        <v>250</v>
      </c>
    </row>
    <row r="480" spans="1:5" x14ac:dyDescent="0.45">
      <c r="A480" s="4">
        <v>825</v>
      </c>
      <c r="B480" s="1">
        <v>45794</v>
      </c>
      <c r="C480">
        <v>85.24</v>
      </c>
      <c r="D480">
        <v>1</v>
      </c>
      <c r="E480">
        <f t="shared" ca="1" si="7"/>
        <v>247</v>
      </c>
    </row>
    <row r="481" spans="1:5" x14ac:dyDescent="0.45">
      <c r="A481" s="4">
        <v>826</v>
      </c>
      <c r="B481" s="1">
        <v>45825</v>
      </c>
      <c r="C481">
        <v>126.06</v>
      </c>
      <c r="D481">
        <v>1</v>
      </c>
      <c r="E481">
        <f t="shared" ca="1" si="7"/>
        <v>216</v>
      </c>
    </row>
    <row r="482" spans="1:5" x14ac:dyDescent="0.45">
      <c r="A482" s="4">
        <v>827</v>
      </c>
      <c r="B482" s="1">
        <v>45822</v>
      </c>
      <c r="C482">
        <v>39.090000000000003</v>
      </c>
      <c r="D482">
        <v>1</v>
      </c>
      <c r="E482">
        <f t="shared" ca="1" si="7"/>
        <v>219</v>
      </c>
    </row>
    <row r="483" spans="1:5" x14ac:dyDescent="0.45">
      <c r="A483" s="4">
        <v>828</v>
      </c>
      <c r="B483" s="1">
        <v>45824</v>
      </c>
      <c r="C483">
        <v>74.260000000000005</v>
      </c>
      <c r="D483">
        <v>1</v>
      </c>
      <c r="E483">
        <f t="shared" ca="1" si="7"/>
        <v>217</v>
      </c>
    </row>
    <row r="484" spans="1:5" x14ac:dyDescent="0.45">
      <c r="A484" s="4">
        <v>829</v>
      </c>
      <c r="B484" s="1">
        <v>45814</v>
      </c>
      <c r="C484">
        <v>306.35000000000002</v>
      </c>
      <c r="D484">
        <v>2</v>
      </c>
      <c r="E484">
        <f t="shared" ca="1" si="7"/>
        <v>227</v>
      </c>
    </row>
    <row r="485" spans="1:5" x14ac:dyDescent="0.45">
      <c r="A485" s="4">
        <v>830</v>
      </c>
      <c r="B485" s="1">
        <v>45823</v>
      </c>
      <c r="C485">
        <v>487.1</v>
      </c>
      <c r="D485">
        <v>2</v>
      </c>
      <c r="E485">
        <f t="shared" ca="1" si="7"/>
        <v>218</v>
      </c>
    </row>
    <row r="486" spans="1:5" x14ac:dyDescent="0.45">
      <c r="A486" s="4">
        <v>831</v>
      </c>
      <c r="B486" s="1">
        <v>45775</v>
      </c>
      <c r="C486">
        <v>178.74</v>
      </c>
      <c r="D486">
        <v>1</v>
      </c>
      <c r="E486">
        <f t="shared" ca="1" si="7"/>
        <v>266</v>
      </c>
    </row>
    <row r="487" spans="1:5" x14ac:dyDescent="0.45">
      <c r="A487" s="4">
        <v>832</v>
      </c>
      <c r="B487" s="1">
        <v>45776</v>
      </c>
      <c r="C487">
        <v>34.229999999999997</v>
      </c>
      <c r="D487">
        <v>1</v>
      </c>
      <c r="E487">
        <f t="shared" ca="1" si="7"/>
        <v>265</v>
      </c>
    </row>
    <row r="488" spans="1:5" x14ac:dyDescent="0.45">
      <c r="A488" s="4">
        <v>833</v>
      </c>
      <c r="B488" s="1">
        <v>45808</v>
      </c>
      <c r="C488">
        <v>124.54</v>
      </c>
      <c r="D488">
        <v>1</v>
      </c>
      <c r="E488">
        <f t="shared" ca="1" si="7"/>
        <v>233</v>
      </c>
    </row>
    <row r="489" spans="1:5" x14ac:dyDescent="0.45">
      <c r="A489" s="4">
        <v>834</v>
      </c>
      <c r="B489" s="1">
        <v>45769</v>
      </c>
      <c r="C489">
        <v>226.35000000000002</v>
      </c>
      <c r="D489">
        <v>1</v>
      </c>
      <c r="E489">
        <f t="shared" ca="1" si="7"/>
        <v>272</v>
      </c>
    </row>
    <row r="490" spans="1:5" x14ac:dyDescent="0.45">
      <c r="A490" s="4">
        <v>835</v>
      </c>
      <c r="B490" s="1">
        <v>45824</v>
      </c>
      <c r="C490">
        <v>81.8</v>
      </c>
      <c r="D490">
        <v>1</v>
      </c>
      <c r="E490">
        <f t="shared" ca="1" si="7"/>
        <v>217</v>
      </c>
    </row>
    <row r="491" spans="1:5" x14ac:dyDescent="0.45">
      <c r="A491" s="4">
        <v>836</v>
      </c>
      <c r="B491" s="1">
        <v>45765</v>
      </c>
      <c r="C491">
        <v>47.66</v>
      </c>
      <c r="D491">
        <v>1</v>
      </c>
      <c r="E491">
        <f t="shared" ca="1" si="7"/>
        <v>276</v>
      </c>
    </row>
    <row r="492" spans="1:5" x14ac:dyDescent="0.45">
      <c r="A492" s="4">
        <v>837</v>
      </c>
      <c r="B492" s="1">
        <v>45825</v>
      </c>
      <c r="C492">
        <v>227</v>
      </c>
      <c r="D492">
        <v>2</v>
      </c>
      <c r="E492">
        <f t="shared" ca="1" si="7"/>
        <v>216</v>
      </c>
    </row>
    <row r="493" spans="1:5" x14ac:dyDescent="0.45">
      <c r="A493" s="4">
        <v>838</v>
      </c>
      <c r="B493" s="1">
        <v>45770</v>
      </c>
      <c r="C493">
        <v>42.47</v>
      </c>
      <c r="D493">
        <v>1</v>
      </c>
      <c r="E493">
        <f t="shared" ca="1" si="7"/>
        <v>271</v>
      </c>
    </row>
    <row r="494" spans="1:5" x14ac:dyDescent="0.45">
      <c r="A494" s="4">
        <v>839</v>
      </c>
      <c r="B494" s="1">
        <v>45767</v>
      </c>
      <c r="C494">
        <v>101.57</v>
      </c>
      <c r="D494">
        <v>2</v>
      </c>
      <c r="E494">
        <f t="shared" ca="1" si="7"/>
        <v>274</v>
      </c>
    </row>
    <row r="495" spans="1:5" x14ac:dyDescent="0.45">
      <c r="A495" s="4">
        <v>840</v>
      </c>
      <c r="B495" s="1">
        <v>45804</v>
      </c>
      <c r="C495">
        <v>100.08</v>
      </c>
      <c r="D495">
        <v>1</v>
      </c>
      <c r="E495">
        <f t="shared" ca="1" si="7"/>
        <v>237</v>
      </c>
    </row>
    <row r="496" spans="1:5" x14ac:dyDescent="0.45">
      <c r="A496" s="4">
        <v>841</v>
      </c>
      <c r="B496" s="1">
        <v>45775</v>
      </c>
      <c r="C496">
        <v>219.64</v>
      </c>
      <c r="D496">
        <v>1</v>
      </c>
      <c r="E496">
        <f t="shared" ca="1" si="7"/>
        <v>266</v>
      </c>
    </row>
    <row r="497" spans="1:5" x14ac:dyDescent="0.45">
      <c r="A497" s="4">
        <v>842</v>
      </c>
      <c r="B497" s="1">
        <v>45799</v>
      </c>
      <c r="C497">
        <v>109.82</v>
      </c>
      <c r="D497">
        <v>1</v>
      </c>
      <c r="E497">
        <f t="shared" ca="1" si="7"/>
        <v>242</v>
      </c>
    </row>
    <row r="498" spans="1:5" x14ac:dyDescent="0.45">
      <c r="A498" s="4">
        <v>843</v>
      </c>
      <c r="B498" s="1">
        <v>45800</v>
      </c>
      <c r="C498">
        <v>106.7</v>
      </c>
      <c r="D498">
        <v>1</v>
      </c>
      <c r="E498">
        <f t="shared" ca="1" si="7"/>
        <v>241</v>
      </c>
    </row>
    <row r="499" spans="1:5" x14ac:dyDescent="0.45">
      <c r="A499" s="4">
        <v>849</v>
      </c>
      <c r="B499" s="1">
        <v>45772</v>
      </c>
      <c r="C499">
        <v>55.06</v>
      </c>
      <c r="D499">
        <v>1</v>
      </c>
      <c r="E499">
        <f t="shared" ca="1" si="7"/>
        <v>269</v>
      </c>
    </row>
    <row r="500" spans="1:5" x14ac:dyDescent="0.45">
      <c r="A500" s="4">
        <v>851</v>
      </c>
      <c r="B500" s="1">
        <v>45781</v>
      </c>
      <c r="C500">
        <v>109.74</v>
      </c>
      <c r="D500">
        <v>1</v>
      </c>
      <c r="E500">
        <f t="shared" ca="1" si="7"/>
        <v>260</v>
      </c>
    </row>
    <row r="501" spans="1:5" x14ac:dyDescent="0.45">
      <c r="A501" s="4">
        <v>852</v>
      </c>
      <c r="B501" s="1">
        <v>45824</v>
      </c>
      <c r="C501">
        <v>101.97</v>
      </c>
      <c r="D501">
        <v>2</v>
      </c>
      <c r="E501">
        <f t="shared" ca="1" si="7"/>
        <v>217</v>
      </c>
    </row>
    <row r="502" spans="1:5" x14ac:dyDescent="0.45">
      <c r="A502" s="4">
        <v>854</v>
      </c>
      <c r="B502" s="1">
        <v>45823</v>
      </c>
      <c r="C502">
        <v>72.47</v>
      </c>
      <c r="D502">
        <v>2</v>
      </c>
      <c r="E502">
        <f t="shared" ca="1" si="7"/>
        <v>218</v>
      </c>
    </row>
    <row r="503" spans="1:5" x14ac:dyDescent="0.45">
      <c r="A503" s="4">
        <v>855</v>
      </c>
      <c r="B503" s="1">
        <v>45821</v>
      </c>
      <c r="C503">
        <v>127.97999999999999</v>
      </c>
      <c r="D503">
        <v>1</v>
      </c>
      <c r="E503">
        <f t="shared" ca="1" si="7"/>
        <v>220</v>
      </c>
    </row>
    <row r="504" spans="1:5" x14ac:dyDescent="0.45">
      <c r="A504" s="4">
        <v>857</v>
      </c>
      <c r="B504" s="1">
        <v>45782</v>
      </c>
      <c r="C504">
        <v>108.36</v>
      </c>
      <c r="D504">
        <v>2</v>
      </c>
      <c r="E504">
        <f t="shared" ca="1" si="7"/>
        <v>259</v>
      </c>
    </row>
    <row r="505" spans="1:5" x14ac:dyDescent="0.45">
      <c r="A505" s="4">
        <v>858</v>
      </c>
      <c r="B505" s="1">
        <v>45808</v>
      </c>
      <c r="C505">
        <v>100.02000000000001</v>
      </c>
      <c r="D505">
        <v>2</v>
      </c>
      <c r="E505">
        <f t="shared" ca="1" si="7"/>
        <v>233</v>
      </c>
    </row>
    <row r="506" spans="1:5" x14ac:dyDescent="0.45">
      <c r="A506" s="4">
        <v>861</v>
      </c>
      <c r="B506" s="1">
        <v>45823</v>
      </c>
      <c r="C506">
        <v>274.42</v>
      </c>
      <c r="D506">
        <v>3</v>
      </c>
      <c r="E506">
        <f t="shared" ca="1" si="7"/>
        <v>218</v>
      </c>
    </row>
    <row r="507" spans="1:5" x14ac:dyDescent="0.45">
      <c r="A507" s="4">
        <v>863</v>
      </c>
      <c r="B507" s="1">
        <v>45761</v>
      </c>
      <c r="C507">
        <v>38.74</v>
      </c>
      <c r="D507">
        <v>1</v>
      </c>
      <c r="E507">
        <f t="shared" ca="1" si="7"/>
        <v>280</v>
      </c>
    </row>
    <row r="508" spans="1:5" x14ac:dyDescent="0.45">
      <c r="A508" s="4">
        <v>864</v>
      </c>
      <c r="B508" s="1">
        <v>45825</v>
      </c>
      <c r="C508">
        <v>448.68000000000006</v>
      </c>
      <c r="D508">
        <v>2</v>
      </c>
      <c r="E508">
        <f t="shared" ca="1" si="7"/>
        <v>216</v>
      </c>
    </row>
    <row r="509" spans="1:5" x14ac:dyDescent="0.45">
      <c r="A509" s="4">
        <v>867</v>
      </c>
      <c r="B509" s="1">
        <v>45772</v>
      </c>
      <c r="C509">
        <v>230.97</v>
      </c>
      <c r="D509">
        <v>3</v>
      </c>
      <c r="E509">
        <f t="shared" ca="1" si="7"/>
        <v>269</v>
      </c>
    </row>
    <row r="510" spans="1:5" x14ac:dyDescent="0.45">
      <c r="A510" s="4">
        <v>869</v>
      </c>
      <c r="B510" s="1">
        <v>45814</v>
      </c>
      <c r="C510">
        <v>81.34</v>
      </c>
      <c r="D510">
        <v>1</v>
      </c>
      <c r="E510">
        <f t="shared" ca="1" si="7"/>
        <v>227</v>
      </c>
    </row>
    <row r="511" spans="1:5" x14ac:dyDescent="0.45">
      <c r="A511" s="4">
        <v>871</v>
      </c>
      <c r="B511" s="1">
        <v>45793</v>
      </c>
      <c r="C511">
        <v>66.33</v>
      </c>
      <c r="D511">
        <v>1</v>
      </c>
      <c r="E511">
        <f t="shared" ca="1" si="7"/>
        <v>248</v>
      </c>
    </row>
    <row r="512" spans="1:5" x14ac:dyDescent="0.45">
      <c r="A512" s="4">
        <v>872</v>
      </c>
      <c r="B512" s="1">
        <v>45802</v>
      </c>
      <c r="C512">
        <v>539.49</v>
      </c>
      <c r="D512">
        <v>5</v>
      </c>
      <c r="E512">
        <f t="shared" ca="1" si="7"/>
        <v>239</v>
      </c>
    </row>
    <row r="513" spans="1:5" x14ac:dyDescent="0.45">
      <c r="A513" s="4">
        <v>873</v>
      </c>
      <c r="B513" s="1">
        <v>45801</v>
      </c>
      <c r="C513">
        <v>72.099999999999994</v>
      </c>
      <c r="D513">
        <v>1</v>
      </c>
      <c r="E513">
        <f t="shared" ca="1" si="7"/>
        <v>240</v>
      </c>
    </row>
    <row r="514" spans="1:5" x14ac:dyDescent="0.45">
      <c r="A514" s="4">
        <v>876</v>
      </c>
      <c r="B514" s="1">
        <v>45814</v>
      </c>
      <c r="C514">
        <v>352.92</v>
      </c>
      <c r="D514">
        <v>2</v>
      </c>
      <c r="E514">
        <f t="shared" ca="1" si="7"/>
        <v>227</v>
      </c>
    </row>
    <row r="515" spans="1:5" x14ac:dyDescent="0.45">
      <c r="A515" s="4">
        <v>877</v>
      </c>
      <c r="B515" s="1">
        <v>45774</v>
      </c>
      <c r="C515">
        <v>107.34</v>
      </c>
      <c r="D515">
        <v>1</v>
      </c>
      <c r="E515">
        <f t="shared" ca="1" si="7"/>
        <v>267</v>
      </c>
    </row>
    <row r="516" spans="1:5" x14ac:dyDescent="0.45">
      <c r="A516" s="4">
        <v>878</v>
      </c>
      <c r="B516" s="1">
        <v>45775</v>
      </c>
      <c r="C516">
        <v>182.37</v>
      </c>
      <c r="D516">
        <v>1</v>
      </c>
      <c r="E516">
        <f t="shared" ca="1" si="7"/>
        <v>266</v>
      </c>
    </row>
    <row r="517" spans="1:5" x14ac:dyDescent="0.45">
      <c r="A517" s="4">
        <v>879</v>
      </c>
      <c r="B517" s="1">
        <v>45797</v>
      </c>
      <c r="C517">
        <v>160.64999999999998</v>
      </c>
      <c r="D517">
        <v>2</v>
      </c>
      <c r="E517">
        <f t="shared" ref="E517:E580" ca="1" si="8">TODAY()-B517</f>
        <v>244</v>
      </c>
    </row>
    <row r="518" spans="1:5" x14ac:dyDescent="0.45">
      <c r="A518" s="4">
        <v>880</v>
      </c>
      <c r="B518" s="1">
        <v>45776</v>
      </c>
      <c r="C518">
        <v>49.84</v>
      </c>
      <c r="D518">
        <v>1</v>
      </c>
      <c r="E518">
        <f t="shared" ca="1" si="8"/>
        <v>265</v>
      </c>
    </row>
    <row r="519" spans="1:5" x14ac:dyDescent="0.45">
      <c r="A519" s="4">
        <v>881</v>
      </c>
      <c r="B519" s="1">
        <v>45798</v>
      </c>
      <c r="C519">
        <v>189.32999999999998</v>
      </c>
      <c r="D519">
        <v>2</v>
      </c>
      <c r="E519">
        <f t="shared" ca="1" si="8"/>
        <v>243</v>
      </c>
    </row>
    <row r="520" spans="1:5" x14ac:dyDescent="0.45">
      <c r="A520" s="4">
        <v>883</v>
      </c>
      <c r="B520" s="1">
        <v>45795</v>
      </c>
      <c r="C520">
        <v>159.74</v>
      </c>
      <c r="D520">
        <v>2</v>
      </c>
      <c r="E520">
        <f t="shared" ca="1" si="8"/>
        <v>246</v>
      </c>
    </row>
    <row r="521" spans="1:5" x14ac:dyDescent="0.45">
      <c r="A521" s="4">
        <v>884</v>
      </c>
      <c r="B521" s="1">
        <v>45813</v>
      </c>
      <c r="C521">
        <v>113.83</v>
      </c>
      <c r="D521">
        <v>2</v>
      </c>
      <c r="E521">
        <f t="shared" ca="1" si="8"/>
        <v>228</v>
      </c>
    </row>
    <row r="522" spans="1:5" x14ac:dyDescent="0.45">
      <c r="A522" s="4">
        <v>885</v>
      </c>
      <c r="B522" s="1">
        <v>45782</v>
      </c>
      <c r="C522">
        <v>143.95999999999998</v>
      </c>
      <c r="D522">
        <v>2</v>
      </c>
      <c r="E522">
        <f t="shared" ca="1" si="8"/>
        <v>259</v>
      </c>
    </row>
    <row r="523" spans="1:5" x14ac:dyDescent="0.45">
      <c r="A523" s="4">
        <v>891</v>
      </c>
      <c r="B523" s="1">
        <v>45762</v>
      </c>
      <c r="C523">
        <v>148.44</v>
      </c>
      <c r="D523">
        <v>1</v>
      </c>
      <c r="E523">
        <f t="shared" ca="1" si="8"/>
        <v>279</v>
      </c>
    </row>
    <row r="524" spans="1:5" x14ac:dyDescent="0.45">
      <c r="A524" s="4">
        <v>892</v>
      </c>
      <c r="B524" s="1">
        <v>45798</v>
      </c>
      <c r="C524">
        <v>98.97</v>
      </c>
      <c r="D524">
        <v>2</v>
      </c>
      <c r="E524">
        <f t="shared" ca="1" si="8"/>
        <v>243</v>
      </c>
    </row>
    <row r="525" spans="1:5" x14ac:dyDescent="0.45">
      <c r="A525" s="4">
        <v>895</v>
      </c>
      <c r="B525" s="1">
        <v>45792</v>
      </c>
      <c r="C525">
        <v>32.82</v>
      </c>
      <c r="D525">
        <v>1</v>
      </c>
      <c r="E525">
        <f t="shared" ca="1" si="8"/>
        <v>249</v>
      </c>
    </row>
    <row r="526" spans="1:5" x14ac:dyDescent="0.45">
      <c r="A526" s="4">
        <v>896</v>
      </c>
      <c r="B526" s="1">
        <v>45773</v>
      </c>
      <c r="C526">
        <v>216.07</v>
      </c>
      <c r="D526">
        <v>3</v>
      </c>
      <c r="E526">
        <f t="shared" ca="1" si="8"/>
        <v>268</v>
      </c>
    </row>
    <row r="527" spans="1:5" x14ac:dyDescent="0.45">
      <c r="A527" s="4">
        <v>897</v>
      </c>
      <c r="B527" s="1">
        <v>45777</v>
      </c>
      <c r="C527">
        <v>151.28</v>
      </c>
      <c r="D527">
        <v>2</v>
      </c>
      <c r="E527">
        <f t="shared" ca="1" si="8"/>
        <v>264</v>
      </c>
    </row>
    <row r="528" spans="1:5" x14ac:dyDescent="0.45">
      <c r="A528" s="4">
        <v>898</v>
      </c>
      <c r="B528" s="1">
        <v>45791</v>
      </c>
      <c r="C528">
        <v>70.12</v>
      </c>
      <c r="D528">
        <v>2</v>
      </c>
      <c r="E528">
        <f t="shared" ca="1" si="8"/>
        <v>250</v>
      </c>
    </row>
    <row r="529" spans="1:5" x14ac:dyDescent="0.45">
      <c r="A529" s="4">
        <v>900</v>
      </c>
      <c r="B529" s="1">
        <v>45807</v>
      </c>
      <c r="C529">
        <v>55.27</v>
      </c>
      <c r="D529">
        <v>1</v>
      </c>
      <c r="E529">
        <f t="shared" ca="1" si="8"/>
        <v>234</v>
      </c>
    </row>
    <row r="530" spans="1:5" x14ac:dyDescent="0.45">
      <c r="A530" s="4">
        <v>903</v>
      </c>
      <c r="B530" s="1">
        <v>45804</v>
      </c>
      <c r="C530">
        <v>157</v>
      </c>
      <c r="D530">
        <v>2</v>
      </c>
      <c r="E530">
        <f t="shared" ca="1" si="8"/>
        <v>237</v>
      </c>
    </row>
    <row r="531" spans="1:5" x14ac:dyDescent="0.45">
      <c r="A531" s="4">
        <v>906</v>
      </c>
      <c r="B531" s="1">
        <v>45794</v>
      </c>
      <c r="C531">
        <v>55.06</v>
      </c>
      <c r="D531">
        <v>1</v>
      </c>
      <c r="E531">
        <f t="shared" ca="1" si="8"/>
        <v>247</v>
      </c>
    </row>
    <row r="532" spans="1:5" x14ac:dyDescent="0.45">
      <c r="A532" s="4">
        <v>907</v>
      </c>
      <c r="B532" s="1">
        <v>45752</v>
      </c>
      <c r="C532">
        <v>57.48</v>
      </c>
      <c r="D532">
        <v>1</v>
      </c>
      <c r="E532">
        <f t="shared" ca="1" si="8"/>
        <v>289</v>
      </c>
    </row>
    <row r="533" spans="1:5" x14ac:dyDescent="0.45">
      <c r="A533" s="4">
        <v>908</v>
      </c>
      <c r="B533" s="1">
        <v>45798</v>
      </c>
      <c r="C533">
        <v>145.12</v>
      </c>
      <c r="D533">
        <v>2</v>
      </c>
      <c r="E533">
        <f t="shared" ca="1" si="8"/>
        <v>243</v>
      </c>
    </row>
    <row r="534" spans="1:5" x14ac:dyDescent="0.45">
      <c r="A534" s="4">
        <v>912</v>
      </c>
      <c r="B534" s="1">
        <v>45814</v>
      </c>
      <c r="C534">
        <v>63.22</v>
      </c>
      <c r="D534">
        <v>1</v>
      </c>
      <c r="E534">
        <f t="shared" ca="1" si="8"/>
        <v>227</v>
      </c>
    </row>
    <row r="535" spans="1:5" x14ac:dyDescent="0.45">
      <c r="A535" s="4">
        <v>913</v>
      </c>
      <c r="B535" s="1">
        <v>45824</v>
      </c>
      <c r="C535">
        <v>64.819999999999993</v>
      </c>
      <c r="D535">
        <v>1</v>
      </c>
      <c r="E535">
        <f t="shared" ca="1" si="8"/>
        <v>217</v>
      </c>
    </row>
    <row r="536" spans="1:5" x14ac:dyDescent="0.45">
      <c r="A536" s="4">
        <v>914</v>
      </c>
      <c r="B536" s="1">
        <v>45783</v>
      </c>
      <c r="C536">
        <v>26.84</v>
      </c>
      <c r="D536">
        <v>1</v>
      </c>
      <c r="E536">
        <f t="shared" ca="1" si="8"/>
        <v>258</v>
      </c>
    </row>
    <row r="537" spans="1:5" x14ac:dyDescent="0.45">
      <c r="A537" s="4">
        <v>915</v>
      </c>
      <c r="B537" s="1">
        <v>45774</v>
      </c>
      <c r="C537">
        <v>31.84</v>
      </c>
      <c r="D537">
        <v>1</v>
      </c>
      <c r="E537">
        <f t="shared" ca="1" si="8"/>
        <v>267</v>
      </c>
    </row>
    <row r="538" spans="1:5" x14ac:dyDescent="0.45">
      <c r="A538" s="4">
        <v>916</v>
      </c>
      <c r="B538" s="1">
        <v>45772</v>
      </c>
      <c r="C538">
        <v>168.60000000000002</v>
      </c>
      <c r="D538">
        <v>1</v>
      </c>
      <c r="E538">
        <f t="shared" ca="1" si="8"/>
        <v>269</v>
      </c>
    </row>
    <row r="539" spans="1:5" x14ac:dyDescent="0.45">
      <c r="A539" s="4">
        <v>920</v>
      </c>
      <c r="B539" s="1">
        <v>45777</v>
      </c>
      <c r="C539">
        <v>224.27999999999997</v>
      </c>
      <c r="D539">
        <v>2</v>
      </c>
      <c r="E539">
        <f t="shared" ca="1" si="8"/>
        <v>264</v>
      </c>
    </row>
    <row r="540" spans="1:5" x14ac:dyDescent="0.45">
      <c r="A540" s="4">
        <v>921</v>
      </c>
      <c r="B540" s="1">
        <v>45794</v>
      </c>
      <c r="C540">
        <v>93.78</v>
      </c>
      <c r="D540">
        <v>1</v>
      </c>
      <c r="E540">
        <f t="shared" ca="1" si="8"/>
        <v>247</v>
      </c>
    </row>
    <row r="541" spans="1:5" x14ac:dyDescent="0.45">
      <c r="A541" s="4">
        <v>922</v>
      </c>
      <c r="B541" s="1">
        <v>45822</v>
      </c>
      <c r="C541">
        <v>190.48000000000002</v>
      </c>
      <c r="D541">
        <v>2</v>
      </c>
      <c r="E541">
        <f t="shared" ca="1" si="8"/>
        <v>219</v>
      </c>
    </row>
    <row r="542" spans="1:5" x14ac:dyDescent="0.45">
      <c r="A542" s="4">
        <v>928</v>
      </c>
      <c r="B542" s="1">
        <v>45768</v>
      </c>
      <c r="C542">
        <v>99.52</v>
      </c>
      <c r="D542">
        <v>1</v>
      </c>
      <c r="E542">
        <f t="shared" ca="1" si="8"/>
        <v>273</v>
      </c>
    </row>
    <row r="543" spans="1:5" x14ac:dyDescent="0.45">
      <c r="A543" s="4">
        <v>929</v>
      </c>
      <c r="B543" s="1">
        <v>45803</v>
      </c>
      <c r="C543">
        <v>256.64999999999998</v>
      </c>
      <c r="D543">
        <v>3</v>
      </c>
      <c r="E543">
        <f t="shared" ca="1" si="8"/>
        <v>238</v>
      </c>
    </row>
    <row r="544" spans="1:5" x14ac:dyDescent="0.45">
      <c r="A544" s="4">
        <v>930</v>
      </c>
      <c r="B544" s="1">
        <v>45822</v>
      </c>
      <c r="C544">
        <v>49.84</v>
      </c>
      <c r="D544">
        <v>1</v>
      </c>
      <c r="E544">
        <f t="shared" ca="1" si="8"/>
        <v>219</v>
      </c>
    </row>
    <row r="545" spans="1:5" x14ac:dyDescent="0.45">
      <c r="A545" s="4">
        <v>932</v>
      </c>
      <c r="B545" s="1">
        <v>45801</v>
      </c>
      <c r="C545">
        <v>128.65</v>
      </c>
      <c r="D545">
        <v>2</v>
      </c>
      <c r="E545">
        <f t="shared" ca="1" si="8"/>
        <v>240</v>
      </c>
    </row>
    <row r="546" spans="1:5" x14ac:dyDescent="0.45">
      <c r="A546" s="4">
        <v>935</v>
      </c>
      <c r="B546" s="1">
        <v>45808</v>
      </c>
      <c r="C546">
        <v>275.3</v>
      </c>
      <c r="D546">
        <v>2</v>
      </c>
      <c r="E546">
        <f t="shared" ca="1" si="8"/>
        <v>233</v>
      </c>
    </row>
    <row r="547" spans="1:5" x14ac:dyDescent="0.45">
      <c r="A547" s="4">
        <v>936</v>
      </c>
      <c r="B547" s="1">
        <v>45824</v>
      </c>
      <c r="C547">
        <v>330.23</v>
      </c>
      <c r="D547">
        <v>2</v>
      </c>
      <c r="E547">
        <f t="shared" ca="1" si="8"/>
        <v>217</v>
      </c>
    </row>
    <row r="548" spans="1:5" x14ac:dyDescent="0.45">
      <c r="A548" s="4">
        <v>943</v>
      </c>
      <c r="B548" s="1">
        <v>45795</v>
      </c>
      <c r="C548">
        <v>277.06</v>
      </c>
      <c r="D548">
        <v>3</v>
      </c>
      <c r="E548">
        <f t="shared" ca="1" si="8"/>
        <v>246</v>
      </c>
    </row>
    <row r="549" spans="1:5" x14ac:dyDescent="0.45">
      <c r="A549" s="4">
        <v>946</v>
      </c>
      <c r="B549" s="1">
        <v>45799</v>
      </c>
      <c r="C549">
        <v>100.31</v>
      </c>
      <c r="D549">
        <v>2</v>
      </c>
      <c r="E549">
        <f t="shared" ca="1" si="8"/>
        <v>242</v>
      </c>
    </row>
    <row r="550" spans="1:5" x14ac:dyDescent="0.45">
      <c r="A550" s="4">
        <v>948</v>
      </c>
      <c r="B550" s="1">
        <v>45807</v>
      </c>
      <c r="C550">
        <v>93.8</v>
      </c>
      <c r="D550">
        <v>1</v>
      </c>
      <c r="E550">
        <f t="shared" ca="1" si="8"/>
        <v>234</v>
      </c>
    </row>
    <row r="551" spans="1:5" x14ac:dyDescent="0.45">
      <c r="A551" s="4">
        <v>951</v>
      </c>
      <c r="B551" s="1">
        <v>45763</v>
      </c>
      <c r="C551">
        <v>54.91</v>
      </c>
      <c r="D551">
        <v>1</v>
      </c>
      <c r="E551">
        <f t="shared" ca="1" si="8"/>
        <v>278</v>
      </c>
    </row>
    <row r="552" spans="1:5" x14ac:dyDescent="0.45">
      <c r="A552" s="4">
        <v>952</v>
      </c>
      <c r="B552" s="1">
        <v>45794</v>
      </c>
      <c r="C552">
        <v>75.819999999999993</v>
      </c>
      <c r="D552">
        <v>1</v>
      </c>
      <c r="E552">
        <f t="shared" ca="1" si="8"/>
        <v>247</v>
      </c>
    </row>
    <row r="553" spans="1:5" x14ac:dyDescent="0.45">
      <c r="A553" s="4">
        <v>953</v>
      </c>
      <c r="B553" s="1">
        <v>45825</v>
      </c>
      <c r="C553">
        <v>299.26</v>
      </c>
      <c r="D553">
        <v>2</v>
      </c>
      <c r="E553">
        <f t="shared" ca="1" si="8"/>
        <v>216</v>
      </c>
    </row>
    <row r="554" spans="1:5" x14ac:dyDescent="0.45">
      <c r="A554" s="4">
        <v>954</v>
      </c>
      <c r="B554" s="1">
        <v>45796</v>
      </c>
      <c r="C554">
        <v>55.03</v>
      </c>
      <c r="D554">
        <v>1</v>
      </c>
      <c r="E554">
        <f t="shared" ca="1" si="8"/>
        <v>245</v>
      </c>
    </row>
    <row r="555" spans="1:5" x14ac:dyDescent="0.45">
      <c r="A555" s="4">
        <v>955</v>
      </c>
      <c r="B555" s="1">
        <v>45824</v>
      </c>
      <c r="C555">
        <v>78.930000000000007</v>
      </c>
      <c r="D555">
        <v>2</v>
      </c>
      <c r="E555">
        <f t="shared" ca="1" si="8"/>
        <v>217</v>
      </c>
    </row>
    <row r="556" spans="1:5" x14ac:dyDescent="0.45">
      <c r="A556" s="4">
        <v>956</v>
      </c>
      <c r="B556" s="1">
        <v>45824</v>
      </c>
      <c r="C556">
        <v>113.94</v>
      </c>
      <c r="D556">
        <v>2</v>
      </c>
      <c r="E556">
        <f t="shared" ca="1" si="8"/>
        <v>217</v>
      </c>
    </row>
    <row r="557" spans="1:5" x14ac:dyDescent="0.45">
      <c r="A557" s="4">
        <v>957</v>
      </c>
      <c r="B557" s="1">
        <v>45791</v>
      </c>
      <c r="C557">
        <v>119.27</v>
      </c>
      <c r="D557">
        <v>2</v>
      </c>
      <c r="E557">
        <f t="shared" ca="1" si="8"/>
        <v>250</v>
      </c>
    </row>
    <row r="558" spans="1:5" x14ac:dyDescent="0.45">
      <c r="A558" s="4">
        <v>958</v>
      </c>
      <c r="B558" s="1">
        <v>45808</v>
      </c>
      <c r="C558">
        <v>499.48000000000008</v>
      </c>
      <c r="D558">
        <v>6</v>
      </c>
      <c r="E558">
        <f t="shared" ca="1" si="8"/>
        <v>233</v>
      </c>
    </row>
    <row r="559" spans="1:5" x14ac:dyDescent="0.45">
      <c r="A559" s="4">
        <v>959</v>
      </c>
      <c r="B559" s="1">
        <v>45781</v>
      </c>
      <c r="C559">
        <v>50.34</v>
      </c>
      <c r="D559">
        <v>1</v>
      </c>
      <c r="E559">
        <f t="shared" ca="1" si="8"/>
        <v>260</v>
      </c>
    </row>
    <row r="560" spans="1:5" x14ac:dyDescent="0.45">
      <c r="A560" s="4">
        <v>960</v>
      </c>
      <c r="B560" s="1">
        <v>45774</v>
      </c>
      <c r="C560">
        <v>227.36</v>
      </c>
      <c r="D560">
        <v>1</v>
      </c>
      <c r="E560">
        <f t="shared" ca="1" si="8"/>
        <v>267</v>
      </c>
    </row>
    <row r="561" spans="1:5" x14ac:dyDescent="0.45">
      <c r="A561" s="4">
        <v>961</v>
      </c>
      <c r="B561" s="1">
        <v>45767</v>
      </c>
      <c r="C561">
        <v>54.2</v>
      </c>
      <c r="D561">
        <v>1</v>
      </c>
      <c r="E561">
        <f t="shared" ca="1" si="8"/>
        <v>274</v>
      </c>
    </row>
    <row r="562" spans="1:5" x14ac:dyDescent="0.45">
      <c r="A562" s="4">
        <v>962</v>
      </c>
      <c r="B562" s="1">
        <v>45752</v>
      </c>
      <c r="C562">
        <v>159.14999999999998</v>
      </c>
      <c r="D562">
        <v>1</v>
      </c>
      <c r="E562">
        <f t="shared" ca="1" si="8"/>
        <v>289</v>
      </c>
    </row>
    <row r="563" spans="1:5" x14ac:dyDescent="0.45">
      <c r="A563" s="4">
        <v>963</v>
      </c>
      <c r="B563" s="1">
        <v>45798</v>
      </c>
      <c r="C563">
        <v>323.39999999999998</v>
      </c>
      <c r="D563">
        <v>2</v>
      </c>
      <c r="E563">
        <f t="shared" ca="1" si="8"/>
        <v>243</v>
      </c>
    </row>
    <row r="564" spans="1:5" x14ac:dyDescent="0.45">
      <c r="A564" s="4">
        <v>968</v>
      </c>
      <c r="B564" s="1">
        <v>45799</v>
      </c>
      <c r="C564">
        <v>24.8</v>
      </c>
      <c r="D564">
        <v>1</v>
      </c>
      <c r="E564">
        <f t="shared" ca="1" si="8"/>
        <v>242</v>
      </c>
    </row>
    <row r="565" spans="1:5" x14ac:dyDescent="0.45">
      <c r="A565" s="4">
        <v>970</v>
      </c>
      <c r="B565" s="1">
        <v>45775</v>
      </c>
      <c r="C565">
        <v>129.68</v>
      </c>
      <c r="D565">
        <v>1</v>
      </c>
      <c r="E565">
        <f t="shared" ca="1" si="8"/>
        <v>266</v>
      </c>
    </row>
    <row r="566" spans="1:5" x14ac:dyDescent="0.45">
      <c r="A566" s="4">
        <v>972</v>
      </c>
      <c r="B566" s="1">
        <v>45805</v>
      </c>
      <c r="C566">
        <v>120.66</v>
      </c>
      <c r="D566">
        <v>1</v>
      </c>
      <c r="E566">
        <f t="shared" ca="1" si="8"/>
        <v>236</v>
      </c>
    </row>
    <row r="567" spans="1:5" x14ac:dyDescent="0.45">
      <c r="A567" s="4">
        <v>973</v>
      </c>
      <c r="B567" s="1">
        <v>45800</v>
      </c>
      <c r="C567">
        <v>227.68</v>
      </c>
      <c r="D567">
        <v>2</v>
      </c>
      <c r="E567">
        <f t="shared" ca="1" si="8"/>
        <v>241</v>
      </c>
    </row>
    <row r="568" spans="1:5" x14ac:dyDescent="0.45">
      <c r="A568" s="4">
        <v>974</v>
      </c>
      <c r="B568" s="1">
        <v>45769</v>
      </c>
      <c r="C568">
        <v>94.94</v>
      </c>
      <c r="D568">
        <v>1</v>
      </c>
      <c r="E568">
        <f t="shared" ca="1" si="8"/>
        <v>272</v>
      </c>
    </row>
    <row r="569" spans="1:5" x14ac:dyDescent="0.45">
      <c r="A569" s="4">
        <v>975</v>
      </c>
      <c r="B569" s="1">
        <v>45798</v>
      </c>
      <c r="C569">
        <v>46.9</v>
      </c>
      <c r="D569">
        <v>1</v>
      </c>
      <c r="E569">
        <f t="shared" ca="1" si="8"/>
        <v>243</v>
      </c>
    </row>
    <row r="570" spans="1:5" x14ac:dyDescent="0.45">
      <c r="A570" s="4">
        <v>976</v>
      </c>
      <c r="B570" s="1">
        <v>45796</v>
      </c>
      <c r="C570">
        <v>83.12</v>
      </c>
      <c r="D570">
        <v>1</v>
      </c>
      <c r="E570">
        <f t="shared" ca="1" si="8"/>
        <v>245</v>
      </c>
    </row>
    <row r="571" spans="1:5" x14ac:dyDescent="0.45">
      <c r="A571" s="4">
        <v>978</v>
      </c>
      <c r="B571" s="1">
        <v>45822</v>
      </c>
      <c r="C571">
        <v>51</v>
      </c>
      <c r="D571">
        <v>1</v>
      </c>
      <c r="E571">
        <f t="shared" ca="1" si="8"/>
        <v>219</v>
      </c>
    </row>
    <row r="572" spans="1:5" x14ac:dyDescent="0.45">
      <c r="A572" s="4">
        <v>981</v>
      </c>
      <c r="B572" s="1">
        <v>45771</v>
      </c>
      <c r="C572">
        <v>63.68</v>
      </c>
      <c r="D572">
        <v>1</v>
      </c>
      <c r="E572">
        <f t="shared" ca="1" si="8"/>
        <v>270</v>
      </c>
    </row>
    <row r="573" spans="1:5" x14ac:dyDescent="0.45">
      <c r="A573" s="4">
        <v>982</v>
      </c>
      <c r="B573" s="1">
        <v>45768</v>
      </c>
      <c r="C573">
        <v>141.72</v>
      </c>
      <c r="D573">
        <v>1</v>
      </c>
      <c r="E573">
        <f t="shared" ca="1" si="8"/>
        <v>273</v>
      </c>
    </row>
    <row r="574" spans="1:5" x14ac:dyDescent="0.45">
      <c r="A574" s="4">
        <v>983</v>
      </c>
      <c r="B574" s="1">
        <v>45774</v>
      </c>
      <c r="C574">
        <v>53.48</v>
      </c>
      <c r="D574">
        <v>1</v>
      </c>
      <c r="E574">
        <f t="shared" ca="1" si="8"/>
        <v>267</v>
      </c>
    </row>
    <row r="575" spans="1:5" x14ac:dyDescent="0.45">
      <c r="A575" s="4">
        <v>986</v>
      </c>
      <c r="B575" s="1">
        <v>45776</v>
      </c>
      <c r="C575">
        <v>127.44</v>
      </c>
      <c r="D575">
        <v>1</v>
      </c>
      <c r="E575">
        <f t="shared" ca="1" si="8"/>
        <v>265</v>
      </c>
    </row>
    <row r="576" spans="1:5" x14ac:dyDescent="0.45">
      <c r="A576" s="4">
        <v>987</v>
      </c>
      <c r="B576" s="1">
        <v>45775</v>
      </c>
      <c r="C576">
        <v>55.24</v>
      </c>
      <c r="D576">
        <v>1</v>
      </c>
      <c r="E576">
        <f t="shared" ca="1" si="8"/>
        <v>266</v>
      </c>
    </row>
    <row r="577" spans="1:5" x14ac:dyDescent="0.45">
      <c r="A577" s="4">
        <v>988</v>
      </c>
      <c r="B577" s="1">
        <v>45804</v>
      </c>
      <c r="C577">
        <v>201.73</v>
      </c>
      <c r="D577">
        <v>2</v>
      </c>
      <c r="E577">
        <f t="shared" ca="1" si="8"/>
        <v>237</v>
      </c>
    </row>
    <row r="578" spans="1:5" x14ac:dyDescent="0.45">
      <c r="A578" s="4">
        <v>990</v>
      </c>
      <c r="B578" s="1">
        <v>45800</v>
      </c>
      <c r="C578">
        <v>154.74</v>
      </c>
      <c r="D578">
        <v>1</v>
      </c>
      <c r="E578">
        <f t="shared" ca="1" si="8"/>
        <v>241</v>
      </c>
    </row>
    <row r="579" spans="1:5" x14ac:dyDescent="0.45">
      <c r="A579" s="4">
        <v>992</v>
      </c>
      <c r="B579" s="1">
        <v>45769</v>
      </c>
      <c r="C579">
        <v>95.18</v>
      </c>
      <c r="D579">
        <v>1</v>
      </c>
      <c r="E579">
        <f t="shared" ca="1" si="8"/>
        <v>272</v>
      </c>
    </row>
    <row r="580" spans="1:5" x14ac:dyDescent="0.45">
      <c r="A580" s="4">
        <v>993</v>
      </c>
      <c r="B580" s="1">
        <v>45793</v>
      </c>
      <c r="C580">
        <v>83.17</v>
      </c>
      <c r="D580">
        <v>2</v>
      </c>
      <c r="E580">
        <f t="shared" ca="1" si="8"/>
        <v>248</v>
      </c>
    </row>
    <row r="581" spans="1:5" x14ac:dyDescent="0.45">
      <c r="A581" s="4">
        <v>996</v>
      </c>
      <c r="B581" s="1">
        <v>45753</v>
      </c>
      <c r="C581">
        <v>256.59000000000003</v>
      </c>
      <c r="D581">
        <v>2</v>
      </c>
      <c r="E581">
        <f ca="1">TODAY()-B581</f>
        <v>288</v>
      </c>
    </row>
    <row r="582" spans="1:5" x14ac:dyDescent="0.45">
      <c r="A582" s="4">
        <v>997</v>
      </c>
      <c r="B582" s="1">
        <v>45802</v>
      </c>
      <c r="C582">
        <v>79.88</v>
      </c>
      <c r="D582">
        <v>2</v>
      </c>
      <c r="E582">
        <f ca="1">TODAY()-B582</f>
        <v>239</v>
      </c>
    </row>
    <row r="583" spans="1:5" x14ac:dyDescent="0.45">
      <c r="A583" s="4">
        <v>999</v>
      </c>
      <c r="B583" s="1">
        <v>45814</v>
      </c>
      <c r="C583">
        <v>224.16</v>
      </c>
      <c r="D583">
        <v>2</v>
      </c>
      <c r="E583">
        <f ca="1">TODAY()-B583</f>
        <v>227</v>
      </c>
    </row>
    <row r="584" spans="1:5" x14ac:dyDescent="0.45">
      <c r="A584" s="4" t="s">
        <v>581</v>
      </c>
      <c r="B584" s="1">
        <v>45825</v>
      </c>
      <c r="C584">
        <v>91401.889999999985</v>
      </c>
      <c r="D584">
        <v>905</v>
      </c>
      <c r="E584">
        <f ca="1">TODAY()-B584</f>
        <v>216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B65FE-E658-4CFB-BBCA-BDC5D12B5385}">
  <dimension ref="A3:C9"/>
  <sheetViews>
    <sheetView workbookViewId="0">
      <selection activeCell="B4" sqref="B4"/>
    </sheetView>
  </sheetViews>
  <sheetFormatPr defaultRowHeight="14.25" x14ac:dyDescent="0.45"/>
  <cols>
    <col min="1" max="1" width="11.9296875" bestFit="1" customWidth="1"/>
    <col min="2" max="2" width="13.19921875" bestFit="1" customWidth="1"/>
    <col min="3" max="3" width="13.1328125" bestFit="1" customWidth="1"/>
    <col min="4" max="4" width="8.73046875" bestFit="1" customWidth="1"/>
    <col min="5" max="5" width="9.265625" bestFit="1" customWidth="1"/>
    <col min="6" max="6" width="8.73046875" bestFit="1" customWidth="1"/>
    <col min="7" max="7" width="13.1328125" bestFit="1" customWidth="1"/>
    <col min="8" max="8" width="5.19921875" bestFit="1" customWidth="1"/>
    <col min="9" max="9" width="5.6640625" bestFit="1" customWidth="1"/>
    <col min="10" max="10" width="9.265625" bestFit="1" customWidth="1"/>
    <col min="11" max="11" width="6.86328125" bestFit="1" customWidth="1"/>
    <col min="12" max="12" width="17.53125" bestFit="1" customWidth="1"/>
    <col min="13" max="13" width="17.46484375" bestFit="1" customWidth="1"/>
  </cols>
  <sheetData>
    <row r="3" spans="1:3" x14ac:dyDescent="0.45">
      <c r="A3" s="3" t="s">
        <v>580</v>
      </c>
      <c r="B3" t="s">
        <v>585</v>
      </c>
      <c r="C3" t="s">
        <v>618</v>
      </c>
    </row>
    <row r="4" spans="1:3" x14ac:dyDescent="0.45">
      <c r="A4" s="4" t="s">
        <v>65</v>
      </c>
      <c r="B4">
        <v>70074.010000000068</v>
      </c>
      <c r="C4">
        <v>1400</v>
      </c>
    </row>
    <row r="5" spans="1:3" x14ac:dyDescent="0.45">
      <c r="A5" s="4" t="s">
        <v>55</v>
      </c>
      <c r="B5">
        <v>69692.809999999939</v>
      </c>
      <c r="C5">
        <v>1439</v>
      </c>
    </row>
    <row r="6" spans="1:3" x14ac:dyDescent="0.45">
      <c r="A6" s="4" t="s">
        <v>49</v>
      </c>
      <c r="B6">
        <v>68390.729999999909</v>
      </c>
      <c r="C6">
        <v>1451</v>
      </c>
    </row>
    <row r="7" spans="1:3" x14ac:dyDescent="0.45">
      <c r="A7" s="4" t="s">
        <v>89</v>
      </c>
      <c r="B7">
        <v>62276.610000000015</v>
      </c>
      <c r="C7">
        <v>1362</v>
      </c>
    </row>
    <row r="8" spans="1:3" x14ac:dyDescent="0.45">
      <c r="A8" s="4" t="s">
        <v>61</v>
      </c>
      <c r="B8">
        <v>53802.709999999948</v>
      </c>
      <c r="C8">
        <v>1063</v>
      </c>
    </row>
    <row r="9" spans="1:3" x14ac:dyDescent="0.45">
      <c r="A9" s="4" t="s">
        <v>581</v>
      </c>
      <c r="B9">
        <v>324236.86999999988</v>
      </c>
      <c r="C9">
        <v>6715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3EEE9-0526-4416-A9B2-B3787F1FA9DA}">
  <dimension ref="A3:C14"/>
  <sheetViews>
    <sheetView workbookViewId="0">
      <selection activeCell="B4" sqref="B4"/>
    </sheetView>
  </sheetViews>
  <sheetFormatPr defaultRowHeight="14.25" x14ac:dyDescent="0.45"/>
  <cols>
    <col min="1" max="1" width="23.6640625" bestFit="1" customWidth="1"/>
    <col min="2" max="2" width="13.19921875" bestFit="1" customWidth="1"/>
    <col min="3" max="3" width="13.1328125" bestFit="1" customWidth="1"/>
  </cols>
  <sheetData>
    <row r="3" spans="1:3" x14ac:dyDescent="0.45">
      <c r="A3" s="3" t="s">
        <v>580</v>
      </c>
      <c r="B3" t="s">
        <v>585</v>
      </c>
      <c r="C3" t="s">
        <v>618</v>
      </c>
    </row>
    <row r="4" spans="1:3" x14ac:dyDescent="0.45">
      <c r="A4" s="4" t="s">
        <v>128</v>
      </c>
      <c r="B4">
        <v>13.51</v>
      </c>
      <c r="C4">
        <v>1</v>
      </c>
    </row>
    <row r="5" spans="1:3" x14ac:dyDescent="0.45">
      <c r="A5" s="4" t="s">
        <v>441</v>
      </c>
      <c r="B5">
        <v>42.5</v>
      </c>
      <c r="C5">
        <v>1</v>
      </c>
    </row>
    <row r="6" spans="1:3" x14ac:dyDescent="0.45">
      <c r="A6" s="4" t="s">
        <v>151</v>
      </c>
      <c r="B6">
        <v>53.32</v>
      </c>
      <c r="C6">
        <v>1</v>
      </c>
    </row>
    <row r="7" spans="1:3" x14ac:dyDescent="0.45">
      <c r="A7" s="4" t="s">
        <v>488</v>
      </c>
      <c r="B7">
        <v>55.39</v>
      </c>
      <c r="C7">
        <v>1</v>
      </c>
    </row>
    <row r="8" spans="1:3" x14ac:dyDescent="0.45">
      <c r="A8" s="4" t="s">
        <v>90</v>
      </c>
      <c r="B8">
        <v>57.48</v>
      </c>
      <c r="C8">
        <v>1</v>
      </c>
    </row>
    <row r="9" spans="1:3" x14ac:dyDescent="0.45">
      <c r="A9" s="4" t="s">
        <v>131</v>
      </c>
      <c r="B9">
        <v>67.37</v>
      </c>
      <c r="C9">
        <v>1</v>
      </c>
    </row>
    <row r="10" spans="1:3" x14ac:dyDescent="0.45">
      <c r="A10" s="4" t="s">
        <v>443</v>
      </c>
      <c r="B10">
        <v>70.819999999999993</v>
      </c>
      <c r="C10">
        <v>1</v>
      </c>
    </row>
    <row r="11" spans="1:3" x14ac:dyDescent="0.45">
      <c r="A11" s="4" t="s">
        <v>122</v>
      </c>
      <c r="B11">
        <v>71.62</v>
      </c>
      <c r="C11">
        <v>2</v>
      </c>
    </row>
    <row r="12" spans="1:3" x14ac:dyDescent="0.45">
      <c r="A12" s="4" t="s">
        <v>349</v>
      </c>
      <c r="B12">
        <v>81.260000000000005</v>
      </c>
      <c r="C12">
        <v>2</v>
      </c>
    </row>
    <row r="13" spans="1:3" x14ac:dyDescent="0.45">
      <c r="A13" s="4" t="s">
        <v>479</v>
      </c>
      <c r="B13">
        <v>86.19</v>
      </c>
      <c r="C13">
        <v>3</v>
      </c>
    </row>
    <row r="14" spans="1:3" x14ac:dyDescent="0.45">
      <c r="A14" s="4" t="s">
        <v>581</v>
      </c>
      <c r="B14">
        <v>599.46</v>
      </c>
      <c r="C14">
        <v>14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EE377-6D4F-463D-94C6-6E4F527324A3}">
  <dimension ref="A3:D6"/>
  <sheetViews>
    <sheetView workbookViewId="0">
      <selection activeCell="D6" sqref="D6"/>
    </sheetView>
  </sheetViews>
  <sheetFormatPr defaultRowHeight="14.25" x14ac:dyDescent="0.45"/>
  <cols>
    <col min="1" max="1" width="11.9296875" bestFit="1" customWidth="1"/>
    <col min="2" max="2" width="13.19921875" bestFit="1" customWidth="1"/>
    <col min="3" max="3" width="13.46484375" bestFit="1" customWidth="1"/>
    <col min="4" max="4" width="12.46484375" customWidth="1"/>
  </cols>
  <sheetData>
    <row r="3" spans="1:4" x14ac:dyDescent="0.45">
      <c r="A3" s="3" t="s">
        <v>580</v>
      </c>
      <c r="B3" t="s">
        <v>585</v>
      </c>
      <c r="C3" t="s">
        <v>603</v>
      </c>
      <c r="D3" t="s">
        <v>577</v>
      </c>
    </row>
    <row r="4" spans="1:4" x14ac:dyDescent="0.45">
      <c r="A4" s="4" t="s">
        <v>28</v>
      </c>
      <c r="B4">
        <v>19498.7</v>
      </c>
      <c r="C4">
        <v>199</v>
      </c>
      <c r="D4">
        <f ca="1">SUMIF(fashion_store_stock!A:A,"France",stock[stock_quantity])</f>
        <v>24076</v>
      </c>
    </row>
    <row r="5" spans="1:4" x14ac:dyDescent="0.45">
      <c r="A5" s="4" t="s">
        <v>36</v>
      </c>
      <c r="B5">
        <v>21266.540000000005</v>
      </c>
      <c r="C5">
        <v>212</v>
      </c>
      <c r="D5">
        <f ca="1">SUMIF(fashion_store_stock!A:A,"Germany",stock[stock_quantity])</f>
        <v>499</v>
      </c>
    </row>
    <row r="6" spans="1:4" x14ac:dyDescent="0.45">
      <c r="A6" s="4" t="s">
        <v>581</v>
      </c>
      <c r="B6">
        <v>40765.239999999976</v>
      </c>
      <c r="C6">
        <v>411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261DC-231E-42CD-BC66-6C8F8224A6A5}">
  <dimension ref="A3:E909"/>
  <sheetViews>
    <sheetView topLeftCell="A10" workbookViewId="0">
      <selection activeCell="D4" sqref="D4"/>
    </sheetView>
  </sheetViews>
  <sheetFormatPr defaultRowHeight="14.25" x14ac:dyDescent="0.45"/>
  <cols>
    <col min="1" max="1" width="11.9296875" bestFit="1" customWidth="1"/>
    <col min="2" max="2" width="15.9296875" bestFit="1" customWidth="1"/>
    <col min="3" max="3" width="13.6640625" bestFit="1" customWidth="1"/>
    <col min="4" max="4" width="12" customWidth="1"/>
    <col min="5" max="5" width="13.6640625" customWidth="1"/>
  </cols>
  <sheetData>
    <row r="3" spans="1:5" x14ac:dyDescent="0.45">
      <c r="A3" s="3" t="s">
        <v>580</v>
      </c>
      <c r="B3" t="s">
        <v>635</v>
      </c>
      <c r="C3" t="s">
        <v>636</v>
      </c>
      <c r="D3" t="s">
        <v>637</v>
      </c>
      <c r="E3" t="s">
        <v>638</v>
      </c>
    </row>
    <row r="4" spans="1:5" x14ac:dyDescent="0.45">
      <c r="A4" s="4">
        <v>287</v>
      </c>
      <c r="B4">
        <v>15</v>
      </c>
      <c r="C4">
        <v>3</v>
      </c>
      <c r="D4">
        <f>AVERAGE(B4:B908)</f>
        <v>7.4198895027624312</v>
      </c>
      <c r="E4">
        <f>AVERAGE(C3:C908)</f>
        <v>2.4895027624309392</v>
      </c>
    </row>
    <row r="5" spans="1:5" x14ac:dyDescent="0.45">
      <c r="A5" s="4">
        <v>410</v>
      </c>
      <c r="B5">
        <v>15</v>
      </c>
      <c r="C5">
        <v>3</v>
      </c>
    </row>
    <row r="6" spans="1:5" x14ac:dyDescent="0.45">
      <c r="A6" s="4">
        <v>352</v>
      </c>
      <c r="B6">
        <v>15</v>
      </c>
      <c r="C6">
        <v>3</v>
      </c>
    </row>
    <row r="7" spans="1:5" x14ac:dyDescent="0.45">
      <c r="A7" s="4">
        <v>100</v>
      </c>
      <c r="B7">
        <v>15</v>
      </c>
      <c r="C7">
        <v>3</v>
      </c>
    </row>
    <row r="8" spans="1:5" x14ac:dyDescent="0.45">
      <c r="A8" s="4">
        <v>108</v>
      </c>
      <c r="B8">
        <v>15</v>
      </c>
      <c r="C8">
        <v>3</v>
      </c>
    </row>
    <row r="9" spans="1:5" x14ac:dyDescent="0.45">
      <c r="A9" s="4">
        <v>458</v>
      </c>
      <c r="B9">
        <v>14</v>
      </c>
      <c r="C9">
        <v>3</v>
      </c>
    </row>
    <row r="10" spans="1:5" x14ac:dyDescent="0.45">
      <c r="A10" s="4">
        <v>518</v>
      </c>
      <c r="B10">
        <v>14</v>
      </c>
      <c r="C10">
        <v>3</v>
      </c>
    </row>
    <row r="11" spans="1:5" x14ac:dyDescent="0.45">
      <c r="A11" s="4">
        <v>480</v>
      </c>
      <c r="B11">
        <v>14</v>
      </c>
      <c r="C11">
        <v>3</v>
      </c>
    </row>
    <row r="12" spans="1:5" x14ac:dyDescent="0.45">
      <c r="A12" s="4">
        <v>81</v>
      </c>
      <c r="B12">
        <v>14</v>
      </c>
      <c r="C12">
        <v>3</v>
      </c>
    </row>
    <row r="13" spans="1:5" x14ac:dyDescent="0.45">
      <c r="A13" s="4">
        <v>64</v>
      </c>
      <c r="B13">
        <v>14</v>
      </c>
      <c r="C13">
        <v>3</v>
      </c>
    </row>
    <row r="14" spans="1:5" x14ac:dyDescent="0.45">
      <c r="A14" s="4">
        <v>295</v>
      </c>
      <c r="B14">
        <v>14</v>
      </c>
      <c r="C14">
        <v>3</v>
      </c>
    </row>
    <row r="15" spans="1:5" x14ac:dyDescent="0.45">
      <c r="A15" s="4">
        <v>118</v>
      </c>
      <c r="B15">
        <v>14</v>
      </c>
      <c r="C15">
        <v>3</v>
      </c>
    </row>
    <row r="16" spans="1:5" x14ac:dyDescent="0.45">
      <c r="A16" s="4">
        <v>361</v>
      </c>
      <c r="B16">
        <v>14</v>
      </c>
      <c r="C16">
        <v>3</v>
      </c>
    </row>
    <row r="17" spans="1:3" x14ac:dyDescent="0.45">
      <c r="A17" s="4">
        <v>419</v>
      </c>
      <c r="B17">
        <v>14</v>
      </c>
      <c r="C17">
        <v>3</v>
      </c>
    </row>
    <row r="18" spans="1:3" x14ac:dyDescent="0.45">
      <c r="A18" s="4">
        <v>82</v>
      </c>
      <c r="B18">
        <v>14</v>
      </c>
      <c r="C18">
        <v>3</v>
      </c>
    </row>
    <row r="19" spans="1:3" x14ac:dyDescent="0.45">
      <c r="A19" s="4">
        <v>239</v>
      </c>
      <c r="B19">
        <v>14</v>
      </c>
      <c r="C19">
        <v>3</v>
      </c>
    </row>
    <row r="20" spans="1:3" x14ac:dyDescent="0.45">
      <c r="A20" s="4">
        <v>474</v>
      </c>
      <c r="B20">
        <v>13</v>
      </c>
      <c r="C20">
        <v>3</v>
      </c>
    </row>
    <row r="21" spans="1:3" x14ac:dyDescent="0.45">
      <c r="A21" s="4">
        <v>572</v>
      </c>
      <c r="B21">
        <v>13</v>
      </c>
      <c r="C21">
        <v>3</v>
      </c>
    </row>
    <row r="22" spans="1:3" x14ac:dyDescent="0.45">
      <c r="A22" s="4">
        <v>571</v>
      </c>
      <c r="B22">
        <v>13</v>
      </c>
      <c r="C22">
        <v>3</v>
      </c>
    </row>
    <row r="23" spans="1:3" x14ac:dyDescent="0.45">
      <c r="A23" s="4">
        <v>597</v>
      </c>
      <c r="B23">
        <v>13</v>
      </c>
      <c r="C23">
        <v>3</v>
      </c>
    </row>
    <row r="24" spans="1:3" x14ac:dyDescent="0.45">
      <c r="A24" s="4">
        <v>515</v>
      </c>
      <c r="B24">
        <v>13</v>
      </c>
      <c r="C24">
        <v>3</v>
      </c>
    </row>
    <row r="25" spans="1:3" x14ac:dyDescent="0.45">
      <c r="A25" s="4">
        <v>642</v>
      </c>
      <c r="B25">
        <v>13</v>
      </c>
      <c r="C25">
        <v>3</v>
      </c>
    </row>
    <row r="26" spans="1:3" x14ac:dyDescent="0.45">
      <c r="A26" s="4">
        <v>495</v>
      </c>
      <c r="B26">
        <v>13</v>
      </c>
      <c r="C26">
        <v>3</v>
      </c>
    </row>
    <row r="27" spans="1:3" x14ac:dyDescent="0.45">
      <c r="A27" s="4">
        <v>655</v>
      </c>
      <c r="B27">
        <v>13</v>
      </c>
      <c r="C27">
        <v>3</v>
      </c>
    </row>
    <row r="28" spans="1:3" x14ac:dyDescent="0.45">
      <c r="A28" s="4">
        <v>288</v>
      </c>
      <c r="B28">
        <v>13</v>
      </c>
      <c r="C28">
        <v>3</v>
      </c>
    </row>
    <row r="29" spans="1:3" x14ac:dyDescent="0.45">
      <c r="A29" s="4">
        <v>390</v>
      </c>
      <c r="B29">
        <v>13</v>
      </c>
      <c r="C29">
        <v>3</v>
      </c>
    </row>
    <row r="30" spans="1:3" x14ac:dyDescent="0.45">
      <c r="A30" s="4">
        <v>341</v>
      </c>
      <c r="B30">
        <v>13</v>
      </c>
      <c r="C30">
        <v>3</v>
      </c>
    </row>
    <row r="31" spans="1:3" x14ac:dyDescent="0.45">
      <c r="A31" s="4">
        <v>195</v>
      </c>
      <c r="B31">
        <v>13</v>
      </c>
      <c r="C31">
        <v>3</v>
      </c>
    </row>
    <row r="32" spans="1:3" x14ac:dyDescent="0.45">
      <c r="A32" s="4">
        <v>20</v>
      </c>
      <c r="B32">
        <v>13</v>
      </c>
      <c r="C32">
        <v>3</v>
      </c>
    </row>
    <row r="33" spans="1:3" x14ac:dyDescent="0.45">
      <c r="A33" s="4">
        <v>211</v>
      </c>
      <c r="B33">
        <v>13</v>
      </c>
      <c r="C33">
        <v>3</v>
      </c>
    </row>
    <row r="34" spans="1:3" x14ac:dyDescent="0.45">
      <c r="A34" s="4">
        <v>161</v>
      </c>
      <c r="B34">
        <v>13</v>
      </c>
      <c r="C34">
        <v>3</v>
      </c>
    </row>
    <row r="35" spans="1:3" x14ac:dyDescent="0.45">
      <c r="A35" s="4">
        <v>232</v>
      </c>
      <c r="B35">
        <v>13</v>
      </c>
      <c r="C35">
        <v>3</v>
      </c>
    </row>
    <row r="36" spans="1:3" x14ac:dyDescent="0.45">
      <c r="A36" s="4">
        <v>343</v>
      </c>
      <c r="B36">
        <v>13</v>
      </c>
      <c r="C36">
        <v>3</v>
      </c>
    </row>
    <row r="37" spans="1:3" x14ac:dyDescent="0.45">
      <c r="A37" s="4">
        <v>413</v>
      </c>
      <c r="B37">
        <v>13</v>
      </c>
      <c r="C37">
        <v>3</v>
      </c>
    </row>
    <row r="38" spans="1:3" x14ac:dyDescent="0.45">
      <c r="A38" s="4">
        <v>411</v>
      </c>
      <c r="B38">
        <v>13</v>
      </c>
      <c r="C38">
        <v>3</v>
      </c>
    </row>
    <row r="39" spans="1:3" x14ac:dyDescent="0.45">
      <c r="A39" s="4">
        <v>37</v>
      </c>
      <c r="B39">
        <v>13</v>
      </c>
      <c r="C39">
        <v>3</v>
      </c>
    </row>
    <row r="40" spans="1:3" x14ac:dyDescent="0.45">
      <c r="A40" s="4">
        <v>313</v>
      </c>
      <c r="B40">
        <v>13</v>
      </c>
      <c r="C40">
        <v>3</v>
      </c>
    </row>
    <row r="41" spans="1:3" x14ac:dyDescent="0.45">
      <c r="A41" s="4">
        <v>659</v>
      </c>
      <c r="B41">
        <v>12</v>
      </c>
      <c r="C41">
        <v>3</v>
      </c>
    </row>
    <row r="42" spans="1:3" x14ac:dyDescent="0.45">
      <c r="A42" s="4">
        <v>475</v>
      </c>
      <c r="B42">
        <v>12</v>
      </c>
      <c r="C42">
        <v>3</v>
      </c>
    </row>
    <row r="43" spans="1:3" x14ac:dyDescent="0.45">
      <c r="A43" s="4">
        <v>630</v>
      </c>
      <c r="B43">
        <v>12</v>
      </c>
      <c r="C43">
        <v>3</v>
      </c>
    </row>
    <row r="44" spans="1:3" x14ac:dyDescent="0.45">
      <c r="A44" s="4">
        <v>491</v>
      </c>
      <c r="B44">
        <v>12</v>
      </c>
      <c r="C44">
        <v>3</v>
      </c>
    </row>
    <row r="45" spans="1:3" x14ac:dyDescent="0.45">
      <c r="A45" s="4">
        <v>500</v>
      </c>
      <c r="B45">
        <v>12</v>
      </c>
      <c r="C45">
        <v>3</v>
      </c>
    </row>
    <row r="46" spans="1:3" x14ac:dyDescent="0.45">
      <c r="A46" s="4">
        <v>534</v>
      </c>
      <c r="B46">
        <v>12</v>
      </c>
      <c r="C46">
        <v>3</v>
      </c>
    </row>
    <row r="47" spans="1:3" x14ac:dyDescent="0.45">
      <c r="A47" s="4">
        <v>548</v>
      </c>
      <c r="B47">
        <v>12</v>
      </c>
      <c r="C47">
        <v>3</v>
      </c>
    </row>
    <row r="48" spans="1:3" x14ac:dyDescent="0.45">
      <c r="A48" s="4">
        <v>291</v>
      </c>
      <c r="B48">
        <v>12</v>
      </c>
      <c r="C48">
        <v>3</v>
      </c>
    </row>
    <row r="49" spans="1:3" x14ac:dyDescent="0.45">
      <c r="A49" s="4">
        <v>387</v>
      </c>
      <c r="B49">
        <v>12</v>
      </c>
      <c r="C49">
        <v>3</v>
      </c>
    </row>
    <row r="50" spans="1:3" x14ac:dyDescent="0.45">
      <c r="A50" s="4">
        <v>130</v>
      </c>
      <c r="B50">
        <v>12</v>
      </c>
      <c r="C50">
        <v>3</v>
      </c>
    </row>
    <row r="51" spans="1:3" x14ac:dyDescent="0.45">
      <c r="A51" s="4">
        <v>166</v>
      </c>
      <c r="B51">
        <v>12</v>
      </c>
      <c r="C51">
        <v>3</v>
      </c>
    </row>
    <row r="52" spans="1:3" x14ac:dyDescent="0.45">
      <c r="A52" s="4">
        <v>391</v>
      </c>
      <c r="B52">
        <v>12</v>
      </c>
      <c r="C52">
        <v>3</v>
      </c>
    </row>
    <row r="53" spans="1:3" x14ac:dyDescent="0.45">
      <c r="A53" s="4">
        <v>321</v>
      </c>
      <c r="B53">
        <v>12</v>
      </c>
      <c r="C53">
        <v>3</v>
      </c>
    </row>
    <row r="54" spans="1:3" x14ac:dyDescent="0.45">
      <c r="A54" s="4">
        <v>360</v>
      </c>
      <c r="B54">
        <v>12</v>
      </c>
      <c r="C54">
        <v>3</v>
      </c>
    </row>
    <row r="55" spans="1:3" x14ac:dyDescent="0.45">
      <c r="A55" s="4">
        <v>335</v>
      </c>
      <c r="B55">
        <v>12</v>
      </c>
      <c r="C55">
        <v>3</v>
      </c>
    </row>
    <row r="56" spans="1:3" x14ac:dyDescent="0.45">
      <c r="A56" s="4">
        <v>382</v>
      </c>
      <c r="B56">
        <v>12</v>
      </c>
      <c r="C56">
        <v>3</v>
      </c>
    </row>
    <row r="57" spans="1:3" x14ac:dyDescent="0.45">
      <c r="A57" s="4">
        <v>256</v>
      </c>
      <c r="B57">
        <v>12</v>
      </c>
      <c r="C57">
        <v>3</v>
      </c>
    </row>
    <row r="58" spans="1:3" x14ac:dyDescent="0.45">
      <c r="A58" s="4">
        <v>189</v>
      </c>
      <c r="B58">
        <v>12</v>
      </c>
      <c r="C58">
        <v>3</v>
      </c>
    </row>
    <row r="59" spans="1:3" x14ac:dyDescent="0.45">
      <c r="A59" s="4">
        <v>234</v>
      </c>
      <c r="B59">
        <v>12</v>
      </c>
      <c r="C59">
        <v>3</v>
      </c>
    </row>
    <row r="60" spans="1:3" x14ac:dyDescent="0.45">
      <c r="A60" s="4">
        <v>135</v>
      </c>
      <c r="B60">
        <v>12</v>
      </c>
      <c r="C60">
        <v>3</v>
      </c>
    </row>
    <row r="61" spans="1:3" x14ac:dyDescent="0.45">
      <c r="A61" s="4">
        <v>21</v>
      </c>
      <c r="B61">
        <v>12</v>
      </c>
      <c r="C61">
        <v>3</v>
      </c>
    </row>
    <row r="62" spans="1:3" x14ac:dyDescent="0.45">
      <c r="A62" s="4">
        <v>68</v>
      </c>
      <c r="B62">
        <v>12</v>
      </c>
      <c r="C62">
        <v>3</v>
      </c>
    </row>
    <row r="63" spans="1:3" x14ac:dyDescent="0.45">
      <c r="A63" s="4">
        <v>357</v>
      </c>
      <c r="B63">
        <v>12</v>
      </c>
      <c r="C63">
        <v>3</v>
      </c>
    </row>
    <row r="64" spans="1:3" x14ac:dyDescent="0.45">
      <c r="A64" s="4">
        <v>240</v>
      </c>
      <c r="B64">
        <v>12</v>
      </c>
      <c r="C64">
        <v>3</v>
      </c>
    </row>
    <row r="65" spans="1:3" x14ac:dyDescent="0.45">
      <c r="A65" s="4">
        <v>214</v>
      </c>
      <c r="B65">
        <v>12</v>
      </c>
      <c r="C65">
        <v>3</v>
      </c>
    </row>
    <row r="66" spans="1:3" x14ac:dyDescent="0.45">
      <c r="A66" s="4">
        <v>594</v>
      </c>
      <c r="B66">
        <v>11</v>
      </c>
      <c r="C66">
        <v>3</v>
      </c>
    </row>
    <row r="67" spans="1:3" x14ac:dyDescent="0.45">
      <c r="A67" s="4">
        <v>521</v>
      </c>
      <c r="B67">
        <v>11</v>
      </c>
      <c r="C67">
        <v>3</v>
      </c>
    </row>
    <row r="68" spans="1:3" x14ac:dyDescent="0.45">
      <c r="A68" s="4">
        <v>612</v>
      </c>
      <c r="B68">
        <v>11</v>
      </c>
      <c r="C68">
        <v>3</v>
      </c>
    </row>
    <row r="69" spans="1:3" x14ac:dyDescent="0.45">
      <c r="A69" s="4">
        <v>624</v>
      </c>
      <c r="B69">
        <v>11</v>
      </c>
      <c r="C69">
        <v>3</v>
      </c>
    </row>
    <row r="70" spans="1:3" x14ac:dyDescent="0.45">
      <c r="A70" s="4">
        <v>498</v>
      </c>
      <c r="B70">
        <v>11</v>
      </c>
      <c r="C70">
        <v>3</v>
      </c>
    </row>
    <row r="71" spans="1:3" x14ac:dyDescent="0.45">
      <c r="A71" s="4">
        <v>465</v>
      </c>
      <c r="B71">
        <v>11</v>
      </c>
      <c r="C71">
        <v>3</v>
      </c>
    </row>
    <row r="72" spans="1:3" x14ac:dyDescent="0.45">
      <c r="A72" s="4">
        <v>651</v>
      </c>
      <c r="B72">
        <v>11</v>
      </c>
      <c r="C72">
        <v>3</v>
      </c>
    </row>
    <row r="73" spans="1:3" x14ac:dyDescent="0.45">
      <c r="A73" s="4">
        <v>513</v>
      </c>
      <c r="B73">
        <v>11</v>
      </c>
      <c r="C73">
        <v>3</v>
      </c>
    </row>
    <row r="74" spans="1:3" x14ac:dyDescent="0.45">
      <c r="A74" s="4">
        <v>614</v>
      </c>
      <c r="B74">
        <v>11</v>
      </c>
      <c r="C74">
        <v>3</v>
      </c>
    </row>
    <row r="75" spans="1:3" x14ac:dyDescent="0.45">
      <c r="A75" s="4">
        <v>647</v>
      </c>
      <c r="B75">
        <v>11</v>
      </c>
      <c r="C75">
        <v>3</v>
      </c>
    </row>
    <row r="76" spans="1:3" x14ac:dyDescent="0.45">
      <c r="A76" s="4">
        <v>538</v>
      </c>
      <c r="B76">
        <v>11</v>
      </c>
      <c r="C76">
        <v>3</v>
      </c>
    </row>
    <row r="77" spans="1:3" x14ac:dyDescent="0.45">
      <c r="A77" s="4">
        <v>640</v>
      </c>
      <c r="B77">
        <v>11</v>
      </c>
      <c r="C77">
        <v>3</v>
      </c>
    </row>
    <row r="78" spans="1:3" x14ac:dyDescent="0.45">
      <c r="A78" s="4">
        <v>556</v>
      </c>
      <c r="B78">
        <v>11</v>
      </c>
      <c r="C78">
        <v>3</v>
      </c>
    </row>
    <row r="79" spans="1:3" x14ac:dyDescent="0.45">
      <c r="A79" s="4">
        <v>645</v>
      </c>
      <c r="B79">
        <v>11</v>
      </c>
      <c r="C79">
        <v>3</v>
      </c>
    </row>
    <row r="80" spans="1:3" x14ac:dyDescent="0.45">
      <c r="A80" s="4">
        <v>562</v>
      </c>
      <c r="B80">
        <v>11</v>
      </c>
      <c r="C80">
        <v>3</v>
      </c>
    </row>
    <row r="81" spans="1:3" x14ac:dyDescent="0.45">
      <c r="A81" s="4">
        <v>514</v>
      </c>
      <c r="B81">
        <v>11</v>
      </c>
      <c r="C81">
        <v>3</v>
      </c>
    </row>
    <row r="82" spans="1:3" x14ac:dyDescent="0.45">
      <c r="A82" s="4">
        <v>565</v>
      </c>
      <c r="B82">
        <v>11</v>
      </c>
      <c r="C82">
        <v>3</v>
      </c>
    </row>
    <row r="83" spans="1:3" x14ac:dyDescent="0.45">
      <c r="A83" s="4">
        <v>539</v>
      </c>
      <c r="B83">
        <v>11</v>
      </c>
      <c r="C83">
        <v>3</v>
      </c>
    </row>
    <row r="84" spans="1:3" x14ac:dyDescent="0.45">
      <c r="A84" s="4">
        <v>541</v>
      </c>
      <c r="B84">
        <v>11</v>
      </c>
      <c r="C84">
        <v>3</v>
      </c>
    </row>
    <row r="85" spans="1:3" x14ac:dyDescent="0.45">
      <c r="A85" s="4">
        <v>653</v>
      </c>
      <c r="B85">
        <v>11</v>
      </c>
      <c r="C85">
        <v>3</v>
      </c>
    </row>
    <row r="86" spans="1:3" x14ac:dyDescent="0.45">
      <c r="A86" s="4">
        <v>401</v>
      </c>
      <c r="B86">
        <v>11</v>
      </c>
      <c r="C86">
        <v>3</v>
      </c>
    </row>
    <row r="87" spans="1:3" x14ac:dyDescent="0.45">
      <c r="A87" s="4">
        <v>39</v>
      </c>
      <c r="B87">
        <v>11</v>
      </c>
      <c r="C87">
        <v>3</v>
      </c>
    </row>
    <row r="88" spans="1:3" x14ac:dyDescent="0.45">
      <c r="A88" s="4">
        <v>303</v>
      </c>
      <c r="B88">
        <v>11</v>
      </c>
      <c r="C88">
        <v>3</v>
      </c>
    </row>
    <row r="89" spans="1:3" x14ac:dyDescent="0.45">
      <c r="A89" s="4">
        <v>59</v>
      </c>
      <c r="B89">
        <v>11</v>
      </c>
      <c r="C89">
        <v>3</v>
      </c>
    </row>
    <row r="90" spans="1:3" x14ac:dyDescent="0.45">
      <c r="A90" s="4">
        <v>358</v>
      </c>
      <c r="B90">
        <v>11</v>
      </c>
      <c r="C90">
        <v>3</v>
      </c>
    </row>
    <row r="91" spans="1:3" x14ac:dyDescent="0.45">
      <c r="A91" s="4">
        <v>163</v>
      </c>
      <c r="B91">
        <v>11</v>
      </c>
      <c r="C91">
        <v>3</v>
      </c>
    </row>
    <row r="92" spans="1:3" x14ac:dyDescent="0.45">
      <c r="A92" s="4">
        <v>84</v>
      </c>
      <c r="B92">
        <v>11</v>
      </c>
      <c r="C92">
        <v>3</v>
      </c>
    </row>
    <row r="93" spans="1:3" x14ac:dyDescent="0.45">
      <c r="A93" s="4">
        <v>164</v>
      </c>
      <c r="B93">
        <v>11</v>
      </c>
      <c r="C93">
        <v>3</v>
      </c>
    </row>
    <row r="94" spans="1:3" x14ac:dyDescent="0.45">
      <c r="A94" s="4">
        <v>310</v>
      </c>
      <c r="B94">
        <v>11</v>
      </c>
      <c r="C94">
        <v>3</v>
      </c>
    </row>
    <row r="95" spans="1:3" x14ac:dyDescent="0.45">
      <c r="A95" s="4">
        <v>13</v>
      </c>
      <c r="B95">
        <v>11</v>
      </c>
      <c r="C95">
        <v>3</v>
      </c>
    </row>
    <row r="96" spans="1:3" x14ac:dyDescent="0.45">
      <c r="A96" s="4">
        <v>348</v>
      </c>
      <c r="B96">
        <v>11</v>
      </c>
      <c r="C96">
        <v>3</v>
      </c>
    </row>
    <row r="97" spans="1:3" x14ac:dyDescent="0.45">
      <c r="A97" s="4">
        <v>173</v>
      </c>
      <c r="B97">
        <v>11</v>
      </c>
      <c r="C97">
        <v>3</v>
      </c>
    </row>
    <row r="98" spans="1:3" x14ac:dyDescent="0.45">
      <c r="A98" s="4">
        <v>375</v>
      </c>
      <c r="B98">
        <v>11</v>
      </c>
      <c r="C98">
        <v>3</v>
      </c>
    </row>
    <row r="99" spans="1:3" x14ac:dyDescent="0.45">
      <c r="A99" s="4">
        <v>181</v>
      </c>
      <c r="B99">
        <v>11</v>
      </c>
      <c r="C99">
        <v>3</v>
      </c>
    </row>
    <row r="100" spans="1:3" x14ac:dyDescent="0.45">
      <c r="A100" s="4">
        <v>242</v>
      </c>
      <c r="B100">
        <v>11</v>
      </c>
      <c r="C100">
        <v>3</v>
      </c>
    </row>
    <row r="101" spans="1:3" x14ac:dyDescent="0.45">
      <c r="A101" s="4">
        <v>67</v>
      </c>
      <c r="B101">
        <v>11</v>
      </c>
      <c r="C101">
        <v>3</v>
      </c>
    </row>
    <row r="102" spans="1:3" x14ac:dyDescent="0.45">
      <c r="A102" s="4">
        <v>86</v>
      </c>
      <c r="B102">
        <v>11</v>
      </c>
      <c r="C102">
        <v>3</v>
      </c>
    </row>
    <row r="103" spans="1:3" x14ac:dyDescent="0.45">
      <c r="A103" s="4">
        <v>201</v>
      </c>
      <c r="B103">
        <v>11</v>
      </c>
      <c r="C103">
        <v>3</v>
      </c>
    </row>
    <row r="104" spans="1:3" x14ac:dyDescent="0.45">
      <c r="A104" s="4">
        <v>305</v>
      </c>
      <c r="B104">
        <v>11</v>
      </c>
      <c r="C104">
        <v>3</v>
      </c>
    </row>
    <row r="105" spans="1:3" x14ac:dyDescent="0.45">
      <c r="A105" s="4">
        <v>202</v>
      </c>
      <c r="B105">
        <v>11</v>
      </c>
      <c r="C105">
        <v>3</v>
      </c>
    </row>
    <row r="106" spans="1:3" x14ac:dyDescent="0.45">
      <c r="A106" s="4">
        <v>312</v>
      </c>
      <c r="B106">
        <v>11</v>
      </c>
      <c r="C106">
        <v>3</v>
      </c>
    </row>
    <row r="107" spans="1:3" x14ac:dyDescent="0.45">
      <c r="A107" s="4">
        <v>210</v>
      </c>
      <c r="B107">
        <v>11</v>
      </c>
      <c r="C107">
        <v>3</v>
      </c>
    </row>
    <row r="108" spans="1:3" x14ac:dyDescent="0.45">
      <c r="A108" s="4">
        <v>345</v>
      </c>
      <c r="B108">
        <v>11</v>
      </c>
      <c r="C108">
        <v>3</v>
      </c>
    </row>
    <row r="109" spans="1:3" x14ac:dyDescent="0.45">
      <c r="A109" s="4">
        <v>72</v>
      </c>
      <c r="B109">
        <v>11</v>
      </c>
      <c r="C109">
        <v>3</v>
      </c>
    </row>
    <row r="110" spans="1:3" x14ac:dyDescent="0.45">
      <c r="A110" s="4">
        <v>120</v>
      </c>
      <c r="B110">
        <v>11</v>
      </c>
      <c r="C110">
        <v>3</v>
      </c>
    </row>
    <row r="111" spans="1:3" x14ac:dyDescent="0.45">
      <c r="A111" s="4">
        <v>426</v>
      </c>
      <c r="B111">
        <v>11</v>
      </c>
      <c r="C111">
        <v>3</v>
      </c>
    </row>
    <row r="112" spans="1:3" x14ac:dyDescent="0.45">
      <c r="A112" s="4">
        <v>362</v>
      </c>
      <c r="B112">
        <v>11</v>
      </c>
      <c r="C112">
        <v>3</v>
      </c>
    </row>
    <row r="113" spans="1:3" x14ac:dyDescent="0.45">
      <c r="A113" s="4">
        <v>429</v>
      </c>
      <c r="B113">
        <v>11</v>
      </c>
      <c r="C113">
        <v>3</v>
      </c>
    </row>
    <row r="114" spans="1:3" x14ac:dyDescent="0.45">
      <c r="A114" s="4">
        <v>52</v>
      </c>
      <c r="B114">
        <v>11</v>
      </c>
      <c r="C114">
        <v>3</v>
      </c>
    </row>
    <row r="115" spans="1:3" x14ac:dyDescent="0.45">
      <c r="A115" s="4">
        <v>32</v>
      </c>
      <c r="B115">
        <v>11</v>
      </c>
      <c r="C115">
        <v>3</v>
      </c>
    </row>
    <row r="116" spans="1:3" x14ac:dyDescent="0.45">
      <c r="A116" s="4">
        <v>141</v>
      </c>
      <c r="B116">
        <v>11</v>
      </c>
      <c r="C116">
        <v>3</v>
      </c>
    </row>
    <row r="117" spans="1:3" x14ac:dyDescent="0.45">
      <c r="A117" s="4">
        <v>35</v>
      </c>
      <c r="B117">
        <v>11</v>
      </c>
      <c r="C117">
        <v>3</v>
      </c>
    </row>
    <row r="118" spans="1:3" x14ac:dyDescent="0.45">
      <c r="A118" s="4">
        <v>92</v>
      </c>
      <c r="B118">
        <v>11</v>
      </c>
      <c r="C118">
        <v>3</v>
      </c>
    </row>
    <row r="119" spans="1:3" x14ac:dyDescent="0.45">
      <c r="A119" s="4">
        <v>1148</v>
      </c>
      <c r="B119">
        <v>10</v>
      </c>
      <c r="C119">
        <v>2</v>
      </c>
    </row>
    <row r="120" spans="1:3" x14ac:dyDescent="0.45">
      <c r="A120" s="4">
        <v>994</v>
      </c>
      <c r="B120">
        <v>10</v>
      </c>
      <c r="C120">
        <v>2</v>
      </c>
    </row>
    <row r="121" spans="1:3" x14ac:dyDescent="0.45">
      <c r="A121" s="4">
        <v>1247</v>
      </c>
      <c r="B121">
        <v>10</v>
      </c>
      <c r="C121">
        <v>2</v>
      </c>
    </row>
    <row r="122" spans="1:3" x14ac:dyDescent="0.45">
      <c r="A122" s="4">
        <v>914</v>
      </c>
      <c r="B122">
        <v>10</v>
      </c>
      <c r="C122">
        <v>2</v>
      </c>
    </row>
    <row r="123" spans="1:3" x14ac:dyDescent="0.45">
      <c r="A123" s="4">
        <v>1030</v>
      </c>
      <c r="B123">
        <v>10</v>
      </c>
      <c r="C123">
        <v>2</v>
      </c>
    </row>
    <row r="124" spans="1:3" x14ac:dyDescent="0.45">
      <c r="A124" s="4">
        <v>953</v>
      </c>
      <c r="B124">
        <v>10</v>
      </c>
      <c r="C124">
        <v>2</v>
      </c>
    </row>
    <row r="125" spans="1:3" x14ac:dyDescent="0.45">
      <c r="A125" s="4">
        <v>1231</v>
      </c>
      <c r="B125">
        <v>10</v>
      </c>
      <c r="C125">
        <v>2</v>
      </c>
    </row>
    <row r="126" spans="1:3" x14ac:dyDescent="0.45">
      <c r="A126" s="4">
        <v>955</v>
      </c>
      <c r="B126">
        <v>10</v>
      </c>
      <c r="C126">
        <v>2</v>
      </c>
    </row>
    <row r="127" spans="1:3" x14ac:dyDescent="0.45">
      <c r="A127" s="4">
        <v>1300</v>
      </c>
      <c r="B127">
        <v>10</v>
      </c>
      <c r="C127">
        <v>2</v>
      </c>
    </row>
    <row r="128" spans="1:3" x14ac:dyDescent="0.45">
      <c r="A128" s="4">
        <v>968</v>
      </c>
      <c r="B128">
        <v>10</v>
      </c>
      <c r="C128">
        <v>2</v>
      </c>
    </row>
    <row r="129" spans="1:3" x14ac:dyDescent="0.45">
      <c r="A129" s="4">
        <v>1068</v>
      </c>
      <c r="B129">
        <v>10</v>
      </c>
      <c r="C129">
        <v>2</v>
      </c>
    </row>
    <row r="130" spans="1:3" x14ac:dyDescent="0.45">
      <c r="A130" s="4">
        <v>613</v>
      </c>
      <c r="B130">
        <v>10</v>
      </c>
      <c r="C130">
        <v>3</v>
      </c>
    </row>
    <row r="131" spans="1:3" x14ac:dyDescent="0.45">
      <c r="A131" s="4">
        <v>676</v>
      </c>
      <c r="B131">
        <v>10</v>
      </c>
      <c r="C131">
        <v>2</v>
      </c>
    </row>
    <row r="132" spans="1:3" x14ac:dyDescent="0.45">
      <c r="A132" s="4">
        <v>511</v>
      </c>
      <c r="B132">
        <v>10</v>
      </c>
      <c r="C132">
        <v>3</v>
      </c>
    </row>
    <row r="133" spans="1:3" x14ac:dyDescent="0.45">
      <c r="A133" s="4">
        <v>516</v>
      </c>
      <c r="B133">
        <v>10</v>
      </c>
      <c r="C133">
        <v>3</v>
      </c>
    </row>
    <row r="134" spans="1:3" x14ac:dyDescent="0.45">
      <c r="A134" s="4">
        <v>866</v>
      </c>
      <c r="B134">
        <v>10</v>
      </c>
      <c r="C134">
        <v>2</v>
      </c>
    </row>
    <row r="135" spans="1:3" x14ac:dyDescent="0.45">
      <c r="A135" s="4">
        <v>530</v>
      </c>
      <c r="B135">
        <v>10</v>
      </c>
      <c r="C135">
        <v>3</v>
      </c>
    </row>
    <row r="136" spans="1:3" x14ac:dyDescent="0.45">
      <c r="A136" s="4">
        <v>639</v>
      </c>
      <c r="B136">
        <v>10</v>
      </c>
      <c r="C136">
        <v>3</v>
      </c>
    </row>
    <row r="137" spans="1:3" x14ac:dyDescent="0.45">
      <c r="A137" s="4">
        <v>466</v>
      </c>
      <c r="B137">
        <v>10</v>
      </c>
      <c r="C137">
        <v>3</v>
      </c>
    </row>
    <row r="138" spans="1:3" x14ac:dyDescent="0.45">
      <c r="A138" s="4">
        <v>660</v>
      </c>
      <c r="B138">
        <v>10</v>
      </c>
      <c r="C138">
        <v>3</v>
      </c>
    </row>
    <row r="139" spans="1:3" x14ac:dyDescent="0.45">
      <c r="A139" s="4">
        <v>535</v>
      </c>
      <c r="B139">
        <v>10</v>
      </c>
      <c r="C139">
        <v>3</v>
      </c>
    </row>
    <row r="140" spans="1:3" x14ac:dyDescent="0.45">
      <c r="A140" s="4">
        <v>727</v>
      </c>
      <c r="B140">
        <v>10</v>
      </c>
      <c r="C140">
        <v>2</v>
      </c>
    </row>
    <row r="141" spans="1:3" x14ac:dyDescent="0.45">
      <c r="A141" s="4">
        <v>536</v>
      </c>
      <c r="B141">
        <v>10</v>
      </c>
      <c r="C141">
        <v>3</v>
      </c>
    </row>
    <row r="142" spans="1:3" x14ac:dyDescent="0.45">
      <c r="A142" s="4">
        <v>610</v>
      </c>
      <c r="B142">
        <v>10</v>
      </c>
      <c r="C142">
        <v>3</v>
      </c>
    </row>
    <row r="143" spans="1:3" x14ac:dyDescent="0.45">
      <c r="A143" s="4">
        <v>552</v>
      </c>
      <c r="B143">
        <v>10</v>
      </c>
      <c r="C143">
        <v>3</v>
      </c>
    </row>
    <row r="144" spans="1:3" x14ac:dyDescent="0.45">
      <c r="A144" s="4">
        <v>883</v>
      </c>
      <c r="B144">
        <v>10</v>
      </c>
      <c r="C144">
        <v>2</v>
      </c>
    </row>
    <row r="145" spans="1:3" x14ac:dyDescent="0.45">
      <c r="A145" s="4">
        <v>561</v>
      </c>
      <c r="B145">
        <v>10</v>
      </c>
      <c r="C145">
        <v>3</v>
      </c>
    </row>
    <row r="146" spans="1:3" x14ac:dyDescent="0.45">
      <c r="A146" s="4">
        <v>506</v>
      </c>
      <c r="B146">
        <v>10</v>
      </c>
      <c r="C146">
        <v>3</v>
      </c>
    </row>
    <row r="147" spans="1:3" x14ac:dyDescent="0.45">
      <c r="A147" s="4">
        <v>567</v>
      </c>
      <c r="B147">
        <v>10</v>
      </c>
      <c r="C147">
        <v>3</v>
      </c>
    </row>
    <row r="148" spans="1:3" x14ac:dyDescent="0.45">
      <c r="A148" s="4">
        <v>512</v>
      </c>
      <c r="B148">
        <v>10</v>
      </c>
      <c r="C148">
        <v>3</v>
      </c>
    </row>
    <row r="149" spans="1:3" x14ac:dyDescent="0.45">
      <c r="A149" s="4">
        <v>576</v>
      </c>
      <c r="B149">
        <v>10</v>
      </c>
      <c r="C149">
        <v>3</v>
      </c>
    </row>
    <row r="150" spans="1:3" x14ac:dyDescent="0.45">
      <c r="A150" s="4">
        <v>663</v>
      </c>
      <c r="B150">
        <v>10</v>
      </c>
      <c r="C150">
        <v>3</v>
      </c>
    </row>
    <row r="151" spans="1:3" x14ac:dyDescent="0.45">
      <c r="A151" s="4">
        <v>580</v>
      </c>
      <c r="B151">
        <v>10</v>
      </c>
      <c r="C151">
        <v>3</v>
      </c>
    </row>
    <row r="152" spans="1:3" x14ac:dyDescent="0.45">
      <c r="A152" s="4">
        <v>716</v>
      </c>
      <c r="B152">
        <v>10</v>
      </c>
      <c r="C152">
        <v>2</v>
      </c>
    </row>
    <row r="153" spans="1:3" x14ac:dyDescent="0.45">
      <c r="A153" s="4">
        <v>591</v>
      </c>
      <c r="B153">
        <v>10</v>
      </c>
      <c r="C153">
        <v>3</v>
      </c>
    </row>
    <row r="154" spans="1:3" x14ac:dyDescent="0.45">
      <c r="A154" s="4">
        <v>770</v>
      </c>
      <c r="B154">
        <v>10</v>
      </c>
      <c r="C154">
        <v>2</v>
      </c>
    </row>
    <row r="155" spans="1:3" x14ac:dyDescent="0.45">
      <c r="A155" s="4">
        <v>602</v>
      </c>
      <c r="B155">
        <v>10</v>
      </c>
      <c r="C155">
        <v>3</v>
      </c>
    </row>
    <row r="156" spans="1:3" x14ac:dyDescent="0.45">
      <c r="A156" s="4">
        <v>604</v>
      </c>
      <c r="B156">
        <v>10</v>
      </c>
      <c r="C156">
        <v>3</v>
      </c>
    </row>
    <row r="157" spans="1:3" x14ac:dyDescent="0.45">
      <c r="A157" s="4">
        <v>617</v>
      </c>
      <c r="B157">
        <v>10</v>
      </c>
      <c r="C157">
        <v>3</v>
      </c>
    </row>
    <row r="158" spans="1:3" x14ac:dyDescent="0.45">
      <c r="A158" s="4">
        <v>351</v>
      </c>
      <c r="B158">
        <v>10</v>
      </c>
      <c r="C158">
        <v>3</v>
      </c>
    </row>
    <row r="159" spans="1:3" x14ac:dyDescent="0.45">
      <c r="A159" s="4">
        <v>406</v>
      </c>
      <c r="B159">
        <v>10</v>
      </c>
      <c r="C159">
        <v>3</v>
      </c>
    </row>
    <row r="160" spans="1:3" x14ac:dyDescent="0.45">
      <c r="A160" s="4">
        <v>193</v>
      </c>
      <c r="B160">
        <v>10</v>
      </c>
      <c r="C160">
        <v>3</v>
      </c>
    </row>
    <row r="161" spans="1:3" x14ac:dyDescent="0.45">
      <c r="A161" s="4">
        <v>167</v>
      </c>
      <c r="B161">
        <v>10</v>
      </c>
      <c r="C161">
        <v>3</v>
      </c>
    </row>
    <row r="162" spans="1:3" x14ac:dyDescent="0.45">
      <c r="A162" s="4">
        <v>41</v>
      </c>
      <c r="B162">
        <v>10</v>
      </c>
      <c r="C162">
        <v>3</v>
      </c>
    </row>
    <row r="163" spans="1:3" x14ac:dyDescent="0.45">
      <c r="A163" s="4">
        <v>260</v>
      </c>
      <c r="B163">
        <v>10</v>
      </c>
      <c r="C163">
        <v>3</v>
      </c>
    </row>
    <row r="164" spans="1:3" x14ac:dyDescent="0.45">
      <c r="A164" s="4">
        <v>359</v>
      </c>
      <c r="B164">
        <v>10</v>
      </c>
      <c r="C164">
        <v>3</v>
      </c>
    </row>
    <row r="165" spans="1:3" x14ac:dyDescent="0.45">
      <c r="A165" s="4">
        <v>269</v>
      </c>
      <c r="B165">
        <v>10</v>
      </c>
      <c r="C165">
        <v>3</v>
      </c>
    </row>
    <row r="166" spans="1:3" x14ac:dyDescent="0.45">
      <c r="A166" s="4">
        <v>132</v>
      </c>
      <c r="B166">
        <v>10</v>
      </c>
      <c r="C166">
        <v>3</v>
      </c>
    </row>
    <row r="167" spans="1:3" x14ac:dyDescent="0.45">
      <c r="A167" s="4">
        <v>273</v>
      </c>
      <c r="B167">
        <v>10</v>
      </c>
      <c r="C167">
        <v>3</v>
      </c>
    </row>
    <row r="168" spans="1:3" x14ac:dyDescent="0.45">
      <c r="A168" s="4">
        <v>198</v>
      </c>
      <c r="B168">
        <v>10</v>
      </c>
      <c r="C168">
        <v>3</v>
      </c>
    </row>
    <row r="169" spans="1:3" x14ac:dyDescent="0.45">
      <c r="A169" s="4">
        <v>282</v>
      </c>
      <c r="B169">
        <v>10</v>
      </c>
      <c r="C169">
        <v>3</v>
      </c>
    </row>
    <row r="170" spans="1:3" x14ac:dyDescent="0.45">
      <c r="A170" s="4">
        <v>347</v>
      </c>
      <c r="B170">
        <v>10</v>
      </c>
      <c r="C170">
        <v>3</v>
      </c>
    </row>
    <row r="171" spans="1:3" x14ac:dyDescent="0.45">
      <c r="A171" s="4">
        <v>286</v>
      </c>
      <c r="B171">
        <v>10</v>
      </c>
      <c r="C171">
        <v>3</v>
      </c>
    </row>
    <row r="172" spans="1:3" x14ac:dyDescent="0.45">
      <c r="A172" s="4">
        <v>121</v>
      </c>
      <c r="B172">
        <v>10</v>
      </c>
      <c r="C172">
        <v>3</v>
      </c>
    </row>
    <row r="173" spans="1:3" x14ac:dyDescent="0.45">
      <c r="A173" s="4">
        <v>171</v>
      </c>
      <c r="B173">
        <v>10</v>
      </c>
      <c r="C173">
        <v>3</v>
      </c>
    </row>
    <row r="174" spans="1:3" x14ac:dyDescent="0.45">
      <c r="A174" s="4">
        <v>127</v>
      </c>
      <c r="B174">
        <v>10</v>
      </c>
      <c r="C174">
        <v>3</v>
      </c>
    </row>
    <row r="175" spans="1:3" x14ac:dyDescent="0.45">
      <c r="A175" s="4">
        <v>88</v>
      </c>
      <c r="B175">
        <v>10</v>
      </c>
      <c r="C175">
        <v>3</v>
      </c>
    </row>
    <row r="176" spans="1:3" x14ac:dyDescent="0.45">
      <c r="A176" s="4">
        <v>384</v>
      </c>
      <c r="B176">
        <v>10</v>
      </c>
      <c r="C176">
        <v>3</v>
      </c>
    </row>
    <row r="177" spans="1:3" x14ac:dyDescent="0.45">
      <c r="A177" s="4">
        <v>143</v>
      </c>
      <c r="B177">
        <v>10</v>
      </c>
      <c r="C177">
        <v>3</v>
      </c>
    </row>
    <row r="178" spans="1:3" x14ac:dyDescent="0.45">
      <c r="A178" s="4">
        <v>396</v>
      </c>
      <c r="B178">
        <v>10</v>
      </c>
      <c r="C178">
        <v>3</v>
      </c>
    </row>
    <row r="179" spans="1:3" x14ac:dyDescent="0.45">
      <c r="A179" s="4">
        <v>425</v>
      </c>
      <c r="B179">
        <v>10</v>
      </c>
      <c r="C179">
        <v>3</v>
      </c>
    </row>
    <row r="180" spans="1:3" x14ac:dyDescent="0.45">
      <c r="A180" s="4">
        <v>55</v>
      </c>
      <c r="B180">
        <v>10</v>
      </c>
      <c r="C180">
        <v>3</v>
      </c>
    </row>
    <row r="181" spans="1:3" x14ac:dyDescent="0.45">
      <c r="A181" s="4">
        <v>297</v>
      </c>
      <c r="B181">
        <v>10</v>
      </c>
      <c r="C181">
        <v>3</v>
      </c>
    </row>
    <row r="182" spans="1:3" x14ac:dyDescent="0.45">
      <c r="A182" s="4">
        <v>248</v>
      </c>
      <c r="B182">
        <v>10</v>
      </c>
      <c r="C182">
        <v>3</v>
      </c>
    </row>
    <row r="183" spans="1:3" x14ac:dyDescent="0.45">
      <c r="A183" s="4">
        <v>299</v>
      </c>
      <c r="B183">
        <v>10</v>
      </c>
      <c r="C183">
        <v>3</v>
      </c>
    </row>
    <row r="184" spans="1:3" x14ac:dyDescent="0.45">
      <c r="A184" s="4">
        <v>229</v>
      </c>
      <c r="B184">
        <v>10</v>
      </c>
      <c r="C184">
        <v>3</v>
      </c>
    </row>
    <row r="185" spans="1:3" x14ac:dyDescent="0.45">
      <c r="A185" s="4">
        <v>154</v>
      </c>
      <c r="B185">
        <v>10</v>
      </c>
      <c r="C185">
        <v>3</v>
      </c>
    </row>
    <row r="186" spans="1:3" x14ac:dyDescent="0.45">
      <c r="A186" s="4">
        <v>73</v>
      </c>
      <c r="B186">
        <v>10</v>
      </c>
      <c r="C186">
        <v>3</v>
      </c>
    </row>
    <row r="187" spans="1:3" x14ac:dyDescent="0.45">
      <c r="A187" s="4">
        <v>179</v>
      </c>
      <c r="B187">
        <v>10</v>
      </c>
      <c r="C187">
        <v>3</v>
      </c>
    </row>
    <row r="188" spans="1:3" x14ac:dyDescent="0.45">
      <c r="A188" s="4">
        <v>451</v>
      </c>
      <c r="B188">
        <v>10</v>
      </c>
      <c r="C188">
        <v>3</v>
      </c>
    </row>
    <row r="189" spans="1:3" x14ac:dyDescent="0.45">
      <c r="A189" s="4">
        <v>160</v>
      </c>
      <c r="B189">
        <v>10</v>
      </c>
      <c r="C189">
        <v>3</v>
      </c>
    </row>
    <row r="190" spans="1:3" x14ac:dyDescent="0.45">
      <c r="A190" s="4">
        <v>78</v>
      </c>
      <c r="B190">
        <v>10</v>
      </c>
      <c r="C190">
        <v>3</v>
      </c>
    </row>
    <row r="191" spans="1:3" x14ac:dyDescent="0.45">
      <c r="A191" s="4">
        <v>152</v>
      </c>
      <c r="B191">
        <v>10</v>
      </c>
      <c r="C191">
        <v>3</v>
      </c>
    </row>
    <row r="192" spans="1:3" x14ac:dyDescent="0.45">
      <c r="A192" s="4">
        <v>126</v>
      </c>
      <c r="B192">
        <v>10</v>
      </c>
      <c r="C192">
        <v>3</v>
      </c>
    </row>
    <row r="193" spans="1:3" x14ac:dyDescent="0.45">
      <c r="A193" s="4">
        <v>8</v>
      </c>
      <c r="B193">
        <v>10</v>
      </c>
      <c r="C193">
        <v>3</v>
      </c>
    </row>
    <row r="194" spans="1:3" x14ac:dyDescent="0.45">
      <c r="A194" s="4">
        <v>2</v>
      </c>
      <c r="B194">
        <v>10</v>
      </c>
      <c r="C194">
        <v>3</v>
      </c>
    </row>
    <row r="195" spans="1:3" x14ac:dyDescent="0.45">
      <c r="A195" s="4">
        <v>319</v>
      </c>
      <c r="B195">
        <v>10</v>
      </c>
      <c r="C195">
        <v>3</v>
      </c>
    </row>
    <row r="196" spans="1:3" x14ac:dyDescent="0.45">
      <c r="A196" s="4">
        <v>23</v>
      </c>
      <c r="B196">
        <v>10</v>
      </c>
      <c r="C196">
        <v>3</v>
      </c>
    </row>
    <row r="197" spans="1:3" x14ac:dyDescent="0.45">
      <c r="A197" s="4">
        <v>102</v>
      </c>
      <c r="B197">
        <v>10</v>
      </c>
      <c r="C197">
        <v>3</v>
      </c>
    </row>
    <row r="198" spans="1:3" x14ac:dyDescent="0.45">
      <c r="A198" s="4">
        <v>131</v>
      </c>
      <c r="B198">
        <v>10</v>
      </c>
      <c r="C198">
        <v>3</v>
      </c>
    </row>
    <row r="199" spans="1:3" x14ac:dyDescent="0.45">
      <c r="A199" s="4">
        <v>326</v>
      </c>
      <c r="B199">
        <v>10</v>
      </c>
      <c r="C199">
        <v>3</v>
      </c>
    </row>
    <row r="200" spans="1:3" x14ac:dyDescent="0.45">
      <c r="A200" s="4">
        <v>133</v>
      </c>
      <c r="B200">
        <v>10</v>
      </c>
      <c r="C200">
        <v>3</v>
      </c>
    </row>
    <row r="201" spans="1:3" x14ac:dyDescent="0.45">
      <c r="A201" s="4">
        <v>329</v>
      </c>
      <c r="B201">
        <v>10</v>
      </c>
      <c r="C201">
        <v>3</v>
      </c>
    </row>
    <row r="202" spans="1:3" x14ac:dyDescent="0.45">
      <c r="A202" s="4">
        <v>241</v>
      </c>
      <c r="B202">
        <v>10</v>
      </c>
      <c r="C202">
        <v>3</v>
      </c>
    </row>
    <row r="203" spans="1:3" x14ac:dyDescent="0.45">
      <c r="A203" s="4">
        <v>330</v>
      </c>
      <c r="B203">
        <v>10</v>
      </c>
      <c r="C203">
        <v>3</v>
      </c>
    </row>
    <row r="204" spans="1:3" x14ac:dyDescent="0.45">
      <c r="A204" s="4">
        <v>407</v>
      </c>
      <c r="B204">
        <v>10</v>
      </c>
      <c r="C204">
        <v>3</v>
      </c>
    </row>
    <row r="205" spans="1:3" x14ac:dyDescent="0.45">
      <c r="A205" s="4">
        <v>334</v>
      </c>
      <c r="B205">
        <v>10</v>
      </c>
      <c r="C205">
        <v>3</v>
      </c>
    </row>
    <row r="206" spans="1:3" x14ac:dyDescent="0.45">
      <c r="A206" s="4">
        <v>139</v>
      </c>
      <c r="B206">
        <v>10</v>
      </c>
      <c r="C206">
        <v>3</v>
      </c>
    </row>
    <row r="207" spans="1:3" x14ac:dyDescent="0.45">
      <c r="A207" s="4">
        <v>104</v>
      </c>
      <c r="B207">
        <v>10</v>
      </c>
      <c r="C207">
        <v>3</v>
      </c>
    </row>
    <row r="208" spans="1:3" x14ac:dyDescent="0.45">
      <c r="A208" s="4">
        <v>414</v>
      </c>
      <c r="B208">
        <v>10</v>
      </c>
      <c r="C208">
        <v>3</v>
      </c>
    </row>
    <row r="209" spans="1:3" x14ac:dyDescent="0.45">
      <c r="A209" s="4">
        <v>337</v>
      </c>
      <c r="B209">
        <v>10</v>
      </c>
      <c r="C209">
        <v>3</v>
      </c>
    </row>
    <row r="210" spans="1:3" x14ac:dyDescent="0.45">
      <c r="A210" s="4">
        <v>225</v>
      </c>
      <c r="B210">
        <v>10</v>
      </c>
      <c r="C210">
        <v>3</v>
      </c>
    </row>
    <row r="211" spans="1:3" x14ac:dyDescent="0.45">
      <c r="A211" s="4">
        <v>145</v>
      </c>
      <c r="B211">
        <v>10</v>
      </c>
      <c r="C211">
        <v>3</v>
      </c>
    </row>
    <row r="212" spans="1:3" x14ac:dyDescent="0.45">
      <c r="A212" s="4">
        <v>94</v>
      </c>
      <c r="B212">
        <v>10</v>
      </c>
      <c r="C212">
        <v>3</v>
      </c>
    </row>
    <row r="213" spans="1:3" x14ac:dyDescent="0.45">
      <c r="A213" s="4">
        <v>442</v>
      </c>
      <c r="B213">
        <v>10</v>
      </c>
      <c r="C213">
        <v>3</v>
      </c>
    </row>
    <row r="214" spans="1:3" x14ac:dyDescent="0.45">
      <c r="A214" s="4">
        <v>224</v>
      </c>
      <c r="B214">
        <v>10</v>
      </c>
      <c r="C214">
        <v>3</v>
      </c>
    </row>
    <row r="215" spans="1:3" x14ac:dyDescent="0.45">
      <c r="A215" s="4">
        <v>233</v>
      </c>
      <c r="B215">
        <v>10</v>
      </c>
      <c r="C215">
        <v>3</v>
      </c>
    </row>
    <row r="216" spans="1:3" x14ac:dyDescent="0.45">
      <c r="A216" s="4">
        <v>1215</v>
      </c>
      <c r="B216">
        <v>9</v>
      </c>
      <c r="C216">
        <v>2</v>
      </c>
    </row>
    <row r="217" spans="1:3" x14ac:dyDescent="0.45">
      <c r="A217" s="4">
        <v>995</v>
      </c>
      <c r="B217">
        <v>9</v>
      </c>
      <c r="C217">
        <v>2</v>
      </c>
    </row>
    <row r="218" spans="1:3" x14ac:dyDescent="0.45">
      <c r="A218" s="4">
        <v>1265</v>
      </c>
      <c r="B218">
        <v>9</v>
      </c>
      <c r="C218">
        <v>2</v>
      </c>
    </row>
    <row r="219" spans="1:3" x14ac:dyDescent="0.45">
      <c r="A219" s="4">
        <v>1020</v>
      </c>
      <c r="B219">
        <v>9</v>
      </c>
      <c r="C219">
        <v>2</v>
      </c>
    </row>
    <row r="220" spans="1:3" x14ac:dyDescent="0.45">
      <c r="A220" s="4">
        <v>1180</v>
      </c>
      <c r="B220">
        <v>9</v>
      </c>
      <c r="C220">
        <v>2</v>
      </c>
    </row>
    <row r="221" spans="1:3" x14ac:dyDescent="0.45">
      <c r="A221" s="4">
        <v>1024</v>
      </c>
      <c r="B221">
        <v>9</v>
      </c>
      <c r="C221">
        <v>2</v>
      </c>
    </row>
    <row r="222" spans="1:3" x14ac:dyDescent="0.45">
      <c r="A222" s="4">
        <v>980</v>
      </c>
      <c r="B222">
        <v>9</v>
      </c>
      <c r="C222">
        <v>2</v>
      </c>
    </row>
    <row r="223" spans="1:3" x14ac:dyDescent="0.45">
      <c r="A223" s="4">
        <v>913</v>
      </c>
      <c r="B223">
        <v>9</v>
      </c>
      <c r="C223">
        <v>2</v>
      </c>
    </row>
    <row r="224" spans="1:3" x14ac:dyDescent="0.45">
      <c r="A224" s="4">
        <v>1270</v>
      </c>
      <c r="B224">
        <v>9</v>
      </c>
      <c r="C224">
        <v>2</v>
      </c>
    </row>
    <row r="225" spans="1:3" x14ac:dyDescent="0.45">
      <c r="A225" s="4">
        <v>1050</v>
      </c>
      <c r="B225">
        <v>9</v>
      </c>
      <c r="C225">
        <v>2</v>
      </c>
    </row>
    <row r="226" spans="1:3" x14ac:dyDescent="0.45">
      <c r="A226" s="4">
        <v>1177</v>
      </c>
      <c r="B226">
        <v>9</v>
      </c>
      <c r="C226">
        <v>2</v>
      </c>
    </row>
    <row r="227" spans="1:3" x14ac:dyDescent="0.45">
      <c r="A227" s="4">
        <v>1303</v>
      </c>
      <c r="B227">
        <v>9</v>
      </c>
      <c r="C227">
        <v>2</v>
      </c>
    </row>
    <row r="228" spans="1:3" x14ac:dyDescent="0.45">
      <c r="A228" s="4">
        <v>1186</v>
      </c>
      <c r="B228">
        <v>9</v>
      </c>
      <c r="C228">
        <v>2</v>
      </c>
    </row>
    <row r="229" spans="1:3" x14ac:dyDescent="0.45">
      <c r="A229" s="4">
        <v>1312</v>
      </c>
      <c r="B229">
        <v>9</v>
      </c>
      <c r="C229">
        <v>2</v>
      </c>
    </row>
    <row r="230" spans="1:3" x14ac:dyDescent="0.45">
      <c r="A230" s="4">
        <v>975</v>
      </c>
      <c r="B230">
        <v>9</v>
      </c>
      <c r="C230">
        <v>2</v>
      </c>
    </row>
    <row r="231" spans="1:3" x14ac:dyDescent="0.45">
      <c r="A231" s="4">
        <v>1115</v>
      </c>
      <c r="B231">
        <v>9</v>
      </c>
      <c r="C231">
        <v>2</v>
      </c>
    </row>
    <row r="232" spans="1:3" x14ac:dyDescent="0.45">
      <c r="A232" s="4">
        <v>1252</v>
      </c>
      <c r="B232">
        <v>9</v>
      </c>
      <c r="C232">
        <v>2</v>
      </c>
    </row>
    <row r="233" spans="1:3" x14ac:dyDescent="0.45">
      <c r="A233" s="4">
        <v>1130</v>
      </c>
      <c r="B233">
        <v>9</v>
      </c>
      <c r="C233">
        <v>2</v>
      </c>
    </row>
    <row r="234" spans="1:3" x14ac:dyDescent="0.45">
      <c r="A234" s="4">
        <v>1268</v>
      </c>
      <c r="B234">
        <v>9</v>
      </c>
      <c r="C234">
        <v>2</v>
      </c>
    </row>
    <row r="235" spans="1:3" x14ac:dyDescent="0.45">
      <c r="A235" s="4">
        <v>1132</v>
      </c>
      <c r="B235">
        <v>9</v>
      </c>
      <c r="C235">
        <v>2</v>
      </c>
    </row>
    <row r="236" spans="1:3" x14ac:dyDescent="0.45">
      <c r="A236" s="4">
        <v>950</v>
      </c>
      <c r="B236">
        <v>9</v>
      </c>
      <c r="C236">
        <v>2</v>
      </c>
    </row>
    <row r="237" spans="1:3" x14ac:dyDescent="0.45">
      <c r="A237" s="4">
        <v>973</v>
      </c>
      <c r="B237">
        <v>9</v>
      </c>
      <c r="C237">
        <v>2</v>
      </c>
    </row>
    <row r="238" spans="1:3" x14ac:dyDescent="0.45">
      <c r="A238" s="4">
        <v>1162</v>
      </c>
      <c r="B238">
        <v>9</v>
      </c>
      <c r="C238">
        <v>2</v>
      </c>
    </row>
    <row r="239" spans="1:3" x14ac:dyDescent="0.45">
      <c r="A239" s="4">
        <v>1321</v>
      </c>
      <c r="B239">
        <v>9</v>
      </c>
      <c r="C239">
        <v>2</v>
      </c>
    </row>
    <row r="240" spans="1:3" x14ac:dyDescent="0.45">
      <c r="A240" s="4">
        <v>1084</v>
      </c>
      <c r="B240">
        <v>9</v>
      </c>
      <c r="C240">
        <v>2</v>
      </c>
    </row>
    <row r="241" spans="1:3" x14ac:dyDescent="0.45">
      <c r="A241" s="4">
        <v>1150</v>
      </c>
      <c r="B241">
        <v>9</v>
      </c>
      <c r="C241">
        <v>2</v>
      </c>
    </row>
    <row r="242" spans="1:3" x14ac:dyDescent="0.45">
      <c r="A242" s="4">
        <v>467</v>
      </c>
      <c r="B242">
        <v>9</v>
      </c>
      <c r="C242">
        <v>3</v>
      </c>
    </row>
    <row r="243" spans="1:3" x14ac:dyDescent="0.45">
      <c r="A243" s="4">
        <v>740</v>
      </c>
      <c r="B243">
        <v>9</v>
      </c>
      <c r="C243">
        <v>2</v>
      </c>
    </row>
    <row r="244" spans="1:3" x14ac:dyDescent="0.45">
      <c r="A244" s="4">
        <v>461</v>
      </c>
      <c r="B244">
        <v>9</v>
      </c>
      <c r="C244">
        <v>3</v>
      </c>
    </row>
    <row r="245" spans="1:3" x14ac:dyDescent="0.45">
      <c r="A245" s="4">
        <v>575</v>
      </c>
      <c r="B245">
        <v>9</v>
      </c>
      <c r="C245">
        <v>3</v>
      </c>
    </row>
    <row r="246" spans="1:3" x14ac:dyDescent="0.45">
      <c r="A246" s="4">
        <v>790</v>
      </c>
      <c r="B246">
        <v>9</v>
      </c>
      <c r="C246">
        <v>2</v>
      </c>
    </row>
    <row r="247" spans="1:3" x14ac:dyDescent="0.45">
      <c r="A247" s="4">
        <v>621</v>
      </c>
      <c r="B247">
        <v>9</v>
      </c>
      <c r="C247">
        <v>3</v>
      </c>
    </row>
    <row r="248" spans="1:3" x14ac:dyDescent="0.45">
      <c r="A248" s="4">
        <v>695</v>
      </c>
      <c r="B248">
        <v>9</v>
      </c>
      <c r="C248">
        <v>2</v>
      </c>
    </row>
    <row r="249" spans="1:3" x14ac:dyDescent="0.45">
      <c r="A249" s="4">
        <v>627</v>
      </c>
      <c r="B249">
        <v>9</v>
      </c>
      <c r="C249">
        <v>3</v>
      </c>
    </row>
    <row r="250" spans="1:3" x14ac:dyDescent="0.45">
      <c r="A250" s="4">
        <v>736</v>
      </c>
      <c r="B250">
        <v>9</v>
      </c>
      <c r="C250">
        <v>2</v>
      </c>
    </row>
    <row r="251" spans="1:3" x14ac:dyDescent="0.45">
      <c r="A251" s="4">
        <v>629</v>
      </c>
      <c r="B251">
        <v>9</v>
      </c>
      <c r="C251">
        <v>3</v>
      </c>
    </row>
    <row r="252" spans="1:3" x14ac:dyDescent="0.45">
      <c r="A252" s="4">
        <v>769</v>
      </c>
      <c r="B252">
        <v>9</v>
      </c>
      <c r="C252">
        <v>2</v>
      </c>
    </row>
    <row r="253" spans="1:3" x14ac:dyDescent="0.45">
      <c r="A253" s="4">
        <v>524</v>
      </c>
      <c r="B253">
        <v>9</v>
      </c>
      <c r="C253">
        <v>3</v>
      </c>
    </row>
    <row r="254" spans="1:3" x14ac:dyDescent="0.45">
      <c r="A254" s="4">
        <v>837</v>
      </c>
      <c r="B254">
        <v>9</v>
      </c>
      <c r="C254">
        <v>2</v>
      </c>
    </row>
    <row r="255" spans="1:3" x14ac:dyDescent="0.45">
      <c r="A255" s="4">
        <v>527</v>
      </c>
      <c r="B255">
        <v>9</v>
      </c>
      <c r="C255">
        <v>3</v>
      </c>
    </row>
    <row r="256" spans="1:3" x14ac:dyDescent="0.45">
      <c r="A256" s="4">
        <v>691</v>
      </c>
      <c r="B256">
        <v>9</v>
      </c>
      <c r="C256">
        <v>2</v>
      </c>
    </row>
    <row r="257" spans="1:3" x14ac:dyDescent="0.45">
      <c r="A257" s="4">
        <v>643</v>
      </c>
      <c r="B257">
        <v>9</v>
      </c>
      <c r="C257">
        <v>3</v>
      </c>
    </row>
    <row r="258" spans="1:3" x14ac:dyDescent="0.45">
      <c r="A258" s="4">
        <v>463</v>
      </c>
      <c r="B258">
        <v>9</v>
      </c>
      <c r="C258">
        <v>3</v>
      </c>
    </row>
    <row r="259" spans="1:3" x14ac:dyDescent="0.45">
      <c r="A259" s="4">
        <v>581</v>
      </c>
      <c r="B259">
        <v>9</v>
      </c>
      <c r="C259">
        <v>3</v>
      </c>
    </row>
    <row r="260" spans="1:3" x14ac:dyDescent="0.45">
      <c r="A260" s="4">
        <v>607</v>
      </c>
      <c r="B260">
        <v>9</v>
      </c>
      <c r="C260">
        <v>3</v>
      </c>
    </row>
    <row r="261" spans="1:3" x14ac:dyDescent="0.45">
      <c r="A261" s="4">
        <v>589</v>
      </c>
      <c r="B261">
        <v>9</v>
      </c>
      <c r="C261">
        <v>3</v>
      </c>
    </row>
    <row r="262" spans="1:3" x14ac:dyDescent="0.45">
      <c r="A262" s="4">
        <v>737</v>
      </c>
      <c r="B262">
        <v>9</v>
      </c>
      <c r="C262">
        <v>2</v>
      </c>
    </row>
    <row r="263" spans="1:3" x14ac:dyDescent="0.45">
      <c r="A263" s="4">
        <v>528</v>
      </c>
      <c r="B263">
        <v>9</v>
      </c>
      <c r="C263">
        <v>3</v>
      </c>
    </row>
    <row r="264" spans="1:3" x14ac:dyDescent="0.45">
      <c r="A264" s="4">
        <v>765</v>
      </c>
      <c r="B264">
        <v>9</v>
      </c>
      <c r="C264">
        <v>2</v>
      </c>
    </row>
    <row r="265" spans="1:3" x14ac:dyDescent="0.45">
      <c r="A265" s="4">
        <v>497</v>
      </c>
      <c r="B265">
        <v>9</v>
      </c>
      <c r="C265">
        <v>3</v>
      </c>
    </row>
    <row r="266" spans="1:3" x14ac:dyDescent="0.45">
      <c r="A266" s="4">
        <v>476</v>
      </c>
      <c r="B266">
        <v>9</v>
      </c>
      <c r="C266">
        <v>3</v>
      </c>
    </row>
    <row r="267" spans="1:3" x14ac:dyDescent="0.45">
      <c r="A267" s="4">
        <v>903</v>
      </c>
      <c r="B267">
        <v>9</v>
      </c>
      <c r="C267">
        <v>2</v>
      </c>
    </row>
    <row r="268" spans="1:3" x14ac:dyDescent="0.45">
      <c r="A268" s="4">
        <v>811</v>
      </c>
      <c r="B268">
        <v>9</v>
      </c>
      <c r="C268">
        <v>2</v>
      </c>
    </row>
    <row r="269" spans="1:3" x14ac:dyDescent="0.45">
      <c r="A269" s="4">
        <v>557</v>
      </c>
      <c r="B269">
        <v>9</v>
      </c>
      <c r="C269">
        <v>3</v>
      </c>
    </row>
    <row r="270" spans="1:3" x14ac:dyDescent="0.45">
      <c r="A270" s="4">
        <v>865</v>
      </c>
      <c r="B270">
        <v>9</v>
      </c>
      <c r="C270">
        <v>2</v>
      </c>
    </row>
    <row r="271" spans="1:3" x14ac:dyDescent="0.45">
      <c r="A271" s="4">
        <v>678</v>
      </c>
      <c r="B271">
        <v>9</v>
      </c>
      <c r="C271">
        <v>2</v>
      </c>
    </row>
    <row r="272" spans="1:3" x14ac:dyDescent="0.45">
      <c r="A272" s="4">
        <v>470</v>
      </c>
      <c r="B272">
        <v>9</v>
      </c>
      <c r="C272">
        <v>3</v>
      </c>
    </row>
    <row r="273" spans="1:3" x14ac:dyDescent="0.45">
      <c r="A273" s="4">
        <v>689</v>
      </c>
      <c r="B273">
        <v>9</v>
      </c>
      <c r="C273">
        <v>2</v>
      </c>
    </row>
    <row r="274" spans="1:3" x14ac:dyDescent="0.45">
      <c r="A274" s="4">
        <v>665</v>
      </c>
      <c r="B274">
        <v>9</v>
      </c>
      <c r="C274">
        <v>2</v>
      </c>
    </row>
    <row r="275" spans="1:3" x14ac:dyDescent="0.45">
      <c r="A275" s="4">
        <v>63</v>
      </c>
      <c r="B275">
        <v>9</v>
      </c>
      <c r="C275">
        <v>3</v>
      </c>
    </row>
    <row r="276" spans="1:3" x14ac:dyDescent="0.45">
      <c r="A276" s="4">
        <v>103</v>
      </c>
      <c r="B276">
        <v>9</v>
      </c>
      <c r="C276">
        <v>3</v>
      </c>
    </row>
    <row r="277" spans="1:3" x14ac:dyDescent="0.45">
      <c r="A277" s="4">
        <v>421</v>
      </c>
      <c r="B277">
        <v>9</v>
      </c>
      <c r="C277">
        <v>3</v>
      </c>
    </row>
    <row r="278" spans="1:3" x14ac:dyDescent="0.45">
      <c r="A278" s="4">
        <v>129</v>
      </c>
      <c r="B278">
        <v>9</v>
      </c>
      <c r="C278">
        <v>3</v>
      </c>
    </row>
    <row r="279" spans="1:3" x14ac:dyDescent="0.45">
      <c r="A279" s="4">
        <v>188</v>
      </c>
      <c r="B279">
        <v>9</v>
      </c>
      <c r="C279">
        <v>3</v>
      </c>
    </row>
    <row r="280" spans="1:3" x14ac:dyDescent="0.45">
      <c r="A280" s="4">
        <v>17</v>
      </c>
      <c r="B280">
        <v>9</v>
      </c>
      <c r="C280">
        <v>3</v>
      </c>
    </row>
    <row r="281" spans="1:3" x14ac:dyDescent="0.45">
      <c r="A281" s="4">
        <v>400</v>
      </c>
      <c r="B281">
        <v>9</v>
      </c>
      <c r="C281">
        <v>3</v>
      </c>
    </row>
    <row r="282" spans="1:3" x14ac:dyDescent="0.45">
      <c r="A282" s="4">
        <v>75</v>
      </c>
      <c r="B282">
        <v>9</v>
      </c>
      <c r="C282">
        <v>3</v>
      </c>
    </row>
    <row r="283" spans="1:3" x14ac:dyDescent="0.45">
      <c r="A283" s="4">
        <v>440</v>
      </c>
      <c r="B283">
        <v>9</v>
      </c>
      <c r="C283">
        <v>3</v>
      </c>
    </row>
    <row r="284" spans="1:3" x14ac:dyDescent="0.45">
      <c r="A284" s="4">
        <v>250</v>
      </c>
      <c r="B284">
        <v>9</v>
      </c>
      <c r="C284">
        <v>3</v>
      </c>
    </row>
    <row r="285" spans="1:3" x14ac:dyDescent="0.45">
      <c r="A285" s="4">
        <v>350</v>
      </c>
      <c r="B285">
        <v>9</v>
      </c>
      <c r="C285">
        <v>3</v>
      </c>
    </row>
    <row r="286" spans="1:3" x14ac:dyDescent="0.45">
      <c r="A286" s="4">
        <v>251</v>
      </c>
      <c r="B286">
        <v>9</v>
      </c>
      <c r="C286">
        <v>3</v>
      </c>
    </row>
    <row r="287" spans="1:3" x14ac:dyDescent="0.45">
      <c r="A287" s="4">
        <v>61</v>
      </c>
      <c r="B287">
        <v>9</v>
      </c>
      <c r="C287">
        <v>3</v>
      </c>
    </row>
    <row r="288" spans="1:3" x14ac:dyDescent="0.45">
      <c r="A288" s="4">
        <v>136</v>
      </c>
      <c r="B288">
        <v>9</v>
      </c>
      <c r="C288">
        <v>3</v>
      </c>
    </row>
    <row r="289" spans="1:3" x14ac:dyDescent="0.45">
      <c r="A289" s="4">
        <v>394</v>
      </c>
      <c r="B289">
        <v>9</v>
      </c>
      <c r="C289">
        <v>3</v>
      </c>
    </row>
    <row r="290" spans="1:3" x14ac:dyDescent="0.45">
      <c r="A290" s="4">
        <v>259</v>
      </c>
      <c r="B290">
        <v>9</v>
      </c>
      <c r="C290">
        <v>3</v>
      </c>
    </row>
    <row r="291" spans="1:3" x14ac:dyDescent="0.45">
      <c r="A291" s="4">
        <v>408</v>
      </c>
      <c r="B291">
        <v>9</v>
      </c>
      <c r="C291">
        <v>3</v>
      </c>
    </row>
    <row r="292" spans="1:3" x14ac:dyDescent="0.45">
      <c r="A292" s="4">
        <v>262</v>
      </c>
      <c r="B292">
        <v>9</v>
      </c>
      <c r="C292">
        <v>3</v>
      </c>
    </row>
    <row r="293" spans="1:3" x14ac:dyDescent="0.45">
      <c r="A293" s="4">
        <v>432</v>
      </c>
      <c r="B293">
        <v>9</v>
      </c>
      <c r="C293">
        <v>3</v>
      </c>
    </row>
    <row r="294" spans="1:3" x14ac:dyDescent="0.45">
      <c r="A294" s="4">
        <v>272</v>
      </c>
      <c r="B294">
        <v>9</v>
      </c>
      <c r="C294">
        <v>3</v>
      </c>
    </row>
    <row r="295" spans="1:3" x14ac:dyDescent="0.45">
      <c r="A295" s="4">
        <v>444</v>
      </c>
      <c r="B295">
        <v>9</v>
      </c>
      <c r="C295">
        <v>3</v>
      </c>
    </row>
    <row r="296" spans="1:3" x14ac:dyDescent="0.45">
      <c r="A296" s="4">
        <v>275</v>
      </c>
      <c r="B296">
        <v>9</v>
      </c>
      <c r="C296">
        <v>3</v>
      </c>
    </row>
    <row r="297" spans="1:3" x14ac:dyDescent="0.45">
      <c r="A297" s="4">
        <v>349</v>
      </c>
      <c r="B297">
        <v>9</v>
      </c>
      <c r="C297">
        <v>3</v>
      </c>
    </row>
    <row r="298" spans="1:3" x14ac:dyDescent="0.45">
      <c r="A298" s="4">
        <v>43</v>
      </c>
      <c r="B298">
        <v>9</v>
      </c>
      <c r="C298">
        <v>3</v>
      </c>
    </row>
    <row r="299" spans="1:3" x14ac:dyDescent="0.45">
      <c r="A299" s="4">
        <v>184</v>
      </c>
      <c r="B299">
        <v>9</v>
      </c>
      <c r="C299">
        <v>3</v>
      </c>
    </row>
    <row r="300" spans="1:3" x14ac:dyDescent="0.45">
      <c r="A300" s="4">
        <v>147</v>
      </c>
      <c r="B300">
        <v>9</v>
      </c>
      <c r="C300">
        <v>3</v>
      </c>
    </row>
    <row r="301" spans="1:3" x14ac:dyDescent="0.45">
      <c r="A301" s="4">
        <v>356</v>
      </c>
      <c r="B301">
        <v>9</v>
      </c>
      <c r="C301">
        <v>3</v>
      </c>
    </row>
    <row r="302" spans="1:3" x14ac:dyDescent="0.45">
      <c r="A302" s="4">
        <v>44</v>
      </c>
      <c r="B302">
        <v>9</v>
      </c>
      <c r="C302">
        <v>3</v>
      </c>
    </row>
    <row r="303" spans="1:3" x14ac:dyDescent="0.45">
      <c r="A303" s="4">
        <v>112</v>
      </c>
      <c r="B303">
        <v>9</v>
      </c>
      <c r="C303">
        <v>3</v>
      </c>
    </row>
    <row r="304" spans="1:3" x14ac:dyDescent="0.45">
      <c r="A304" s="4">
        <v>155</v>
      </c>
      <c r="B304">
        <v>9</v>
      </c>
      <c r="C304">
        <v>3</v>
      </c>
    </row>
    <row r="305" spans="1:3" x14ac:dyDescent="0.45">
      <c r="A305" s="4">
        <v>6</v>
      </c>
      <c r="B305">
        <v>9</v>
      </c>
      <c r="C305">
        <v>3</v>
      </c>
    </row>
    <row r="306" spans="1:3" x14ac:dyDescent="0.45">
      <c r="A306" s="4">
        <v>307</v>
      </c>
      <c r="B306">
        <v>9</v>
      </c>
      <c r="C306">
        <v>3</v>
      </c>
    </row>
    <row r="307" spans="1:3" x14ac:dyDescent="0.45">
      <c r="A307" s="4">
        <v>399</v>
      </c>
      <c r="B307">
        <v>9</v>
      </c>
      <c r="C307">
        <v>3</v>
      </c>
    </row>
    <row r="308" spans="1:3" x14ac:dyDescent="0.45">
      <c r="A308" s="4">
        <v>309</v>
      </c>
      <c r="B308">
        <v>9</v>
      </c>
      <c r="C308">
        <v>3</v>
      </c>
    </row>
    <row r="309" spans="1:3" x14ac:dyDescent="0.45">
      <c r="A309" s="4">
        <v>405</v>
      </c>
      <c r="B309">
        <v>9</v>
      </c>
      <c r="C309">
        <v>3</v>
      </c>
    </row>
    <row r="310" spans="1:3" x14ac:dyDescent="0.45">
      <c r="A310" s="4">
        <v>156</v>
      </c>
      <c r="B310">
        <v>9</v>
      </c>
      <c r="C310">
        <v>3</v>
      </c>
    </row>
    <row r="311" spans="1:3" x14ac:dyDescent="0.45">
      <c r="A311" s="4">
        <v>222</v>
      </c>
      <c r="B311">
        <v>9</v>
      </c>
      <c r="C311">
        <v>3</v>
      </c>
    </row>
    <row r="312" spans="1:3" x14ac:dyDescent="0.45">
      <c r="A312" s="4">
        <v>332</v>
      </c>
      <c r="B312">
        <v>9</v>
      </c>
      <c r="C312">
        <v>3</v>
      </c>
    </row>
    <row r="313" spans="1:3" x14ac:dyDescent="0.45">
      <c r="A313" s="4">
        <v>427</v>
      </c>
      <c r="B313">
        <v>9</v>
      </c>
      <c r="C313">
        <v>3</v>
      </c>
    </row>
    <row r="314" spans="1:3" x14ac:dyDescent="0.45">
      <c r="A314" s="4">
        <v>333</v>
      </c>
      <c r="B314">
        <v>9</v>
      </c>
      <c r="C314">
        <v>3</v>
      </c>
    </row>
    <row r="315" spans="1:3" x14ac:dyDescent="0.45">
      <c r="A315" s="4">
        <v>433</v>
      </c>
      <c r="B315">
        <v>9</v>
      </c>
      <c r="C315">
        <v>3</v>
      </c>
    </row>
    <row r="316" spans="1:3" x14ac:dyDescent="0.45">
      <c r="A316" s="4">
        <v>448</v>
      </c>
      <c r="B316">
        <v>9</v>
      </c>
      <c r="C316">
        <v>3</v>
      </c>
    </row>
    <row r="317" spans="1:3" x14ac:dyDescent="0.45">
      <c r="A317" s="4">
        <v>230</v>
      </c>
      <c r="B317">
        <v>9</v>
      </c>
      <c r="C317">
        <v>3</v>
      </c>
    </row>
    <row r="318" spans="1:3" x14ac:dyDescent="0.45">
      <c r="A318" s="4">
        <v>98</v>
      </c>
      <c r="B318">
        <v>9</v>
      </c>
      <c r="C318">
        <v>3</v>
      </c>
    </row>
    <row r="319" spans="1:3" x14ac:dyDescent="0.45">
      <c r="A319" s="4">
        <v>338</v>
      </c>
      <c r="B319">
        <v>9</v>
      </c>
      <c r="C319">
        <v>3</v>
      </c>
    </row>
    <row r="320" spans="1:3" x14ac:dyDescent="0.45">
      <c r="A320" s="4">
        <v>96</v>
      </c>
      <c r="B320">
        <v>9</v>
      </c>
      <c r="C320">
        <v>3</v>
      </c>
    </row>
    <row r="321" spans="1:3" x14ac:dyDescent="0.45">
      <c r="A321" s="4">
        <v>1254</v>
      </c>
      <c r="B321">
        <v>8</v>
      </c>
      <c r="C321">
        <v>2</v>
      </c>
    </row>
    <row r="322" spans="1:3" x14ac:dyDescent="0.45">
      <c r="A322" s="4">
        <v>1193</v>
      </c>
      <c r="B322">
        <v>8</v>
      </c>
      <c r="C322">
        <v>2</v>
      </c>
    </row>
    <row r="323" spans="1:3" x14ac:dyDescent="0.45">
      <c r="A323" s="4">
        <v>1337</v>
      </c>
      <c r="B323">
        <v>8</v>
      </c>
      <c r="C323">
        <v>2</v>
      </c>
    </row>
    <row r="324" spans="1:3" x14ac:dyDescent="0.45">
      <c r="A324" s="4">
        <v>922</v>
      </c>
      <c r="B324">
        <v>8</v>
      </c>
      <c r="C324">
        <v>2</v>
      </c>
    </row>
    <row r="325" spans="1:3" x14ac:dyDescent="0.45">
      <c r="A325" s="4">
        <v>1210</v>
      </c>
      <c r="B325">
        <v>8</v>
      </c>
      <c r="C325">
        <v>2</v>
      </c>
    </row>
    <row r="326" spans="1:3" x14ac:dyDescent="0.45">
      <c r="A326" s="4">
        <v>986</v>
      </c>
      <c r="B326">
        <v>8</v>
      </c>
      <c r="C326">
        <v>2</v>
      </c>
    </row>
    <row r="327" spans="1:3" x14ac:dyDescent="0.45">
      <c r="A327" s="4">
        <v>1292</v>
      </c>
      <c r="B327">
        <v>8</v>
      </c>
      <c r="C327">
        <v>2</v>
      </c>
    </row>
    <row r="328" spans="1:3" x14ac:dyDescent="0.45">
      <c r="A328" s="4">
        <v>1110</v>
      </c>
      <c r="B328">
        <v>8</v>
      </c>
      <c r="C328">
        <v>2</v>
      </c>
    </row>
    <row r="329" spans="1:3" x14ac:dyDescent="0.45">
      <c r="A329" s="4">
        <v>1015</v>
      </c>
      <c r="B329">
        <v>8</v>
      </c>
      <c r="C329">
        <v>2</v>
      </c>
    </row>
    <row r="330" spans="1:3" x14ac:dyDescent="0.45">
      <c r="A330" s="4">
        <v>990</v>
      </c>
      <c r="B330">
        <v>8</v>
      </c>
      <c r="C330">
        <v>2</v>
      </c>
    </row>
    <row r="331" spans="1:3" x14ac:dyDescent="0.45">
      <c r="A331" s="4">
        <v>1206</v>
      </c>
      <c r="B331">
        <v>8</v>
      </c>
      <c r="C331">
        <v>2</v>
      </c>
    </row>
    <row r="332" spans="1:3" x14ac:dyDescent="0.45">
      <c r="A332" s="4">
        <v>1123</v>
      </c>
      <c r="B332">
        <v>8</v>
      </c>
      <c r="C332">
        <v>2</v>
      </c>
    </row>
    <row r="333" spans="1:3" x14ac:dyDescent="0.45">
      <c r="A333" s="4">
        <v>1236</v>
      </c>
      <c r="B333">
        <v>8</v>
      </c>
      <c r="C333">
        <v>2</v>
      </c>
    </row>
    <row r="334" spans="1:3" x14ac:dyDescent="0.45">
      <c r="A334" s="4">
        <v>993</v>
      </c>
      <c r="B334">
        <v>8</v>
      </c>
      <c r="C334">
        <v>2</v>
      </c>
    </row>
    <row r="335" spans="1:3" x14ac:dyDescent="0.45">
      <c r="A335" s="4">
        <v>1044</v>
      </c>
      <c r="B335">
        <v>8</v>
      </c>
      <c r="C335">
        <v>2</v>
      </c>
    </row>
    <row r="336" spans="1:3" x14ac:dyDescent="0.45">
      <c r="A336" s="4">
        <v>924</v>
      </c>
      <c r="B336">
        <v>8</v>
      </c>
      <c r="C336">
        <v>2</v>
      </c>
    </row>
    <row r="337" spans="1:3" x14ac:dyDescent="0.45">
      <c r="A337" s="4">
        <v>1315</v>
      </c>
      <c r="B337">
        <v>8</v>
      </c>
      <c r="C337">
        <v>2</v>
      </c>
    </row>
    <row r="338" spans="1:3" x14ac:dyDescent="0.45">
      <c r="A338" s="4">
        <v>909</v>
      </c>
      <c r="B338">
        <v>8</v>
      </c>
      <c r="C338">
        <v>2</v>
      </c>
    </row>
    <row r="339" spans="1:3" x14ac:dyDescent="0.45">
      <c r="A339" s="4">
        <v>1183</v>
      </c>
      <c r="B339">
        <v>8</v>
      </c>
      <c r="C339">
        <v>2</v>
      </c>
    </row>
    <row r="340" spans="1:3" x14ac:dyDescent="0.45">
      <c r="A340" s="4">
        <v>1137</v>
      </c>
      <c r="B340">
        <v>8</v>
      </c>
      <c r="C340">
        <v>2</v>
      </c>
    </row>
    <row r="341" spans="1:3" x14ac:dyDescent="0.45">
      <c r="A341" s="4">
        <v>1189</v>
      </c>
      <c r="B341">
        <v>8</v>
      </c>
      <c r="C341">
        <v>2</v>
      </c>
    </row>
    <row r="342" spans="1:3" x14ac:dyDescent="0.45">
      <c r="A342" s="4">
        <v>1139</v>
      </c>
      <c r="B342">
        <v>8</v>
      </c>
      <c r="C342">
        <v>2</v>
      </c>
    </row>
    <row r="343" spans="1:3" x14ac:dyDescent="0.45">
      <c r="A343" s="4">
        <v>1197</v>
      </c>
      <c r="B343">
        <v>8</v>
      </c>
      <c r="C343">
        <v>2</v>
      </c>
    </row>
    <row r="344" spans="1:3" x14ac:dyDescent="0.45">
      <c r="A344" s="4">
        <v>961</v>
      </c>
      <c r="B344">
        <v>8</v>
      </c>
      <c r="C344">
        <v>2</v>
      </c>
    </row>
    <row r="345" spans="1:3" x14ac:dyDescent="0.45">
      <c r="A345" s="4">
        <v>1064</v>
      </c>
      <c r="B345">
        <v>8</v>
      </c>
      <c r="C345">
        <v>2</v>
      </c>
    </row>
    <row r="346" spans="1:3" x14ac:dyDescent="0.45">
      <c r="A346" s="4">
        <v>1352</v>
      </c>
      <c r="B346">
        <v>8</v>
      </c>
      <c r="C346">
        <v>2</v>
      </c>
    </row>
    <row r="347" spans="1:3" x14ac:dyDescent="0.45">
      <c r="A347" s="4">
        <v>1229</v>
      </c>
      <c r="B347">
        <v>8</v>
      </c>
      <c r="C347">
        <v>2</v>
      </c>
    </row>
    <row r="348" spans="1:3" x14ac:dyDescent="0.45">
      <c r="A348" s="4">
        <v>1154</v>
      </c>
      <c r="B348">
        <v>8</v>
      </c>
      <c r="C348">
        <v>2</v>
      </c>
    </row>
    <row r="349" spans="1:3" x14ac:dyDescent="0.45">
      <c r="A349" s="4">
        <v>1237</v>
      </c>
      <c r="B349">
        <v>8</v>
      </c>
      <c r="C349">
        <v>2</v>
      </c>
    </row>
    <row r="350" spans="1:3" x14ac:dyDescent="0.45">
      <c r="A350" s="4">
        <v>1156</v>
      </c>
      <c r="B350">
        <v>8</v>
      </c>
      <c r="C350">
        <v>2</v>
      </c>
    </row>
    <row r="351" spans="1:3" x14ac:dyDescent="0.45">
      <c r="A351" s="4">
        <v>1258</v>
      </c>
      <c r="B351">
        <v>8</v>
      </c>
      <c r="C351">
        <v>2</v>
      </c>
    </row>
    <row r="352" spans="1:3" x14ac:dyDescent="0.45">
      <c r="A352" s="4">
        <v>1003</v>
      </c>
      <c r="B352">
        <v>8</v>
      </c>
      <c r="C352">
        <v>2</v>
      </c>
    </row>
    <row r="353" spans="1:3" x14ac:dyDescent="0.45">
      <c r="A353" s="4">
        <v>1271</v>
      </c>
      <c r="B353">
        <v>8</v>
      </c>
      <c r="C353">
        <v>2</v>
      </c>
    </row>
    <row r="354" spans="1:3" x14ac:dyDescent="0.45">
      <c r="A354" s="4">
        <v>1168</v>
      </c>
      <c r="B354">
        <v>8</v>
      </c>
      <c r="C354">
        <v>2</v>
      </c>
    </row>
    <row r="355" spans="1:3" x14ac:dyDescent="0.45">
      <c r="A355" s="4">
        <v>1310</v>
      </c>
      <c r="B355">
        <v>8</v>
      </c>
      <c r="C355">
        <v>2</v>
      </c>
    </row>
    <row r="356" spans="1:3" x14ac:dyDescent="0.45">
      <c r="A356" s="4">
        <v>1172</v>
      </c>
      <c r="B356">
        <v>8</v>
      </c>
      <c r="C356">
        <v>2</v>
      </c>
    </row>
    <row r="357" spans="1:3" x14ac:dyDescent="0.45">
      <c r="A357" s="4">
        <v>1330</v>
      </c>
      <c r="B357">
        <v>8</v>
      </c>
      <c r="C357">
        <v>2</v>
      </c>
    </row>
    <row r="358" spans="1:3" x14ac:dyDescent="0.45">
      <c r="A358" s="4">
        <v>1007</v>
      </c>
      <c r="B358">
        <v>8</v>
      </c>
      <c r="C358">
        <v>2</v>
      </c>
    </row>
    <row r="359" spans="1:3" x14ac:dyDescent="0.45">
      <c r="A359" s="4">
        <v>1008</v>
      </c>
      <c r="B359">
        <v>8</v>
      </c>
      <c r="C359">
        <v>2</v>
      </c>
    </row>
    <row r="360" spans="1:3" x14ac:dyDescent="0.45">
      <c r="A360" s="4">
        <v>1208</v>
      </c>
      <c r="B360">
        <v>8</v>
      </c>
      <c r="C360">
        <v>2</v>
      </c>
    </row>
    <row r="361" spans="1:3" x14ac:dyDescent="0.45">
      <c r="A361" s="4">
        <v>703</v>
      </c>
      <c r="B361">
        <v>8</v>
      </c>
      <c r="C361">
        <v>2</v>
      </c>
    </row>
    <row r="362" spans="1:3" x14ac:dyDescent="0.45">
      <c r="A362" s="4">
        <v>550</v>
      </c>
      <c r="B362">
        <v>8</v>
      </c>
      <c r="C362">
        <v>3</v>
      </c>
    </row>
    <row r="363" spans="1:3" x14ac:dyDescent="0.45">
      <c r="A363" s="4">
        <v>728</v>
      </c>
      <c r="B363">
        <v>8</v>
      </c>
      <c r="C363">
        <v>2</v>
      </c>
    </row>
    <row r="364" spans="1:3" x14ac:dyDescent="0.45">
      <c r="A364" s="4">
        <v>555</v>
      </c>
      <c r="B364">
        <v>8</v>
      </c>
      <c r="C364">
        <v>3</v>
      </c>
    </row>
    <row r="365" spans="1:3" x14ac:dyDescent="0.45">
      <c r="A365" s="4">
        <v>553</v>
      </c>
      <c r="B365">
        <v>8</v>
      </c>
      <c r="C365">
        <v>3</v>
      </c>
    </row>
    <row r="366" spans="1:3" x14ac:dyDescent="0.45">
      <c r="A366" s="4">
        <v>615</v>
      </c>
      <c r="B366">
        <v>8</v>
      </c>
      <c r="C366">
        <v>3</v>
      </c>
    </row>
    <row r="367" spans="1:3" x14ac:dyDescent="0.45">
      <c r="A367" s="4">
        <v>715</v>
      </c>
      <c r="B367">
        <v>8</v>
      </c>
      <c r="C367">
        <v>2</v>
      </c>
    </row>
    <row r="368" spans="1:3" x14ac:dyDescent="0.45">
      <c r="A368" s="4">
        <v>531</v>
      </c>
      <c r="B368">
        <v>8</v>
      </c>
      <c r="C368">
        <v>3</v>
      </c>
    </row>
    <row r="369" spans="1:3" x14ac:dyDescent="0.45">
      <c r="A369" s="4">
        <v>757</v>
      </c>
      <c r="B369">
        <v>8</v>
      </c>
      <c r="C369">
        <v>2</v>
      </c>
    </row>
    <row r="370" spans="1:3" x14ac:dyDescent="0.45">
      <c r="A370" s="4">
        <v>559</v>
      </c>
      <c r="B370">
        <v>8</v>
      </c>
      <c r="C370">
        <v>3</v>
      </c>
    </row>
    <row r="371" spans="1:3" x14ac:dyDescent="0.45">
      <c r="A371" s="4">
        <v>823</v>
      </c>
      <c r="B371">
        <v>8</v>
      </c>
      <c r="C371">
        <v>2</v>
      </c>
    </row>
    <row r="372" spans="1:3" x14ac:dyDescent="0.45">
      <c r="A372" s="4">
        <v>479</v>
      </c>
      <c r="B372">
        <v>8</v>
      </c>
      <c r="C372">
        <v>3</v>
      </c>
    </row>
    <row r="373" spans="1:3" x14ac:dyDescent="0.45">
      <c r="A373" s="4">
        <v>483</v>
      </c>
      <c r="B373">
        <v>8</v>
      </c>
      <c r="C373">
        <v>3</v>
      </c>
    </row>
    <row r="374" spans="1:3" x14ac:dyDescent="0.45">
      <c r="A374" s="4">
        <v>488</v>
      </c>
      <c r="B374">
        <v>8</v>
      </c>
      <c r="C374">
        <v>3</v>
      </c>
    </row>
    <row r="375" spans="1:3" x14ac:dyDescent="0.45">
      <c r="A375" s="4">
        <v>713</v>
      </c>
      <c r="B375">
        <v>8</v>
      </c>
      <c r="C375">
        <v>2</v>
      </c>
    </row>
    <row r="376" spans="1:3" x14ac:dyDescent="0.45">
      <c r="A376" s="4">
        <v>505</v>
      </c>
      <c r="B376">
        <v>8</v>
      </c>
      <c r="C376">
        <v>3</v>
      </c>
    </row>
    <row r="377" spans="1:3" x14ac:dyDescent="0.45">
      <c r="A377" s="4">
        <v>543</v>
      </c>
      <c r="B377">
        <v>8</v>
      </c>
      <c r="C377">
        <v>3</v>
      </c>
    </row>
    <row r="378" spans="1:3" x14ac:dyDescent="0.45">
      <c r="A378" s="4">
        <v>564</v>
      </c>
      <c r="B378">
        <v>8</v>
      </c>
      <c r="C378">
        <v>3</v>
      </c>
    </row>
    <row r="379" spans="1:3" x14ac:dyDescent="0.45">
      <c r="A379" s="4">
        <v>756</v>
      </c>
      <c r="B379">
        <v>8</v>
      </c>
      <c r="C379">
        <v>2</v>
      </c>
    </row>
    <row r="380" spans="1:3" x14ac:dyDescent="0.45">
      <c r="A380" s="4">
        <v>517</v>
      </c>
      <c r="B380">
        <v>8</v>
      </c>
      <c r="C380">
        <v>3</v>
      </c>
    </row>
    <row r="381" spans="1:3" x14ac:dyDescent="0.45">
      <c r="A381" s="4">
        <v>601</v>
      </c>
      <c r="B381">
        <v>8</v>
      </c>
      <c r="C381">
        <v>3</v>
      </c>
    </row>
    <row r="382" spans="1:3" x14ac:dyDescent="0.45">
      <c r="A382" s="4">
        <v>490</v>
      </c>
      <c r="B382">
        <v>8</v>
      </c>
      <c r="C382">
        <v>3</v>
      </c>
    </row>
    <row r="383" spans="1:3" x14ac:dyDescent="0.45">
      <c r="A383" s="4">
        <v>801</v>
      </c>
      <c r="B383">
        <v>8</v>
      </c>
      <c r="C383">
        <v>2</v>
      </c>
    </row>
    <row r="384" spans="1:3" x14ac:dyDescent="0.45">
      <c r="A384" s="4">
        <v>529</v>
      </c>
      <c r="B384">
        <v>8</v>
      </c>
      <c r="C384">
        <v>3</v>
      </c>
    </row>
    <row r="385" spans="1:3" x14ac:dyDescent="0.45">
      <c r="A385" s="4">
        <v>605</v>
      </c>
      <c r="B385">
        <v>8</v>
      </c>
      <c r="C385">
        <v>3</v>
      </c>
    </row>
    <row r="386" spans="1:3" x14ac:dyDescent="0.45">
      <c r="A386" s="4">
        <v>668</v>
      </c>
      <c r="B386">
        <v>8</v>
      </c>
      <c r="C386">
        <v>2</v>
      </c>
    </row>
    <row r="387" spans="1:3" x14ac:dyDescent="0.45">
      <c r="A387" s="4">
        <v>884</v>
      </c>
      <c r="B387">
        <v>8</v>
      </c>
      <c r="C387">
        <v>2</v>
      </c>
    </row>
    <row r="388" spans="1:3" x14ac:dyDescent="0.45">
      <c r="A388" s="4">
        <v>452</v>
      </c>
      <c r="B388">
        <v>8</v>
      </c>
      <c r="C388">
        <v>3</v>
      </c>
    </row>
    <row r="389" spans="1:3" x14ac:dyDescent="0.45">
      <c r="A389" s="4">
        <v>724</v>
      </c>
      <c r="B389">
        <v>8</v>
      </c>
      <c r="C389">
        <v>2</v>
      </c>
    </row>
    <row r="390" spans="1:3" x14ac:dyDescent="0.45">
      <c r="A390" s="4">
        <v>220</v>
      </c>
      <c r="B390">
        <v>8</v>
      </c>
      <c r="C390">
        <v>3</v>
      </c>
    </row>
    <row r="391" spans="1:3" x14ac:dyDescent="0.45">
      <c r="A391" s="4">
        <v>87</v>
      </c>
      <c r="B391">
        <v>8</v>
      </c>
      <c r="C391">
        <v>3</v>
      </c>
    </row>
    <row r="392" spans="1:3" x14ac:dyDescent="0.45">
      <c r="A392" s="4">
        <v>53</v>
      </c>
      <c r="B392">
        <v>8</v>
      </c>
      <c r="C392">
        <v>3</v>
      </c>
    </row>
    <row r="393" spans="1:3" x14ac:dyDescent="0.45">
      <c r="A393" s="4">
        <v>279</v>
      </c>
      <c r="B393">
        <v>8</v>
      </c>
      <c r="C393">
        <v>3</v>
      </c>
    </row>
    <row r="394" spans="1:3" x14ac:dyDescent="0.45">
      <c r="A394" s="4">
        <v>38</v>
      </c>
      <c r="B394">
        <v>8</v>
      </c>
      <c r="C394">
        <v>3</v>
      </c>
    </row>
    <row r="395" spans="1:3" x14ac:dyDescent="0.45">
      <c r="A395" s="4">
        <v>281</v>
      </c>
      <c r="B395">
        <v>8</v>
      </c>
      <c r="C395">
        <v>3</v>
      </c>
    </row>
    <row r="396" spans="1:3" x14ac:dyDescent="0.45">
      <c r="A396" s="4">
        <v>11</v>
      </c>
      <c r="B396">
        <v>8</v>
      </c>
      <c r="C396">
        <v>3</v>
      </c>
    </row>
    <row r="397" spans="1:3" x14ac:dyDescent="0.45">
      <c r="A397" s="4">
        <v>172</v>
      </c>
      <c r="B397">
        <v>8</v>
      </c>
      <c r="C397">
        <v>3</v>
      </c>
    </row>
    <row r="398" spans="1:3" x14ac:dyDescent="0.45">
      <c r="A398" s="4">
        <v>449</v>
      </c>
      <c r="B398">
        <v>8</v>
      </c>
      <c r="C398">
        <v>3</v>
      </c>
    </row>
    <row r="399" spans="1:3" x14ac:dyDescent="0.45">
      <c r="A399" s="4">
        <v>56</v>
      </c>
      <c r="B399">
        <v>8</v>
      </c>
      <c r="C399">
        <v>3</v>
      </c>
    </row>
    <row r="400" spans="1:3" x14ac:dyDescent="0.45">
      <c r="A400" s="4">
        <v>80</v>
      </c>
      <c r="B400">
        <v>8</v>
      </c>
      <c r="C400">
        <v>3</v>
      </c>
    </row>
    <row r="401" spans="1:3" x14ac:dyDescent="0.45">
      <c r="A401" s="4">
        <v>285</v>
      </c>
      <c r="B401">
        <v>8</v>
      </c>
      <c r="C401">
        <v>3</v>
      </c>
    </row>
    <row r="402" spans="1:3" x14ac:dyDescent="0.45">
      <c r="A402" s="4">
        <v>237</v>
      </c>
      <c r="B402">
        <v>8</v>
      </c>
      <c r="C402">
        <v>3</v>
      </c>
    </row>
    <row r="403" spans="1:3" x14ac:dyDescent="0.45">
      <c r="A403" s="4">
        <v>253</v>
      </c>
      <c r="B403">
        <v>8</v>
      </c>
      <c r="C403">
        <v>3</v>
      </c>
    </row>
    <row r="404" spans="1:3" x14ac:dyDescent="0.45">
      <c r="A404" s="4">
        <v>158</v>
      </c>
      <c r="B404">
        <v>8</v>
      </c>
      <c r="C404">
        <v>3</v>
      </c>
    </row>
    <row r="405" spans="1:3" x14ac:dyDescent="0.45">
      <c r="A405" s="4">
        <v>85</v>
      </c>
      <c r="B405">
        <v>8</v>
      </c>
      <c r="C405">
        <v>3</v>
      </c>
    </row>
    <row r="406" spans="1:3" x14ac:dyDescent="0.45">
      <c r="A406" s="4">
        <v>90</v>
      </c>
      <c r="B406">
        <v>8</v>
      </c>
      <c r="C406">
        <v>3</v>
      </c>
    </row>
    <row r="407" spans="1:3" x14ac:dyDescent="0.45">
      <c r="A407" s="4">
        <v>289</v>
      </c>
      <c r="B407">
        <v>8</v>
      </c>
      <c r="C407">
        <v>3</v>
      </c>
    </row>
    <row r="408" spans="1:3" x14ac:dyDescent="0.45">
      <c r="A408" s="4">
        <v>276</v>
      </c>
      <c r="B408">
        <v>8</v>
      </c>
      <c r="C408">
        <v>3</v>
      </c>
    </row>
    <row r="409" spans="1:3" x14ac:dyDescent="0.45">
      <c r="A409" s="4">
        <v>292</v>
      </c>
      <c r="B409">
        <v>8</v>
      </c>
      <c r="C409">
        <v>3</v>
      </c>
    </row>
    <row r="410" spans="1:3" x14ac:dyDescent="0.45">
      <c r="A410" s="4">
        <v>258</v>
      </c>
      <c r="B410">
        <v>8</v>
      </c>
      <c r="C410">
        <v>3</v>
      </c>
    </row>
    <row r="411" spans="1:3" x14ac:dyDescent="0.45">
      <c r="A411" s="4">
        <v>293</v>
      </c>
      <c r="B411">
        <v>8</v>
      </c>
      <c r="C411">
        <v>3</v>
      </c>
    </row>
    <row r="412" spans="1:3" x14ac:dyDescent="0.45">
      <c r="A412" s="4">
        <v>212</v>
      </c>
      <c r="B412">
        <v>8</v>
      </c>
      <c r="C412">
        <v>3</v>
      </c>
    </row>
    <row r="413" spans="1:3" x14ac:dyDescent="0.45">
      <c r="A413" s="4">
        <v>191</v>
      </c>
      <c r="B413">
        <v>8</v>
      </c>
      <c r="C413">
        <v>3</v>
      </c>
    </row>
    <row r="414" spans="1:3" x14ac:dyDescent="0.45">
      <c r="A414" s="4">
        <v>138</v>
      </c>
      <c r="B414">
        <v>8</v>
      </c>
      <c r="C414">
        <v>3</v>
      </c>
    </row>
    <row r="415" spans="1:3" x14ac:dyDescent="0.45">
      <c r="A415" s="4">
        <v>3</v>
      </c>
      <c r="B415">
        <v>8</v>
      </c>
      <c r="C415">
        <v>3</v>
      </c>
    </row>
    <row r="416" spans="1:3" x14ac:dyDescent="0.45">
      <c r="A416" s="4">
        <v>215</v>
      </c>
      <c r="B416">
        <v>8</v>
      </c>
      <c r="C416">
        <v>3</v>
      </c>
    </row>
    <row r="417" spans="1:3" x14ac:dyDescent="0.45">
      <c r="A417" s="4">
        <v>151</v>
      </c>
      <c r="B417">
        <v>8</v>
      </c>
      <c r="C417">
        <v>3</v>
      </c>
    </row>
    <row r="418" spans="1:3" x14ac:dyDescent="0.45">
      <c r="A418" s="4">
        <v>217</v>
      </c>
      <c r="B418">
        <v>8</v>
      </c>
      <c r="C418">
        <v>3</v>
      </c>
    </row>
    <row r="419" spans="1:3" x14ac:dyDescent="0.45">
      <c r="A419" s="4">
        <v>200</v>
      </c>
      <c r="B419">
        <v>8</v>
      </c>
      <c r="C419">
        <v>3</v>
      </c>
    </row>
    <row r="420" spans="1:3" x14ac:dyDescent="0.45">
      <c r="A420" s="4">
        <v>221</v>
      </c>
      <c r="B420">
        <v>8</v>
      </c>
      <c r="C420">
        <v>3</v>
      </c>
    </row>
    <row r="421" spans="1:3" x14ac:dyDescent="0.45">
      <c r="A421" s="4">
        <v>371</v>
      </c>
      <c r="B421">
        <v>8</v>
      </c>
      <c r="C421">
        <v>3</v>
      </c>
    </row>
    <row r="422" spans="1:3" x14ac:dyDescent="0.45">
      <c r="A422" s="4">
        <v>123</v>
      </c>
      <c r="B422">
        <v>8</v>
      </c>
      <c r="C422">
        <v>3</v>
      </c>
    </row>
    <row r="423" spans="1:3" x14ac:dyDescent="0.45">
      <c r="A423" s="4">
        <v>113</v>
      </c>
      <c r="B423">
        <v>8</v>
      </c>
      <c r="C423">
        <v>3</v>
      </c>
    </row>
    <row r="424" spans="1:3" x14ac:dyDescent="0.45">
      <c r="A424" s="4">
        <v>226</v>
      </c>
      <c r="B424">
        <v>8</v>
      </c>
      <c r="C424">
        <v>3</v>
      </c>
    </row>
    <row r="425" spans="1:3" x14ac:dyDescent="0.45">
      <c r="A425" s="4">
        <v>376</v>
      </c>
      <c r="B425">
        <v>8</v>
      </c>
      <c r="C425">
        <v>3</v>
      </c>
    </row>
    <row r="426" spans="1:3" x14ac:dyDescent="0.45">
      <c r="A426" s="4">
        <v>125</v>
      </c>
      <c r="B426">
        <v>8</v>
      </c>
      <c r="C426">
        <v>3</v>
      </c>
    </row>
    <row r="427" spans="1:3" x14ac:dyDescent="0.45">
      <c r="A427" s="4">
        <v>383</v>
      </c>
      <c r="B427">
        <v>8</v>
      </c>
      <c r="C427">
        <v>3</v>
      </c>
    </row>
    <row r="428" spans="1:3" x14ac:dyDescent="0.45">
      <c r="A428" s="4">
        <v>252</v>
      </c>
      <c r="B428">
        <v>8</v>
      </c>
      <c r="C428">
        <v>3</v>
      </c>
    </row>
    <row r="429" spans="1:3" x14ac:dyDescent="0.45">
      <c r="A429" s="4">
        <v>207</v>
      </c>
      <c r="B429">
        <v>8</v>
      </c>
      <c r="C429">
        <v>3</v>
      </c>
    </row>
    <row r="430" spans="1:3" x14ac:dyDescent="0.45">
      <c r="A430" s="4">
        <v>277</v>
      </c>
      <c r="B430">
        <v>8</v>
      </c>
      <c r="C430">
        <v>3</v>
      </c>
    </row>
    <row r="431" spans="1:3" x14ac:dyDescent="0.45">
      <c r="A431" s="4">
        <v>386</v>
      </c>
      <c r="B431">
        <v>8</v>
      </c>
      <c r="C431">
        <v>3</v>
      </c>
    </row>
    <row r="432" spans="1:3" x14ac:dyDescent="0.45">
      <c r="A432" s="4">
        <v>336</v>
      </c>
      <c r="B432">
        <v>8</v>
      </c>
      <c r="C432">
        <v>3</v>
      </c>
    </row>
    <row r="433" spans="1:3" x14ac:dyDescent="0.45">
      <c r="A433" s="4">
        <v>298</v>
      </c>
      <c r="B433">
        <v>8</v>
      </c>
      <c r="C433">
        <v>3</v>
      </c>
    </row>
    <row r="434" spans="1:3" x14ac:dyDescent="0.45">
      <c r="A434" s="4">
        <v>450</v>
      </c>
      <c r="B434">
        <v>8</v>
      </c>
      <c r="C434">
        <v>3</v>
      </c>
    </row>
    <row r="435" spans="1:3" x14ac:dyDescent="0.45">
      <c r="A435" s="4">
        <v>168</v>
      </c>
      <c r="B435">
        <v>8</v>
      </c>
      <c r="C435">
        <v>3</v>
      </c>
    </row>
    <row r="436" spans="1:3" x14ac:dyDescent="0.45">
      <c r="A436" s="4">
        <v>29</v>
      </c>
      <c r="B436">
        <v>8</v>
      </c>
      <c r="C436">
        <v>3</v>
      </c>
    </row>
    <row r="437" spans="1:3" x14ac:dyDescent="0.45">
      <c r="A437" s="4">
        <v>1173</v>
      </c>
      <c r="B437">
        <v>7</v>
      </c>
      <c r="C437">
        <v>2</v>
      </c>
    </row>
    <row r="438" spans="1:3" x14ac:dyDescent="0.45">
      <c r="A438" s="4">
        <v>1294</v>
      </c>
      <c r="B438">
        <v>7</v>
      </c>
      <c r="C438">
        <v>2</v>
      </c>
    </row>
    <row r="439" spans="1:3" x14ac:dyDescent="0.45">
      <c r="A439" s="4">
        <v>1275</v>
      </c>
      <c r="B439">
        <v>7</v>
      </c>
      <c r="C439">
        <v>2</v>
      </c>
    </row>
    <row r="440" spans="1:3" x14ac:dyDescent="0.45">
      <c r="A440" s="4">
        <v>1218</v>
      </c>
      <c r="B440">
        <v>7</v>
      </c>
      <c r="C440">
        <v>2</v>
      </c>
    </row>
    <row r="441" spans="1:3" x14ac:dyDescent="0.45">
      <c r="A441" s="4">
        <v>1095</v>
      </c>
      <c r="B441">
        <v>7</v>
      </c>
      <c r="C441">
        <v>2</v>
      </c>
    </row>
    <row r="442" spans="1:3" x14ac:dyDescent="0.45">
      <c r="A442" s="4">
        <v>1220</v>
      </c>
      <c r="B442">
        <v>7</v>
      </c>
      <c r="C442">
        <v>2</v>
      </c>
    </row>
    <row r="443" spans="1:3" x14ac:dyDescent="0.45">
      <c r="A443" s="4">
        <v>965</v>
      </c>
      <c r="B443">
        <v>7</v>
      </c>
      <c r="C443">
        <v>2</v>
      </c>
    </row>
    <row r="444" spans="1:3" x14ac:dyDescent="0.45">
      <c r="A444" s="4">
        <v>1348</v>
      </c>
      <c r="B444">
        <v>7</v>
      </c>
      <c r="C444">
        <v>2</v>
      </c>
    </row>
    <row r="445" spans="1:3" x14ac:dyDescent="0.45">
      <c r="A445" s="4">
        <v>1285</v>
      </c>
      <c r="B445">
        <v>7</v>
      </c>
      <c r="C445">
        <v>2</v>
      </c>
    </row>
    <row r="446" spans="1:3" x14ac:dyDescent="0.45">
      <c r="A446" s="4">
        <v>932</v>
      </c>
      <c r="B446">
        <v>7</v>
      </c>
      <c r="C446">
        <v>2</v>
      </c>
    </row>
    <row r="447" spans="1:3" x14ac:dyDescent="0.45">
      <c r="A447" s="4">
        <v>1049</v>
      </c>
      <c r="B447">
        <v>7</v>
      </c>
      <c r="C447">
        <v>2</v>
      </c>
    </row>
    <row r="448" spans="1:3" x14ac:dyDescent="0.45">
      <c r="A448" s="4">
        <v>1234</v>
      </c>
      <c r="B448">
        <v>7</v>
      </c>
      <c r="C448">
        <v>2</v>
      </c>
    </row>
    <row r="449" spans="1:3" x14ac:dyDescent="0.45">
      <c r="A449" s="4">
        <v>1149</v>
      </c>
      <c r="B449">
        <v>7</v>
      </c>
      <c r="C449">
        <v>2</v>
      </c>
    </row>
    <row r="450" spans="1:3" x14ac:dyDescent="0.45">
      <c r="A450" s="4">
        <v>1066</v>
      </c>
      <c r="B450">
        <v>7</v>
      </c>
      <c r="C450">
        <v>2</v>
      </c>
    </row>
    <row r="451" spans="1:3" x14ac:dyDescent="0.45">
      <c r="A451" s="4">
        <v>1342</v>
      </c>
      <c r="B451">
        <v>7</v>
      </c>
      <c r="C451">
        <v>2</v>
      </c>
    </row>
    <row r="452" spans="1:3" x14ac:dyDescent="0.45">
      <c r="A452" s="4">
        <v>1086</v>
      </c>
      <c r="B452">
        <v>7</v>
      </c>
      <c r="C452">
        <v>2</v>
      </c>
    </row>
    <row r="453" spans="1:3" x14ac:dyDescent="0.45">
      <c r="A453" s="4">
        <v>1087</v>
      </c>
      <c r="B453">
        <v>7</v>
      </c>
      <c r="C453">
        <v>2</v>
      </c>
    </row>
    <row r="454" spans="1:3" x14ac:dyDescent="0.45">
      <c r="A454" s="4">
        <v>1244</v>
      </c>
      <c r="B454">
        <v>7</v>
      </c>
      <c r="C454">
        <v>2</v>
      </c>
    </row>
    <row r="455" spans="1:3" x14ac:dyDescent="0.45">
      <c r="A455" s="4">
        <v>1277</v>
      </c>
      <c r="B455">
        <v>7</v>
      </c>
      <c r="C455">
        <v>2</v>
      </c>
    </row>
    <row r="456" spans="1:3" x14ac:dyDescent="0.45">
      <c r="A456" s="4">
        <v>938</v>
      </c>
      <c r="B456">
        <v>7</v>
      </c>
      <c r="C456">
        <v>2</v>
      </c>
    </row>
    <row r="457" spans="1:3" x14ac:dyDescent="0.45">
      <c r="A457" s="4">
        <v>1199</v>
      </c>
      <c r="B457">
        <v>7</v>
      </c>
      <c r="C457">
        <v>2</v>
      </c>
    </row>
    <row r="458" spans="1:3" x14ac:dyDescent="0.45">
      <c r="A458" s="4">
        <v>1039</v>
      </c>
      <c r="B458">
        <v>7</v>
      </c>
      <c r="C458">
        <v>2</v>
      </c>
    </row>
    <row r="459" spans="1:3" x14ac:dyDescent="0.45">
      <c r="A459" s="4">
        <v>1295</v>
      </c>
      <c r="B459">
        <v>7</v>
      </c>
      <c r="C459">
        <v>2</v>
      </c>
    </row>
    <row r="460" spans="1:3" x14ac:dyDescent="0.45">
      <c r="A460" s="4">
        <v>1122</v>
      </c>
      <c r="B460">
        <v>7</v>
      </c>
      <c r="C460">
        <v>2</v>
      </c>
    </row>
    <row r="461" spans="1:3" x14ac:dyDescent="0.45">
      <c r="A461" s="4">
        <v>915</v>
      </c>
      <c r="B461">
        <v>7</v>
      </c>
      <c r="C461">
        <v>2</v>
      </c>
    </row>
    <row r="462" spans="1:3" x14ac:dyDescent="0.45">
      <c r="A462" s="4">
        <v>1257</v>
      </c>
      <c r="B462">
        <v>7</v>
      </c>
      <c r="C462">
        <v>2</v>
      </c>
    </row>
    <row r="463" spans="1:3" x14ac:dyDescent="0.45">
      <c r="A463" s="4">
        <v>1053</v>
      </c>
      <c r="B463">
        <v>7</v>
      </c>
      <c r="C463">
        <v>2</v>
      </c>
    </row>
    <row r="464" spans="1:3" x14ac:dyDescent="0.45">
      <c r="A464" s="4">
        <v>1160</v>
      </c>
      <c r="B464">
        <v>7</v>
      </c>
      <c r="C464">
        <v>2</v>
      </c>
    </row>
    <row r="465" spans="1:3" x14ac:dyDescent="0.45">
      <c r="A465" s="4">
        <v>1059</v>
      </c>
      <c r="B465">
        <v>7</v>
      </c>
      <c r="C465">
        <v>2</v>
      </c>
    </row>
    <row r="466" spans="1:3" x14ac:dyDescent="0.45">
      <c r="A466" s="4">
        <v>1262</v>
      </c>
      <c r="B466">
        <v>7</v>
      </c>
      <c r="C466">
        <v>2</v>
      </c>
    </row>
    <row r="467" spans="1:3" x14ac:dyDescent="0.45">
      <c r="A467" s="4">
        <v>1214</v>
      </c>
      <c r="B467">
        <v>7</v>
      </c>
      <c r="C467">
        <v>2</v>
      </c>
    </row>
    <row r="468" spans="1:3" x14ac:dyDescent="0.45">
      <c r="A468" s="4">
        <v>1040</v>
      </c>
      <c r="B468">
        <v>7</v>
      </c>
      <c r="C468">
        <v>2</v>
      </c>
    </row>
    <row r="469" spans="1:3" x14ac:dyDescent="0.45">
      <c r="A469" s="4">
        <v>1343</v>
      </c>
      <c r="B469">
        <v>7</v>
      </c>
      <c r="C469">
        <v>2</v>
      </c>
    </row>
    <row r="470" spans="1:3" x14ac:dyDescent="0.45">
      <c r="A470" s="4">
        <v>1161</v>
      </c>
      <c r="B470">
        <v>7</v>
      </c>
      <c r="C470">
        <v>2</v>
      </c>
    </row>
    <row r="471" spans="1:3" x14ac:dyDescent="0.45">
      <c r="A471" s="4">
        <v>1047</v>
      </c>
      <c r="B471">
        <v>7</v>
      </c>
      <c r="C471">
        <v>2</v>
      </c>
    </row>
    <row r="472" spans="1:3" x14ac:dyDescent="0.45">
      <c r="A472" s="4">
        <v>1152</v>
      </c>
      <c r="B472">
        <v>7</v>
      </c>
      <c r="C472">
        <v>2</v>
      </c>
    </row>
    <row r="473" spans="1:3" x14ac:dyDescent="0.45">
      <c r="A473" s="4">
        <v>1134</v>
      </c>
      <c r="B473">
        <v>7</v>
      </c>
      <c r="C473">
        <v>2</v>
      </c>
    </row>
    <row r="474" spans="1:3" x14ac:dyDescent="0.45">
      <c r="A474" s="4">
        <v>821</v>
      </c>
      <c r="B474">
        <v>7</v>
      </c>
      <c r="C474">
        <v>2</v>
      </c>
    </row>
    <row r="475" spans="1:3" x14ac:dyDescent="0.45">
      <c r="A475" s="4">
        <v>702</v>
      </c>
      <c r="B475">
        <v>7</v>
      </c>
      <c r="C475">
        <v>2</v>
      </c>
    </row>
    <row r="476" spans="1:3" x14ac:dyDescent="0.45">
      <c r="A476" s="4">
        <v>864</v>
      </c>
      <c r="B476">
        <v>7</v>
      </c>
      <c r="C476">
        <v>2</v>
      </c>
    </row>
    <row r="477" spans="1:3" x14ac:dyDescent="0.45">
      <c r="A477" s="4">
        <v>904</v>
      </c>
      <c r="B477">
        <v>7</v>
      </c>
      <c r="C477">
        <v>2</v>
      </c>
    </row>
    <row r="478" spans="1:3" x14ac:dyDescent="0.45">
      <c r="A478" s="4">
        <v>551</v>
      </c>
      <c r="B478">
        <v>7</v>
      </c>
      <c r="C478">
        <v>3</v>
      </c>
    </row>
    <row r="479" spans="1:3" x14ac:dyDescent="0.45">
      <c r="A479" s="4">
        <v>704</v>
      </c>
      <c r="B479">
        <v>7</v>
      </c>
      <c r="C479">
        <v>2</v>
      </c>
    </row>
    <row r="480" spans="1:3" x14ac:dyDescent="0.45">
      <c r="A480" s="4">
        <v>846</v>
      </c>
      <c r="B480">
        <v>7</v>
      </c>
      <c r="C480">
        <v>2</v>
      </c>
    </row>
    <row r="481" spans="1:3" x14ac:dyDescent="0.45">
      <c r="A481" s="4">
        <v>710</v>
      </c>
      <c r="B481">
        <v>7</v>
      </c>
      <c r="C481">
        <v>2</v>
      </c>
    </row>
    <row r="482" spans="1:3" x14ac:dyDescent="0.45">
      <c r="A482" s="4">
        <v>871</v>
      </c>
      <c r="B482">
        <v>7</v>
      </c>
      <c r="C482">
        <v>2</v>
      </c>
    </row>
    <row r="483" spans="1:3" x14ac:dyDescent="0.45">
      <c r="A483" s="4">
        <v>632</v>
      </c>
      <c r="B483">
        <v>7</v>
      </c>
      <c r="C483">
        <v>3</v>
      </c>
    </row>
    <row r="484" spans="1:3" x14ac:dyDescent="0.45">
      <c r="A484" s="4">
        <v>489</v>
      </c>
      <c r="B484">
        <v>7</v>
      </c>
      <c r="C484">
        <v>3</v>
      </c>
    </row>
    <row r="485" spans="1:3" x14ac:dyDescent="0.45">
      <c r="A485" s="4">
        <v>473</v>
      </c>
      <c r="B485">
        <v>7</v>
      </c>
      <c r="C485">
        <v>3</v>
      </c>
    </row>
    <row r="486" spans="1:3" x14ac:dyDescent="0.45">
      <c r="A486" s="4">
        <v>818</v>
      </c>
      <c r="B486">
        <v>7</v>
      </c>
      <c r="C486">
        <v>2</v>
      </c>
    </row>
    <row r="487" spans="1:3" x14ac:dyDescent="0.45">
      <c r="A487" s="4">
        <v>554</v>
      </c>
      <c r="B487">
        <v>7</v>
      </c>
      <c r="C487">
        <v>3</v>
      </c>
    </row>
    <row r="488" spans="1:3" x14ac:dyDescent="0.45">
      <c r="A488" s="4">
        <v>825</v>
      </c>
      <c r="B488">
        <v>7</v>
      </c>
      <c r="C488">
        <v>2</v>
      </c>
    </row>
    <row r="489" spans="1:3" x14ac:dyDescent="0.45">
      <c r="A489" s="4">
        <v>719</v>
      </c>
      <c r="B489">
        <v>7</v>
      </c>
      <c r="C489">
        <v>2</v>
      </c>
    </row>
    <row r="490" spans="1:3" x14ac:dyDescent="0.45">
      <c r="A490" s="4">
        <v>855</v>
      </c>
      <c r="B490">
        <v>7</v>
      </c>
      <c r="C490">
        <v>2</v>
      </c>
    </row>
    <row r="491" spans="1:3" x14ac:dyDescent="0.45">
      <c r="A491" s="4">
        <v>886</v>
      </c>
      <c r="B491">
        <v>7</v>
      </c>
      <c r="C491">
        <v>2</v>
      </c>
    </row>
    <row r="492" spans="1:3" x14ac:dyDescent="0.45">
      <c r="A492" s="4">
        <v>609</v>
      </c>
      <c r="B492">
        <v>7</v>
      </c>
      <c r="C492">
        <v>3</v>
      </c>
    </row>
    <row r="493" spans="1:3" x14ac:dyDescent="0.45">
      <c r="A493" s="4">
        <v>890</v>
      </c>
      <c r="B493">
        <v>7</v>
      </c>
      <c r="C493">
        <v>2</v>
      </c>
    </row>
    <row r="494" spans="1:3" x14ac:dyDescent="0.45">
      <c r="A494" s="4">
        <v>701</v>
      </c>
      <c r="B494">
        <v>7</v>
      </c>
      <c r="C494">
        <v>2</v>
      </c>
    </row>
    <row r="495" spans="1:3" x14ac:dyDescent="0.45">
      <c r="A495" s="4">
        <v>590</v>
      </c>
      <c r="B495">
        <v>7</v>
      </c>
      <c r="C495">
        <v>3</v>
      </c>
    </row>
    <row r="496" spans="1:3" x14ac:dyDescent="0.45">
      <c r="A496" s="4">
        <v>800</v>
      </c>
      <c r="B496">
        <v>7</v>
      </c>
      <c r="C496">
        <v>2</v>
      </c>
    </row>
    <row r="497" spans="1:3" x14ac:dyDescent="0.45">
      <c r="A497" s="4">
        <v>620</v>
      </c>
      <c r="B497">
        <v>7</v>
      </c>
      <c r="C497">
        <v>3</v>
      </c>
    </row>
    <row r="498" spans="1:3" x14ac:dyDescent="0.45">
      <c r="A498" s="4">
        <v>802</v>
      </c>
      <c r="B498">
        <v>7</v>
      </c>
      <c r="C498">
        <v>2</v>
      </c>
    </row>
    <row r="499" spans="1:3" x14ac:dyDescent="0.45">
      <c r="A499" s="4">
        <v>593</v>
      </c>
      <c r="B499">
        <v>7</v>
      </c>
      <c r="C499">
        <v>3</v>
      </c>
    </row>
    <row r="500" spans="1:3" x14ac:dyDescent="0.45">
      <c r="A500" s="4">
        <v>812</v>
      </c>
      <c r="B500">
        <v>7</v>
      </c>
      <c r="C500">
        <v>2</v>
      </c>
    </row>
    <row r="501" spans="1:3" x14ac:dyDescent="0.45">
      <c r="A501" s="4">
        <v>739</v>
      </c>
      <c r="B501">
        <v>7</v>
      </c>
      <c r="C501">
        <v>2</v>
      </c>
    </row>
    <row r="502" spans="1:3" x14ac:dyDescent="0.45">
      <c r="A502" s="4">
        <v>820</v>
      </c>
      <c r="B502">
        <v>7</v>
      </c>
      <c r="C502">
        <v>2</v>
      </c>
    </row>
    <row r="503" spans="1:3" x14ac:dyDescent="0.45">
      <c r="A503" s="4">
        <v>742</v>
      </c>
      <c r="B503">
        <v>7</v>
      </c>
      <c r="C503">
        <v>2</v>
      </c>
    </row>
    <row r="504" spans="1:3" x14ac:dyDescent="0.45">
      <c r="A504" s="4">
        <v>578</v>
      </c>
      <c r="B504">
        <v>7</v>
      </c>
      <c r="C504">
        <v>3</v>
      </c>
    </row>
    <row r="505" spans="1:3" x14ac:dyDescent="0.45">
      <c r="A505" s="4">
        <v>664</v>
      </c>
      <c r="B505">
        <v>7</v>
      </c>
      <c r="C505">
        <v>2</v>
      </c>
    </row>
    <row r="506" spans="1:3" x14ac:dyDescent="0.45">
      <c r="A506" s="4">
        <v>566</v>
      </c>
      <c r="B506">
        <v>7</v>
      </c>
      <c r="C506">
        <v>3</v>
      </c>
    </row>
    <row r="507" spans="1:3" x14ac:dyDescent="0.45">
      <c r="A507" s="4">
        <v>504</v>
      </c>
      <c r="B507">
        <v>7</v>
      </c>
      <c r="C507">
        <v>3</v>
      </c>
    </row>
    <row r="508" spans="1:3" x14ac:dyDescent="0.45">
      <c r="A508" s="4">
        <v>850</v>
      </c>
      <c r="B508">
        <v>7</v>
      </c>
      <c r="C508">
        <v>2</v>
      </c>
    </row>
    <row r="509" spans="1:3" x14ac:dyDescent="0.45">
      <c r="A509" s="4">
        <v>767</v>
      </c>
      <c r="B509">
        <v>7</v>
      </c>
      <c r="C509">
        <v>2</v>
      </c>
    </row>
    <row r="510" spans="1:3" x14ac:dyDescent="0.45">
      <c r="A510" s="4">
        <v>857</v>
      </c>
      <c r="B510">
        <v>7</v>
      </c>
      <c r="C510">
        <v>2</v>
      </c>
    </row>
    <row r="511" spans="1:3" x14ac:dyDescent="0.45">
      <c r="A511" s="4">
        <v>672</v>
      </c>
      <c r="B511">
        <v>7</v>
      </c>
      <c r="C511">
        <v>2</v>
      </c>
    </row>
    <row r="512" spans="1:3" x14ac:dyDescent="0.45">
      <c r="A512" s="4">
        <v>525</v>
      </c>
      <c r="B512">
        <v>7</v>
      </c>
      <c r="C512">
        <v>3</v>
      </c>
    </row>
    <row r="513" spans="1:3" x14ac:dyDescent="0.45">
      <c r="A513" s="4">
        <v>482</v>
      </c>
      <c r="B513">
        <v>7</v>
      </c>
      <c r="C513">
        <v>3</v>
      </c>
    </row>
    <row r="514" spans="1:3" x14ac:dyDescent="0.45">
      <c r="A514" s="4">
        <v>870</v>
      </c>
      <c r="B514">
        <v>7</v>
      </c>
      <c r="C514">
        <v>2</v>
      </c>
    </row>
    <row r="515" spans="1:3" x14ac:dyDescent="0.45">
      <c r="A515" s="4">
        <v>774</v>
      </c>
      <c r="B515">
        <v>7</v>
      </c>
      <c r="C515">
        <v>2</v>
      </c>
    </row>
    <row r="516" spans="1:3" x14ac:dyDescent="0.45">
      <c r="A516" s="4">
        <v>582</v>
      </c>
      <c r="B516">
        <v>7</v>
      </c>
      <c r="C516">
        <v>3</v>
      </c>
    </row>
    <row r="517" spans="1:3" x14ac:dyDescent="0.45">
      <c r="A517" s="4">
        <v>785</v>
      </c>
      <c r="B517">
        <v>7</v>
      </c>
      <c r="C517">
        <v>2</v>
      </c>
    </row>
    <row r="518" spans="1:3" x14ac:dyDescent="0.45">
      <c r="A518" s="4">
        <v>885</v>
      </c>
      <c r="B518">
        <v>7</v>
      </c>
      <c r="C518">
        <v>2</v>
      </c>
    </row>
    <row r="519" spans="1:3" x14ac:dyDescent="0.45">
      <c r="A519" s="4">
        <v>603</v>
      </c>
      <c r="B519">
        <v>7</v>
      </c>
      <c r="C519">
        <v>3</v>
      </c>
    </row>
    <row r="520" spans="1:3" x14ac:dyDescent="0.45">
      <c r="A520" s="4">
        <v>798</v>
      </c>
      <c r="B520">
        <v>7</v>
      </c>
      <c r="C520">
        <v>2</v>
      </c>
    </row>
    <row r="521" spans="1:3" x14ac:dyDescent="0.45">
      <c r="A521" s="4">
        <v>725</v>
      </c>
      <c r="B521">
        <v>7</v>
      </c>
      <c r="C521">
        <v>2</v>
      </c>
    </row>
    <row r="522" spans="1:3" x14ac:dyDescent="0.45">
      <c r="A522" s="4">
        <v>902</v>
      </c>
      <c r="B522">
        <v>7</v>
      </c>
      <c r="C522">
        <v>2</v>
      </c>
    </row>
    <row r="523" spans="1:3" x14ac:dyDescent="0.45">
      <c r="A523" s="4">
        <v>354</v>
      </c>
      <c r="B523">
        <v>7</v>
      </c>
      <c r="C523">
        <v>3</v>
      </c>
    </row>
    <row r="524" spans="1:3" x14ac:dyDescent="0.45">
      <c r="A524" s="4">
        <v>278</v>
      </c>
      <c r="B524">
        <v>7</v>
      </c>
      <c r="C524">
        <v>3</v>
      </c>
    </row>
    <row r="525" spans="1:3" x14ac:dyDescent="0.45">
      <c r="A525" s="4">
        <v>435</v>
      </c>
      <c r="B525">
        <v>7</v>
      </c>
      <c r="C525">
        <v>3</v>
      </c>
    </row>
    <row r="526" spans="1:3" x14ac:dyDescent="0.45">
      <c r="A526" s="4">
        <v>301</v>
      </c>
      <c r="B526">
        <v>7</v>
      </c>
      <c r="C526">
        <v>3</v>
      </c>
    </row>
    <row r="527" spans="1:3" x14ac:dyDescent="0.45">
      <c r="A527" s="4">
        <v>284</v>
      </c>
      <c r="B527">
        <v>7</v>
      </c>
      <c r="C527">
        <v>3</v>
      </c>
    </row>
    <row r="528" spans="1:3" x14ac:dyDescent="0.45">
      <c r="A528" s="4">
        <v>238</v>
      </c>
      <c r="B528">
        <v>7</v>
      </c>
      <c r="C528">
        <v>3</v>
      </c>
    </row>
    <row r="529" spans="1:3" x14ac:dyDescent="0.45">
      <c r="A529" s="4">
        <v>423</v>
      </c>
      <c r="B529">
        <v>7</v>
      </c>
      <c r="C529">
        <v>3</v>
      </c>
    </row>
    <row r="530" spans="1:3" x14ac:dyDescent="0.45">
      <c r="A530" s="4">
        <v>209</v>
      </c>
      <c r="B530">
        <v>7</v>
      </c>
      <c r="C530">
        <v>3</v>
      </c>
    </row>
    <row r="531" spans="1:3" x14ac:dyDescent="0.45">
      <c r="A531" s="4">
        <v>142</v>
      </c>
      <c r="B531">
        <v>7</v>
      </c>
      <c r="C531">
        <v>3</v>
      </c>
    </row>
    <row r="532" spans="1:3" x14ac:dyDescent="0.45">
      <c r="A532" s="4">
        <v>15</v>
      </c>
      <c r="B532">
        <v>7</v>
      </c>
      <c r="C532">
        <v>3</v>
      </c>
    </row>
    <row r="533" spans="1:3" x14ac:dyDescent="0.45">
      <c r="A533" s="4">
        <v>314</v>
      </c>
      <c r="B533">
        <v>7</v>
      </c>
      <c r="C533">
        <v>3</v>
      </c>
    </row>
    <row r="534" spans="1:3" x14ac:dyDescent="0.45">
      <c r="A534" s="4">
        <v>231</v>
      </c>
      <c r="B534">
        <v>7</v>
      </c>
      <c r="C534">
        <v>3</v>
      </c>
    </row>
    <row r="535" spans="1:3" x14ac:dyDescent="0.45">
      <c r="A535" s="4">
        <v>416</v>
      </c>
      <c r="B535">
        <v>7</v>
      </c>
      <c r="C535">
        <v>3</v>
      </c>
    </row>
    <row r="536" spans="1:3" x14ac:dyDescent="0.45">
      <c r="A536" s="4">
        <v>397</v>
      </c>
      <c r="B536">
        <v>7</v>
      </c>
      <c r="C536">
        <v>3</v>
      </c>
    </row>
    <row r="537" spans="1:3" x14ac:dyDescent="0.45">
      <c r="A537" s="4">
        <v>420</v>
      </c>
      <c r="B537">
        <v>7</v>
      </c>
      <c r="C537">
        <v>3</v>
      </c>
    </row>
    <row r="538" spans="1:3" x14ac:dyDescent="0.45">
      <c r="A538" s="4">
        <v>403</v>
      </c>
      <c r="B538">
        <v>7</v>
      </c>
      <c r="C538">
        <v>3</v>
      </c>
    </row>
    <row r="539" spans="1:3" x14ac:dyDescent="0.45">
      <c r="A539" s="4">
        <v>36</v>
      </c>
      <c r="B539">
        <v>7</v>
      </c>
      <c r="C539">
        <v>3</v>
      </c>
    </row>
    <row r="540" spans="1:3" x14ac:dyDescent="0.45">
      <c r="A540" s="4">
        <v>346</v>
      </c>
      <c r="B540">
        <v>7</v>
      </c>
      <c r="C540">
        <v>3</v>
      </c>
    </row>
    <row r="541" spans="1:3" x14ac:dyDescent="0.45">
      <c r="A541" s="4">
        <v>54</v>
      </c>
      <c r="B541">
        <v>7</v>
      </c>
      <c r="C541">
        <v>3</v>
      </c>
    </row>
    <row r="542" spans="1:3" x14ac:dyDescent="0.45">
      <c r="A542" s="4">
        <v>146</v>
      </c>
      <c r="B542">
        <v>7</v>
      </c>
      <c r="C542">
        <v>3</v>
      </c>
    </row>
    <row r="543" spans="1:3" x14ac:dyDescent="0.45">
      <c r="A543" s="4">
        <v>447</v>
      </c>
      <c r="B543">
        <v>7</v>
      </c>
      <c r="C543">
        <v>3</v>
      </c>
    </row>
    <row r="544" spans="1:3" x14ac:dyDescent="0.45">
      <c r="A544" s="4">
        <v>216</v>
      </c>
      <c r="B544">
        <v>7</v>
      </c>
      <c r="C544">
        <v>3</v>
      </c>
    </row>
    <row r="545" spans="1:3" x14ac:dyDescent="0.45">
      <c r="A545" s="4">
        <v>377</v>
      </c>
      <c r="B545">
        <v>7</v>
      </c>
      <c r="C545">
        <v>3</v>
      </c>
    </row>
    <row r="546" spans="1:3" x14ac:dyDescent="0.45">
      <c r="A546" s="4">
        <v>1018</v>
      </c>
      <c r="B546">
        <v>6</v>
      </c>
      <c r="C546">
        <v>2</v>
      </c>
    </row>
    <row r="547" spans="1:3" x14ac:dyDescent="0.45">
      <c r="A547" s="4">
        <v>960</v>
      </c>
      <c r="B547">
        <v>6</v>
      </c>
      <c r="C547">
        <v>2</v>
      </c>
    </row>
    <row r="548" spans="1:3" x14ac:dyDescent="0.45">
      <c r="A548" s="4">
        <v>1245</v>
      </c>
      <c r="B548">
        <v>6</v>
      </c>
      <c r="C548">
        <v>2</v>
      </c>
    </row>
    <row r="549" spans="1:3" x14ac:dyDescent="0.45">
      <c r="A549" s="4">
        <v>1083</v>
      </c>
      <c r="B549">
        <v>6</v>
      </c>
      <c r="C549">
        <v>2</v>
      </c>
    </row>
    <row r="550" spans="1:3" x14ac:dyDescent="0.45">
      <c r="A550" s="4">
        <v>1062</v>
      </c>
      <c r="B550">
        <v>6</v>
      </c>
      <c r="C550">
        <v>2</v>
      </c>
    </row>
    <row r="551" spans="1:3" x14ac:dyDescent="0.45">
      <c r="A551" s="4">
        <v>1088</v>
      </c>
      <c r="B551">
        <v>6</v>
      </c>
      <c r="C551">
        <v>2</v>
      </c>
    </row>
    <row r="552" spans="1:3" x14ac:dyDescent="0.45">
      <c r="A552" s="4">
        <v>1026</v>
      </c>
      <c r="B552">
        <v>6</v>
      </c>
      <c r="C552">
        <v>2</v>
      </c>
    </row>
    <row r="553" spans="1:3" x14ac:dyDescent="0.45">
      <c r="A553" s="4">
        <v>918</v>
      </c>
      <c r="B553">
        <v>6</v>
      </c>
      <c r="C553">
        <v>2</v>
      </c>
    </row>
    <row r="554" spans="1:3" x14ac:dyDescent="0.45">
      <c r="A554" s="4">
        <v>925</v>
      </c>
      <c r="B554">
        <v>6</v>
      </c>
      <c r="C554">
        <v>2</v>
      </c>
    </row>
    <row r="555" spans="1:3" x14ac:dyDescent="0.45">
      <c r="A555" s="4">
        <v>1098</v>
      </c>
      <c r="B555">
        <v>6</v>
      </c>
      <c r="C555">
        <v>2</v>
      </c>
    </row>
    <row r="556" spans="1:3" x14ac:dyDescent="0.45">
      <c r="A556" s="4">
        <v>1058</v>
      </c>
      <c r="B556">
        <v>6</v>
      </c>
      <c r="C556">
        <v>2</v>
      </c>
    </row>
    <row r="557" spans="1:3" x14ac:dyDescent="0.45">
      <c r="A557" s="4">
        <v>1099</v>
      </c>
      <c r="B557">
        <v>6</v>
      </c>
      <c r="C557">
        <v>2</v>
      </c>
    </row>
    <row r="558" spans="1:3" x14ac:dyDescent="0.45">
      <c r="A558" s="4">
        <v>1331</v>
      </c>
      <c r="B558">
        <v>6</v>
      </c>
      <c r="C558">
        <v>2</v>
      </c>
    </row>
    <row r="559" spans="1:3" x14ac:dyDescent="0.45">
      <c r="A559" s="4">
        <v>1102</v>
      </c>
      <c r="B559">
        <v>6</v>
      </c>
      <c r="C559">
        <v>2</v>
      </c>
    </row>
    <row r="560" spans="1:3" x14ac:dyDescent="0.45">
      <c r="A560" s="4">
        <v>1082</v>
      </c>
      <c r="B560">
        <v>6</v>
      </c>
      <c r="C560">
        <v>2</v>
      </c>
    </row>
    <row r="561" spans="1:3" x14ac:dyDescent="0.45">
      <c r="A561" s="4">
        <v>1106</v>
      </c>
      <c r="B561">
        <v>6</v>
      </c>
      <c r="C561">
        <v>2</v>
      </c>
    </row>
    <row r="562" spans="1:3" x14ac:dyDescent="0.45">
      <c r="A562" s="4">
        <v>1239</v>
      </c>
      <c r="B562">
        <v>6</v>
      </c>
      <c r="C562">
        <v>2</v>
      </c>
    </row>
    <row r="563" spans="1:3" x14ac:dyDescent="0.45">
      <c r="A563" s="4">
        <v>1116</v>
      </c>
      <c r="B563">
        <v>6</v>
      </c>
      <c r="C563">
        <v>2</v>
      </c>
    </row>
    <row r="564" spans="1:3" x14ac:dyDescent="0.45">
      <c r="A564" s="4">
        <v>1251</v>
      </c>
      <c r="B564">
        <v>6</v>
      </c>
      <c r="C564">
        <v>2</v>
      </c>
    </row>
    <row r="565" spans="1:3" x14ac:dyDescent="0.45">
      <c r="A565" s="4">
        <v>978</v>
      </c>
      <c r="B565">
        <v>6</v>
      </c>
      <c r="C565">
        <v>2</v>
      </c>
    </row>
    <row r="566" spans="1:3" x14ac:dyDescent="0.45">
      <c r="A566" s="4">
        <v>957</v>
      </c>
      <c r="B566">
        <v>6</v>
      </c>
      <c r="C566">
        <v>2</v>
      </c>
    </row>
    <row r="567" spans="1:3" x14ac:dyDescent="0.45">
      <c r="A567" s="4">
        <v>1127</v>
      </c>
      <c r="B567">
        <v>6</v>
      </c>
      <c r="C567">
        <v>2</v>
      </c>
    </row>
    <row r="568" spans="1:3" x14ac:dyDescent="0.45">
      <c r="A568" s="4">
        <v>1286</v>
      </c>
      <c r="B568">
        <v>6</v>
      </c>
      <c r="C568">
        <v>2</v>
      </c>
    </row>
    <row r="569" spans="1:3" x14ac:dyDescent="0.45">
      <c r="A569" s="4">
        <v>937</v>
      </c>
      <c r="B569">
        <v>6</v>
      </c>
      <c r="C569">
        <v>2</v>
      </c>
    </row>
    <row r="570" spans="1:3" x14ac:dyDescent="0.45">
      <c r="A570" s="4">
        <v>1306</v>
      </c>
      <c r="B570">
        <v>6</v>
      </c>
      <c r="C570">
        <v>2</v>
      </c>
    </row>
    <row r="571" spans="1:3" x14ac:dyDescent="0.45">
      <c r="A571" s="4">
        <v>982</v>
      </c>
      <c r="B571">
        <v>6</v>
      </c>
      <c r="C571">
        <v>2</v>
      </c>
    </row>
    <row r="572" spans="1:3" x14ac:dyDescent="0.45">
      <c r="A572" s="4">
        <v>1318</v>
      </c>
      <c r="B572">
        <v>6</v>
      </c>
      <c r="C572">
        <v>2</v>
      </c>
    </row>
    <row r="573" spans="1:3" x14ac:dyDescent="0.45">
      <c r="A573" s="4">
        <v>1138</v>
      </c>
      <c r="B573">
        <v>6</v>
      </c>
      <c r="C573">
        <v>2</v>
      </c>
    </row>
    <row r="574" spans="1:3" x14ac:dyDescent="0.45">
      <c r="A574" s="4">
        <v>967</v>
      </c>
      <c r="B574">
        <v>6</v>
      </c>
      <c r="C574">
        <v>2</v>
      </c>
    </row>
    <row r="575" spans="1:3" x14ac:dyDescent="0.45">
      <c r="A575" s="4">
        <v>1146</v>
      </c>
      <c r="B575">
        <v>6</v>
      </c>
      <c r="C575">
        <v>2</v>
      </c>
    </row>
    <row r="576" spans="1:3" x14ac:dyDescent="0.45">
      <c r="A576" s="4">
        <v>1211</v>
      </c>
      <c r="B576">
        <v>6</v>
      </c>
      <c r="C576">
        <v>2</v>
      </c>
    </row>
    <row r="577" spans="1:3" x14ac:dyDescent="0.45">
      <c r="A577" s="4">
        <v>992</v>
      </c>
      <c r="B577">
        <v>6</v>
      </c>
      <c r="C577">
        <v>2</v>
      </c>
    </row>
    <row r="578" spans="1:3" x14ac:dyDescent="0.45">
      <c r="A578" s="4">
        <v>1019</v>
      </c>
      <c r="B578">
        <v>6</v>
      </c>
      <c r="C578">
        <v>2</v>
      </c>
    </row>
    <row r="579" spans="1:3" x14ac:dyDescent="0.45">
      <c r="A579" s="4">
        <v>1155</v>
      </c>
      <c r="B579">
        <v>6</v>
      </c>
      <c r="C579">
        <v>2</v>
      </c>
    </row>
    <row r="580" spans="1:3" x14ac:dyDescent="0.45">
      <c r="A580" s="4">
        <v>1028</v>
      </c>
      <c r="B580">
        <v>6</v>
      </c>
      <c r="C580">
        <v>2</v>
      </c>
    </row>
    <row r="581" spans="1:3" x14ac:dyDescent="0.45">
      <c r="A581" s="4">
        <v>942</v>
      </c>
      <c r="B581">
        <v>6</v>
      </c>
      <c r="C581">
        <v>2</v>
      </c>
    </row>
    <row r="582" spans="1:3" x14ac:dyDescent="0.45">
      <c r="A582" s="4">
        <v>1243</v>
      </c>
      <c r="B582">
        <v>6</v>
      </c>
      <c r="C582">
        <v>2</v>
      </c>
    </row>
    <row r="583" spans="1:3" x14ac:dyDescent="0.45">
      <c r="A583" s="4">
        <v>943</v>
      </c>
      <c r="B583">
        <v>6</v>
      </c>
      <c r="C583">
        <v>2</v>
      </c>
    </row>
    <row r="584" spans="1:3" x14ac:dyDescent="0.45">
      <c r="A584" s="4">
        <v>1035</v>
      </c>
      <c r="B584">
        <v>6</v>
      </c>
      <c r="C584">
        <v>2</v>
      </c>
    </row>
    <row r="585" spans="1:3" x14ac:dyDescent="0.45">
      <c r="A585" s="4">
        <v>1166</v>
      </c>
      <c r="B585">
        <v>6</v>
      </c>
      <c r="C585">
        <v>2</v>
      </c>
    </row>
    <row r="586" spans="1:3" x14ac:dyDescent="0.45">
      <c r="A586" s="4">
        <v>1256</v>
      </c>
      <c r="B586">
        <v>6</v>
      </c>
      <c r="C586">
        <v>2</v>
      </c>
    </row>
    <row r="587" spans="1:3" x14ac:dyDescent="0.45">
      <c r="A587" s="4">
        <v>1000</v>
      </c>
      <c r="B587">
        <v>6</v>
      </c>
      <c r="C587">
        <v>2</v>
      </c>
    </row>
    <row r="588" spans="1:3" x14ac:dyDescent="0.45">
      <c r="A588" s="4">
        <v>1263</v>
      </c>
      <c r="B588">
        <v>6</v>
      </c>
      <c r="C588">
        <v>2</v>
      </c>
    </row>
    <row r="589" spans="1:3" x14ac:dyDescent="0.45">
      <c r="A589" s="4">
        <v>1001</v>
      </c>
      <c r="B589">
        <v>6</v>
      </c>
      <c r="C589">
        <v>2</v>
      </c>
    </row>
    <row r="590" spans="1:3" x14ac:dyDescent="0.45">
      <c r="A590" s="4">
        <v>1045</v>
      </c>
      <c r="B590">
        <v>6</v>
      </c>
      <c r="C590">
        <v>2</v>
      </c>
    </row>
    <row r="591" spans="1:3" x14ac:dyDescent="0.45">
      <c r="A591" s="4">
        <v>945</v>
      </c>
      <c r="B591">
        <v>6</v>
      </c>
      <c r="C591">
        <v>2</v>
      </c>
    </row>
    <row r="592" spans="1:3" x14ac:dyDescent="0.45">
      <c r="A592" s="4">
        <v>1276</v>
      </c>
      <c r="B592">
        <v>6</v>
      </c>
      <c r="C592">
        <v>2</v>
      </c>
    </row>
    <row r="593" spans="1:3" x14ac:dyDescent="0.45">
      <c r="A593" s="4">
        <v>1178</v>
      </c>
      <c r="B593">
        <v>6</v>
      </c>
      <c r="C593">
        <v>2</v>
      </c>
    </row>
    <row r="594" spans="1:3" x14ac:dyDescent="0.45">
      <c r="A594" s="4">
        <v>1055</v>
      </c>
      <c r="B594">
        <v>6</v>
      </c>
      <c r="C594">
        <v>2</v>
      </c>
    </row>
    <row r="595" spans="1:3" x14ac:dyDescent="0.45">
      <c r="A595" s="4">
        <v>1182</v>
      </c>
      <c r="B595">
        <v>6</v>
      </c>
      <c r="C595">
        <v>2</v>
      </c>
    </row>
    <row r="596" spans="1:3" x14ac:dyDescent="0.45">
      <c r="A596" s="4">
        <v>1297</v>
      </c>
      <c r="B596">
        <v>6</v>
      </c>
      <c r="C596">
        <v>2</v>
      </c>
    </row>
    <row r="597" spans="1:3" x14ac:dyDescent="0.45">
      <c r="A597" s="4">
        <v>1192</v>
      </c>
      <c r="B597">
        <v>6</v>
      </c>
      <c r="C597">
        <v>2</v>
      </c>
    </row>
    <row r="598" spans="1:3" x14ac:dyDescent="0.45">
      <c r="A598" s="4">
        <v>1309</v>
      </c>
      <c r="B598">
        <v>6</v>
      </c>
      <c r="C598">
        <v>2</v>
      </c>
    </row>
    <row r="599" spans="1:3" x14ac:dyDescent="0.45">
      <c r="A599" s="4">
        <v>1194</v>
      </c>
      <c r="B599">
        <v>6</v>
      </c>
      <c r="C599">
        <v>2</v>
      </c>
    </row>
    <row r="600" spans="1:3" x14ac:dyDescent="0.45">
      <c r="A600" s="4">
        <v>1317</v>
      </c>
      <c r="B600">
        <v>6</v>
      </c>
      <c r="C600">
        <v>2</v>
      </c>
    </row>
    <row r="601" spans="1:3" x14ac:dyDescent="0.45">
      <c r="A601" s="4">
        <v>1014</v>
      </c>
      <c r="B601">
        <v>6</v>
      </c>
      <c r="C601">
        <v>2</v>
      </c>
    </row>
    <row r="602" spans="1:3" x14ac:dyDescent="0.45">
      <c r="A602" s="4">
        <v>1326</v>
      </c>
      <c r="B602">
        <v>6</v>
      </c>
      <c r="C602">
        <v>2</v>
      </c>
    </row>
    <row r="603" spans="1:3" x14ac:dyDescent="0.45">
      <c r="A603" s="4">
        <v>1200</v>
      </c>
      <c r="B603">
        <v>6</v>
      </c>
      <c r="C603">
        <v>2</v>
      </c>
    </row>
    <row r="604" spans="1:3" x14ac:dyDescent="0.45">
      <c r="A604" s="4">
        <v>1335</v>
      </c>
      <c r="B604">
        <v>6</v>
      </c>
      <c r="C604">
        <v>2</v>
      </c>
    </row>
    <row r="605" spans="1:3" x14ac:dyDescent="0.45">
      <c r="A605" s="4">
        <v>1207</v>
      </c>
      <c r="B605">
        <v>6</v>
      </c>
      <c r="C605">
        <v>2</v>
      </c>
    </row>
    <row r="606" spans="1:3" x14ac:dyDescent="0.45">
      <c r="A606" s="4">
        <v>1078</v>
      </c>
      <c r="B606">
        <v>6</v>
      </c>
      <c r="C606">
        <v>2</v>
      </c>
    </row>
    <row r="607" spans="1:3" x14ac:dyDescent="0.45">
      <c r="A607" s="4">
        <v>1017</v>
      </c>
      <c r="B607">
        <v>6</v>
      </c>
      <c r="C607">
        <v>2</v>
      </c>
    </row>
    <row r="608" spans="1:3" x14ac:dyDescent="0.45">
      <c r="A608" s="4">
        <v>1213</v>
      </c>
      <c r="B608">
        <v>6</v>
      </c>
      <c r="C608">
        <v>2</v>
      </c>
    </row>
    <row r="609" spans="1:3" x14ac:dyDescent="0.45">
      <c r="A609" s="4">
        <v>861</v>
      </c>
      <c r="B609">
        <v>6</v>
      </c>
      <c r="C609">
        <v>2</v>
      </c>
    </row>
    <row r="610" spans="1:3" x14ac:dyDescent="0.45">
      <c r="A610" s="4">
        <v>838</v>
      </c>
      <c r="B610">
        <v>6</v>
      </c>
      <c r="C610">
        <v>2</v>
      </c>
    </row>
    <row r="611" spans="1:3" x14ac:dyDescent="0.45">
      <c r="A611" s="4">
        <v>875</v>
      </c>
      <c r="B611">
        <v>6</v>
      </c>
      <c r="C611">
        <v>2</v>
      </c>
    </row>
    <row r="612" spans="1:3" x14ac:dyDescent="0.45">
      <c r="A612" s="4">
        <v>794</v>
      </c>
      <c r="B612">
        <v>6</v>
      </c>
      <c r="C612">
        <v>2</v>
      </c>
    </row>
    <row r="613" spans="1:3" x14ac:dyDescent="0.45">
      <c r="A613" s="4">
        <v>852</v>
      </c>
      <c r="B613">
        <v>6</v>
      </c>
      <c r="C613">
        <v>2</v>
      </c>
    </row>
    <row r="614" spans="1:3" x14ac:dyDescent="0.45">
      <c r="A614" s="4">
        <v>795</v>
      </c>
      <c r="B614">
        <v>6</v>
      </c>
      <c r="C614">
        <v>2</v>
      </c>
    </row>
    <row r="615" spans="1:3" x14ac:dyDescent="0.45">
      <c r="A615" s="4">
        <v>623</v>
      </c>
      <c r="B615">
        <v>6</v>
      </c>
      <c r="C615">
        <v>3</v>
      </c>
    </row>
    <row r="616" spans="1:3" x14ac:dyDescent="0.45">
      <c r="A616" s="4">
        <v>503</v>
      </c>
      <c r="B616">
        <v>6</v>
      </c>
      <c r="C616">
        <v>3</v>
      </c>
    </row>
    <row r="617" spans="1:3" x14ac:dyDescent="0.45">
      <c r="A617" s="4">
        <v>658</v>
      </c>
      <c r="B617">
        <v>6</v>
      </c>
      <c r="C617">
        <v>3</v>
      </c>
    </row>
    <row r="618" spans="1:3" x14ac:dyDescent="0.45">
      <c r="A618" s="4">
        <v>799</v>
      </c>
      <c r="B618">
        <v>6</v>
      </c>
      <c r="C618">
        <v>2</v>
      </c>
    </row>
    <row r="619" spans="1:3" x14ac:dyDescent="0.45">
      <c r="A619" s="4">
        <v>537</v>
      </c>
      <c r="B619">
        <v>6</v>
      </c>
      <c r="C619">
        <v>3</v>
      </c>
    </row>
    <row r="620" spans="1:3" x14ac:dyDescent="0.45">
      <c r="A620" s="4">
        <v>588</v>
      </c>
      <c r="B620">
        <v>6</v>
      </c>
      <c r="C620">
        <v>3</v>
      </c>
    </row>
    <row r="621" spans="1:3" x14ac:dyDescent="0.45">
      <c r="A621" s="4">
        <v>762</v>
      </c>
      <c r="B621">
        <v>6</v>
      </c>
      <c r="C621">
        <v>2</v>
      </c>
    </row>
    <row r="622" spans="1:3" x14ac:dyDescent="0.45">
      <c r="A622" s="4">
        <v>729</v>
      </c>
      <c r="B622">
        <v>6</v>
      </c>
      <c r="C622">
        <v>2</v>
      </c>
    </row>
    <row r="623" spans="1:3" x14ac:dyDescent="0.45">
      <c r="A623" s="4">
        <v>546</v>
      </c>
      <c r="B623">
        <v>6</v>
      </c>
      <c r="C623">
        <v>3</v>
      </c>
    </row>
    <row r="624" spans="1:3" x14ac:dyDescent="0.45">
      <c r="A624" s="4">
        <v>545</v>
      </c>
      <c r="B624">
        <v>6</v>
      </c>
      <c r="C624">
        <v>3</v>
      </c>
    </row>
    <row r="625" spans="1:3" x14ac:dyDescent="0.45">
      <c r="A625" s="4">
        <v>906</v>
      </c>
      <c r="B625">
        <v>6</v>
      </c>
      <c r="C625">
        <v>2</v>
      </c>
    </row>
    <row r="626" spans="1:3" x14ac:dyDescent="0.45">
      <c r="A626" s="4">
        <v>810</v>
      </c>
      <c r="B626">
        <v>6</v>
      </c>
      <c r="C626">
        <v>2</v>
      </c>
    </row>
    <row r="627" spans="1:3" x14ac:dyDescent="0.45">
      <c r="A627" s="4">
        <v>777</v>
      </c>
      <c r="B627">
        <v>6</v>
      </c>
      <c r="C627">
        <v>2</v>
      </c>
    </row>
    <row r="628" spans="1:3" x14ac:dyDescent="0.45">
      <c r="A628" s="4">
        <v>619</v>
      </c>
      <c r="B628">
        <v>6</v>
      </c>
      <c r="C628">
        <v>3</v>
      </c>
    </row>
    <row r="629" spans="1:3" x14ac:dyDescent="0.45">
      <c r="A629" s="4">
        <v>542</v>
      </c>
      <c r="B629">
        <v>6</v>
      </c>
      <c r="C629">
        <v>3</v>
      </c>
    </row>
    <row r="630" spans="1:3" x14ac:dyDescent="0.45">
      <c r="A630" s="4">
        <v>618</v>
      </c>
      <c r="B630">
        <v>6</v>
      </c>
      <c r="C630">
        <v>3</v>
      </c>
    </row>
    <row r="631" spans="1:3" x14ac:dyDescent="0.45">
      <c r="A631" s="4">
        <v>845</v>
      </c>
      <c r="B631">
        <v>6</v>
      </c>
      <c r="C631">
        <v>2</v>
      </c>
    </row>
    <row r="632" spans="1:3" x14ac:dyDescent="0.45">
      <c r="A632" s="4">
        <v>468</v>
      </c>
      <c r="B632">
        <v>6</v>
      </c>
      <c r="C632">
        <v>3</v>
      </c>
    </row>
    <row r="633" spans="1:3" x14ac:dyDescent="0.45">
      <c r="A633" s="4">
        <v>509</v>
      </c>
      <c r="B633">
        <v>6</v>
      </c>
      <c r="C633">
        <v>3</v>
      </c>
    </row>
    <row r="634" spans="1:3" x14ac:dyDescent="0.45">
      <c r="A634" s="4">
        <v>819</v>
      </c>
      <c r="B634">
        <v>6</v>
      </c>
      <c r="C634">
        <v>2</v>
      </c>
    </row>
    <row r="635" spans="1:3" x14ac:dyDescent="0.45">
      <c r="A635" s="4">
        <v>761</v>
      </c>
      <c r="B635">
        <v>6</v>
      </c>
      <c r="C635">
        <v>2</v>
      </c>
    </row>
    <row r="636" spans="1:3" x14ac:dyDescent="0.45">
      <c r="A636" s="4">
        <v>558</v>
      </c>
      <c r="B636">
        <v>6</v>
      </c>
      <c r="C636">
        <v>3</v>
      </c>
    </row>
    <row r="637" spans="1:3" x14ac:dyDescent="0.45">
      <c r="A637" s="4">
        <v>859</v>
      </c>
      <c r="B637">
        <v>6</v>
      </c>
      <c r="C637">
        <v>2</v>
      </c>
    </row>
    <row r="638" spans="1:3" x14ac:dyDescent="0.45">
      <c r="A638" s="4">
        <v>746</v>
      </c>
      <c r="B638">
        <v>6</v>
      </c>
      <c r="C638">
        <v>2</v>
      </c>
    </row>
    <row r="639" spans="1:3" x14ac:dyDescent="0.45">
      <c r="A639" s="4">
        <v>862</v>
      </c>
      <c r="B639">
        <v>6</v>
      </c>
      <c r="C639">
        <v>2</v>
      </c>
    </row>
    <row r="640" spans="1:3" x14ac:dyDescent="0.45">
      <c r="A640" s="4">
        <v>822</v>
      </c>
      <c r="B640">
        <v>6</v>
      </c>
      <c r="C640">
        <v>2</v>
      </c>
    </row>
    <row r="641" spans="1:3" x14ac:dyDescent="0.45">
      <c r="A641" s="4">
        <v>766</v>
      </c>
      <c r="B641">
        <v>6</v>
      </c>
      <c r="C641">
        <v>2</v>
      </c>
    </row>
    <row r="642" spans="1:3" x14ac:dyDescent="0.45">
      <c r="A642" s="4">
        <v>899</v>
      </c>
      <c r="B642">
        <v>6</v>
      </c>
      <c r="C642">
        <v>2</v>
      </c>
    </row>
    <row r="643" spans="1:3" x14ac:dyDescent="0.45">
      <c r="A643" s="4">
        <v>635</v>
      </c>
      <c r="B643">
        <v>6</v>
      </c>
      <c r="C643">
        <v>3</v>
      </c>
    </row>
    <row r="644" spans="1:3" x14ac:dyDescent="0.45">
      <c r="A644" s="4">
        <v>824</v>
      </c>
      <c r="B644">
        <v>6</v>
      </c>
      <c r="C644">
        <v>2</v>
      </c>
    </row>
    <row r="645" spans="1:3" x14ac:dyDescent="0.45">
      <c r="A645" s="4">
        <v>873</v>
      </c>
      <c r="B645">
        <v>6</v>
      </c>
      <c r="C645">
        <v>2</v>
      </c>
    </row>
    <row r="646" spans="1:3" x14ac:dyDescent="0.45">
      <c r="A646" s="4">
        <v>469</v>
      </c>
      <c r="B646">
        <v>6</v>
      </c>
      <c r="C646">
        <v>3</v>
      </c>
    </row>
    <row r="647" spans="1:3" x14ac:dyDescent="0.45">
      <c r="A647" s="4">
        <v>637</v>
      </c>
      <c r="B647">
        <v>6</v>
      </c>
      <c r="C647">
        <v>3</v>
      </c>
    </row>
    <row r="648" spans="1:3" x14ac:dyDescent="0.45">
      <c r="A648" s="4">
        <v>830</v>
      </c>
      <c r="B648">
        <v>6</v>
      </c>
      <c r="C648">
        <v>2</v>
      </c>
    </row>
    <row r="649" spans="1:3" x14ac:dyDescent="0.45">
      <c r="A649" s="4">
        <v>782</v>
      </c>
      <c r="B649">
        <v>6</v>
      </c>
      <c r="C649">
        <v>2</v>
      </c>
    </row>
    <row r="650" spans="1:3" x14ac:dyDescent="0.45">
      <c r="A650" s="4">
        <v>832</v>
      </c>
      <c r="B650">
        <v>6</v>
      </c>
      <c r="C650">
        <v>2</v>
      </c>
    </row>
    <row r="651" spans="1:3" x14ac:dyDescent="0.45">
      <c r="A651" s="4">
        <v>787</v>
      </c>
      <c r="B651">
        <v>6</v>
      </c>
      <c r="C651">
        <v>2</v>
      </c>
    </row>
    <row r="652" spans="1:3" x14ac:dyDescent="0.45">
      <c r="A652" s="4">
        <v>834</v>
      </c>
      <c r="B652">
        <v>6</v>
      </c>
      <c r="C652">
        <v>2</v>
      </c>
    </row>
    <row r="653" spans="1:3" x14ac:dyDescent="0.45">
      <c r="A653" s="4">
        <v>755</v>
      </c>
      <c r="B653">
        <v>6</v>
      </c>
      <c r="C653">
        <v>2</v>
      </c>
    </row>
    <row r="654" spans="1:3" x14ac:dyDescent="0.45">
      <c r="A654" s="4">
        <v>751</v>
      </c>
      <c r="B654">
        <v>6</v>
      </c>
      <c r="C654">
        <v>2</v>
      </c>
    </row>
    <row r="655" spans="1:3" x14ac:dyDescent="0.45">
      <c r="A655" s="4">
        <v>753</v>
      </c>
      <c r="B655">
        <v>6</v>
      </c>
      <c r="C655">
        <v>2</v>
      </c>
    </row>
    <row r="656" spans="1:3" x14ac:dyDescent="0.45">
      <c r="A656" s="4">
        <v>698</v>
      </c>
      <c r="B656">
        <v>6</v>
      </c>
      <c r="C656">
        <v>2</v>
      </c>
    </row>
    <row r="657" spans="1:3" x14ac:dyDescent="0.45">
      <c r="A657" s="4">
        <v>344</v>
      </c>
      <c r="B657">
        <v>6</v>
      </c>
      <c r="C657">
        <v>3</v>
      </c>
    </row>
    <row r="658" spans="1:3" x14ac:dyDescent="0.45">
      <c r="A658" s="4">
        <v>106</v>
      </c>
      <c r="B658">
        <v>6</v>
      </c>
      <c r="C658">
        <v>3</v>
      </c>
    </row>
    <row r="659" spans="1:3" x14ac:dyDescent="0.45">
      <c r="A659" s="4">
        <v>40</v>
      </c>
      <c r="B659">
        <v>6</v>
      </c>
      <c r="C659">
        <v>3</v>
      </c>
    </row>
    <row r="660" spans="1:3" x14ac:dyDescent="0.45">
      <c r="A660" s="4">
        <v>402</v>
      </c>
      <c r="B660">
        <v>6</v>
      </c>
      <c r="C660">
        <v>3</v>
      </c>
    </row>
    <row r="661" spans="1:3" x14ac:dyDescent="0.45">
      <c r="A661" s="4">
        <v>144</v>
      </c>
      <c r="B661">
        <v>6</v>
      </c>
      <c r="C661">
        <v>3</v>
      </c>
    </row>
    <row r="662" spans="1:3" x14ac:dyDescent="0.45">
      <c r="A662" s="4">
        <v>418</v>
      </c>
      <c r="B662">
        <v>6</v>
      </c>
      <c r="C662">
        <v>3</v>
      </c>
    </row>
    <row r="663" spans="1:3" x14ac:dyDescent="0.45">
      <c r="A663" s="4">
        <v>165</v>
      </c>
      <c r="B663">
        <v>6</v>
      </c>
      <c r="C663">
        <v>3</v>
      </c>
    </row>
    <row r="664" spans="1:3" x14ac:dyDescent="0.45">
      <c r="A664" s="4">
        <v>128</v>
      </c>
      <c r="B664">
        <v>6</v>
      </c>
      <c r="C664">
        <v>3</v>
      </c>
    </row>
    <row r="665" spans="1:3" x14ac:dyDescent="0.45">
      <c r="A665" s="4">
        <v>65</v>
      </c>
      <c r="B665">
        <v>6</v>
      </c>
      <c r="C665">
        <v>3</v>
      </c>
    </row>
    <row r="666" spans="1:3" x14ac:dyDescent="0.45">
      <c r="A666" s="4">
        <v>10</v>
      </c>
      <c r="B666">
        <v>6</v>
      </c>
      <c r="C666">
        <v>3</v>
      </c>
    </row>
    <row r="667" spans="1:3" x14ac:dyDescent="0.45">
      <c r="A667" s="4">
        <v>430</v>
      </c>
      <c r="B667">
        <v>6</v>
      </c>
      <c r="C667">
        <v>3</v>
      </c>
    </row>
    <row r="668" spans="1:3" x14ac:dyDescent="0.45">
      <c r="A668" s="4">
        <v>294</v>
      </c>
      <c r="B668">
        <v>6</v>
      </c>
      <c r="C668">
        <v>3</v>
      </c>
    </row>
    <row r="669" spans="1:3" x14ac:dyDescent="0.45">
      <c r="A669" s="4">
        <v>328</v>
      </c>
      <c r="B669">
        <v>6</v>
      </c>
      <c r="C669">
        <v>3</v>
      </c>
    </row>
    <row r="670" spans="1:3" x14ac:dyDescent="0.45">
      <c r="A670" s="4">
        <v>389</v>
      </c>
      <c r="B670">
        <v>6</v>
      </c>
      <c r="C670">
        <v>3</v>
      </c>
    </row>
    <row r="671" spans="1:3" x14ac:dyDescent="0.45">
      <c r="A671" s="4">
        <v>436</v>
      </c>
      <c r="B671">
        <v>6</v>
      </c>
      <c r="C671">
        <v>3</v>
      </c>
    </row>
    <row r="672" spans="1:3" x14ac:dyDescent="0.45">
      <c r="A672" s="4">
        <v>424</v>
      </c>
      <c r="B672">
        <v>6</v>
      </c>
      <c r="C672">
        <v>3</v>
      </c>
    </row>
    <row r="673" spans="1:3" x14ac:dyDescent="0.45">
      <c r="A673" s="4">
        <v>441</v>
      </c>
      <c r="B673">
        <v>6</v>
      </c>
      <c r="C673">
        <v>3</v>
      </c>
    </row>
    <row r="674" spans="1:3" x14ac:dyDescent="0.45">
      <c r="A674" s="4">
        <v>124</v>
      </c>
      <c r="B674">
        <v>6</v>
      </c>
      <c r="C674">
        <v>3</v>
      </c>
    </row>
    <row r="675" spans="1:3" x14ac:dyDescent="0.45">
      <c r="A675" s="4">
        <v>175</v>
      </c>
      <c r="B675">
        <v>6</v>
      </c>
      <c r="C675">
        <v>3</v>
      </c>
    </row>
    <row r="676" spans="1:3" x14ac:dyDescent="0.45">
      <c r="A676" s="4">
        <v>31</v>
      </c>
      <c r="B676">
        <v>6</v>
      </c>
      <c r="C676">
        <v>3</v>
      </c>
    </row>
    <row r="677" spans="1:3" x14ac:dyDescent="0.45">
      <c r="A677" s="4">
        <v>378</v>
      </c>
      <c r="B677">
        <v>6</v>
      </c>
      <c r="C677">
        <v>3</v>
      </c>
    </row>
    <row r="678" spans="1:3" x14ac:dyDescent="0.45">
      <c r="A678" s="4">
        <v>323</v>
      </c>
      <c r="B678">
        <v>6</v>
      </c>
      <c r="C678">
        <v>3</v>
      </c>
    </row>
    <row r="679" spans="1:3" x14ac:dyDescent="0.45">
      <c r="A679" s="4">
        <v>318</v>
      </c>
      <c r="B679">
        <v>6</v>
      </c>
      <c r="C679">
        <v>3</v>
      </c>
    </row>
    <row r="680" spans="1:3" x14ac:dyDescent="0.45">
      <c r="A680" s="4">
        <v>114</v>
      </c>
      <c r="B680">
        <v>6</v>
      </c>
      <c r="C680">
        <v>3</v>
      </c>
    </row>
    <row r="681" spans="1:3" x14ac:dyDescent="0.45">
      <c r="A681" s="4">
        <v>89</v>
      </c>
      <c r="B681">
        <v>6</v>
      </c>
      <c r="C681">
        <v>3</v>
      </c>
    </row>
    <row r="682" spans="1:3" x14ac:dyDescent="0.45">
      <c r="A682" s="4">
        <v>235</v>
      </c>
      <c r="B682">
        <v>6</v>
      </c>
      <c r="C682">
        <v>3</v>
      </c>
    </row>
    <row r="683" spans="1:3" x14ac:dyDescent="0.45">
      <c r="A683" s="4">
        <v>966</v>
      </c>
      <c r="B683">
        <v>5</v>
      </c>
      <c r="C683">
        <v>2</v>
      </c>
    </row>
    <row r="684" spans="1:3" x14ac:dyDescent="0.45">
      <c r="A684" s="4">
        <v>989</v>
      </c>
      <c r="B684">
        <v>5</v>
      </c>
      <c r="C684">
        <v>2</v>
      </c>
    </row>
    <row r="685" spans="1:3" x14ac:dyDescent="0.45">
      <c r="A685" s="4">
        <v>1349</v>
      </c>
      <c r="B685">
        <v>5</v>
      </c>
      <c r="C685">
        <v>2</v>
      </c>
    </row>
    <row r="686" spans="1:3" x14ac:dyDescent="0.45">
      <c r="A686" s="4">
        <v>946</v>
      </c>
      <c r="B686">
        <v>5</v>
      </c>
      <c r="C686">
        <v>2</v>
      </c>
    </row>
    <row r="687" spans="1:3" x14ac:dyDescent="0.45">
      <c r="A687" s="4">
        <v>1061</v>
      </c>
      <c r="B687">
        <v>5</v>
      </c>
      <c r="C687">
        <v>2</v>
      </c>
    </row>
    <row r="688" spans="1:3" x14ac:dyDescent="0.45">
      <c r="A688" s="4">
        <v>1011</v>
      </c>
      <c r="B688">
        <v>5</v>
      </c>
      <c r="C688">
        <v>2</v>
      </c>
    </row>
    <row r="689" spans="1:3" x14ac:dyDescent="0.45">
      <c r="A689" s="4">
        <v>1332</v>
      </c>
      <c r="B689">
        <v>5</v>
      </c>
      <c r="C689">
        <v>2</v>
      </c>
    </row>
    <row r="690" spans="1:3" x14ac:dyDescent="0.45">
      <c r="A690" s="4">
        <v>1201</v>
      </c>
      <c r="B690">
        <v>5</v>
      </c>
      <c r="C690">
        <v>2</v>
      </c>
    </row>
    <row r="691" spans="1:3" x14ac:dyDescent="0.45">
      <c r="A691" s="4">
        <v>1259</v>
      </c>
      <c r="B691">
        <v>5</v>
      </c>
      <c r="C691">
        <v>2</v>
      </c>
    </row>
    <row r="692" spans="1:3" x14ac:dyDescent="0.45">
      <c r="A692" s="4">
        <v>1205</v>
      </c>
      <c r="B692">
        <v>5</v>
      </c>
      <c r="C692">
        <v>2</v>
      </c>
    </row>
    <row r="693" spans="1:3" x14ac:dyDescent="0.45">
      <c r="A693" s="4">
        <v>940</v>
      </c>
      <c r="B693">
        <v>5</v>
      </c>
      <c r="C693">
        <v>2</v>
      </c>
    </row>
    <row r="694" spans="1:3" x14ac:dyDescent="0.45">
      <c r="A694" s="4">
        <v>1016</v>
      </c>
      <c r="B694">
        <v>5</v>
      </c>
      <c r="C694">
        <v>2</v>
      </c>
    </row>
    <row r="695" spans="1:3" x14ac:dyDescent="0.45">
      <c r="A695" s="4">
        <v>1313</v>
      </c>
      <c r="B695">
        <v>5</v>
      </c>
      <c r="C695">
        <v>2</v>
      </c>
    </row>
    <row r="696" spans="1:3" x14ac:dyDescent="0.45">
      <c r="A696" s="4">
        <v>1097</v>
      </c>
      <c r="B696">
        <v>5</v>
      </c>
      <c r="C696">
        <v>2</v>
      </c>
    </row>
    <row r="697" spans="1:3" x14ac:dyDescent="0.45">
      <c r="A697" s="4">
        <v>1067</v>
      </c>
      <c r="B697">
        <v>5</v>
      </c>
      <c r="C697">
        <v>2</v>
      </c>
    </row>
    <row r="698" spans="1:3" x14ac:dyDescent="0.45">
      <c r="A698" s="4">
        <v>1209</v>
      </c>
      <c r="B698">
        <v>5</v>
      </c>
      <c r="C698">
        <v>2</v>
      </c>
    </row>
    <row r="699" spans="1:3" x14ac:dyDescent="0.45">
      <c r="A699" s="4">
        <v>1070</v>
      </c>
      <c r="B699">
        <v>5</v>
      </c>
      <c r="C699">
        <v>2</v>
      </c>
    </row>
    <row r="700" spans="1:3" x14ac:dyDescent="0.45">
      <c r="A700" s="4">
        <v>979</v>
      </c>
      <c r="B700">
        <v>5</v>
      </c>
      <c r="C700">
        <v>2</v>
      </c>
    </row>
    <row r="701" spans="1:3" x14ac:dyDescent="0.45">
      <c r="A701" s="4">
        <v>1253</v>
      </c>
      <c r="B701">
        <v>5</v>
      </c>
      <c r="C701">
        <v>2</v>
      </c>
    </row>
    <row r="702" spans="1:3" x14ac:dyDescent="0.45">
      <c r="A702" s="4">
        <v>952</v>
      </c>
      <c r="B702">
        <v>5</v>
      </c>
      <c r="C702">
        <v>2</v>
      </c>
    </row>
    <row r="703" spans="1:3" x14ac:dyDescent="0.45">
      <c r="A703" s="4">
        <v>931</v>
      </c>
      <c r="B703">
        <v>5</v>
      </c>
      <c r="C703">
        <v>2</v>
      </c>
    </row>
    <row r="704" spans="1:3" x14ac:dyDescent="0.45">
      <c r="A704" s="4">
        <v>1219</v>
      </c>
      <c r="B704">
        <v>5</v>
      </c>
      <c r="C704">
        <v>2</v>
      </c>
    </row>
    <row r="705" spans="1:3" x14ac:dyDescent="0.45">
      <c r="A705" s="4">
        <v>1273</v>
      </c>
      <c r="B705">
        <v>5</v>
      </c>
      <c r="C705">
        <v>2</v>
      </c>
    </row>
    <row r="706" spans="1:3" x14ac:dyDescent="0.45">
      <c r="A706" s="4">
        <v>1226</v>
      </c>
      <c r="B706">
        <v>5</v>
      </c>
      <c r="C706">
        <v>2</v>
      </c>
    </row>
    <row r="707" spans="1:3" x14ac:dyDescent="0.45">
      <c r="A707" s="4">
        <v>1308</v>
      </c>
      <c r="B707">
        <v>5</v>
      </c>
      <c r="C707">
        <v>2</v>
      </c>
    </row>
    <row r="708" spans="1:3" x14ac:dyDescent="0.45">
      <c r="A708" s="4">
        <v>1227</v>
      </c>
      <c r="B708">
        <v>5</v>
      </c>
      <c r="C708">
        <v>2</v>
      </c>
    </row>
    <row r="709" spans="1:3" x14ac:dyDescent="0.45">
      <c r="A709" s="4">
        <v>1311</v>
      </c>
      <c r="B709">
        <v>5</v>
      </c>
      <c r="C709">
        <v>2</v>
      </c>
    </row>
    <row r="710" spans="1:3" x14ac:dyDescent="0.45">
      <c r="A710" s="4">
        <v>1133</v>
      </c>
      <c r="B710">
        <v>5</v>
      </c>
      <c r="C710">
        <v>2</v>
      </c>
    </row>
    <row r="711" spans="1:3" x14ac:dyDescent="0.45">
      <c r="A711" s="4">
        <v>927</v>
      </c>
      <c r="B711">
        <v>5</v>
      </c>
      <c r="C711">
        <v>2</v>
      </c>
    </row>
    <row r="712" spans="1:3" x14ac:dyDescent="0.45">
      <c r="A712" s="4">
        <v>916</v>
      </c>
      <c r="B712">
        <v>5</v>
      </c>
      <c r="C712">
        <v>2</v>
      </c>
    </row>
    <row r="713" spans="1:3" x14ac:dyDescent="0.45">
      <c r="A713" s="4">
        <v>1322</v>
      </c>
      <c r="B713">
        <v>5</v>
      </c>
      <c r="C713">
        <v>2</v>
      </c>
    </row>
    <row r="714" spans="1:3" x14ac:dyDescent="0.45">
      <c r="A714" s="4">
        <v>1031</v>
      </c>
      <c r="B714">
        <v>5</v>
      </c>
      <c r="C714">
        <v>2</v>
      </c>
    </row>
    <row r="715" spans="1:3" x14ac:dyDescent="0.45">
      <c r="A715" s="4">
        <v>1111</v>
      </c>
      <c r="B715">
        <v>5</v>
      </c>
      <c r="C715">
        <v>2</v>
      </c>
    </row>
    <row r="716" spans="1:3" x14ac:dyDescent="0.45">
      <c r="A716" s="4">
        <v>1034</v>
      </c>
      <c r="B716">
        <v>5</v>
      </c>
      <c r="C716">
        <v>2</v>
      </c>
    </row>
    <row r="717" spans="1:3" x14ac:dyDescent="0.45">
      <c r="A717" s="4">
        <v>1336</v>
      </c>
      <c r="B717">
        <v>5</v>
      </c>
      <c r="C717">
        <v>2</v>
      </c>
    </row>
    <row r="718" spans="1:3" x14ac:dyDescent="0.45">
      <c r="A718" s="4">
        <v>1248</v>
      </c>
      <c r="B718">
        <v>5</v>
      </c>
      <c r="C718">
        <v>2</v>
      </c>
    </row>
    <row r="719" spans="1:3" x14ac:dyDescent="0.45">
      <c r="A719" s="4">
        <v>1071</v>
      </c>
      <c r="B719">
        <v>5</v>
      </c>
      <c r="C719">
        <v>2</v>
      </c>
    </row>
    <row r="720" spans="1:3" x14ac:dyDescent="0.45">
      <c r="A720" s="4">
        <v>985</v>
      </c>
      <c r="B720">
        <v>5</v>
      </c>
      <c r="C720">
        <v>2</v>
      </c>
    </row>
    <row r="721" spans="1:3" x14ac:dyDescent="0.45">
      <c r="A721" s="4">
        <v>1036</v>
      </c>
      <c r="B721">
        <v>5</v>
      </c>
      <c r="C721">
        <v>2</v>
      </c>
    </row>
    <row r="722" spans="1:3" x14ac:dyDescent="0.45">
      <c r="A722" s="4">
        <v>1113</v>
      </c>
      <c r="B722">
        <v>5</v>
      </c>
      <c r="C722">
        <v>2</v>
      </c>
    </row>
    <row r="723" spans="1:3" x14ac:dyDescent="0.45">
      <c r="A723" s="4">
        <v>700</v>
      </c>
      <c r="B723">
        <v>5</v>
      </c>
      <c r="C723">
        <v>2</v>
      </c>
    </row>
    <row r="724" spans="1:3" x14ac:dyDescent="0.45">
      <c r="A724" s="4">
        <v>760</v>
      </c>
      <c r="B724">
        <v>5</v>
      </c>
      <c r="C724">
        <v>2</v>
      </c>
    </row>
    <row r="725" spans="1:3" x14ac:dyDescent="0.45">
      <c r="A725" s="4">
        <v>878</v>
      </c>
      <c r="B725">
        <v>5</v>
      </c>
      <c r="C725">
        <v>2</v>
      </c>
    </row>
    <row r="726" spans="1:3" x14ac:dyDescent="0.45">
      <c r="A726" s="4">
        <v>849</v>
      </c>
      <c r="B726">
        <v>5</v>
      </c>
      <c r="C726">
        <v>2</v>
      </c>
    </row>
    <row r="727" spans="1:3" x14ac:dyDescent="0.45">
      <c r="A727" s="4">
        <v>896</v>
      </c>
      <c r="B727">
        <v>5</v>
      </c>
      <c r="C727">
        <v>2</v>
      </c>
    </row>
    <row r="728" spans="1:3" x14ac:dyDescent="0.45">
      <c r="A728" s="4">
        <v>718</v>
      </c>
      <c r="B728">
        <v>5</v>
      </c>
      <c r="C728">
        <v>2</v>
      </c>
    </row>
    <row r="729" spans="1:3" x14ac:dyDescent="0.45">
      <c r="A729" s="4">
        <v>874</v>
      </c>
      <c r="B729">
        <v>5</v>
      </c>
      <c r="C729">
        <v>2</v>
      </c>
    </row>
    <row r="730" spans="1:3" x14ac:dyDescent="0.45">
      <c r="A730" s="4">
        <v>808</v>
      </c>
      <c r="B730">
        <v>5</v>
      </c>
      <c r="C730">
        <v>2</v>
      </c>
    </row>
    <row r="731" spans="1:3" x14ac:dyDescent="0.45">
      <c r="A731" s="4">
        <v>880</v>
      </c>
      <c r="B731">
        <v>5</v>
      </c>
      <c r="C731">
        <v>2</v>
      </c>
    </row>
    <row r="732" spans="1:3" x14ac:dyDescent="0.45">
      <c r="A732" s="4">
        <v>854</v>
      </c>
      <c r="B732">
        <v>5</v>
      </c>
      <c r="C732">
        <v>2</v>
      </c>
    </row>
    <row r="733" spans="1:3" x14ac:dyDescent="0.45">
      <c r="A733" s="4">
        <v>486</v>
      </c>
      <c r="B733">
        <v>5</v>
      </c>
      <c r="C733">
        <v>3</v>
      </c>
    </row>
    <row r="734" spans="1:3" x14ac:dyDescent="0.45">
      <c r="A734" s="4">
        <v>484</v>
      </c>
      <c r="B734">
        <v>5</v>
      </c>
      <c r="C734">
        <v>3</v>
      </c>
    </row>
    <row r="735" spans="1:3" x14ac:dyDescent="0.45">
      <c r="A735" s="4">
        <v>844</v>
      </c>
      <c r="B735">
        <v>5</v>
      </c>
      <c r="C735">
        <v>2</v>
      </c>
    </row>
    <row r="736" spans="1:3" x14ac:dyDescent="0.45">
      <c r="A736" s="4">
        <v>744</v>
      </c>
      <c r="B736">
        <v>5</v>
      </c>
      <c r="C736">
        <v>2</v>
      </c>
    </row>
    <row r="737" spans="1:3" x14ac:dyDescent="0.45">
      <c r="A737" s="4">
        <v>709</v>
      </c>
      <c r="B737">
        <v>5</v>
      </c>
      <c r="C737">
        <v>2</v>
      </c>
    </row>
    <row r="738" spans="1:3" x14ac:dyDescent="0.45">
      <c r="A738" s="4">
        <v>722</v>
      </c>
      <c r="B738">
        <v>5</v>
      </c>
      <c r="C738">
        <v>2</v>
      </c>
    </row>
    <row r="739" spans="1:3" x14ac:dyDescent="0.45">
      <c r="A739" s="4">
        <v>827</v>
      </c>
      <c r="B739">
        <v>5</v>
      </c>
      <c r="C739">
        <v>2</v>
      </c>
    </row>
    <row r="740" spans="1:3" x14ac:dyDescent="0.45">
      <c r="A740" s="4">
        <v>772</v>
      </c>
      <c r="B740">
        <v>5</v>
      </c>
      <c r="C740">
        <v>2</v>
      </c>
    </row>
    <row r="741" spans="1:3" x14ac:dyDescent="0.45">
      <c r="A741" s="4">
        <v>879</v>
      </c>
      <c r="B741">
        <v>5</v>
      </c>
      <c r="C741">
        <v>2</v>
      </c>
    </row>
    <row r="742" spans="1:3" x14ac:dyDescent="0.45">
      <c r="A742" s="4">
        <v>749</v>
      </c>
      <c r="B742">
        <v>5</v>
      </c>
      <c r="C742">
        <v>2</v>
      </c>
    </row>
    <row r="743" spans="1:3" x14ac:dyDescent="0.45">
      <c r="A743" s="4">
        <v>667</v>
      </c>
      <c r="B743">
        <v>5</v>
      </c>
      <c r="C743">
        <v>2</v>
      </c>
    </row>
    <row r="744" spans="1:3" x14ac:dyDescent="0.45">
      <c r="A744" s="4">
        <v>863</v>
      </c>
      <c r="B744">
        <v>5</v>
      </c>
      <c r="C744">
        <v>2</v>
      </c>
    </row>
    <row r="745" spans="1:3" x14ac:dyDescent="0.45">
      <c r="A745" s="4">
        <v>797</v>
      </c>
      <c r="B745">
        <v>5</v>
      </c>
      <c r="C745">
        <v>2</v>
      </c>
    </row>
    <row r="746" spans="1:3" x14ac:dyDescent="0.45">
      <c r="A746" s="4">
        <v>776</v>
      </c>
      <c r="B746">
        <v>5</v>
      </c>
      <c r="C746">
        <v>2</v>
      </c>
    </row>
    <row r="747" spans="1:3" x14ac:dyDescent="0.45">
      <c r="A747" s="4">
        <v>616</v>
      </c>
      <c r="B747">
        <v>5</v>
      </c>
      <c r="C747">
        <v>3</v>
      </c>
    </row>
    <row r="748" spans="1:3" x14ac:dyDescent="0.45">
      <c r="A748" s="4">
        <v>750</v>
      </c>
      <c r="B748">
        <v>5</v>
      </c>
      <c r="C748">
        <v>2</v>
      </c>
    </row>
    <row r="749" spans="1:3" x14ac:dyDescent="0.45">
      <c r="A749" s="4">
        <v>839</v>
      </c>
      <c r="B749">
        <v>5</v>
      </c>
      <c r="C749">
        <v>2</v>
      </c>
    </row>
    <row r="750" spans="1:3" x14ac:dyDescent="0.45">
      <c r="A750" s="4">
        <v>485</v>
      </c>
      <c r="B750">
        <v>5</v>
      </c>
      <c r="C750">
        <v>3</v>
      </c>
    </row>
    <row r="751" spans="1:3" x14ac:dyDescent="0.45">
      <c r="A751" s="4">
        <v>763</v>
      </c>
      <c r="B751">
        <v>5</v>
      </c>
      <c r="C751">
        <v>2</v>
      </c>
    </row>
    <row r="752" spans="1:3" x14ac:dyDescent="0.45">
      <c r="A752" s="4">
        <v>510</v>
      </c>
      <c r="B752">
        <v>5</v>
      </c>
      <c r="C752">
        <v>3</v>
      </c>
    </row>
    <row r="753" spans="1:3" x14ac:dyDescent="0.45">
      <c r="A753" s="4">
        <v>666</v>
      </c>
      <c r="B753">
        <v>5</v>
      </c>
      <c r="C753">
        <v>2</v>
      </c>
    </row>
    <row r="754" spans="1:3" x14ac:dyDescent="0.45">
      <c r="A754" s="4">
        <v>654</v>
      </c>
      <c r="B754">
        <v>5</v>
      </c>
      <c r="C754">
        <v>3</v>
      </c>
    </row>
    <row r="755" spans="1:3" x14ac:dyDescent="0.45">
      <c r="A755" s="4">
        <v>908</v>
      </c>
      <c r="B755">
        <v>5</v>
      </c>
      <c r="C755">
        <v>2</v>
      </c>
    </row>
    <row r="756" spans="1:3" x14ac:dyDescent="0.45">
      <c r="A756" s="4">
        <v>404</v>
      </c>
      <c r="B756">
        <v>5</v>
      </c>
      <c r="C756">
        <v>3</v>
      </c>
    </row>
    <row r="757" spans="1:3" x14ac:dyDescent="0.45">
      <c r="A757" s="4">
        <v>33</v>
      </c>
      <c r="B757">
        <v>5</v>
      </c>
      <c r="C757">
        <v>3</v>
      </c>
    </row>
    <row r="758" spans="1:3" x14ac:dyDescent="0.45">
      <c r="A758" s="4">
        <v>264</v>
      </c>
      <c r="B758">
        <v>5</v>
      </c>
      <c r="C758">
        <v>3</v>
      </c>
    </row>
    <row r="759" spans="1:3" x14ac:dyDescent="0.45">
      <c r="A759" s="4">
        <v>331</v>
      </c>
      <c r="B759">
        <v>5</v>
      </c>
      <c r="C759">
        <v>3</v>
      </c>
    </row>
    <row r="760" spans="1:3" x14ac:dyDescent="0.45">
      <c r="A760" s="4">
        <v>445</v>
      </c>
      <c r="B760">
        <v>5</v>
      </c>
      <c r="C760">
        <v>3</v>
      </c>
    </row>
    <row r="761" spans="1:3" x14ac:dyDescent="0.45">
      <c r="A761" s="4">
        <v>392</v>
      </c>
      <c r="B761">
        <v>5</v>
      </c>
      <c r="C761">
        <v>3</v>
      </c>
    </row>
    <row r="762" spans="1:3" x14ac:dyDescent="0.45">
      <c r="A762" s="4">
        <v>180</v>
      </c>
      <c r="B762">
        <v>5</v>
      </c>
      <c r="C762">
        <v>3</v>
      </c>
    </row>
    <row r="763" spans="1:3" x14ac:dyDescent="0.45">
      <c r="A763" s="4">
        <v>306</v>
      </c>
      <c r="B763">
        <v>5</v>
      </c>
      <c r="C763">
        <v>3</v>
      </c>
    </row>
    <row r="764" spans="1:3" x14ac:dyDescent="0.45">
      <c r="A764" s="4">
        <v>265</v>
      </c>
      <c r="B764">
        <v>5</v>
      </c>
      <c r="C764">
        <v>3</v>
      </c>
    </row>
    <row r="765" spans="1:3" x14ac:dyDescent="0.45">
      <c r="A765" s="4">
        <v>190</v>
      </c>
      <c r="B765">
        <v>5</v>
      </c>
      <c r="C765">
        <v>3</v>
      </c>
    </row>
    <row r="766" spans="1:3" x14ac:dyDescent="0.45">
      <c r="A766" s="4">
        <v>245</v>
      </c>
      <c r="B766">
        <v>5</v>
      </c>
      <c r="C766">
        <v>3</v>
      </c>
    </row>
    <row r="767" spans="1:3" x14ac:dyDescent="0.45">
      <c r="A767" s="4">
        <v>24</v>
      </c>
      <c r="B767">
        <v>5</v>
      </c>
      <c r="C767">
        <v>3</v>
      </c>
    </row>
    <row r="768" spans="1:3" x14ac:dyDescent="0.45">
      <c r="A768" s="4">
        <v>247</v>
      </c>
      <c r="B768">
        <v>5</v>
      </c>
      <c r="C768">
        <v>3</v>
      </c>
    </row>
    <row r="769" spans="1:3" x14ac:dyDescent="0.45">
      <c r="A769" s="4">
        <v>115</v>
      </c>
      <c r="B769">
        <v>5</v>
      </c>
      <c r="C769">
        <v>3</v>
      </c>
    </row>
    <row r="770" spans="1:3" x14ac:dyDescent="0.45">
      <c r="A770" s="4">
        <v>369</v>
      </c>
      <c r="B770">
        <v>5</v>
      </c>
      <c r="C770">
        <v>3</v>
      </c>
    </row>
    <row r="771" spans="1:3" x14ac:dyDescent="0.45">
      <c r="A771" s="4">
        <v>1165</v>
      </c>
      <c r="B771">
        <v>4</v>
      </c>
      <c r="C771">
        <v>2</v>
      </c>
    </row>
    <row r="772" spans="1:3" x14ac:dyDescent="0.45">
      <c r="A772" s="4">
        <v>1187</v>
      </c>
      <c r="B772">
        <v>4</v>
      </c>
      <c r="C772">
        <v>2</v>
      </c>
    </row>
    <row r="773" spans="1:3" x14ac:dyDescent="0.45">
      <c r="A773" s="4">
        <v>1280</v>
      </c>
      <c r="B773">
        <v>4</v>
      </c>
      <c r="C773">
        <v>2</v>
      </c>
    </row>
    <row r="774" spans="1:3" x14ac:dyDescent="0.45">
      <c r="A774" s="4">
        <v>1230</v>
      </c>
      <c r="B774">
        <v>4</v>
      </c>
      <c r="C774">
        <v>2</v>
      </c>
    </row>
    <row r="775" spans="1:3" x14ac:dyDescent="0.45">
      <c r="A775" s="4">
        <v>1085</v>
      </c>
      <c r="B775">
        <v>4</v>
      </c>
      <c r="C775">
        <v>2</v>
      </c>
    </row>
    <row r="776" spans="1:3" x14ac:dyDescent="0.45">
      <c r="A776" s="4">
        <v>981</v>
      </c>
      <c r="B776">
        <v>4</v>
      </c>
      <c r="C776">
        <v>2</v>
      </c>
    </row>
    <row r="777" spans="1:3" x14ac:dyDescent="0.45">
      <c r="A777" s="4">
        <v>1170</v>
      </c>
      <c r="B777">
        <v>4</v>
      </c>
      <c r="C777">
        <v>2</v>
      </c>
    </row>
    <row r="778" spans="1:3" x14ac:dyDescent="0.45">
      <c r="A778" s="4">
        <v>1029</v>
      </c>
      <c r="B778">
        <v>4</v>
      </c>
      <c r="C778">
        <v>2</v>
      </c>
    </row>
    <row r="779" spans="1:3" x14ac:dyDescent="0.45">
      <c r="A779" s="4">
        <v>1225</v>
      </c>
      <c r="B779">
        <v>4</v>
      </c>
      <c r="C779">
        <v>2</v>
      </c>
    </row>
    <row r="780" spans="1:3" x14ac:dyDescent="0.45">
      <c r="A780" s="4">
        <v>1119</v>
      </c>
      <c r="B780">
        <v>4</v>
      </c>
      <c r="C780">
        <v>2</v>
      </c>
    </row>
    <row r="781" spans="1:3" x14ac:dyDescent="0.45">
      <c r="A781" s="4">
        <v>1108</v>
      </c>
      <c r="B781">
        <v>4</v>
      </c>
      <c r="C781">
        <v>2</v>
      </c>
    </row>
    <row r="782" spans="1:3" x14ac:dyDescent="0.45">
      <c r="A782" s="4">
        <v>1135</v>
      </c>
      <c r="B782">
        <v>4</v>
      </c>
      <c r="C782">
        <v>2</v>
      </c>
    </row>
    <row r="783" spans="1:3" x14ac:dyDescent="0.45">
      <c r="A783" s="4">
        <v>1314</v>
      </c>
      <c r="B783">
        <v>4</v>
      </c>
      <c r="C783">
        <v>2</v>
      </c>
    </row>
    <row r="784" spans="1:3" x14ac:dyDescent="0.45">
      <c r="A784" s="4">
        <v>971</v>
      </c>
      <c r="B784">
        <v>4</v>
      </c>
      <c r="C784">
        <v>2</v>
      </c>
    </row>
    <row r="785" spans="1:3" x14ac:dyDescent="0.45">
      <c r="A785" s="4">
        <v>1185</v>
      </c>
      <c r="B785">
        <v>4</v>
      </c>
      <c r="C785">
        <v>2</v>
      </c>
    </row>
    <row r="786" spans="1:3" x14ac:dyDescent="0.45">
      <c r="A786" s="4">
        <v>1100</v>
      </c>
      <c r="B786">
        <v>4</v>
      </c>
      <c r="C786">
        <v>2</v>
      </c>
    </row>
    <row r="787" spans="1:3" x14ac:dyDescent="0.45">
      <c r="A787" s="4">
        <v>1052</v>
      </c>
      <c r="B787">
        <v>4</v>
      </c>
      <c r="C787">
        <v>2</v>
      </c>
    </row>
    <row r="788" spans="1:3" x14ac:dyDescent="0.45">
      <c r="A788" s="4">
        <v>1196</v>
      </c>
      <c r="B788">
        <v>4</v>
      </c>
      <c r="C788">
        <v>2</v>
      </c>
    </row>
    <row r="789" spans="1:3" x14ac:dyDescent="0.45">
      <c r="A789" s="4">
        <v>1344</v>
      </c>
      <c r="B789">
        <v>4</v>
      </c>
      <c r="C789">
        <v>2</v>
      </c>
    </row>
    <row r="790" spans="1:3" x14ac:dyDescent="0.45">
      <c r="A790" s="4">
        <v>977</v>
      </c>
      <c r="B790">
        <v>4</v>
      </c>
      <c r="C790">
        <v>2</v>
      </c>
    </row>
    <row r="791" spans="1:3" x14ac:dyDescent="0.45">
      <c r="A791" s="4">
        <v>1153</v>
      </c>
      <c r="B791">
        <v>4</v>
      </c>
      <c r="C791">
        <v>2</v>
      </c>
    </row>
    <row r="792" spans="1:3" x14ac:dyDescent="0.45">
      <c r="A792" s="4">
        <v>1198</v>
      </c>
      <c r="B792">
        <v>4</v>
      </c>
      <c r="C792">
        <v>2</v>
      </c>
    </row>
    <row r="793" spans="1:3" x14ac:dyDescent="0.45">
      <c r="A793" s="4">
        <v>1054</v>
      </c>
      <c r="B793">
        <v>4</v>
      </c>
      <c r="C793">
        <v>2</v>
      </c>
    </row>
    <row r="794" spans="1:3" x14ac:dyDescent="0.45">
      <c r="A794" s="4">
        <v>1038</v>
      </c>
      <c r="B794">
        <v>4</v>
      </c>
      <c r="C794">
        <v>2</v>
      </c>
    </row>
    <row r="795" spans="1:3" x14ac:dyDescent="0.45">
      <c r="A795" s="4">
        <v>1158</v>
      </c>
      <c r="B795">
        <v>4</v>
      </c>
      <c r="C795">
        <v>2</v>
      </c>
    </row>
    <row r="796" spans="1:3" x14ac:dyDescent="0.45">
      <c r="A796" s="4">
        <v>1096</v>
      </c>
      <c r="B796">
        <v>4</v>
      </c>
      <c r="C796">
        <v>2</v>
      </c>
    </row>
    <row r="797" spans="1:3" x14ac:dyDescent="0.45">
      <c r="A797" s="4">
        <v>944</v>
      </c>
      <c r="B797">
        <v>4</v>
      </c>
      <c r="C797">
        <v>2</v>
      </c>
    </row>
    <row r="798" spans="1:3" x14ac:dyDescent="0.45">
      <c r="A798" s="4">
        <v>976</v>
      </c>
      <c r="B798">
        <v>4</v>
      </c>
      <c r="C798">
        <v>2</v>
      </c>
    </row>
    <row r="799" spans="1:3" x14ac:dyDescent="0.45">
      <c r="A799" s="4">
        <v>1316</v>
      </c>
      <c r="B799">
        <v>4</v>
      </c>
      <c r="C799">
        <v>2</v>
      </c>
    </row>
    <row r="800" spans="1:3" x14ac:dyDescent="0.45">
      <c r="A800" s="4">
        <v>921</v>
      </c>
      <c r="B800">
        <v>4</v>
      </c>
      <c r="C800">
        <v>2</v>
      </c>
    </row>
    <row r="801" spans="1:3" x14ac:dyDescent="0.45">
      <c r="A801" s="4">
        <v>969</v>
      </c>
      <c r="B801">
        <v>4</v>
      </c>
      <c r="C801">
        <v>2</v>
      </c>
    </row>
    <row r="802" spans="1:3" x14ac:dyDescent="0.45">
      <c r="A802" s="4">
        <v>1179</v>
      </c>
      <c r="B802">
        <v>4</v>
      </c>
      <c r="C802">
        <v>2</v>
      </c>
    </row>
    <row r="803" spans="1:3" x14ac:dyDescent="0.45">
      <c r="A803" s="4">
        <v>1333</v>
      </c>
      <c r="B803">
        <v>4</v>
      </c>
      <c r="C803">
        <v>2</v>
      </c>
    </row>
    <row r="804" spans="1:3" x14ac:dyDescent="0.45">
      <c r="A804" s="4">
        <v>959</v>
      </c>
      <c r="B804">
        <v>4</v>
      </c>
      <c r="C804">
        <v>2</v>
      </c>
    </row>
    <row r="805" spans="1:3" x14ac:dyDescent="0.45">
      <c r="A805" s="4">
        <v>1006</v>
      </c>
      <c r="B805">
        <v>4</v>
      </c>
      <c r="C805">
        <v>2</v>
      </c>
    </row>
    <row r="806" spans="1:3" x14ac:dyDescent="0.45">
      <c r="A806" s="4">
        <v>1112</v>
      </c>
      <c r="B806">
        <v>4</v>
      </c>
      <c r="C806">
        <v>2</v>
      </c>
    </row>
    <row r="807" spans="1:3" x14ac:dyDescent="0.45">
      <c r="A807" s="4">
        <v>730</v>
      </c>
      <c r="B807">
        <v>4</v>
      </c>
      <c r="C807">
        <v>2</v>
      </c>
    </row>
    <row r="808" spans="1:3" x14ac:dyDescent="0.45">
      <c r="A808" s="4">
        <v>768</v>
      </c>
      <c r="B808">
        <v>4</v>
      </c>
      <c r="C808">
        <v>2</v>
      </c>
    </row>
    <row r="809" spans="1:3" x14ac:dyDescent="0.45">
      <c r="A809" s="4">
        <v>711</v>
      </c>
      <c r="B809">
        <v>4</v>
      </c>
      <c r="C809">
        <v>2</v>
      </c>
    </row>
    <row r="810" spans="1:3" x14ac:dyDescent="0.45">
      <c r="A810" s="4">
        <v>907</v>
      </c>
      <c r="B810">
        <v>4</v>
      </c>
      <c r="C810">
        <v>2</v>
      </c>
    </row>
    <row r="811" spans="1:3" x14ac:dyDescent="0.45">
      <c r="A811" s="4">
        <v>708</v>
      </c>
      <c r="B811">
        <v>4</v>
      </c>
      <c r="C811">
        <v>2</v>
      </c>
    </row>
    <row r="812" spans="1:3" x14ac:dyDescent="0.45">
      <c r="A812" s="4">
        <v>858</v>
      </c>
      <c r="B812">
        <v>4</v>
      </c>
      <c r="C812">
        <v>2</v>
      </c>
    </row>
    <row r="813" spans="1:3" x14ac:dyDescent="0.45">
      <c r="A813" s="4">
        <v>842</v>
      </c>
      <c r="B813">
        <v>4</v>
      </c>
      <c r="C813">
        <v>2</v>
      </c>
    </row>
    <row r="814" spans="1:3" x14ac:dyDescent="0.45">
      <c r="A814" s="4">
        <v>816</v>
      </c>
      <c r="B814">
        <v>4</v>
      </c>
      <c r="C814">
        <v>2</v>
      </c>
    </row>
    <row r="815" spans="1:3" x14ac:dyDescent="0.45">
      <c r="A815" s="4">
        <v>848</v>
      </c>
      <c r="B815">
        <v>4</v>
      </c>
      <c r="C815">
        <v>2</v>
      </c>
    </row>
    <row r="816" spans="1:3" x14ac:dyDescent="0.45">
      <c r="A816" s="4">
        <v>747</v>
      </c>
      <c r="B816">
        <v>4</v>
      </c>
      <c r="C816">
        <v>2</v>
      </c>
    </row>
    <row r="817" spans="1:3" x14ac:dyDescent="0.45">
      <c r="A817" s="4">
        <v>833</v>
      </c>
      <c r="B817">
        <v>4</v>
      </c>
      <c r="C817">
        <v>2</v>
      </c>
    </row>
    <row r="818" spans="1:3" x14ac:dyDescent="0.45">
      <c r="A818" s="4">
        <v>622</v>
      </c>
      <c r="B818">
        <v>4</v>
      </c>
      <c r="C818">
        <v>3</v>
      </c>
    </row>
    <row r="819" spans="1:3" x14ac:dyDescent="0.45">
      <c r="A819" s="4">
        <v>796</v>
      </c>
      <c r="B819">
        <v>4</v>
      </c>
      <c r="C819">
        <v>2</v>
      </c>
    </row>
    <row r="820" spans="1:3" x14ac:dyDescent="0.45">
      <c r="A820" s="4">
        <v>779</v>
      </c>
      <c r="B820">
        <v>4</v>
      </c>
      <c r="C820">
        <v>2</v>
      </c>
    </row>
    <row r="821" spans="1:3" x14ac:dyDescent="0.45">
      <c r="A821" s="4">
        <v>644</v>
      </c>
      <c r="B821">
        <v>4</v>
      </c>
      <c r="C821">
        <v>3</v>
      </c>
    </row>
    <row r="822" spans="1:3" x14ac:dyDescent="0.45">
      <c r="A822" s="4">
        <v>780</v>
      </c>
      <c r="B822">
        <v>4</v>
      </c>
      <c r="C822">
        <v>2</v>
      </c>
    </row>
    <row r="823" spans="1:3" x14ac:dyDescent="0.45">
      <c r="A823" s="4">
        <v>843</v>
      </c>
      <c r="B823">
        <v>4</v>
      </c>
      <c r="C823">
        <v>2</v>
      </c>
    </row>
    <row r="824" spans="1:3" x14ac:dyDescent="0.45">
      <c r="A824" s="4">
        <v>781</v>
      </c>
      <c r="B824">
        <v>4</v>
      </c>
      <c r="C824">
        <v>2</v>
      </c>
    </row>
    <row r="825" spans="1:3" x14ac:dyDescent="0.45">
      <c r="A825" s="4">
        <v>694</v>
      </c>
      <c r="B825">
        <v>4</v>
      </c>
      <c r="C825">
        <v>2</v>
      </c>
    </row>
    <row r="826" spans="1:3" x14ac:dyDescent="0.45">
      <c r="A826" s="4">
        <v>577</v>
      </c>
      <c r="B826">
        <v>4</v>
      </c>
      <c r="C826">
        <v>3</v>
      </c>
    </row>
    <row r="827" spans="1:3" x14ac:dyDescent="0.45">
      <c r="A827" s="4">
        <v>714</v>
      </c>
      <c r="B827">
        <v>4</v>
      </c>
      <c r="C827">
        <v>2</v>
      </c>
    </row>
    <row r="828" spans="1:3" x14ac:dyDescent="0.45">
      <c r="A828" s="4">
        <v>686</v>
      </c>
      <c r="B828">
        <v>4</v>
      </c>
      <c r="C828">
        <v>2</v>
      </c>
    </row>
    <row r="829" spans="1:3" x14ac:dyDescent="0.45">
      <c r="A829" s="4">
        <v>905</v>
      </c>
      <c r="B829">
        <v>4</v>
      </c>
      <c r="C829">
        <v>2</v>
      </c>
    </row>
    <row r="830" spans="1:3" x14ac:dyDescent="0.45">
      <c r="A830" s="4">
        <v>876</v>
      </c>
      <c r="B830">
        <v>4</v>
      </c>
      <c r="C830">
        <v>2</v>
      </c>
    </row>
    <row r="831" spans="1:3" x14ac:dyDescent="0.45">
      <c r="A831" s="4">
        <v>705</v>
      </c>
      <c r="B831">
        <v>4</v>
      </c>
      <c r="C831">
        <v>2</v>
      </c>
    </row>
    <row r="832" spans="1:3" x14ac:dyDescent="0.45">
      <c r="A832" s="4">
        <v>116</v>
      </c>
      <c r="B832">
        <v>4</v>
      </c>
      <c r="C832">
        <v>3</v>
      </c>
    </row>
    <row r="833" spans="1:3" x14ac:dyDescent="0.45">
      <c r="A833" s="4">
        <v>274</v>
      </c>
      <c r="B833">
        <v>4</v>
      </c>
      <c r="C833">
        <v>3</v>
      </c>
    </row>
    <row r="834" spans="1:3" x14ac:dyDescent="0.45">
      <c r="A834" s="4">
        <v>42</v>
      </c>
      <c r="B834">
        <v>4</v>
      </c>
      <c r="C834">
        <v>3</v>
      </c>
    </row>
    <row r="835" spans="1:3" x14ac:dyDescent="0.45">
      <c r="A835" s="4">
        <v>204</v>
      </c>
      <c r="B835">
        <v>4</v>
      </c>
      <c r="C835">
        <v>3</v>
      </c>
    </row>
    <row r="836" spans="1:3" x14ac:dyDescent="0.45">
      <c r="A836" s="4">
        <v>199</v>
      </c>
      <c r="B836">
        <v>4</v>
      </c>
      <c r="C836">
        <v>3</v>
      </c>
    </row>
    <row r="837" spans="1:3" x14ac:dyDescent="0.45">
      <c r="A837" s="4">
        <v>255</v>
      </c>
      <c r="B837">
        <v>4</v>
      </c>
      <c r="C837">
        <v>3</v>
      </c>
    </row>
    <row r="838" spans="1:3" x14ac:dyDescent="0.45">
      <c r="A838" s="4">
        <v>46</v>
      </c>
      <c r="B838">
        <v>4</v>
      </c>
      <c r="C838">
        <v>3</v>
      </c>
    </row>
    <row r="839" spans="1:3" x14ac:dyDescent="0.45">
      <c r="A839" s="4">
        <v>370</v>
      </c>
      <c r="B839">
        <v>4</v>
      </c>
      <c r="C839">
        <v>3</v>
      </c>
    </row>
    <row r="840" spans="1:3" x14ac:dyDescent="0.45">
      <c r="A840" s="4">
        <v>1290</v>
      </c>
      <c r="B840">
        <v>3</v>
      </c>
      <c r="C840">
        <v>2</v>
      </c>
    </row>
    <row r="841" spans="1:3" x14ac:dyDescent="0.45">
      <c r="A841" s="4">
        <v>1327</v>
      </c>
      <c r="B841">
        <v>3</v>
      </c>
      <c r="C841">
        <v>2</v>
      </c>
    </row>
    <row r="842" spans="1:3" x14ac:dyDescent="0.45">
      <c r="A842" s="4">
        <v>1320</v>
      </c>
      <c r="B842">
        <v>3</v>
      </c>
      <c r="C842">
        <v>2</v>
      </c>
    </row>
    <row r="843" spans="1:3" x14ac:dyDescent="0.45">
      <c r="A843" s="4">
        <v>1013</v>
      </c>
      <c r="B843">
        <v>3</v>
      </c>
      <c r="C843">
        <v>2</v>
      </c>
    </row>
    <row r="844" spans="1:3" x14ac:dyDescent="0.45">
      <c r="A844" s="4">
        <v>1042</v>
      </c>
      <c r="B844">
        <v>3</v>
      </c>
      <c r="C844">
        <v>2</v>
      </c>
    </row>
    <row r="845" spans="1:3" x14ac:dyDescent="0.45">
      <c r="A845" s="4">
        <v>949</v>
      </c>
      <c r="B845">
        <v>3</v>
      </c>
      <c r="C845">
        <v>2</v>
      </c>
    </row>
    <row r="846" spans="1:3" x14ac:dyDescent="0.45">
      <c r="A846" s="4">
        <v>999</v>
      </c>
      <c r="B846">
        <v>3</v>
      </c>
      <c r="C846">
        <v>2</v>
      </c>
    </row>
    <row r="847" spans="1:3" x14ac:dyDescent="0.45">
      <c r="A847" s="4">
        <v>1296</v>
      </c>
      <c r="B847">
        <v>3</v>
      </c>
      <c r="C847">
        <v>2</v>
      </c>
    </row>
    <row r="848" spans="1:3" x14ac:dyDescent="0.45">
      <c r="A848" s="4">
        <v>912</v>
      </c>
      <c r="B848">
        <v>3</v>
      </c>
      <c r="C848">
        <v>2</v>
      </c>
    </row>
    <row r="849" spans="1:3" x14ac:dyDescent="0.45">
      <c r="A849" s="4">
        <v>1269</v>
      </c>
      <c r="B849">
        <v>3</v>
      </c>
      <c r="C849">
        <v>2</v>
      </c>
    </row>
    <row r="850" spans="1:3" x14ac:dyDescent="0.45">
      <c r="A850" s="4">
        <v>1216</v>
      </c>
      <c r="B850">
        <v>3</v>
      </c>
      <c r="C850">
        <v>2</v>
      </c>
    </row>
    <row r="851" spans="1:3" x14ac:dyDescent="0.45">
      <c r="A851" s="4">
        <v>1298</v>
      </c>
      <c r="B851">
        <v>3</v>
      </c>
      <c r="C851">
        <v>2</v>
      </c>
    </row>
    <row r="852" spans="1:3" x14ac:dyDescent="0.45">
      <c r="A852" s="4">
        <v>1117</v>
      </c>
      <c r="B852">
        <v>3</v>
      </c>
      <c r="C852">
        <v>2</v>
      </c>
    </row>
    <row r="853" spans="1:3" x14ac:dyDescent="0.45">
      <c r="A853" s="4">
        <v>963</v>
      </c>
      <c r="B853">
        <v>3</v>
      </c>
      <c r="C853">
        <v>2</v>
      </c>
    </row>
    <row r="854" spans="1:3" x14ac:dyDescent="0.45">
      <c r="A854" s="4">
        <v>991</v>
      </c>
      <c r="B854">
        <v>3</v>
      </c>
      <c r="C854">
        <v>2</v>
      </c>
    </row>
    <row r="855" spans="1:3" x14ac:dyDescent="0.45">
      <c r="A855" s="4">
        <v>1060</v>
      </c>
      <c r="B855">
        <v>3</v>
      </c>
      <c r="C855">
        <v>2</v>
      </c>
    </row>
    <row r="856" spans="1:3" x14ac:dyDescent="0.45">
      <c r="A856" s="4">
        <v>1079</v>
      </c>
      <c r="B856">
        <v>3</v>
      </c>
      <c r="C856">
        <v>2</v>
      </c>
    </row>
    <row r="857" spans="1:3" x14ac:dyDescent="0.45">
      <c r="A857" s="4">
        <v>1304</v>
      </c>
      <c r="B857">
        <v>3</v>
      </c>
      <c r="C857">
        <v>2</v>
      </c>
    </row>
    <row r="858" spans="1:3" x14ac:dyDescent="0.45">
      <c r="A858" s="4">
        <v>956</v>
      </c>
      <c r="B858">
        <v>3</v>
      </c>
      <c r="C858">
        <v>2</v>
      </c>
    </row>
    <row r="859" spans="1:3" x14ac:dyDescent="0.45">
      <c r="A859" s="4">
        <v>1195</v>
      </c>
      <c r="B859">
        <v>3</v>
      </c>
      <c r="C859">
        <v>2</v>
      </c>
    </row>
    <row r="860" spans="1:3" x14ac:dyDescent="0.45">
      <c r="A860" s="4">
        <v>934</v>
      </c>
      <c r="B860">
        <v>3</v>
      </c>
      <c r="C860">
        <v>2</v>
      </c>
    </row>
    <row r="861" spans="1:3" x14ac:dyDescent="0.45">
      <c r="A861" s="4">
        <v>1272</v>
      </c>
      <c r="B861">
        <v>3</v>
      </c>
      <c r="C861">
        <v>2</v>
      </c>
    </row>
    <row r="862" spans="1:3" x14ac:dyDescent="0.45">
      <c r="A862" s="4">
        <v>1328</v>
      </c>
      <c r="B862">
        <v>3</v>
      </c>
      <c r="C862">
        <v>2</v>
      </c>
    </row>
    <row r="863" spans="1:3" x14ac:dyDescent="0.45">
      <c r="A863" s="4">
        <v>1109</v>
      </c>
      <c r="B863">
        <v>3</v>
      </c>
      <c r="C863">
        <v>2</v>
      </c>
    </row>
    <row r="864" spans="1:3" x14ac:dyDescent="0.45">
      <c r="A864" s="4">
        <v>1249</v>
      </c>
      <c r="B864">
        <v>3</v>
      </c>
      <c r="C864">
        <v>2</v>
      </c>
    </row>
    <row r="865" spans="1:3" x14ac:dyDescent="0.45">
      <c r="A865" s="4">
        <v>1143</v>
      </c>
      <c r="B865">
        <v>3</v>
      </c>
      <c r="C865">
        <v>2</v>
      </c>
    </row>
    <row r="866" spans="1:3" x14ac:dyDescent="0.45">
      <c r="A866" s="4">
        <v>1169</v>
      </c>
      <c r="B866">
        <v>3</v>
      </c>
      <c r="C866">
        <v>2</v>
      </c>
    </row>
    <row r="867" spans="1:3" x14ac:dyDescent="0.45">
      <c r="A867" s="4">
        <v>1129</v>
      </c>
      <c r="B867">
        <v>3</v>
      </c>
      <c r="C867">
        <v>2</v>
      </c>
    </row>
    <row r="868" spans="1:3" x14ac:dyDescent="0.45">
      <c r="A868" s="4">
        <v>1224</v>
      </c>
      <c r="B868">
        <v>3</v>
      </c>
      <c r="C868">
        <v>2</v>
      </c>
    </row>
    <row r="869" spans="1:3" x14ac:dyDescent="0.45">
      <c r="A869" s="4">
        <v>1124</v>
      </c>
      <c r="B869">
        <v>3</v>
      </c>
      <c r="C869">
        <v>2</v>
      </c>
    </row>
    <row r="870" spans="1:3" x14ac:dyDescent="0.45">
      <c r="A870" s="4">
        <v>1184</v>
      </c>
      <c r="B870">
        <v>3</v>
      </c>
      <c r="C870">
        <v>2</v>
      </c>
    </row>
    <row r="871" spans="1:3" x14ac:dyDescent="0.45">
      <c r="A871" s="4">
        <v>1281</v>
      </c>
      <c r="B871">
        <v>3</v>
      </c>
      <c r="C871">
        <v>2</v>
      </c>
    </row>
    <row r="872" spans="1:3" x14ac:dyDescent="0.45">
      <c r="A872" s="4">
        <v>926</v>
      </c>
      <c r="B872">
        <v>3</v>
      </c>
      <c r="C872">
        <v>2</v>
      </c>
    </row>
    <row r="873" spans="1:3" x14ac:dyDescent="0.45">
      <c r="A873" s="4">
        <v>1291</v>
      </c>
      <c r="B873">
        <v>3</v>
      </c>
      <c r="C873">
        <v>2</v>
      </c>
    </row>
    <row r="874" spans="1:3" x14ac:dyDescent="0.45">
      <c r="A874" s="4">
        <v>872</v>
      </c>
      <c r="B874">
        <v>3</v>
      </c>
      <c r="C874">
        <v>2</v>
      </c>
    </row>
    <row r="875" spans="1:3" x14ac:dyDescent="0.45">
      <c r="A875" s="4">
        <v>478</v>
      </c>
      <c r="B875">
        <v>3</v>
      </c>
      <c r="C875">
        <v>3</v>
      </c>
    </row>
    <row r="876" spans="1:3" x14ac:dyDescent="0.45">
      <c r="A876" s="4">
        <v>646</v>
      </c>
      <c r="B876">
        <v>3</v>
      </c>
      <c r="C876">
        <v>3</v>
      </c>
    </row>
    <row r="877" spans="1:3" x14ac:dyDescent="0.45">
      <c r="A877" s="4">
        <v>706</v>
      </c>
      <c r="B877">
        <v>3</v>
      </c>
      <c r="C877">
        <v>2</v>
      </c>
    </row>
    <row r="878" spans="1:3" x14ac:dyDescent="0.45">
      <c r="A878" s="4">
        <v>626</v>
      </c>
      <c r="B878">
        <v>3</v>
      </c>
      <c r="C878">
        <v>3</v>
      </c>
    </row>
    <row r="879" spans="1:3" x14ac:dyDescent="0.45">
      <c r="A879" s="4">
        <v>592</v>
      </c>
      <c r="B879">
        <v>3</v>
      </c>
      <c r="C879">
        <v>3</v>
      </c>
    </row>
    <row r="880" spans="1:3" x14ac:dyDescent="0.45">
      <c r="A880" s="4">
        <v>856</v>
      </c>
      <c r="B880">
        <v>3</v>
      </c>
      <c r="C880">
        <v>2</v>
      </c>
    </row>
    <row r="881" spans="1:3" x14ac:dyDescent="0.45">
      <c r="A881" s="4">
        <v>815</v>
      </c>
      <c r="B881">
        <v>3</v>
      </c>
      <c r="C881">
        <v>2</v>
      </c>
    </row>
    <row r="882" spans="1:3" x14ac:dyDescent="0.45">
      <c r="A882" s="4">
        <v>853</v>
      </c>
      <c r="B882">
        <v>3</v>
      </c>
      <c r="C882">
        <v>2</v>
      </c>
    </row>
    <row r="883" spans="1:3" x14ac:dyDescent="0.45">
      <c r="A883" s="4">
        <v>745</v>
      </c>
      <c r="B883">
        <v>3</v>
      </c>
      <c r="C883">
        <v>2</v>
      </c>
    </row>
    <row r="884" spans="1:3" x14ac:dyDescent="0.45">
      <c r="A884" s="4">
        <v>670</v>
      </c>
      <c r="B884">
        <v>3</v>
      </c>
      <c r="C884">
        <v>2</v>
      </c>
    </row>
    <row r="885" spans="1:3" x14ac:dyDescent="0.45">
      <c r="A885" s="4">
        <v>677</v>
      </c>
      <c r="B885">
        <v>3</v>
      </c>
      <c r="C885">
        <v>2</v>
      </c>
    </row>
    <row r="886" spans="1:3" x14ac:dyDescent="0.45">
      <c r="A886" s="4">
        <v>428</v>
      </c>
      <c r="B886">
        <v>3</v>
      </c>
      <c r="C886">
        <v>3</v>
      </c>
    </row>
    <row r="887" spans="1:3" x14ac:dyDescent="0.45">
      <c r="A887" s="4">
        <v>183</v>
      </c>
      <c r="B887">
        <v>3</v>
      </c>
      <c r="C887">
        <v>3</v>
      </c>
    </row>
    <row r="888" spans="1:3" x14ac:dyDescent="0.45">
      <c r="A888" s="4">
        <v>1339</v>
      </c>
      <c r="B888">
        <v>2</v>
      </c>
      <c r="C888">
        <v>2</v>
      </c>
    </row>
    <row r="889" spans="1:3" x14ac:dyDescent="0.45">
      <c r="A889" s="4">
        <v>1255</v>
      </c>
      <c r="B889">
        <v>2</v>
      </c>
      <c r="C889">
        <v>2</v>
      </c>
    </row>
    <row r="890" spans="1:3" x14ac:dyDescent="0.45">
      <c r="A890" s="4">
        <v>1093</v>
      </c>
      <c r="B890">
        <v>2</v>
      </c>
      <c r="C890">
        <v>2</v>
      </c>
    </row>
    <row r="891" spans="1:3" x14ac:dyDescent="0.45">
      <c r="A891" s="4">
        <v>1175</v>
      </c>
      <c r="B891">
        <v>2</v>
      </c>
      <c r="C891">
        <v>2</v>
      </c>
    </row>
    <row r="892" spans="1:3" x14ac:dyDescent="0.45">
      <c r="A892" s="4">
        <v>958</v>
      </c>
      <c r="B892">
        <v>2</v>
      </c>
      <c r="C892">
        <v>2</v>
      </c>
    </row>
    <row r="893" spans="1:3" x14ac:dyDescent="0.45">
      <c r="A893" s="4">
        <v>947</v>
      </c>
      <c r="B893">
        <v>2</v>
      </c>
      <c r="C893">
        <v>2</v>
      </c>
    </row>
    <row r="894" spans="1:3" x14ac:dyDescent="0.45">
      <c r="A894" s="4">
        <v>1223</v>
      </c>
      <c r="B894">
        <v>2</v>
      </c>
      <c r="C894">
        <v>2</v>
      </c>
    </row>
    <row r="895" spans="1:3" x14ac:dyDescent="0.45">
      <c r="A895" s="4">
        <v>1128</v>
      </c>
      <c r="B895">
        <v>2</v>
      </c>
      <c r="C895">
        <v>2</v>
      </c>
    </row>
    <row r="896" spans="1:3" x14ac:dyDescent="0.45">
      <c r="A896" s="4">
        <v>1004</v>
      </c>
      <c r="B896">
        <v>2</v>
      </c>
      <c r="C896">
        <v>2</v>
      </c>
    </row>
    <row r="897" spans="1:3" x14ac:dyDescent="0.45">
      <c r="A897" s="4">
        <v>1136</v>
      </c>
      <c r="B897">
        <v>2</v>
      </c>
      <c r="C897">
        <v>2</v>
      </c>
    </row>
    <row r="898" spans="1:3" x14ac:dyDescent="0.45">
      <c r="A898" s="4">
        <v>1329</v>
      </c>
      <c r="B898">
        <v>2</v>
      </c>
      <c r="C898">
        <v>2</v>
      </c>
    </row>
    <row r="899" spans="1:3" x14ac:dyDescent="0.45">
      <c r="A899" s="4">
        <v>1025</v>
      </c>
      <c r="B899">
        <v>2</v>
      </c>
      <c r="C899">
        <v>2</v>
      </c>
    </row>
    <row r="900" spans="1:3" x14ac:dyDescent="0.45">
      <c r="A900" s="4">
        <v>1103</v>
      </c>
      <c r="B900">
        <v>2</v>
      </c>
      <c r="C900">
        <v>2</v>
      </c>
    </row>
    <row r="901" spans="1:3" x14ac:dyDescent="0.45">
      <c r="A901" s="4">
        <v>1144</v>
      </c>
      <c r="B901">
        <v>2</v>
      </c>
      <c r="C901">
        <v>2</v>
      </c>
    </row>
    <row r="902" spans="1:3" x14ac:dyDescent="0.45">
      <c r="A902" s="4">
        <v>817</v>
      </c>
      <c r="B902">
        <v>2</v>
      </c>
      <c r="C902">
        <v>2</v>
      </c>
    </row>
    <row r="903" spans="1:3" x14ac:dyDescent="0.45">
      <c r="A903" s="4">
        <v>882</v>
      </c>
      <c r="B903">
        <v>2</v>
      </c>
      <c r="C903">
        <v>2</v>
      </c>
    </row>
    <row r="904" spans="1:3" x14ac:dyDescent="0.45">
      <c r="A904" s="4">
        <v>895</v>
      </c>
      <c r="B904">
        <v>2</v>
      </c>
      <c r="C904">
        <v>2</v>
      </c>
    </row>
    <row r="905" spans="1:3" x14ac:dyDescent="0.45">
      <c r="A905" s="4">
        <v>675</v>
      </c>
      <c r="B905">
        <v>2</v>
      </c>
      <c r="C905">
        <v>2</v>
      </c>
    </row>
    <row r="906" spans="1:3" x14ac:dyDescent="0.45">
      <c r="A906" s="4">
        <v>707</v>
      </c>
      <c r="B906">
        <v>2</v>
      </c>
      <c r="C906">
        <v>2</v>
      </c>
    </row>
    <row r="907" spans="1:3" x14ac:dyDescent="0.45">
      <c r="A907" s="4">
        <v>778</v>
      </c>
      <c r="B907">
        <v>2</v>
      </c>
      <c r="C907">
        <v>2</v>
      </c>
    </row>
    <row r="908" spans="1:3" x14ac:dyDescent="0.45">
      <c r="A908" s="4">
        <v>868</v>
      </c>
      <c r="B908">
        <v>2</v>
      </c>
      <c r="C908">
        <v>2</v>
      </c>
    </row>
    <row r="909" spans="1:3" x14ac:dyDescent="0.45">
      <c r="A909" s="4" t="s">
        <v>581</v>
      </c>
      <c r="B909">
        <v>6715</v>
      </c>
      <c r="C909">
        <v>2253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FA842-60B4-4098-838F-E18E80207BB1}">
  <dimension ref="A3:F8"/>
  <sheetViews>
    <sheetView workbookViewId="0">
      <selection activeCell="H4" sqref="H4"/>
    </sheetView>
  </sheetViews>
  <sheetFormatPr defaultRowHeight="14.25" x14ac:dyDescent="0.45"/>
  <cols>
    <col min="1" max="1" width="11.9296875" bestFit="1" customWidth="1"/>
    <col min="2" max="2" width="13.19921875" bestFit="1" customWidth="1"/>
    <col min="3" max="3" width="13.46484375" bestFit="1" customWidth="1"/>
    <col min="4" max="4" width="21.06640625" customWidth="1"/>
    <col min="5" max="5" width="17.59765625" customWidth="1"/>
    <col min="6" max="6" width="16" customWidth="1"/>
  </cols>
  <sheetData>
    <row r="3" spans="1:6" x14ac:dyDescent="0.45">
      <c r="A3" s="3" t="s">
        <v>580</v>
      </c>
      <c r="B3" t="s">
        <v>585</v>
      </c>
      <c r="C3" t="s">
        <v>603</v>
      </c>
      <c r="D3" t="s">
        <v>640</v>
      </c>
      <c r="E3" t="s">
        <v>641</v>
      </c>
      <c r="F3" t="s">
        <v>642</v>
      </c>
    </row>
    <row r="4" spans="1:6" x14ac:dyDescent="0.45">
      <c r="A4" s="4" t="s">
        <v>639</v>
      </c>
      <c r="B4">
        <v>91401.889999999868</v>
      </c>
      <c r="C4">
        <v>905</v>
      </c>
      <c r="D4">
        <f>AVERAGE(B5:B7)</f>
        <v>30467.296666666658</v>
      </c>
      <c r="E4" t="str">
        <f>_xlfn.XLOOKUP(MAX(B5:B7),B5:B7,A5:A7)</f>
        <v>May</v>
      </c>
      <c r="F4" t="str">
        <f>_xlfn.XLOOKUP(MAX(C5:C7),C5:C7,A5:A7)</f>
        <v>May</v>
      </c>
    </row>
    <row r="5" spans="1:6" x14ac:dyDescent="0.45">
      <c r="A5" s="6" t="s">
        <v>582</v>
      </c>
      <c r="B5">
        <v>37751.680000000008</v>
      </c>
      <c r="C5">
        <v>364</v>
      </c>
    </row>
    <row r="6" spans="1:6" x14ac:dyDescent="0.45">
      <c r="A6" s="6" t="s">
        <v>583</v>
      </c>
      <c r="B6">
        <v>39570.939999999966</v>
      </c>
      <c r="C6">
        <v>403</v>
      </c>
    </row>
    <row r="7" spans="1:6" x14ac:dyDescent="0.45">
      <c r="A7" s="6" t="s">
        <v>584</v>
      </c>
      <c r="B7">
        <v>14079.270000000004</v>
      </c>
      <c r="C7">
        <v>138</v>
      </c>
    </row>
    <row r="8" spans="1:6" x14ac:dyDescent="0.45">
      <c r="A8" s="4" t="s">
        <v>581</v>
      </c>
      <c r="B8">
        <v>91401.889999999868</v>
      </c>
      <c r="C8">
        <v>905</v>
      </c>
    </row>
  </sheetData>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11DB2-D08D-4758-B418-7C649B860698}">
  <dimension ref="A3:C7"/>
  <sheetViews>
    <sheetView workbookViewId="0">
      <selection activeCell="K19" sqref="K19"/>
    </sheetView>
  </sheetViews>
  <sheetFormatPr defaultRowHeight="14.25" x14ac:dyDescent="0.45"/>
  <cols>
    <col min="1" max="1" width="14.59765625" bestFit="1" customWidth="1"/>
    <col min="2" max="2" width="13.19921875" bestFit="1" customWidth="1"/>
    <col min="3" max="3" width="13.46484375" bestFit="1" customWidth="1"/>
  </cols>
  <sheetData>
    <row r="3" spans="1:3" x14ac:dyDescent="0.45">
      <c r="A3" s="3" t="s">
        <v>580</v>
      </c>
      <c r="B3" t="s">
        <v>585</v>
      </c>
      <c r="C3" t="s">
        <v>603</v>
      </c>
    </row>
    <row r="4" spans="1:3" x14ac:dyDescent="0.45">
      <c r="A4" s="4" t="s">
        <v>663</v>
      </c>
      <c r="B4">
        <v>6715.0600000000013</v>
      </c>
      <c r="C4">
        <v>73</v>
      </c>
    </row>
    <row r="5" spans="1:3" x14ac:dyDescent="0.45">
      <c r="A5" s="4" t="s">
        <v>646</v>
      </c>
      <c r="B5">
        <v>15532.750000000002</v>
      </c>
      <c r="C5">
        <v>160</v>
      </c>
    </row>
    <row r="6" spans="1:3" x14ac:dyDescent="0.45">
      <c r="A6" s="4" t="s">
        <v>647</v>
      </c>
      <c r="B6">
        <v>69154.079999999944</v>
      </c>
      <c r="C6">
        <v>672</v>
      </c>
    </row>
    <row r="7" spans="1:3" x14ac:dyDescent="0.45">
      <c r="A7" s="4" t="s">
        <v>581</v>
      </c>
      <c r="B7">
        <v>91401.889999999985</v>
      </c>
      <c r="C7">
        <v>905</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E7A84-F215-466B-9494-93992F355905}">
  <dimension ref="A3:C9"/>
  <sheetViews>
    <sheetView workbookViewId="0">
      <selection activeCell="C20" sqref="C20"/>
    </sheetView>
  </sheetViews>
  <sheetFormatPr defaultRowHeight="14.25" x14ac:dyDescent="0.45"/>
  <cols>
    <col min="1" max="1" width="11.9296875" bestFit="1" customWidth="1"/>
    <col min="2" max="2" width="13.19921875" bestFit="1" customWidth="1"/>
    <col min="3" max="3" width="13.46484375" bestFit="1" customWidth="1"/>
  </cols>
  <sheetData>
    <row r="3" spans="1:3" x14ac:dyDescent="0.45">
      <c r="A3" s="3" t="s">
        <v>580</v>
      </c>
      <c r="B3" t="s">
        <v>585</v>
      </c>
      <c r="C3" t="s">
        <v>603</v>
      </c>
    </row>
    <row r="4" spans="1:3" x14ac:dyDescent="0.45">
      <c r="A4" s="4" t="s">
        <v>35</v>
      </c>
      <c r="B4">
        <v>19502.439999999999</v>
      </c>
      <c r="C4">
        <v>189</v>
      </c>
    </row>
    <row r="5" spans="1:3" x14ac:dyDescent="0.45">
      <c r="A5" s="4" t="s">
        <v>32</v>
      </c>
      <c r="B5">
        <v>18709.530000000002</v>
      </c>
      <c r="C5">
        <v>176</v>
      </c>
    </row>
    <row r="6" spans="1:3" x14ac:dyDescent="0.45">
      <c r="A6" s="4" t="s">
        <v>37</v>
      </c>
      <c r="B6">
        <v>18425.140000000007</v>
      </c>
      <c r="C6">
        <v>181</v>
      </c>
    </row>
    <row r="7" spans="1:3" x14ac:dyDescent="0.45">
      <c r="A7" s="4" t="s">
        <v>30</v>
      </c>
      <c r="B7">
        <v>18278.149999999998</v>
      </c>
      <c r="C7">
        <v>188</v>
      </c>
    </row>
    <row r="8" spans="1:3" x14ac:dyDescent="0.45">
      <c r="A8" s="4" t="s">
        <v>29</v>
      </c>
      <c r="B8">
        <v>16486.63</v>
      </c>
      <c r="C8">
        <v>171</v>
      </c>
    </row>
    <row r="9" spans="1:3" x14ac:dyDescent="0.45">
      <c r="A9" s="4" t="s">
        <v>581</v>
      </c>
      <c r="B9">
        <v>91401.889999999927</v>
      </c>
      <c r="C9">
        <v>905</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8BBA-A4E8-4068-BF3F-E7F0EA435BCC}">
  <dimension ref="A3:E10"/>
  <sheetViews>
    <sheetView workbookViewId="0">
      <selection activeCell="A3" sqref="A3"/>
    </sheetView>
  </sheetViews>
  <sheetFormatPr defaultRowHeight="14.25" x14ac:dyDescent="0.45"/>
  <cols>
    <col min="1" max="1" width="13.19921875" bestFit="1" customWidth="1"/>
    <col min="2" max="2" width="14.73046875" bestFit="1" customWidth="1"/>
    <col min="3" max="3" width="14.86328125" bestFit="1" customWidth="1"/>
    <col min="4" max="4" width="12" bestFit="1" customWidth="1"/>
    <col min="5" max="5" width="9.86328125" bestFit="1" customWidth="1"/>
  </cols>
  <sheetData>
    <row r="3" spans="1:5" x14ac:dyDescent="0.45">
      <c r="A3" s="3" t="s">
        <v>585</v>
      </c>
      <c r="B3" s="3" t="s">
        <v>648</v>
      </c>
    </row>
    <row r="4" spans="1:5" x14ac:dyDescent="0.45">
      <c r="A4" s="3" t="s">
        <v>580</v>
      </c>
      <c r="B4" t="s">
        <v>663</v>
      </c>
      <c r="C4" t="s">
        <v>646</v>
      </c>
      <c r="D4" t="s">
        <v>647</v>
      </c>
      <c r="E4" t="s">
        <v>581</v>
      </c>
    </row>
    <row r="5" spans="1:5" x14ac:dyDescent="0.45">
      <c r="A5" s="4" t="s">
        <v>37</v>
      </c>
      <c r="B5">
        <v>1553.57</v>
      </c>
      <c r="C5">
        <v>2891.4299999999994</v>
      </c>
      <c r="D5">
        <v>13980.139999999998</v>
      </c>
      <c r="E5">
        <v>18425.139999999996</v>
      </c>
    </row>
    <row r="6" spans="1:5" x14ac:dyDescent="0.45">
      <c r="A6" s="4" t="s">
        <v>35</v>
      </c>
      <c r="B6">
        <v>1462.34</v>
      </c>
      <c r="C6">
        <v>4239.2099999999991</v>
      </c>
      <c r="D6">
        <v>13800.890000000003</v>
      </c>
      <c r="E6">
        <v>19502.440000000002</v>
      </c>
    </row>
    <row r="7" spans="1:5" x14ac:dyDescent="0.45">
      <c r="A7" s="4" t="s">
        <v>30</v>
      </c>
      <c r="B7">
        <v>1341.69</v>
      </c>
      <c r="C7">
        <v>3229.7099999999996</v>
      </c>
      <c r="D7">
        <v>13706.750000000004</v>
      </c>
      <c r="E7">
        <v>18278.150000000001</v>
      </c>
    </row>
    <row r="8" spans="1:5" x14ac:dyDescent="0.45">
      <c r="A8" s="4" t="s">
        <v>32</v>
      </c>
      <c r="B8">
        <v>1489.78</v>
      </c>
      <c r="C8">
        <v>1642.8300000000002</v>
      </c>
      <c r="D8">
        <v>15576.92</v>
      </c>
      <c r="E8">
        <v>18709.53</v>
      </c>
    </row>
    <row r="9" spans="1:5" x14ac:dyDescent="0.45">
      <c r="A9" s="4" t="s">
        <v>29</v>
      </c>
      <c r="B9">
        <v>867.68000000000006</v>
      </c>
      <c r="C9">
        <v>3529.5699999999988</v>
      </c>
      <c r="D9">
        <v>12089.380000000008</v>
      </c>
      <c r="E9">
        <v>16486.630000000008</v>
      </c>
    </row>
    <row r="10" spans="1:5" x14ac:dyDescent="0.45">
      <c r="A10" s="4" t="s">
        <v>581</v>
      </c>
      <c r="B10">
        <v>6715.06</v>
      </c>
      <c r="C10">
        <v>15532.749999999996</v>
      </c>
      <c r="D10">
        <v>69154.080000000002</v>
      </c>
      <c r="E10">
        <v>91401.890000000014</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6E23A-D528-43CA-AB71-695540955421}">
  <dimension ref="A3:A4"/>
  <sheetViews>
    <sheetView workbookViewId="0">
      <selection activeCell="S21" sqref="S21"/>
    </sheetView>
  </sheetViews>
  <sheetFormatPr defaultRowHeight="14.25" x14ac:dyDescent="0.45"/>
  <cols>
    <col min="1" max="1" width="13.19921875" bestFit="1" customWidth="1"/>
  </cols>
  <sheetData>
    <row r="3" spans="1:1" x14ac:dyDescent="0.45">
      <c r="A3" t="s">
        <v>585</v>
      </c>
    </row>
    <row r="4" spans="1:1" x14ac:dyDescent="0.45">
      <c r="A4">
        <v>91401.889999999956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158F3-3F38-4B03-AFD9-3B6966303ADB}">
  <dimension ref="B1:E2"/>
  <sheetViews>
    <sheetView showGridLines="0" tabSelected="1" zoomScale="90" zoomScaleNormal="90" workbookViewId="0">
      <selection activeCell="B3" sqref="B3"/>
    </sheetView>
  </sheetViews>
  <sheetFormatPr defaultRowHeight="14.25" x14ac:dyDescent="0.45"/>
  <cols>
    <col min="1" max="1" width="9.06640625" style="11"/>
    <col min="2" max="2" width="11.6640625" style="11" customWidth="1"/>
    <col min="3" max="3" width="9.53125" style="11" customWidth="1"/>
    <col min="4" max="4" width="13.86328125" style="11" customWidth="1"/>
    <col min="5" max="5" width="17.265625" style="11" customWidth="1"/>
    <col min="6" max="16384" width="9.06640625" style="11"/>
  </cols>
  <sheetData>
    <row r="1" spans="2:5" x14ac:dyDescent="0.45">
      <c r="B1" s="12" t="s">
        <v>658</v>
      </c>
      <c r="C1" s="13" t="s">
        <v>659</v>
      </c>
      <c r="D1" s="13" t="s">
        <v>660</v>
      </c>
      <c r="E1" s="14" t="s">
        <v>661</v>
      </c>
    </row>
    <row r="2" spans="2:5" x14ac:dyDescent="0.45">
      <c r="B2" s="16">
        <f>kPI_sheet!B3</f>
        <v>324236.87000000046</v>
      </c>
      <c r="C2" s="15">
        <f>kPI_sheet!B4</f>
        <v>907</v>
      </c>
      <c r="D2" s="15">
        <f>kPI_sheet!B5</f>
        <v>580</v>
      </c>
      <c r="E2" s="17">
        <f>kPI_sheet!B7</f>
        <v>357.48276736493989</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fashion_store_campaigns</vt:lpstr>
      <vt:lpstr>fashion_store_channels</vt:lpstr>
      <vt:lpstr>fashion_store_customers</vt:lpstr>
      <vt:lpstr>fashion_store_products</vt:lpstr>
      <vt:lpstr>fashion_store_sales</vt:lpstr>
      <vt:lpstr>fashion_store_salesitems</vt:lpstr>
      <vt:lpstr>fashion_store_stock</vt:lpstr>
      <vt:lpstr>kPI_sheet</vt:lpstr>
      <vt:lpstr>monthly_revenue_pivot</vt:lpstr>
      <vt:lpstr>weekday revenue pivot</vt:lpstr>
      <vt:lpstr>campaign_perfomance_pivot</vt:lpstr>
      <vt:lpstr>campaign_by_channel_pivot</vt:lpstr>
      <vt:lpstr>channel_perfomance_pivot</vt:lpstr>
      <vt:lpstr>customer_revenue_pivot</vt:lpstr>
      <vt:lpstr>customer_country_pivot</vt:lpstr>
      <vt:lpstr>customer_channel_pivot</vt:lpstr>
      <vt:lpstr>RFM_base</vt:lpstr>
      <vt:lpstr>product_perfomance_pivot</vt:lpstr>
      <vt:lpstr>bottom_products_pivot</vt:lpstr>
      <vt:lpstr>country_sales_pivot</vt:lpstr>
      <vt:lpstr>basket Analysis pivot</vt:lpstr>
      <vt:lpstr>time_analysis_pivot</vt:lpstr>
      <vt:lpstr>customer_performance_pivot</vt:lpstr>
      <vt:lpstr>age_range_performance_pivot</vt:lpstr>
      <vt:lpstr>age_range&amp;customer_type</vt:lpstr>
      <vt:lpstr>General_Pivot</vt:lpstr>
      <vt:lpstr>Dashboared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mohsen mohsen</dc:creator>
  <cp:lastModifiedBy>mohsen mohsen</cp:lastModifiedBy>
  <dcterms:created xsi:type="dcterms:W3CDTF">2026-01-06T19:18:29Z</dcterms:created>
  <dcterms:modified xsi:type="dcterms:W3CDTF">2026-01-20T03:36:04Z</dcterms:modified>
</cp:coreProperties>
</file>